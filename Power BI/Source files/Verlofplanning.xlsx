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hidePivotFieldList="1"/>
  <xr:revisionPtr revIDLastSave="0" documentId="13_ncr:1_{5F03F9B2-6B9D-4CB5-AE50-7E8BDC9C7A62}" xr6:coauthVersionLast="47" xr6:coauthVersionMax="47" xr10:uidLastSave="{00000000-0000-0000-0000-000000000000}"/>
  <bookViews>
    <workbookView xWindow="28680" yWindow="-12660" windowWidth="16440" windowHeight="28320" firstSheet="3" activeTab="7" xr2:uid="{00000000-000D-0000-FFFF-FFFF00000000}"/>
  </bookViews>
  <sheets>
    <sheet name="Verlof 2019" sheetId="11" r:id="rId1"/>
    <sheet name="Verlof 2020" sheetId="4" r:id="rId2"/>
    <sheet name="Verlof 2021" sheetId="5" r:id="rId3"/>
    <sheet name="Verlof 2022" sheetId="6" r:id="rId4"/>
    <sheet name="Verlof 2023" sheetId="7" r:id="rId5"/>
    <sheet name="Verlof 2024" sheetId="8" r:id="rId6"/>
    <sheet name="Verlof 2025" sheetId="9" r:id="rId7"/>
    <sheet name="Verlof 2026" sheetId="10" r:id="rId8"/>
  </sheets>
  <definedNames>
    <definedName name="_xlnm._FilterDatabase" localSheetId="2" hidden="1">'Verlof 2021'!$J$1:$L$1</definedName>
    <definedName name="_xlnm._FilterDatabase" localSheetId="3" hidden="1">'Verlof 2022'!$J$1:$L$1</definedName>
    <definedName name="_xlnm._FilterDatabase" localSheetId="4" hidden="1">'Verlof 2023'!$J$1:$L$1</definedName>
    <definedName name="_xlnm._FilterDatabase" localSheetId="5" hidden="1">'Verlof 2024'!$J$1:$L$1</definedName>
    <definedName name="_xlnm._FilterDatabase" localSheetId="6" hidden="1">'Verlof 2025'!$J$1:$L$1</definedName>
    <definedName name="_xlnm._FilterDatabase" localSheetId="7" hidden="1">'Verlof 2026'!$J$1:$L$1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2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2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2" i="8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2" i="5"/>
  <c r="P3" i="10"/>
  <c r="B2" i="11"/>
  <c r="C2" i="11" s="1"/>
  <c r="D2" i="11" s="1"/>
  <c r="E2" i="11" s="1"/>
  <c r="F2" i="11" s="1"/>
  <c r="G2" i="11" s="1"/>
  <c r="A3" i="11" s="1"/>
  <c r="B3" i="11" s="1"/>
  <c r="C3" i="11" s="1"/>
  <c r="D3" i="11" s="1"/>
  <c r="E3" i="11" s="1"/>
  <c r="F3" i="11" s="1"/>
  <c r="G3" i="11" s="1"/>
  <c r="A4" i="11" s="1"/>
  <c r="B4" i="11" s="1"/>
  <c r="C4" i="11" s="1"/>
  <c r="D4" i="11" s="1"/>
  <c r="E4" i="11" s="1"/>
  <c r="F4" i="11" s="1"/>
  <c r="G4" i="11" s="1"/>
  <c r="A5" i="11" s="1"/>
  <c r="B5" i="11" s="1"/>
  <c r="C5" i="11" s="1"/>
  <c r="D5" i="11" s="1"/>
  <c r="E5" i="11" s="1"/>
  <c r="F5" i="11" s="1"/>
  <c r="G5" i="11" s="1"/>
  <c r="A6" i="11" s="1"/>
  <c r="B6" i="11" s="1"/>
  <c r="C6" i="11" s="1"/>
  <c r="D6" i="11" s="1"/>
  <c r="E6" i="11" s="1"/>
  <c r="F6" i="11" s="1"/>
  <c r="G6" i="11" s="1"/>
  <c r="A7" i="11" s="1"/>
  <c r="B7" i="11" s="1"/>
  <c r="C7" i="11" s="1"/>
  <c r="D7" i="11" s="1"/>
  <c r="E7" i="11" s="1"/>
  <c r="F7" i="11" s="1"/>
  <c r="G7" i="11" s="1"/>
  <c r="A8" i="11" s="1"/>
  <c r="B8" i="11" s="1"/>
  <c r="C8" i="11" s="1"/>
  <c r="D8" i="11" s="1"/>
  <c r="E8" i="11" s="1"/>
  <c r="F8" i="11" s="1"/>
  <c r="G8" i="11" s="1"/>
  <c r="A9" i="11" s="1"/>
  <c r="B9" i="11" s="1"/>
  <c r="C9" i="11" s="1"/>
  <c r="D9" i="11" s="1"/>
  <c r="E9" i="11" s="1"/>
  <c r="F9" i="11" s="1"/>
  <c r="G9" i="11" s="1"/>
  <c r="A10" i="11" s="1"/>
  <c r="B10" i="11" s="1"/>
  <c r="C10" i="11" s="1"/>
  <c r="D10" i="11" s="1"/>
  <c r="E10" i="11" s="1"/>
  <c r="F10" i="11" s="1"/>
  <c r="G10" i="11" s="1"/>
  <c r="A11" i="11" s="1"/>
  <c r="B11" i="11" s="1"/>
  <c r="C11" i="11" s="1"/>
  <c r="D11" i="11" s="1"/>
  <c r="E11" i="11" s="1"/>
  <c r="F11" i="11" s="1"/>
  <c r="G11" i="11" s="1"/>
  <c r="A12" i="11" s="1"/>
  <c r="B12" i="11" s="1"/>
  <c r="C12" i="11" s="1"/>
  <c r="D12" i="11" s="1"/>
  <c r="E12" i="11" s="1"/>
  <c r="F12" i="11" s="1"/>
  <c r="G12" i="11" s="1"/>
  <c r="A13" i="11" s="1"/>
  <c r="B13" i="11" s="1"/>
  <c r="C13" i="11" s="1"/>
  <c r="D13" i="11" s="1"/>
  <c r="E13" i="11" s="1"/>
  <c r="F13" i="11" s="1"/>
  <c r="G13" i="11" s="1"/>
  <c r="A14" i="11" s="1"/>
  <c r="B14" i="11" s="1"/>
  <c r="C14" i="11" s="1"/>
  <c r="D14" i="11" s="1"/>
  <c r="E14" i="11" s="1"/>
  <c r="F14" i="11" s="1"/>
  <c r="G14" i="11" s="1"/>
  <c r="A15" i="11" s="1"/>
  <c r="B15" i="11" s="1"/>
  <c r="C15" i="11" s="1"/>
  <c r="D15" i="11" s="1"/>
  <c r="E15" i="11" s="1"/>
  <c r="F15" i="11" s="1"/>
  <c r="G15" i="11" s="1"/>
  <c r="A16" i="11" s="1"/>
  <c r="B16" i="11" s="1"/>
  <c r="C16" i="11" s="1"/>
  <c r="D16" i="11" s="1"/>
  <c r="E16" i="11" s="1"/>
  <c r="F16" i="11" s="1"/>
  <c r="G16" i="11" s="1"/>
  <c r="A17" i="11" s="1"/>
  <c r="B17" i="11" s="1"/>
  <c r="C17" i="11" s="1"/>
  <c r="D17" i="11" s="1"/>
  <c r="E17" i="11" s="1"/>
  <c r="F17" i="11" s="1"/>
  <c r="G17" i="11" s="1"/>
  <c r="A18" i="11" s="1"/>
  <c r="B18" i="11" s="1"/>
  <c r="C18" i="11" s="1"/>
  <c r="D18" i="11" s="1"/>
  <c r="E18" i="11" s="1"/>
  <c r="F18" i="11" s="1"/>
  <c r="G18" i="11" s="1"/>
  <c r="A19" i="11" s="1"/>
  <c r="B19" i="11" s="1"/>
  <c r="C19" i="11" s="1"/>
  <c r="D19" i="11" s="1"/>
  <c r="L12" i="11"/>
  <c r="L8" i="11"/>
  <c r="L5" i="11"/>
  <c r="L14" i="11"/>
  <c r="L4" i="11"/>
  <c r="L6" i="11"/>
  <c r="L13" i="11"/>
  <c r="L3" i="11"/>
  <c r="L9" i="11"/>
  <c r="L2" i="11"/>
  <c r="L7" i="11"/>
  <c r="L15" i="11"/>
  <c r="L11" i="11"/>
  <c r="L10" i="11"/>
  <c r="N2" i="11" l="1"/>
  <c r="L28" i="10" a="1"/>
  <c r="P11" i="10"/>
  <c r="P10" i="10"/>
  <c r="P9" i="10"/>
  <c r="P8" i="10"/>
  <c r="P7" i="10"/>
  <c r="P4" i="10"/>
  <c r="P6" i="10"/>
  <c r="P2" i="10"/>
  <c r="A2" i="10"/>
  <c r="B2" i="10" s="1"/>
  <c r="C2" i="10" s="1"/>
  <c r="D2" i="10" s="1"/>
  <c r="K15" i="9"/>
  <c r="K16" i="9"/>
  <c r="K17" i="9" s="1"/>
  <c r="K18" i="9" s="1"/>
  <c r="K19" i="9" s="1"/>
  <c r="K20" i="9" s="1"/>
  <c r="K21" i="9" s="1"/>
  <c r="K22" i="9" s="1"/>
  <c r="K23" i="9" s="1"/>
  <c r="K24" i="9" s="1"/>
  <c r="J16" i="9"/>
  <c r="J17" i="9" s="1"/>
  <c r="J18" i="9" s="1"/>
  <c r="J19" i="9" s="1"/>
  <c r="J20" i="9" s="1"/>
  <c r="J21" i="9" s="1"/>
  <c r="J22" i="9" s="1"/>
  <c r="J23" i="9" s="1"/>
  <c r="J24" i="9" s="1"/>
  <c r="J25" i="9" s="1"/>
  <c r="L27" i="10" a="1"/>
  <c r="L26" i="10" a="1"/>
  <c r="P5" i="10"/>
  <c r="E2" i="10"/>
  <c r="F2" i="10" s="1"/>
  <c r="G2" i="10" s="1"/>
  <c r="A3" i="10" s="1"/>
  <c r="B3" i="10" s="1"/>
  <c r="C3" i="10" s="1"/>
  <c r="D3" i="10" s="1"/>
  <c r="E3" i="10" s="1"/>
  <c r="F3" i="10" s="1"/>
  <c r="G3" i="10" s="1"/>
  <c r="A4" i="10" s="1"/>
  <c r="B4" i="10" s="1"/>
  <c r="C4" i="10" s="1"/>
  <c r="D4" i="10" s="1"/>
  <c r="L15" i="10" a="1"/>
  <c r="L16" i="10" a="1"/>
  <c r="P11" i="9"/>
  <c r="P10" i="9"/>
  <c r="P9" i="9"/>
  <c r="P8" i="9"/>
  <c r="P7" i="9"/>
  <c r="P4" i="9"/>
  <c r="P3" i="9"/>
  <c r="P5" i="9" s="1"/>
  <c r="P2" i="9"/>
  <c r="A2" i="9"/>
  <c r="B2" i="9" s="1"/>
  <c r="C2" i="9" s="1"/>
  <c r="D2" i="9" s="1"/>
  <c r="E2" i="9" s="1"/>
  <c r="F2" i="9" s="1"/>
  <c r="G2" i="9" s="1"/>
  <c r="A3" i="9" s="1"/>
  <c r="L17" i="10" a="1"/>
  <c r="B3" i="9"/>
  <c r="C3" i="9" s="1"/>
  <c r="D3" i="9" s="1"/>
  <c r="E3" i="9" s="1"/>
  <c r="F3" i="9" s="1"/>
  <c r="G3" i="9" s="1"/>
  <c r="A4" i="9" s="1"/>
  <c r="B4" i="9" s="1"/>
  <c r="C4" i="9" s="1"/>
  <c r="D4" i="9" s="1"/>
  <c r="A2" i="8"/>
  <c r="P11" i="8"/>
  <c r="P10" i="8"/>
  <c r="P9" i="8"/>
  <c r="P8" i="8"/>
  <c r="P7" i="8"/>
  <c r="P4" i="8"/>
  <c r="P3" i="8"/>
  <c r="P6" i="8" s="1"/>
  <c r="P2" i="8"/>
  <c r="L18" i="10" a="1"/>
  <c r="B2" i="8"/>
  <c r="C2" i="8" s="1"/>
  <c r="D2" i="8" s="1"/>
  <c r="E2" i="8" s="1"/>
  <c r="F2" i="8" s="1"/>
  <c r="G2" i="8" s="1"/>
  <c r="A3" i="8" s="1"/>
  <c r="B3" i="8" s="1"/>
  <c r="C3" i="8" s="1"/>
  <c r="D3" i="8" s="1"/>
  <c r="E3" i="8" s="1"/>
  <c r="F3" i="8" s="1"/>
  <c r="G3" i="8" s="1"/>
  <c r="A4" i="8" s="1"/>
  <c r="B4" i="8" s="1"/>
  <c r="C4" i="8" s="1"/>
  <c r="D4" i="8" s="1"/>
  <c r="E4" i="8" s="1"/>
  <c r="F4" i="8" s="1"/>
  <c r="G4" i="8" s="1"/>
  <c r="A5" i="8" s="1"/>
  <c r="L19" i="10" a="1"/>
  <c r="P11" i="7"/>
  <c r="P10" i="7"/>
  <c r="P9" i="7"/>
  <c r="P8" i="7"/>
  <c r="P7" i="7"/>
  <c r="P4" i="7"/>
  <c r="P3" i="7"/>
  <c r="P5" i="7" s="1"/>
  <c r="P2" i="7"/>
  <c r="A2" i="7"/>
  <c r="P11" i="6"/>
  <c r="P10" i="6"/>
  <c r="P9" i="6"/>
  <c r="P8" i="6"/>
  <c r="P7" i="6"/>
  <c r="P4" i="6"/>
  <c r="P3" i="6"/>
  <c r="P6" i="6" s="1"/>
  <c r="P2" i="6"/>
  <c r="A2" i="6"/>
  <c r="B2" i="6" s="1"/>
  <c r="C2" i="6" s="1"/>
  <c r="D2" i="6" s="1"/>
  <c r="E2" i="6" s="1"/>
  <c r="F2" i="6" s="1"/>
  <c r="G2" i="6" s="1"/>
  <c r="A3" i="6" s="1"/>
  <c r="A2" i="5"/>
  <c r="L20" i="10" a="1"/>
  <c r="B2" i="7"/>
  <c r="C2" i="7" s="1"/>
  <c r="D2" i="7" s="1"/>
  <c r="E2" i="7" s="1"/>
  <c r="F2" i="7" s="1"/>
  <c r="G2" i="7" s="1"/>
  <c r="A3" i="7" s="1"/>
  <c r="B3" i="7" s="1"/>
  <c r="C3" i="7" s="1"/>
  <c r="D3" i="7" s="1"/>
  <c r="E3" i="7" s="1"/>
  <c r="F3" i="7" s="1"/>
  <c r="G3" i="7" s="1"/>
  <c r="A4" i="7" s="1"/>
  <c r="P2" i="5"/>
  <c r="P3" i="5"/>
  <c r="P5" i="5" s="1"/>
  <c r="P11" i="5"/>
  <c r="P10" i="5"/>
  <c r="P4" i="5"/>
  <c r="P9" i="5"/>
  <c r="P8" i="5"/>
  <c r="P7" i="5"/>
  <c r="L21" i="10" a="1"/>
  <c r="L22" i="10" a="1"/>
  <c r="L24" i="10" a="1"/>
  <c r="L25" i="10" a="1"/>
  <c r="L23" i="10" a="1"/>
  <c r="L4" i="10" a="1"/>
  <c r="L7" i="10" a="1"/>
  <c r="L2" i="10" a="1"/>
  <c r="L6" i="10" a="1"/>
  <c r="L14" i="10" a="1"/>
  <c r="L3" i="10" a="1"/>
  <c r="L5" i="10" a="1"/>
  <c r="L11" i="10" a="1"/>
  <c r="L13" i="10" a="1"/>
  <c r="L12" i="10" a="1"/>
  <c r="E4" i="10" l="1"/>
  <c r="F4" i="10" s="1"/>
  <c r="G4" i="10" s="1"/>
  <c r="A5" i="10" s="1"/>
  <c r="B5" i="10" s="1"/>
  <c r="C5" i="10" s="1"/>
  <c r="D5" i="10" s="1"/>
  <c r="E4" i="9"/>
  <c r="F4" i="9" s="1"/>
  <c r="G4" i="9" s="1"/>
  <c r="A5" i="9" s="1"/>
  <c r="B5" i="9" s="1"/>
  <c r="C5" i="9" s="1"/>
  <c r="D5" i="9" s="1"/>
  <c r="P6" i="9"/>
  <c r="B5" i="8"/>
  <c r="C5" i="8" s="1"/>
  <c r="D5" i="8" s="1"/>
  <c r="E5" i="8" s="1"/>
  <c r="F5" i="8" s="1"/>
  <c r="G5" i="8" s="1"/>
  <c r="A6" i="8" s="1"/>
  <c r="P5" i="8"/>
  <c r="B4" i="7"/>
  <c r="C4" i="7" s="1"/>
  <c r="D4" i="7" s="1"/>
  <c r="E4" i="7" s="1"/>
  <c r="F4" i="7" s="1"/>
  <c r="G4" i="7" s="1"/>
  <c r="A5" i="7" s="1"/>
  <c r="B5" i="7" s="1"/>
  <c r="C5" i="7" s="1"/>
  <c r="D5" i="7" s="1"/>
  <c r="E5" i="7" s="1"/>
  <c r="F5" i="7" s="1"/>
  <c r="G5" i="7" s="1"/>
  <c r="A6" i="7" s="1"/>
  <c r="P6" i="7"/>
  <c r="P5" i="6"/>
  <c r="B3" i="6"/>
  <c r="C3" i="6" s="1"/>
  <c r="D3" i="6" s="1"/>
  <c r="E3" i="6" s="1"/>
  <c r="F3" i="6" s="1"/>
  <c r="G3" i="6" s="1"/>
  <c r="A4" i="6" s="1"/>
  <c r="P6" i="5"/>
  <c r="L24" i="9" a="1"/>
  <c r="L6" i="9" a="1"/>
  <c r="L14" i="9" a="1"/>
  <c r="L2" i="9" a="1"/>
  <c r="L13" i="9" a="1"/>
  <c r="L3" i="9" a="1"/>
  <c r="L10" i="9" a="1"/>
  <c r="L4" i="9" a="1"/>
  <c r="L20" i="9" a="1"/>
  <c r="L21" i="9" a="1"/>
  <c r="L11" i="9" a="1"/>
  <c r="L22" i="9" a="1"/>
  <c r="L23" i="9" a="1"/>
  <c r="L9" i="9" a="1"/>
  <c r="L15" i="9" a="1"/>
  <c r="L8" i="9" a="1"/>
  <c r="L17" i="9" a="1"/>
  <c r="L27" i="9" a="1"/>
  <c r="L25" i="9" a="1"/>
  <c r="L12" i="9" a="1"/>
  <c r="L18" i="9" a="1"/>
  <c r="L26" i="9" a="1"/>
  <c r="L16" i="9" a="1"/>
  <c r="L5" i="9" a="1"/>
  <c r="L19" i="9" a="1"/>
  <c r="L11" i="8" a="1"/>
  <c r="L13" i="8" a="1"/>
  <c r="L22" i="8" a="1"/>
  <c r="L12" i="8" a="1"/>
  <c r="L3" i="8" a="1"/>
  <c r="L23" i="8" a="1"/>
  <c r="L27" i="8" a="1"/>
  <c r="L24" i="8" a="1"/>
  <c r="L19" i="8" a="1"/>
  <c r="L15" i="8" a="1"/>
  <c r="L25" i="8" a="1"/>
  <c r="L26" i="8" a="1"/>
  <c r="L2" i="8" a="1"/>
  <c r="L7" i="8" a="1"/>
  <c r="L4" i="8" a="1"/>
  <c r="L18" i="8" a="1"/>
  <c r="L16" i="8" a="1"/>
  <c r="L10" i="8" a="1"/>
  <c r="L20" i="8" a="1"/>
  <c r="L21" i="8" a="1"/>
  <c r="L17" i="8" a="1"/>
  <c r="L28" i="8" a="1"/>
  <c r="L14" i="8" a="1"/>
  <c r="L5" i="8" a="1"/>
  <c r="L9" i="8" a="1"/>
  <c r="L24" i="7" a="1"/>
  <c r="L27" i="7" a="1"/>
  <c r="L12" i="7" a="1"/>
  <c r="L13" i="7" a="1"/>
  <c r="L14" i="7" a="1"/>
  <c r="L11" i="7" a="1"/>
  <c r="L22" i="7" a="1"/>
  <c r="L18" i="7" a="1"/>
  <c r="L9" i="7" a="1"/>
  <c r="L5" i="7" a="1"/>
  <c r="L3" i="7" a="1"/>
  <c r="L19" i="7" a="1"/>
  <c r="L28" i="7" a="1"/>
  <c r="L4" i="7" a="1"/>
  <c r="L25" i="7" a="1"/>
  <c r="L23" i="7" a="1"/>
  <c r="L16" i="7" a="1"/>
  <c r="L8" i="7" a="1"/>
  <c r="L26" i="7" a="1"/>
  <c r="L2" i="7" a="1"/>
  <c r="L6" i="7" a="1"/>
  <c r="L21" i="7" a="1"/>
  <c r="L17" i="7" a="1"/>
  <c r="L10" i="7" a="1"/>
  <c r="L20" i="7" a="1"/>
  <c r="L7" i="7" a="1"/>
  <c r="L15" i="7" a="1"/>
  <c r="L27" i="6" a="1"/>
  <c r="L20" i="6" a="1"/>
  <c r="L21" i="6" a="1"/>
  <c r="L8" i="6" a="1"/>
  <c r="L15" i="6" a="1"/>
  <c r="L12" i="6" a="1"/>
  <c r="L26" i="6" a="1"/>
  <c r="L28" i="6" a="1"/>
  <c r="L22" i="6" a="1"/>
  <c r="L25" i="6" a="1"/>
  <c r="L14" i="6" a="1"/>
  <c r="L7" i="6" a="1"/>
  <c r="L3" i="6" a="1"/>
  <c r="L16" i="6" a="1"/>
  <c r="L13" i="6" a="1"/>
  <c r="L11" i="6" a="1"/>
  <c r="L10" i="6" a="1"/>
  <c r="L30" i="6" a="1"/>
  <c r="L24" i="6" a="1"/>
  <c r="L5" i="6" a="1"/>
  <c r="L2" i="6" a="1"/>
  <c r="L23" i="6" a="1"/>
  <c r="L29" i="6" a="1"/>
  <c r="L4" i="6" a="1"/>
  <c r="L17" i="6" a="1"/>
  <c r="L18" i="6" a="1"/>
  <c r="L9" i="6" a="1"/>
  <c r="L19" i="6" a="1"/>
  <c r="L31" i="6" a="1"/>
  <c r="L6" i="6" a="1"/>
  <c r="E5" i="10" l="1"/>
  <c r="F5" i="10" s="1"/>
  <c r="G5" i="10" s="1"/>
  <c r="A6" i="10" s="1"/>
  <c r="B6" i="10" s="1"/>
  <c r="C6" i="10" s="1"/>
  <c r="D6" i="10" s="1"/>
  <c r="E5" i="9"/>
  <c r="F5" i="9" s="1"/>
  <c r="G5" i="9" s="1"/>
  <c r="A6" i="9" s="1"/>
  <c r="B6" i="9" s="1"/>
  <c r="C6" i="9" s="1"/>
  <c r="D6" i="9" s="1"/>
  <c r="B6" i="8"/>
  <c r="C6" i="8" s="1"/>
  <c r="D6" i="8" s="1"/>
  <c r="E6" i="8" s="1"/>
  <c r="F6" i="8" s="1"/>
  <c r="G6" i="8" s="1"/>
  <c r="A7" i="8" s="1"/>
  <c r="B4" i="6"/>
  <c r="C4" i="6" s="1"/>
  <c r="D4" i="6" s="1"/>
  <c r="E4" i="6" s="1"/>
  <c r="F4" i="6" s="1"/>
  <c r="G4" i="6" s="1"/>
  <c r="A5" i="6" s="1"/>
  <c r="B6" i="7"/>
  <c r="C6" i="7" s="1"/>
  <c r="D6" i="7" s="1"/>
  <c r="E6" i="7" s="1"/>
  <c r="F6" i="7" s="1"/>
  <c r="G6" i="7" s="1"/>
  <c r="A7" i="7" s="1"/>
  <c r="E6" i="10" l="1"/>
  <c r="F6" i="10" s="1"/>
  <c r="G6" i="10" s="1"/>
  <c r="A7" i="10" s="1"/>
  <c r="B7" i="10" s="1"/>
  <c r="C7" i="10" s="1"/>
  <c r="D7" i="10" s="1"/>
  <c r="E6" i="9"/>
  <c r="F6" i="9" s="1"/>
  <c r="G6" i="9" s="1"/>
  <c r="A7" i="9" s="1"/>
  <c r="B7" i="9" s="1"/>
  <c r="C7" i="9" s="1"/>
  <c r="D7" i="9" s="1"/>
  <c r="B7" i="8"/>
  <c r="C7" i="8" s="1"/>
  <c r="D7" i="8" s="1"/>
  <c r="E7" i="8" s="1"/>
  <c r="F7" i="8" s="1"/>
  <c r="G7" i="8" s="1"/>
  <c r="A8" i="8" s="1"/>
  <c r="B5" i="6"/>
  <c r="C5" i="6" s="1"/>
  <c r="D5" i="6" s="1"/>
  <c r="E5" i="6" s="1"/>
  <c r="F5" i="6" s="1"/>
  <c r="G5" i="6" s="1"/>
  <c r="A6" i="6" s="1"/>
  <c r="B7" i="7"/>
  <c r="C7" i="7" s="1"/>
  <c r="D7" i="7" s="1"/>
  <c r="E7" i="7" s="1"/>
  <c r="F7" i="7" s="1"/>
  <c r="G7" i="7" s="1"/>
  <c r="A8" i="7" s="1"/>
  <c r="E7" i="10" l="1"/>
  <c r="F7" i="10" s="1"/>
  <c r="G7" i="10" s="1"/>
  <c r="A8" i="10" s="1"/>
  <c r="B8" i="10" s="1"/>
  <c r="C8" i="10" s="1"/>
  <c r="D8" i="10" s="1"/>
  <c r="E7" i="9"/>
  <c r="F7" i="9" s="1"/>
  <c r="G7" i="9" s="1"/>
  <c r="A8" i="9" s="1"/>
  <c r="B8" i="9" s="1"/>
  <c r="C8" i="9" s="1"/>
  <c r="D8" i="9" s="1"/>
  <c r="B8" i="8"/>
  <c r="C8" i="8" s="1"/>
  <c r="D8" i="8" s="1"/>
  <c r="E8" i="8" s="1"/>
  <c r="F8" i="8" s="1"/>
  <c r="G8" i="8" s="1"/>
  <c r="A9" i="8" s="1"/>
  <c r="B6" i="6"/>
  <c r="C6" i="6" s="1"/>
  <c r="D6" i="6" s="1"/>
  <c r="E6" i="6" s="1"/>
  <c r="F6" i="6" s="1"/>
  <c r="G6" i="6" s="1"/>
  <c r="A7" i="6" s="1"/>
  <c r="B8" i="7"/>
  <c r="C8" i="7" s="1"/>
  <c r="D8" i="7" s="1"/>
  <c r="E8" i="7" s="1"/>
  <c r="F8" i="7" s="1"/>
  <c r="G8" i="7" s="1"/>
  <c r="A9" i="7" s="1"/>
  <c r="E8" i="10" l="1"/>
  <c r="F8" i="10" s="1"/>
  <c r="G8" i="10" s="1"/>
  <c r="A9" i="10" s="1"/>
  <c r="B9" i="10" s="1"/>
  <c r="C9" i="10" s="1"/>
  <c r="D9" i="10" s="1"/>
  <c r="E8" i="9"/>
  <c r="F8" i="9" s="1"/>
  <c r="G8" i="9" s="1"/>
  <c r="A9" i="9" s="1"/>
  <c r="B9" i="9" s="1"/>
  <c r="C9" i="9" s="1"/>
  <c r="D9" i="9" s="1"/>
  <c r="B9" i="8"/>
  <c r="C9" i="8" s="1"/>
  <c r="D9" i="8" s="1"/>
  <c r="E9" i="8" s="1"/>
  <c r="F9" i="8" s="1"/>
  <c r="G9" i="8" s="1"/>
  <c r="A10" i="8" s="1"/>
  <c r="B7" i="6"/>
  <c r="C7" i="6" s="1"/>
  <c r="D7" i="6" s="1"/>
  <c r="E7" i="6" s="1"/>
  <c r="F7" i="6" s="1"/>
  <c r="G7" i="6" s="1"/>
  <c r="A8" i="6" s="1"/>
  <c r="B9" i="7"/>
  <c r="C9" i="7" s="1"/>
  <c r="D9" i="7" s="1"/>
  <c r="E9" i="7" s="1"/>
  <c r="F9" i="7" s="1"/>
  <c r="G9" i="7" s="1"/>
  <c r="A10" i="7" s="1"/>
  <c r="E9" i="10" l="1"/>
  <c r="F9" i="10" s="1"/>
  <c r="G9" i="10" s="1"/>
  <c r="A10" i="10" s="1"/>
  <c r="B10" i="10" s="1"/>
  <c r="C10" i="10" s="1"/>
  <c r="D10" i="10" s="1"/>
  <c r="E9" i="9"/>
  <c r="F9" i="9" s="1"/>
  <c r="G9" i="9" s="1"/>
  <c r="A10" i="9" s="1"/>
  <c r="B10" i="9" s="1"/>
  <c r="C10" i="9" s="1"/>
  <c r="D10" i="9" s="1"/>
  <c r="B10" i="8"/>
  <c r="C10" i="8" s="1"/>
  <c r="D10" i="8" s="1"/>
  <c r="E10" i="8" s="1"/>
  <c r="F10" i="8" s="1"/>
  <c r="G10" i="8" s="1"/>
  <c r="A11" i="8" s="1"/>
  <c r="B8" i="6"/>
  <c r="C8" i="6" s="1"/>
  <c r="D8" i="6" s="1"/>
  <c r="E8" i="6" s="1"/>
  <c r="F8" i="6" s="1"/>
  <c r="G8" i="6" s="1"/>
  <c r="A9" i="6" s="1"/>
  <c r="B10" i="7"/>
  <c r="C10" i="7" s="1"/>
  <c r="D10" i="7" s="1"/>
  <c r="E10" i="7" s="1"/>
  <c r="F10" i="7" s="1"/>
  <c r="G10" i="7" s="1"/>
  <c r="A11" i="7" s="1"/>
  <c r="L11" i="5"/>
  <c r="E10" i="10" l="1"/>
  <c r="F10" i="10" s="1"/>
  <c r="G10" i="10" s="1"/>
  <c r="A11" i="10" s="1"/>
  <c r="B11" i="10" s="1"/>
  <c r="C11" i="10" s="1"/>
  <c r="D11" i="10" s="1"/>
  <c r="E10" i="9"/>
  <c r="F10" i="9" s="1"/>
  <c r="G10" i="9" s="1"/>
  <c r="A11" i="9" s="1"/>
  <c r="B11" i="9" s="1"/>
  <c r="C11" i="9" s="1"/>
  <c r="D11" i="9" s="1"/>
  <c r="B11" i="8"/>
  <c r="C11" i="8" s="1"/>
  <c r="D11" i="8" s="1"/>
  <c r="E11" i="8" s="1"/>
  <c r="F11" i="8" s="1"/>
  <c r="G11" i="8" s="1"/>
  <c r="A12" i="8" s="1"/>
  <c r="B9" i="6"/>
  <c r="C9" i="6" s="1"/>
  <c r="D9" i="6" s="1"/>
  <c r="E9" i="6" s="1"/>
  <c r="F9" i="6" s="1"/>
  <c r="G9" i="6" s="1"/>
  <c r="A10" i="6" s="1"/>
  <c r="B11" i="7"/>
  <c r="C11" i="7" s="1"/>
  <c r="D11" i="7" s="1"/>
  <c r="E11" i="7" s="1"/>
  <c r="F11" i="7" s="1"/>
  <c r="G11" i="7" s="1"/>
  <c r="A12" i="7" s="1"/>
  <c r="L7" i="5"/>
  <c r="L8" i="5"/>
  <c r="L6" i="5"/>
  <c r="L9" i="5"/>
  <c r="L10" i="5"/>
  <c r="E11" i="10" l="1"/>
  <c r="F11" i="10" s="1"/>
  <c r="G11" i="10" s="1"/>
  <c r="A12" i="10" s="1"/>
  <c r="B12" i="10" s="1"/>
  <c r="C12" i="10" s="1"/>
  <c r="D12" i="10" s="1"/>
  <c r="E11" i="9"/>
  <c r="F11" i="9" s="1"/>
  <c r="G11" i="9" s="1"/>
  <c r="A12" i="9" s="1"/>
  <c r="B12" i="9" s="1"/>
  <c r="C12" i="9" s="1"/>
  <c r="D12" i="9" s="1"/>
  <c r="B12" i="8"/>
  <c r="C12" i="8" s="1"/>
  <c r="D12" i="8" s="1"/>
  <c r="E12" i="8" s="1"/>
  <c r="F12" i="8" s="1"/>
  <c r="G12" i="8" s="1"/>
  <c r="A13" i="8" s="1"/>
  <c r="B10" i="6"/>
  <c r="C10" i="6" s="1"/>
  <c r="D10" i="6" s="1"/>
  <c r="E10" i="6" s="1"/>
  <c r="F10" i="6" s="1"/>
  <c r="G10" i="6" s="1"/>
  <c r="A11" i="6" s="1"/>
  <c r="B12" i="7"/>
  <c r="C12" i="7" s="1"/>
  <c r="D12" i="7" s="1"/>
  <c r="E12" i="7" s="1"/>
  <c r="F12" i="7" s="1"/>
  <c r="G12" i="7" s="1"/>
  <c r="A13" i="7" s="1"/>
  <c r="L2" i="5"/>
  <c r="L4" i="5"/>
  <c r="E12" i="10" l="1"/>
  <c r="F12" i="10" s="1"/>
  <c r="G12" i="10" s="1"/>
  <c r="A13" i="10" s="1"/>
  <c r="B13" i="10" s="1"/>
  <c r="C13" i="10" s="1"/>
  <c r="D13" i="10" s="1"/>
  <c r="E12" i="9"/>
  <c r="F12" i="9" s="1"/>
  <c r="G12" i="9" s="1"/>
  <c r="A13" i="9" s="1"/>
  <c r="B13" i="9" s="1"/>
  <c r="C13" i="9" s="1"/>
  <c r="D13" i="9" s="1"/>
  <c r="B13" i="8"/>
  <c r="C13" i="8" s="1"/>
  <c r="D13" i="8" s="1"/>
  <c r="E13" i="8" s="1"/>
  <c r="F13" i="8" s="1"/>
  <c r="G13" i="8" s="1"/>
  <c r="A14" i="8" s="1"/>
  <c r="B11" i="6"/>
  <c r="C11" i="6" s="1"/>
  <c r="D11" i="6" s="1"/>
  <c r="E11" i="6" s="1"/>
  <c r="F11" i="6" s="1"/>
  <c r="G11" i="6" s="1"/>
  <c r="A12" i="6" s="1"/>
  <c r="B13" i="7"/>
  <c r="C13" i="7" s="1"/>
  <c r="D13" i="7" s="1"/>
  <c r="E13" i="7" s="1"/>
  <c r="F13" i="7" s="1"/>
  <c r="G13" i="7" s="1"/>
  <c r="A14" i="7" s="1"/>
  <c r="E13" i="10" l="1"/>
  <c r="F13" i="10" s="1"/>
  <c r="G13" i="10" s="1"/>
  <c r="A14" i="10" s="1"/>
  <c r="B14" i="10" s="1"/>
  <c r="C14" i="10" s="1"/>
  <c r="D14" i="10" s="1"/>
  <c r="E13" i="9"/>
  <c r="F13" i="9" s="1"/>
  <c r="G13" i="9" s="1"/>
  <c r="A14" i="9" s="1"/>
  <c r="B14" i="9" s="1"/>
  <c r="C14" i="9" s="1"/>
  <c r="D14" i="9" s="1"/>
  <c r="B14" i="8"/>
  <c r="C14" i="8" s="1"/>
  <c r="D14" i="8" s="1"/>
  <c r="E14" i="8" s="1"/>
  <c r="F14" i="8" s="1"/>
  <c r="G14" i="8" s="1"/>
  <c r="A15" i="8" s="1"/>
  <c r="B12" i="6"/>
  <c r="C12" i="6" s="1"/>
  <c r="D12" i="6" s="1"/>
  <c r="E12" i="6" s="1"/>
  <c r="F12" i="6" s="1"/>
  <c r="G12" i="6" s="1"/>
  <c r="A13" i="6" s="1"/>
  <c r="B14" i="7"/>
  <c r="C14" i="7" s="1"/>
  <c r="D14" i="7" s="1"/>
  <c r="E14" i="7" s="1"/>
  <c r="F14" i="7" s="1"/>
  <c r="G14" i="7" s="1"/>
  <c r="A15" i="7" s="1"/>
  <c r="E14" i="10" l="1"/>
  <c r="F14" i="10" s="1"/>
  <c r="G14" i="10" s="1"/>
  <c r="A15" i="10" s="1"/>
  <c r="B15" i="10" s="1"/>
  <c r="C15" i="10" s="1"/>
  <c r="D15" i="10" s="1"/>
  <c r="E14" i="9"/>
  <c r="F14" i="9" s="1"/>
  <c r="G14" i="9" s="1"/>
  <c r="A15" i="9" s="1"/>
  <c r="B15" i="9" s="1"/>
  <c r="C15" i="9" s="1"/>
  <c r="D15" i="9" s="1"/>
  <c r="B15" i="8"/>
  <c r="C15" i="8" s="1"/>
  <c r="D15" i="8" s="1"/>
  <c r="E15" i="8" s="1"/>
  <c r="F15" i="8" s="1"/>
  <c r="G15" i="8" s="1"/>
  <c r="A16" i="8" s="1"/>
  <c r="B13" i="6"/>
  <c r="C13" i="6" s="1"/>
  <c r="D13" i="6" s="1"/>
  <c r="E13" i="6" s="1"/>
  <c r="F13" i="6" s="1"/>
  <c r="G13" i="6" s="1"/>
  <c r="A14" i="6" s="1"/>
  <c r="B15" i="7"/>
  <c r="C15" i="7" s="1"/>
  <c r="D15" i="7" s="1"/>
  <c r="E15" i="7" s="1"/>
  <c r="F15" i="7" s="1"/>
  <c r="G15" i="7" s="1"/>
  <c r="A16" i="7" s="1"/>
  <c r="E15" i="10" l="1"/>
  <c r="F15" i="10" s="1"/>
  <c r="G15" i="10" s="1"/>
  <c r="A16" i="10" s="1"/>
  <c r="B16" i="10" s="1"/>
  <c r="C16" i="10" s="1"/>
  <c r="D16" i="10" s="1"/>
  <c r="E15" i="9"/>
  <c r="F15" i="9" s="1"/>
  <c r="G15" i="9" s="1"/>
  <c r="A16" i="9" s="1"/>
  <c r="B16" i="9" s="1"/>
  <c r="C16" i="9" s="1"/>
  <c r="D16" i="9" s="1"/>
  <c r="B16" i="8"/>
  <c r="C16" i="8" s="1"/>
  <c r="D16" i="8" s="1"/>
  <c r="E16" i="8" s="1"/>
  <c r="F16" i="8" s="1"/>
  <c r="G16" i="8" s="1"/>
  <c r="A17" i="8" s="1"/>
  <c r="B14" i="6"/>
  <c r="C14" i="6" s="1"/>
  <c r="D14" i="6" s="1"/>
  <c r="E14" i="6" s="1"/>
  <c r="F14" i="6" s="1"/>
  <c r="G14" i="6" s="1"/>
  <c r="A15" i="6" s="1"/>
  <c r="B16" i="7"/>
  <c r="C16" i="7" s="1"/>
  <c r="D16" i="7" s="1"/>
  <c r="E16" i="7" s="1"/>
  <c r="F16" i="7" s="1"/>
  <c r="G16" i="7" s="1"/>
  <c r="A17" i="7" s="1"/>
  <c r="B2" i="5"/>
  <c r="C2" i="5" s="1"/>
  <c r="D2" i="5" s="1"/>
  <c r="E2" i="5" s="1"/>
  <c r="F2" i="5" s="1"/>
  <c r="G2" i="5" s="1"/>
  <c r="A3" i="5" s="1"/>
  <c r="E16" i="10" l="1"/>
  <c r="F16" i="10" s="1"/>
  <c r="G16" i="10" s="1"/>
  <c r="A17" i="10" s="1"/>
  <c r="B17" i="10" s="1"/>
  <c r="C17" i="10" s="1"/>
  <c r="D17" i="10" s="1"/>
  <c r="E16" i="9"/>
  <c r="F16" i="9" s="1"/>
  <c r="G16" i="9" s="1"/>
  <c r="A17" i="9" s="1"/>
  <c r="B17" i="9" s="1"/>
  <c r="C17" i="9" s="1"/>
  <c r="D17" i="9" s="1"/>
  <c r="B17" i="8"/>
  <c r="C17" i="8" s="1"/>
  <c r="D17" i="8" s="1"/>
  <c r="E17" i="8" s="1"/>
  <c r="F17" i="8" s="1"/>
  <c r="G17" i="8" s="1"/>
  <c r="A18" i="8" s="1"/>
  <c r="B15" i="6"/>
  <c r="C15" i="6" s="1"/>
  <c r="D15" i="6" s="1"/>
  <c r="E15" i="6" s="1"/>
  <c r="F15" i="6" s="1"/>
  <c r="G15" i="6" s="1"/>
  <c r="A16" i="6" s="1"/>
  <c r="B17" i="7"/>
  <c r="C17" i="7" s="1"/>
  <c r="D17" i="7" s="1"/>
  <c r="E17" i="7" s="1"/>
  <c r="F17" i="7" s="1"/>
  <c r="G17" i="7" s="1"/>
  <c r="A18" i="7" s="1"/>
  <c r="B3" i="5"/>
  <c r="C3" i="5" s="1"/>
  <c r="D3" i="5" s="1"/>
  <c r="E3" i="5" s="1"/>
  <c r="F3" i="5" s="1"/>
  <c r="G3" i="5" s="1"/>
  <c r="A4" i="5" s="1"/>
  <c r="N2" i="5"/>
  <c r="N8" i="5" s="1"/>
  <c r="E17" i="10" l="1"/>
  <c r="F17" i="10" s="1"/>
  <c r="G17" i="10" s="1"/>
  <c r="A18" i="10" s="1"/>
  <c r="B18" i="10" s="1"/>
  <c r="C18" i="10" s="1"/>
  <c r="D18" i="10" s="1"/>
  <c r="E17" i="9"/>
  <c r="F17" i="9" s="1"/>
  <c r="G17" i="9" s="1"/>
  <c r="A18" i="9" s="1"/>
  <c r="B18" i="9" s="1"/>
  <c r="C18" i="9" s="1"/>
  <c r="D18" i="9" s="1"/>
  <c r="B18" i="8"/>
  <c r="C18" i="8" s="1"/>
  <c r="D18" i="8" s="1"/>
  <c r="E18" i="8" s="1"/>
  <c r="F18" i="8" s="1"/>
  <c r="G18" i="8" s="1"/>
  <c r="A19" i="8" s="1"/>
  <c r="B16" i="6"/>
  <c r="C16" i="6" s="1"/>
  <c r="D16" i="6" s="1"/>
  <c r="E16" i="6" s="1"/>
  <c r="F16" i="6" s="1"/>
  <c r="G16" i="6" s="1"/>
  <c r="A17" i="6" s="1"/>
  <c r="B18" i="7"/>
  <c r="C18" i="7" s="1"/>
  <c r="D18" i="7" s="1"/>
  <c r="E18" i="7" s="1"/>
  <c r="F18" i="7" s="1"/>
  <c r="G18" i="7" s="1"/>
  <c r="A19" i="7" s="1"/>
  <c r="B4" i="5"/>
  <c r="C4" i="5" s="1"/>
  <c r="D4" i="5" s="1"/>
  <c r="E4" i="5" s="1"/>
  <c r="F4" i="5" s="1"/>
  <c r="G4" i="5" s="1"/>
  <c r="A5" i="5" s="1"/>
  <c r="E18" i="10" l="1"/>
  <c r="F18" i="10" s="1"/>
  <c r="G18" i="10" s="1"/>
  <c r="A19" i="10" s="1"/>
  <c r="B19" i="10" s="1"/>
  <c r="C19" i="10" s="1"/>
  <c r="D19" i="10" s="1"/>
  <c r="E18" i="9"/>
  <c r="F18" i="9" s="1"/>
  <c r="G18" i="9" s="1"/>
  <c r="A19" i="9" s="1"/>
  <c r="B19" i="9" s="1"/>
  <c r="C19" i="9" s="1"/>
  <c r="D19" i="9" s="1"/>
  <c r="B19" i="8"/>
  <c r="C19" i="8" s="1"/>
  <c r="D19" i="8" s="1"/>
  <c r="E19" i="8" s="1"/>
  <c r="F19" i="8" s="1"/>
  <c r="G19" i="8" s="1"/>
  <c r="A20" i="8" s="1"/>
  <c r="B17" i="6"/>
  <c r="C17" i="6" s="1"/>
  <c r="D17" i="6" s="1"/>
  <c r="E17" i="6" s="1"/>
  <c r="F17" i="6" s="1"/>
  <c r="G17" i="6" s="1"/>
  <c r="A18" i="6" s="1"/>
  <c r="B19" i="7"/>
  <c r="C19" i="7" s="1"/>
  <c r="D19" i="7" s="1"/>
  <c r="E19" i="7" s="1"/>
  <c r="F19" i="7" s="1"/>
  <c r="G19" i="7" s="1"/>
  <c r="A20" i="7" s="1"/>
  <c r="B5" i="5"/>
  <c r="C5" i="5" s="1"/>
  <c r="D5" i="5" s="1"/>
  <c r="E5" i="5" s="1"/>
  <c r="F5" i="5" s="1"/>
  <c r="G5" i="5" s="1"/>
  <c r="A6" i="5" s="1"/>
  <c r="E19" i="10" l="1"/>
  <c r="F19" i="10" s="1"/>
  <c r="G19" i="10" s="1"/>
  <c r="A20" i="10" s="1"/>
  <c r="B20" i="10" s="1"/>
  <c r="C20" i="10" s="1"/>
  <c r="D20" i="10" s="1"/>
  <c r="E19" i="9"/>
  <c r="F19" i="9" s="1"/>
  <c r="G19" i="9" s="1"/>
  <c r="A20" i="9" s="1"/>
  <c r="B20" i="9" s="1"/>
  <c r="C20" i="9" s="1"/>
  <c r="D20" i="9" s="1"/>
  <c r="B20" i="8"/>
  <c r="C20" i="8" s="1"/>
  <c r="D20" i="8" s="1"/>
  <c r="E20" i="8" s="1"/>
  <c r="F20" i="8" s="1"/>
  <c r="G20" i="8" s="1"/>
  <c r="A21" i="8" s="1"/>
  <c r="B18" i="6"/>
  <c r="C18" i="6" s="1"/>
  <c r="D18" i="6" s="1"/>
  <c r="E18" i="6" s="1"/>
  <c r="F18" i="6" s="1"/>
  <c r="G18" i="6" s="1"/>
  <c r="A19" i="6" s="1"/>
  <c r="B20" i="7"/>
  <c r="C20" i="7" s="1"/>
  <c r="D20" i="7" s="1"/>
  <c r="E20" i="7" s="1"/>
  <c r="F20" i="7" s="1"/>
  <c r="G20" i="7" s="1"/>
  <c r="A21" i="7" s="1"/>
  <c r="B6" i="5"/>
  <c r="C6" i="5" s="1"/>
  <c r="D6" i="5" s="1"/>
  <c r="E6" i="5" s="1"/>
  <c r="F6" i="5" s="1"/>
  <c r="G6" i="5" s="1"/>
  <c r="A7" i="5" s="1"/>
  <c r="E20" i="10" l="1"/>
  <c r="F20" i="10" s="1"/>
  <c r="G20" i="10" s="1"/>
  <c r="A21" i="10" s="1"/>
  <c r="B21" i="10" s="1"/>
  <c r="C21" i="10" s="1"/>
  <c r="D21" i="10" s="1"/>
  <c r="E20" i="9"/>
  <c r="F20" i="9" s="1"/>
  <c r="G20" i="9" s="1"/>
  <c r="A21" i="9" s="1"/>
  <c r="B21" i="9" s="1"/>
  <c r="C21" i="9" s="1"/>
  <c r="D21" i="9" s="1"/>
  <c r="B21" i="8"/>
  <c r="C21" i="8" s="1"/>
  <c r="D21" i="8" s="1"/>
  <c r="E21" i="8" s="1"/>
  <c r="F21" i="8" s="1"/>
  <c r="G21" i="8" s="1"/>
  <c r="A22" i="8" s="1"/>
  <c r="B19" i="6"/>
  <c r="C19" i="6" s="1"/>
  <c r="D19" i="6" s="1"/>
  <c r="E19" i="6" s="1"/>
  <c r="F19" i="6" s="1"/>
  <c r="G19" i="6" s="1"/>
  <c r="A20" i="6" s="1"/>
  <c r="B21" i="7"/>
  <c r="C21" i="7" s="1"/>
  <c r="D21" i="7" s="1"/>
  <c r="E21" i="7" s="1"/>
  <c r="F21" i="7" s="1"/>
  <c r="G21" i="7" s="1"/>
  <c r="A22" i="7" s="1"/>
  <c r="B7" i="5"/>
  <c r="C7" i="5" s="1"/>
  <c r="D7" i="5" s="1"/>
  <c r="E7" i="5" s="1"/>
  <c r="F7" i="5" s="1"/>
  <c r="G7" i="5" s="1"/>
  <c r="A8" i="5" s="1"/>
  <c r="L5" i="4"/>
  <c r="E21" i="10" l="1"/>
  <c r="F21" i="10" s="1"/>
  <c r="G21" i="10" s="1"/>
  <c r="A22" i="10" s="1"/>
  <c r="B22" i="10" s="1"/>
  <c r="C22" i="10" s="1"/>
  <c r="D22" i="10" s="1"/>
  <c r="E21" i="9"/>
  <c r="F21" i="9" s="1"/>
  <c r="G21" i="9" s="1"/>
  <c r="A22" i="9" s="1"/>
  <c r="B22" i="9" s="1"/>
  <c r="C22" i="9" s="1"/>
  <c r="D22" i="9" s="1"/>
  <c r="B22" i="8"/>
  <c r="C22" i="8" s="1"/>
  <c r="D22" i="8" s="1"/>
  <c r="E22" i="8" s="1"/>
  <c r="F22" i="8" s="1"/>
  <c r="G22" i="8" s="1"/>
  <c r="A23" i="8" s="1"/>
  <c r="B20" i="6"/>
  <c r="C20" i="6" s="1"/>
  <c r="D20" i="6" s="1"/>
  <c r="E20" i="6" s="1"/>
  <c r="F20" i="6" s="1"/>
  <c r="G20" i="6" s="1"/>
  <c r="A21" i="6" s="1"/>
  <c r="B22" i="7"/>
  <c r="C22" i="7" s="1"/>
  <c r="D22" i="7" s="1"/>
  <c r="E22" i="7" s="1"/>
  <c r="F22" i="7" s="1"/>
  <c r="G22" i="7" s="1"/>
  <c r="A23" i="7" s="1"/>
  <c r="B8" i="5"/>
  <c r="C8" i="5" s="1"/>
  <c r="D8" i="5" s="1"/>
  <c r="E8" i="5" s="1"/>
  <c r="F8" i="5" s="1"/>
  <c r="G8" i="5" s="1"/>
  <c r="A9" i="5" s="1"/>
  <c r="E22" i="10" l="1"/>
  <c r="F22" i="10" s="1"/>
  <c r="G22" i="10" s="1"/>
  <c r="A23" i="10" s="1"/>
  <c r="B23" i="10" s="1"/>
  <c r="C23" i="10" s="1"/>
  <c r="D23" i="10" s="1"/>
  <c r="E22" i="9"/>
  <c r="F22" i="9" s="1"/>
  <c r="G22" i="9" s="1"/>
  <c r="A23" i="9" s="1"/>
  <c r="B23" i="9" s="1"/>
  <c r="C23" i="9" s="1"/>
  <c r="D23" i="9" s="1"/>
  <c r="B23" i="8"/>
  <c r="C23" i="8" s="1"/>
  <c r="D23" i="8" s="1"/>
  <c r="E23" i="8" s="1"/>
  <c r="F23" i="8" s="1"/>
  <c r="G23" i="8" s="1"/>
  <c r="A24" i="8" s="1"/>
  <c r="B21" i="6"/>
  <c r="C21" i="6" s="1"/>
  <c r="D21" i="6" s="1"/>
  <c r="E21" i="6" s="1"/>
  <c r="F21" i="6" s="1"/>
  <c r="G21" i="6" s="1"/>
  <c r="A22" i="6" s="1"/>
  <c r="B23" i="7"/>
  <c r="C23" i="7" s="1"/>
  <c r="D23" i="7" s="1"/>
  <c r="E23" i="7" s="1"/>
  <c r="F23" i="7" s="1"/>
  <c r="G23" i="7" s="1"/>
  <c r="A24" i="7" s="1"/>
  <c r="B9" i="5"/>
  <c r="C9" i="5" s="1"/>
  <c r="D9" i="5" s="1"/>
  <c r="E9" i="5" s="1"/>
  <c r="F9" i="5" s="1"/>
  <c r="G9" i="5" s="1"/>
  <c r="A10" i="5" s="1"/>
  <c r="E23" i="10" l="1"/>
  <c r="F23" i="10" s="1"/>
  <c r="G23" i="10" s="1"/>
  <c r="A24" i="10" s="1"/>
  <c r="B24" i="10" s="1"/>
  <c r="C24" i="10" s="1"/>
  <c r="D24" i="10" s="1"/>
  <c r="E23" i="9"/>
  <c r="F23" i="9" s="1"/>
  <c r="G23" i="9" s="1"/>
  <c r="A24" i="9" s="1"/>
  <c r="B24" i="9" s="1"/>
  <c r="C24" i="9" s="1"/>
  <c r="D24" i="9" s="1"/>
  <c r="B24" i="8"/>
  <c r="C24" i="8" s="1"/>
  <c r="D24" i="8" s="1"/>
  <c r="E24" i="8" s="1"/>
  <c r="F24" i="8" s="1"/>
  <c r="G24" i="8" s="1"/>
  <c r="A25" i="8" s="1"/>
  <c r="B22" i="6"/>
  <c r="C22" i="6" s="1"/>
  <c r="D22" i="6" s="1"/>
  <c r="E22" i="6" s="1"/>
  <c r="F22" i="6" s="1"/>
  <c r="G22" i="6" s="1"/>
  <c r="A23" i="6" s="1"/>
  <c r="B24" i="7"/>
  <c r="C24" i="7" s="1"/>
  <c r="D24" i="7" s="1"/>
  <c r="E24" i="7" s="1"/>
  <c r="F24" i="7" s="1"/>
  <c r="G24" i="7" s="1"/>
  <c r="A25" i="7" s="1"/>
  <c r="B10" i="5"/>
  <c r="C10" i="5" s="1"/>
  <c r="D10" i="5" s="1"/>
  <c r="E10" i="5" s="1"/>
  <c r="F10" i="5" s="1"/>
  <c r="G10" i="5" s="1"/>
  <c r="A11" i="5" s="1"/>
  <c r="E24" i="10" l="1"/>
  <c r="F24" i="10" s="1"/>
  <c r="G24" i="10" s="1"/>
  <c r="A25" i="10" s="1"/>
  <c r="B25" i="10" s="1"/>
  <c r="C25" i="10" s="1"/>
  <c r="D25" i="10" s="1"/>
  <c r="E24" i="9"/>
  <c r="F24" i="9" s="1"/>
  <c r="G24" i="9" s="1"/>
  <c r="A25" i="9" s="1"/>
  <c r="B25" i="9" s="1"/>
  <c r="C25" i="9" s="1"/>
  <c r="D25" i="9" s="1"/>
  <c r="B25" i="8"/>
  <c r="C25" i="8" s="1"/>
  <c r="D25" i="8" s="1"/>
  <c r="E25" i="8" s="1"/>
  <c r="F25" i="8" s="1"/>
  <c r="G25" i="8" s="1"/>
  <c r="A26" i="8" s="1"/>
  <c r="B23" i="6"/>
  <c r="C23" i="6" s="1"/>
  <c r="D23" i="6" s="1"/>
  <c r="E23" i="6" s="1"/>
  <c r="F23" i="6" s="1"/>
  <c r="G23" i="6" s="1"/>
  <c r="A24" i="6" s="1"/>
  <c r="B25" i="7"/>
  <c r="C25" i="7" s="1"/>
  <c r="D25" i="7" s="1"/>
  <c r="E25" i="7" s="1"/>
  <c r="F25" i="7" s="1"/>
  <c r="G25" i="7" s="1"/>
  <c r="A26" i="7" s="1"/>
  <c r="B11" i="5"/>
  <c r="C11" i="5" s="1"/>
  <c r="D11" i="5" s="1"/>
  <c r="E11" i="5" s="1"/>
  <c r="F11" i="5" s="1"/>
  <c r="G11" i="5" s="1"/>
  <c r="A12" i="5" s="1"/>
  <c r="E25" i="10" l="1"/>
  <c r="F25" i="10" s="1"/>
  <c r="G25" i="10" s="1"/>
  <c r="A26" i="10" s="1"/>
  <c r="B26" i="10" s="1"/>
  <c r="C26" i="10" s="1"/>
  <c r="D26" i="10" s="1"/>
  <c r="E25" i="9"/>
  <c r="F25" i="9" s="1"/>
  <c r="G25" i="9" s="1"/>
  <c r="A26" i="9" s="1"/>
  <c r="B26" i="9" s="1"/>
  <c r="C26" i="9" s="1"/>
  <c r="D26" i="9" s="1"/>
  <c r="B26" i="8"/>
  <c r="C26" i="8" s="1"/>
  <c r="D26" i="8" s="1"/>
  <c r="E26" i="8" s="1"/>
  <c r="F26" i="8" s="1"/>
  <c r="G26" i="8" s="1"/>
  <c r="A27" i="8" s="1"/>
  <c r="B24" i="6"/>
  <c r="C24" i="6" s="1"/>
  <c r="D24" i="6" s="1"/>
  <c r="E24" i="6" s="1"/>
  <c r="F24" i="6" s="1"/>
  <c r="G24" i="6" s="1"/>
  <c r="A25" i="6" s="1"/>
  <c r="B26" i="7"/>
  <c r="C26" i="7" s="1"/>
  <c r="D26" i="7" s="1"/>
  <c r="E26" i="7" s="1"/>
  <c r="F26" i="7" s="1"/>
  <c r="G26" i="7" s="1"/>
  <c r="A27" i="7" s="1"/>
  <c r="B12" i="5"/>
  <c r="C12" i="5" s="1"/>
  <c r="D12" i="5" s="1"/>
  <c r="E12" i="5" s="1"/>
  <c r="F12" i="5" s="1"/>
  <c r="G12" i="5" s="1"/>
  <c r="A13" i="5" s="1"/>
  <c r="E26" i="10" l="1"/>
  <c r="F26" i="10" s="1"/>
  <c r="G26" i="10" s="1"/>
  <c r="A27" i="10" s="1"/>
  <c r="B27" i="10" s="1"/>
  <c r="C27" i="10" s="1"/>
  <c r="D27" i="10" s="1"/>
  <c r="E26" i="9"/>
  <c r="F26" i="9" s="1"/>
  <c r="G26" i="9" s="1"/>
  <c r="A27" i="9" s="1"/>
  <c r="B27" i="9" s="1"/>
  <c r="C27" i="9" s="1"/>
  <c r="D27" i="9" s="1"/>
  <c r="B27" i="8"/>
  <c r="C27" i="8" s="1"/>
  <c r="D27" i="8" s="1"/>
  <c r="E27" i="8" s="1"/>
  <c r="F27" i="8" s="1"/>
  <c r="G27" i="8" s="1"/>
  <c r="A28" i="8" s="1"/>
  <c r="B25" i="6"/>
  <c r="C25" i="6" s="1"/>
  <c r="D25" i="6" s="1"/>
  <c r="E25" i="6" s="1"/>
  <c r="F25" i="6" s="1"/>
  <c r="G25" i="6" s="1"/>
  <c r="A26" i="6" s="1"/>
  <c r="B27" i="7"/>
  <c r="C27" i="7" s="1"/>
  <c r="D27" i="7" s="1"/>
  <c r="E27" i="7" s="1"/>
  <c r="F27" i="7" s="1"/>
  <c r="G27" i="7" s="1"/>
  <c r="A28" i="7" s="1"/>
  <c r="B13" i="5"/>
  <c r="C13" i="5" s="1"/>
  <c r="D13" i="5" s="1"/>
  <c r="E13" i="5" s="1"/>
  <c r="F13" i="5" s="1"/>
  <c r="G13" i="5" s="1"/>
  <c r="A14" i="5" s="1"/>
  <c r="B2" i="4"/>
  <c r="C2" i="4" s="1"/>
  <c r="D2" i="4" s="1"/>
  <c r="E2" i="4" s="1"/>
  <c r="F2" i="4" s="1"/>
  <c r="G2" i="4" s="1"/>
  <c r="A3" i="4" s="1"/>
  <c r="B3" i="4" s="1"/>
  <c r="C3" i="4" s="1"/>
  <c r="D3" i="4" s="1"/>
  <c r="E3" i="4" s="1"/>
  <c r="F3" i="4" s="1"/>
  <c r="G3" i="4" s="1"/>
  <c r="A4" i="4" s="1"/>
  <c r="B4" i="4" s="1"/>
  <c r="C4" i="4" s="1"/>
  <c r="D4" i="4" s="1"/>
  <c r="E4" i="4" s="1"/>
  <c r="F4" i="4" s="1"/>
  <c r="G4" i="4" s="1"/>
  <c r="A5" i="4" s="1"/>
  <c r="B5" i="4" s="1"/>
  <c r="C5" i="4" s="1"/>
  <c r="D5" i="4" s="1"/>
  <c r="E5" i="4" s="1"/>
  <c r="F5" i="4" s="1"/>
  <c r="G5" i="4" s="1"/>
  <c r="A6" i="4" s="1"/>
  <c r="B6" i="4" s="1"/>
  <c r="C6" i="4" s="1"/>
  <c r="D6" i="4" s="1"/>
  <c r="E6" i="4" s="1"/>
  <c r="F6" i="4" s="1"/>
  <c r="G6" i="4" s="1"/>
  <c r="A7" i="4" s="1"/>
  <c r="B7" i="4" s="1"/>
  <c r="C7" i="4" s="1"/>
  <c r="D7" i="4" s="1"/>
  <c r="E7" i="4" s="1"/>
  <c r="F7" i="4" s="1"/>
  <c r="G7" i="4" s="1"/>
  <c r="A8" i="4" s="1"/>
  <c r="B8" i="4" s="1"/>
  <c r="C8" i="4" s="1"/>
  <c r="D8" i="4" s="1"/>
  <c r="E8" i="4" s="1"/>
  <c r="F8" i="4" s="1"/>
  <c r="G8" i="4" s="1"/>
  <c r="A9" i="4" s="1"/>
  <c r="B9" i="4" s="1"/>
  <c r="C9" i="4" s="1"/>
  <c r="D9" i="4" s="1"/>
  <c r="E9" i="4" s="1"/>
  <c r="F9" i="4" s="1"/>
  <c r="G9" i="4" s="1"/>
  <c r="A10" i="4" s="1"/>
  <c r="B10" i="4" s="1"/>
  <c r="C10" i="4" s="1"/>
  <c r="D10" i="4" s="1"/>
  <c r="E10" i="4" s="1"/>
  <c r="F10" i="4" s="1"/>
  <c r="G10" i="4" s="1"/>
  <c r="A11" i="4" s="1"/>
  <c r="B11" i="4" s="1"/>
  <c r="C11" i="4" s="1"/>
  <c r="D11" i="4" s="1"/>
  <c r="E11" i="4" s="1"/>
  <c r="F11" i="4" s="1"/>
  <c r="G11" i="4" s="1"/>
  <c r="A12" i="4" s="1"/>
  <c r="B12" i="4" s="1"/>
  <c r="C12" i="4" s="1"/>
  <c r="D12" i="4" s="1"/>
  <c r="E12" i="4" s="1"/>
  <c r="F12" i="4" s="1"/>
  <c r="G12" i="4" s="1"/>
  <c r="A13" i="4" s="1"/>
  <c r="B13" i="4" s="1"/>
  <c r="C13" i="4" s="1"/>
  <c r="D13" i="4" s="1"/>
  <c r="E13" i="4" s="1"/>
  <c r="F13" i="4" s="1"/>
  <c r="G13" i="4" s="1"/>
  <c r="A14" i="4" s="1"/>
  <c r="B14" i="4" s="1"/>
  <c r="C14" i="4" s="1"/>
  <c r="D14" i="4" s="1"/>
  <c r="E14" i="4" s="1"/>
  <c r="F14" i="4" s="1"/>
  <c r="G14" i="4" s="1"/>
  <c r="A15" i="4" s="1"/>
  <c r="B15" i="4" s="1"/>
  <c r="C15" i="4" s="1"/>
  <c r="D15" i="4" s="1"/>
  <c r="E15" i="4" s="1"/>
  <c r="F15" i="4" s="1"/>
  <c r="G15" i="4" s="1"/>
  <c r="A16" i="4" s="1"/>
  <c r="B16" i="4" s="1"/>
  <c r="C16" i="4" s="1"/>
  <c r="D16" i="4" s="1"/>
  <c r="E16" i="4" s="1"/>
  <c r="F16" i="4" s="1"/>
  <c r="G16" i="4" s="1"/>
  <c r="A17" i="4" s="1"/>
  <c r="B17" i="4" s="1"/>
  <c r="C17" i="4" s="1"/>
  <c r="D17" i="4" s="1"/>
  <c r="E17" i="4" s="1"/>
  <c r="F17" i="4" s="1"/>
  <c r="G17" i="4" s="1"/>
  <c r="A18" i="4" s="1"/>
  <c r="B18" i="4" s="1"/>
  <c r="C18" i="4" s="1"/>
  <c r="D18" i="4" s="1"/>
  <c r="E18" i="4" s="1"/>
  <c r="F18" i="4" s="1"/>
  <c r="G18" i="4" s="1"/>
  <c r="A19" i="4" s="1"/>
  <c r="B19" i="4" s="1"/>
  <c r="C19" i="4" s="1"/>
  <c r="D19" i="4" s="1"/>
  <c r="L4" i="4"/>
  <c r="L3" i="4"/>
  <c r="L2" i="4"/>
  <c r="E27" i="10" l="1"/>
  <c r="F27" i="10" s="1"/>
  <c r="G27" i="10" s="1"/>
  <c r="A28" i="10" s="1"/>
  <c r="B28" i="10" s="1"/>
  <c r="C28" i="10" s="1"/>
  <c r="D28" i="10" s="1"/>
  <c r="E27" i="9"/>
  <c r="F27" i="9" s="1"/>
  <c r="G27" i="9" s="1"/>
  <c r="A28" i="9" s="1"/>
  <c r="B28" i="9" s="1"/>
  <c r="C28" i="9" s="1"/>
  <c r="D28" i="9" s="1"/>
  <c r="B28" i="8"/>
  <c r="C28" i="8" s="1"/>
  <c r="D28" i="8" s="1"/>
  <c r="E28" i="8" s="1"/>
  <c r="F28" i="8" s="1"/>
  <c r="G28" i="8" s="1"/>
  <c r="A29" i="8" s="1"/>
  <c r="B26" i="6"/>
  <c r="C26" i="6" s="1"/>
  <c r="D26" i="6" s="1"/>
  <c r="E26" i="6" s="1"/>
  <c r="F26" i="6" s="1"/>
  <c r="G26" i="6" s="1"/>
  <c r="A27" i="6" s="1"/>
  <c r="B28" i="7"/>
  <c r="C28" i="7" s="1"/>
  <c r="D28" i="7" s="1"/>
  <c r="E28" i="7" s="1"/>
  <c r="F28" i="7" s="1"/>
  <c r="G28" i="7" s="1"/>
  <c r="A29" i="7" s="1"/>
  <c r="B14" i="5"/>
  <c r="C14" i="5" s="1"/>
  <c r="D14" i="5" s="1"/>
  <c r="E14" i="5" s="1"/>
  <c r="F14" i="5" s="1"/>
  <c r="G14" i="5" s="1"/>
  <c r="A15" i="5" s="1"/>
  <c r="N2" i="4"/>
  <c r="E28" i="10" l="1"/>
  <c r="F28" i="10" s="1"/>
  <c r="G28" i="10" s="1"/>
  <c r="A29" i="10" s="1"/>
  <c r="B29" i="10" s="1"/>
  <c r="C29" i="10" s="1"/>
  <c r="D29" i="10" s="1"/>
  <c r="E28" i="9"/>
  <c r="F28" i="9" s="1"/>
  <c r="G28" i="9" s="1"/>
  <c r="A29" i="9" s="1"/>
  <c r="B29" i="9" s="1"/>
  <c r="C29" i="9" s="1"/>
  <c r="D29" i="9" s="1"/>
  <c r="B29" i="8"/>
  <c r="C29" i="8" s="1"/>
  <c r="D29" i="8" s="1"/>
  <c r="E29" i="8" s="1"/>
  <c r="F29" i="8" s="1"/>
  <c r="G29" i="8" s="1"/>
  <c r="A30" i="8" s="1"/>
  <c r="B27" i="6"/>
  <c r="C27" i="6" s="1"/>
  <c r="D27" i="6" s="1"/>
  <c r="E27" i="6" s="1"/>
  <c r="F27" i="6" s="1"/>
  <c r="G27" i="6" s="1"/>
  <c r="A28" i="6" s="1"/>
  <c r="B29" i="7"/>
  <c r="C29" i="7" s="1"/>
  <c r="D29" i="7" s="1"/>
  <c r="E29" i="7" s="1"/>
  <c r="F29" i="7" s="1"/>
  <c r="G29" i="7" s="1"/>
  <c r="A30" i="7" s="1"/>
  <c r="B15" i="5"/>
  <c r="C15" i="5" s="1"/>
  <c r="D15" i="5" s="1"/>
  <c r="E15" i="5" s="1"/>
  <c r="F15" i="5" s="1"/>
  <c r="G15" i="5" s="1"/>
  <c r="A16" i="5" s="1"/>
  <c r="E29" i="10" l="1"/>
  <c r="F29" i="10" s="1"/>
  <c r="G29" i="10" s="1"/>
  <c r="A30" i="10" s="1"/>
  <c r="B30" i="10" s="1"/>
  <c r="C30" i="10" s="1"/>
  <c r="D30" i="10" s="1"/>
  <c r="E29" i="9"/>
  <c r="F29" i="9" s="1"/>
  <c r="G29" i="9" s="1"/>
  <c r="A30" i="9" s="1"/>
  <c r="B30" i="9" s="1"/>
  <c r="C30" i="9" s="1"/>
  <c r="D30" i="9" s="1"/>
  <c r="B30" i="8"/>
  <c r="C30" i="8" s="1"/>
  <c r="D30" i="8" s="1"/>
  <c r="E30" i="8" s="1"/>
  <c r="F30" i="8" s="1"/>
  <c r="G30" i="8" s="1"/>
  <c r="A31" i="8" s="1"/>
  <c r="B28" i="6"/>
  <c r="C28" i="6" s="1"/>
  <c r="D28" i="6" s="1"/>
  <c r="E28" i="6" s="1"/>
  <c r="F28" i="6" s="1"/>
  <c r="G28" i="6" s="1"/>
  <c r="A29" i="6" s="1"/>
  <c r="B30" i="7"/>
  <c r="C30" i="7" s="1"/>
  <c r="D30" i="7" s="1"/>
  <c r="E30" i="7" s="1"/>
  <c r="F30" i="7" s="1"/>
  <c r="G30" i="7" s="1"/>
  <c r="A31" i="7" s="1"/>
  <c r="B16" i="5"/>
  <c r="C16" i="5" s="1"/>
  <c r="D16" i="5" s="1"/>
  <c r="E16" i="5" s="1"/>
  <c r="F16" i="5" s="1"/>
  <c r="G16" i="5" s="1"/>
  <c r="A17" i="5" s="1"/>
  <c r="E30" i="10" l="1"/>
  <c r="F30" i="10" s="1"/>
  <c r="G30" i="10" s="1"/>
  <c r="A31" i="10" s="1"/>
  <c r="B31" i="10" s="1"/>
  <c r="C31" i="10" s="1"/>
  <c r="D31" i="10" s="1"/>
  <c r="E30" i="9"/>
  <c r="F30" i="9" s="1"/>
  <c r="G30" i="9" s="1"/>
  <c r="A31" i="9" s="1"/>
  <c r="B31" i="9" s="1"/>
  <c r="C31" i="9" s="1"/>
  <c r="D31" i="9" s="1"/>
  <c r="B31" i="8"/>
  <c r="C31" i="8" s="1"/>
  <c r="D31" i="8" s="1"/>
  <c r="E31" i="8" s="1"/>
  <c r="F31" i="8" s="1"/>
  <c r="G31" i="8" s="1"/>
  <c r="A32" i="8" s="1"/>
  <c r="B29" i="6"/>
  <c r="C29" i="6" s="1"/>
  <c r="D29" i="6" s="1"/>
  <c r="E29" i="6" s="1"/>
  <c r="F29" i="6" s="1"/>
  <c r="G29" i="6" s="1"/>
  <c r="A30" i="6" s="1"/>
  <c r="B31" i="7"/>
  <c r="C31" i="7" s="1"/>
  <c r="D31" i="7" s="1"/>
  <c r="E31" i="7" s="1"/>
  <c r="F31" i="7" s="1"/>
  <c r="G31" i="7" s="1"/>
  <c r="A32" i="7" s="1"/>
  <c r="B17" i="5"/>
  <c r="C17" i="5" s="1"/>
  <c r="D17" i="5" s="1"/>
  <c r="E17" i="5" s="1"/>
  <c r="F17" i="5" s="1"/>
  <c r="G17" i="5" s="1"/>
  <c r="A18" i="5" s="1"/>
  <c r="E31" i="10" l="1"/>
  <c r="F31" i="10" s="1"/>
  <c r="G31" i="10" s="1"/>
  <c r="A32" i="10" s="1"/>
  <c r="B32" i="10" s="1"/>
  <c r="C32" i="10" s="1"/>
  <c r="D32" i="10" s="1"/>
  <c r="E31" i="9"/>
  <c r="F31" i="9" s="1"/>
  <c r="G31" i="9" s="1"/>
  <c r="A32" i="9" s="1"/>
  <c r="B32" i="9" s="1"/>
  <c r="C32" i="9" s="1"/>
  <c r="D32" i="9" s="1"/>
  <c r="B32" i="8"/>
  <c r="C32" i="8" s="1"/>
  <c r="D32" i="8" s="1"/>
  <c r="E32" i="8" s="1"/>
  <c r="F32" i="8" s="1"/>
  <c r="G32" i="8" s="1"/>
  <c r="A33" i="8" s="1"/>
  <c r="B30" i="6"/>
  <c r="C30" i="6" s="1"/>
  <c r="D30" i="6" s="1"/>
  <c r="E30" i="6" s="1"/>
  <c r="F30" i="6" s="1"/>
  <c r="G30" i="6" s="1"/>
  <c r="A31" i="6" s="1"/>
  <c r="B32" i="7"/>
  <c r="C32" i="7" s="1"/>
  <c r="D32" i="7" s="1"/>
  <c r="E32" i="7" s="1"/>
  <c r="F32" i="7" s="1"/>
  <c r="G32" i="7" s="1"/>
  <c r="A33" i="7" s="1"/>
  <c r="B18" i="5"/>
  <c r="C18" i="5" s="1"/>
  <c r="D18" i="5" s="1"/>
  <c r="E18" i="5" s="1"/>
  <c r="F18" i="5" s="1"/>
  <c r="G18" i="5" s="1"/>
  <c r="A19" i="5" s="1"/>
  <c r="E32" i="10" l="1"/>
  <c r="F32" i="10" s="1"/>
  <c r="G32" i="10" s="1"/>
  <c r="A33" i="10" s="1"/>
  <c r="B33" i="10" s="1"/>
  <c r="C33" i="10" s="1"/>
  <c r="D33" i="10" s="1"/>
  <c r="E32" i="9"/>
  <c r="F32" i="9" s="1"/>
  <c r="G32" i="9" s="1"/>
  <c r="A33" i="9" s="1"/>
  <c r="B33" i="9" s="1"/>
  <c r="C33" i="9" s="1"/>
  <c r="D33" i="9" s="1"/>
  <c r="B33" i="8"/>
  <c r="C33" i="8" s="1"/>
  <c r="D33" i="8" s="1"/>
  <c r="E33" i="8" s="1"/>
  <c r="F33" i="8" s="1"/>
  <c r="G33" i="8" s="1"/>
  <c r="A34" i="8" s="1"/>
  <c r="B31" i="6"/>
  <c r="C31" i="6" s="1"/>
  <c r="D31" i="6" s="1"/>
  <c r="E31" i="6" s="1"/>
  <c r="F31" i="6" s="1"/>
  <c r="G31" i="6" s="1"/>
  <c r="A32" i="6" s="1"/>
  <c r="B33" i="7"/>
  <c r="C33" i="7" s="1"/>
  <c r="D33" i="7" s="1"/>
  <c r="E33" i="7" s="1"/>
  <c r="F33" i="7" s="1"/>
  <c r="G33" i="7" s="1"/>
  <c r="A34" i="7" s="1"/>
  <c r="B19" i="5"/>
  <c r="C19" i="5" s="1"/>
  <c r="D19" i="5" s="1"/>
  <c r="E19" i="5" s="1"/>
  <c r="F19" i="5" s="1"/>
  <c r="G19" i="5" s="1"/>
  <c r="A20" i="5" s="1"/>
  <c r="E33" i="10" l="1"/>
  <c r="F33" i="10" s="1"/>
  <c r="G33" i="10" s="1"/>
  <c r="A34" i="10" s="1"/>
  <c r="B34" i="10" s="1"/>
  <c r="C34" i="10" s="1"/>
  <c r="D34" i="10" s="1"/>
  <c r="E33" i="9"/>
  <c r="F33" i="9" s="1"/>
  <c r="G33" i="9" s="1"/>
  <c r="A34" i="9" s="1"/>
  <c r="B34" i="9" s="1"/>
  <c r="C34" i="9" s="1"/>
  <c r="D34" i="9" s="1"/>
  <c r="B34" i="8"/>
  <c r="C34" i="8" s="1"/>
  <c r="D34" i="8" s="1"/>
  <c r="E34" i="8" s="1"/>
  <c r="F34" i="8" s="1"/>
  <c r="G34" i="8" s="1"/>
  <c r="A35" i="8" s="1"/>
  <c r="B32" i="6"/>
  <c r="C32" i="6" s="1"/>
  <c r="D32" i="6" s="1"/>
  <c r="E32" i="6" s="1"/>
  <c r="F32" i="6" s="1"/>
  <c r="G32" i="6" s="1"/>
  <c r="A33" i="6" s="1"/>
  <c r="B34" i="7"/>
  <c r="C34" i="7" s="1"/>
  <c r="D34" i="7" s="1"/>
  <c r="E34" i="7" s="1"/>
  <c r="F34" i="7" s="1"/>
  <c r="G34" i="7" s="1"/>
  <c r="A35" i="7" s="1"/>
  <c r="B20" i="5"/>
  <c r="C20" i="5" s="1"/>
  <c r="D20" i="5" s="1"/>
  <c r="E20" i="5" s="1"/>
  <c r="F20" i="5" s="1"/>
  <c r="G20" i="5" s="1"/>
  <c r="A21" i="5" s="1"/>
  <c r="E34" i="10" l="1"/>
  <c r="F34" i="10" s="1"/>
  <c r="G34" i="10" s="1"/>
  <c r="A35" i="10" s="1"/>
  <c r="B35" i="10" s="1"/>
  <c r="C35" i="10" s="1"/>
  <c r="D35" i="10" s="1"/>
  <c r="E34" i="9"/>
  <c r="F34" i="9" s="1"/>
  <c r="G34" i="9" s="1"/>
  <c r="A35" i="9" s="1"/>
  <c r="B35" i="9" s="1"/>
  <c r="C35" i="9" s="1"/>
  <c r="D35" i="9" s="1"/>
  <c r="B35" i="8"/>
  <c r="C35" i="8" s="1"/>
  <c r="D35" i="8" s="1"/>
  <c r="E35" i="8" s="1"/>
  <c r="F35" i="8" s="1"/>
  <c r="G35" i="8" s="1"/>
  <c r="A36" i="8" s="1"/>
  <c r="B33" i="6"/>
  <c r="C33" i="6" s="1"/>
  <c r="D33" i="6" s="1"/>
  <c r="E33" i="6" s="1"/>
  <c r="F33" i="6" s="1"/>
  <c r="G33" i="6" s="1"/>
  <c r="A34" i="6" s="1"/>
  <c r="B35" i="7"/>
  <c r="C35" i="7" s="1"/>
  <c r="D35" i="7" s="1"/>
  <c r="E35" i="7" s="1"/>
  <c r="F35" i="7" s="1"/>
  <c r="G35" i="7" s="1"/>
  <c r="A36" i="7" s="1"/>
  <c r="B21" i="5"/>
  <c r="C21" i="5" s="1"/>
  <c r="D21" i="5" s="1"/>
  <c r="E21" i="5" s="1"/>
  <c r="F21" i="5" s="1"/>
  <c r="G21" i="5" s="1"/>
  <c r="A22" i="5" s="1"/>
  <c r="E35" i="10" l="1"/>
  <c r="F35" i="10" s="1"/>
  <c r="G35" i="10" s="1"/>
  <c r="A36" i="10" s="1"/>
  <c r="B36" i="10" s="1"/>
  <c r="C36" i="10" s="1"/>
  <c r="D36" i="10" s="1"/>
  <c r="E35" i="9"/>
  <c r="F35" i="9" s="1"/>
  <c r="G35" i="9" s="1"/>
  <c r="A36" i="9" s="1"/>
  <c r="B36" i="9" s="1"/>
  <c r="C36" i="9" s="1"/>
  <c r="D36" i="9" s="1"/>
  <c r="B36" i="8"/>
  <c r="C36" i="8" s="1"/>
  <c r="D36" i="8" s="1"/>
  <c r="E36" i="8" s="1"/>
  <c r="F36" i="8" s="1"/>
  <c r="G36" i="8" s="1"/>
  <c r="A37" i="8" s="1"/>
  <c r="B34" i="6"/>
  <c r="C34" i="6" s="1"/>
  <c r="D34" i="6" s="1"/>
  <c r="E34" i="6" s="1"/>
  <c r="F34" i="6" s="1"/>
  <c r="G34" i="6" s="1"/>
  <c r="A35" i="6" s="1"/>
  <c r="B36" i="7"/>
  <c r="C36" i="7" s="1"/>
  <c r="D36" i="7" s="1"/>
  <c r="E36" i="7" s="1"/>
  <c r="F36" i="7" s="1"/>
  <c r="G36" i="7" s="1"/>
  <c r="A37" i="7" s="1"/>
  <c r="B22" i="5"/>
  <c r="C22" i="5" s="1"/>
  <c r="D22" i="5" s="1"/>
  <c r="E22" i="5" s="1"/>
  <c r="F22" i="5" s="1"/>
  <c r="G22" i="5" s="1"/>
  <c r="A23" i="5" s="1"/>
  <c r="E36" i="10" l="1"/>
  <c r="F36" i="10" s="1"/>
  <c r="G36" i="10" s="1"/>
  <c r="A37" i="10" s="1"/>
  <c r="B37" i="10" s="1"/>
  <c r="C37" i="10" s="1"/>
  <c r="D37" i="10" s="1"/>
  <c r="E36" i="9"/>
  <c r="F36" i="9" s="1"/>
  <c r="G36" i="9" s="1"/>
  <c r="A37" i="9" s="1"/>
  <c r="B37" i="9" s="1"/>
  <c r="C37" i="9" s="1"/>
  <c r="D37" i="9" s="1"/>
  <c r="B37" i="8"/>
  <c r="C37" i="8" s="1"/>
  <c r="D37" i="8" s="1"/>
  <c r="E37" i="8" s="1"/>
  <c r="F37" i="8" s="1"/>
  <c r="G37" i="8" s="1"/>
  <c r="A38" i="8" s="1"/>
  <c r="B35" i="6"/>
  <c r="C35" i="6" s="1"/>
  <c r="D35" i="6" s="1"/>
  <c r="E35" i="6" s="1"/>
  <c r="F35" i="6" s="1"/>
  <c r="G35" i="6" s="1"/>
  <c r="A36" i="6" s="1"/>
  <c r="B37" i="7"/>
  <c r="C37" i="7" s="1"/>
  <c r="D37" i="7" s="1"/>
  <c r="E37" i="7" s="1"/>
  <c r="F37" i="7" s="1"/>
  <c r="G37" i="7" s="1"/>
  <c r="A38" i="7" s="1"/>
  <c r="B23" i="5"/>
  <c r="C23" i="5" s="1"/>
  <c r="D23" i="5" s="1"/>
  <c r="E23" i="5" s="1"/>
  <c r="F23" i="5" s="1"/>
  <c r="G23" i="5" s="1"/>
  <c r="A24" i="5" s="1"/>
  <c r="E37" i="10" l="1"/>
  <c r="F37" i="10" s="1"/>
  <c r="G37" i="10" s="1"/>
  <c r="A38" i="10" s="1"/>
  <c r="B38" i="10" s="1"/>
  <c r="C38" i="10" s="1"/>
  <c r="D38" i="10" s="1"/>
  <c r="E37" i="9"/>
  <c r="F37" i="9" s="1"/>
  <c r="G37" i="9" s="1"/>
  <c r="A38" i="9" s="1"/>
  <c r="B38" i="9" s="1"/>
  <c r="C38" i="9" s="1"/>
  <c r="D38" i="9" s="1"/>
  <c r="B38" i="8"/>
  <c r="C38" i="8" s="1"/>
  <c r="D38" i="8" s="1"/>
  <c r="E38" i="8" s="1"/>
  <c r="F38" i="8" s="1"/>
  <c r="G38" i="8" s="1"/>
  <c r="A39" i="8" s="1"/>
  <c r="B36" i="6"/>
  <c r="C36" i="6" s="1"/>
  <c r="D36" i="6" s="1"/>
  <c r="E36" i="6" s="1"/>
  <c r="F36" i="6" s="1"/>
  <c r="G36" i="6" s="1"/>
  <c r="A37" i="6" s="1"/>
  <c r="B38" i="7"/>
  <c r="C38" i="7" s="1"/>
  <c r="D38" i="7" s="1"/>
  <c r="E38" i="7" s="1"/>
  <c r="F38" i="7" s="1"/>
  <c r="G38" i="7" s="1"/>
  <c r="A39" i="7" s="1"/>
  <c r="B24" i="5"/>
  <c r="C24" i="5" s="1"/>
  <c r="D24" i="5" s="1"/>
  <c r="E24" i="5" s="1"/>
  <c r="F24" i="5" s="1"/>
  <c r="G24" i="5" s="1"/>
  <c r="A25" i="5" s="1"/>
  <c r="E38" i="10" l="1"/>
  <c r="F38" i="10" s="1"/>
  <c r="G38" i="10" s="1"/>
  <c r="A39" i="10" s="1"/>
  <c r="B39" i="10" s="1"/>
  <c r="C39" i="10" s="1"/>
  <c r="D39" i="10" s="1"/>
  <c r="E38" i="9"/>
  <c r="F38" i="9" s="1"/>
  <c r="G38" i="9" s="1"/>
  <c r="A39" i="9" s="1"/>
  <c r="B39" i="9" s="1"/>
  <c r="C39" i="9" s="1"/>
  <c r="D39" i="9" s="1"/>
  <c r="B39" i="8"/>
  <c r="C39" i="8" s="1"/>
  <c r="D39" i="8" s="1"/>
  <c r="E39" i="8" s="1"/>
  <c r="F39" i="8" s="1"/>
  <c r="G39" i="8" s="1"/>
  <c r="A40" i="8" s="1"/>
  <c r="B37" i="6"/>
  <c r="C37" i="6" s="1"/>
  <c r="D37" i="6" s="1"/>
  <c r="E37" i="6" s="1"/>
  <c r="F37" i="6" s="1"/>
  <c r="G37" i="6" s="1"/>
  <c r="A38" i="6" s="1"/>
  <c r="B39" i="7"/>
  <c r="C39" i="7" s="1"/>
  <c r="D39" i="7" s="1"/>
  <c r="E39" i="7" s="1"/>
  <c r="F39" i="7" s="1"/>
  <c r="G39" i="7" s="1"/>
  <c r="A40" i="7" s="1"/>
  <c r="B25" i="5"/>
  <c r="C25" i="5" s="1"/>
  <c r="D25" i="5" s="1"/>
  <c r="E25" i="5" s="1"/>
  <c r="F25" i="5" s="1"/>
  <c r="G25" i="5" s="1"/>
  <c r="A26" i="5" s="1"/>
  <c r="E39" i="10" l="1"/>
  <c r="F39" i="10" s="1"/>
  <c r="G39" i="10" s="1"/>
  <c r="A40" i="10" s="1"/>
  <c r="B40" i="10" s="1"/>
  <c r="C40" i="10" s="1"/>
  <c r="D40" i="10" s="1"/>
  <c r="E39" i="9"/>
  <c r="F39" i="9" s="1"/>
  <c r="G39" i="9" s="1"/>
  <c r="A40" i="9" s="1"/>
  <c r="B40" i="9" s="1"/>
  <c r="C40" i="9" s="1"/>
  <c r="D40" i="9" s="1"/>
  <c r="B40" i="8"/>
  <c r="C40" i="8" s="1"/>
  <c r="D40" i="8" s="1"/>
  <c r="E40" i="8" s="1"/>
  <c r="F40" i="8" s="1"/>
  <c r="G40" i="8" s="1"/>
  <c r="A41" i="8" s="1"/>
  <c r="B38" i="6"/>
  <c r="C38" i="6" s="1"/>
  <c r="D38" i="6" s="1"/>
  <c r="E38" i="6" s="1"/>
  <c r="F38" i="6" s="1"/>
  <c r="G38" i="6" s="1"/>
  <c r="A39" i="6" s="1"/>
  <c r="B40" i="7"/>
  <c r="C40" i="7" s="1"/>
  <c r="D40" i="7" s="1"/>
  <c r="E40" i="7" s="1"/>
  <c r="F40" i="7" s="1"/>
  <c r="G40" i="7" s="1"/>
  <c r="A41" i="7" s="1"/>
  <c r="B26" i="5"/>
  <c r="C26" i="5" s="1"/>
  <c r="D26" i="5" s="1"/>
  <c r="E26" i="5" s="1"/>
  <c r="F26" i="5" s="1"/>
  <c r="G26" i="5" s="1"/>
  <c r="A27" i="5" s="1"/>
  <c r="E40" i="10" l="1"/>
  <c r="F40" i="10" s="1"/>
  <c r="G40" i="10" s="1"/>
  <c r="A41" i="10" s="1"/>
  <c r="B41" i="10" s="1"/>
  <c r="C41" i="10" s="1"/>
  <c r="D41" i="10" s="1"/>
  <c r="E40" i="9"/>
  <c r="F40" i="9" s="1"/>
  <c r="G40" i="9" s="1"/>
  <c r="A41" i="9" s="1"/>
  <c r="B41" i="9" s="1"/>
  <c r="C41" i="9" s="1"/>
  <c r="D41" i="9" s="1"/>
  <c r="B41" i="8"/>
  <c r="C41" i="8" s="1"/>
  <c r="D41" i="8" s="1"/>
  <c r="E41" i="8" s="1"/>
  <c r="F41" i="8" s="1"/>
  <c r="G41" i="8" s="1"/>
  <c r="A42" i="8" s="1"/>
  <c r="B39" i="6"/>
  <c r="C39" i="6" s="1"/>
  <c r="D39" i="6" s="1"/>
  <c r="E39" i="6" s="1"/>
  <c r="F39" i="6" s="1"/>
  <c r="G39" i="6" s="1"/>
  <c r="A40" i="6" s="1"/>
  <c r="B41" i="7"/>
  <c r="C41" i="7" s="1"/>
  <c r="D41" i="7" s="1"/>
  <c r="E41" i="7" s="1"/>
  <c r="F41" i="7" s="1"/>
  <c r="G41" i="7" s="1"/>
  <c r="A42" i="7" s="1"/>
  <c r="B27" i="5"/>
  <c r="C27" i="5" s="1"/>
  <c r="D27" i="5" s="1"/>
  <c r="E27" i="5" s="1"/>
  <c r="F27" i="5" s="1"/>
  <c r="G27" i="5" s="1"/>
  <c r="A28" i="5" s="1"/>
  <c r="E41" i="10" l="1"/>
  <c r="F41" i="10" s="1"/>
  <c r="G41" i="10" s="1"/>
  <c r="A42" i="10" s="1"/>
  <c r="B42" i="10" s="1"/>
  <c r="C42" i="10" s="1"/>
  <c r="D42" i="10" s="1"/>
  <c r="E41" i="9"/>
  <c r="F41" i="9" s="1"/>
  <c r="G41" i="9" s="1"/>
  <c r="A42" i="9" s="1"/>
  <c r="B42" i="9" s="1"/>
  <c r="C42" i="9" s="1"/>
  <c r="D42" i="9" s="1"/>
  <c r="B42" i="8"/>
  <c r="C42" i="8" s="1"/>
  <c r="D42" i="8" s="1"/>
  <c r="E42" i="8" s="1"/>
  <c r="F42" i="8" s="1"/>
  <c r="G42" i="8" s="1"/>
  <c r="A43" i="8" s="1"/>
  <c r="B40" i="6"/>
  <c r="C40" i="6" s="1"/>
  <c r="D40" i="6" s="1"/>
  <c r="E40" i="6" s="1"/>
  <c r="F40" i="6" s="1"/>
  <c r="G40" i="6" s="1"/>
  <c r="A41" i="6" s="1"/>
  <c r="B42" i="7"/>
  <c r="C42" i="7" s="1"/>
  <c r="D42" i="7" s="1"/>
  <c r="E42" i="7" s="1"/>
  <c r="F42" i="7" s="1"/>
  <c r="G42" i="7" s="1"/>
  <c r="A43" i="7" s="1"/>
  <c r="B28" i="5"/>
  <c r="C28" i="5" s="1"/>
  <c r="D28" i="5" s="1"/>
  <c r="E28" i="5" s="1"/>
  <c r="F28" i="5" s="1"/>
  <c r="G28" i="5" s="1"/>
  <c r="A29" i="5" s="1"/>
  <c r="E42" i="10" l="1"/>
  <c r="F42" i="10" s="1"/>
  <c r="G42" i="10" s="1"/>
  <c r="A43" i="10" s="1"/>
  <c r="B43" i="10" s="1"/>
  <c r="C43" i="10" s="1"/>
  <c r="D43" i="10" s="1"/>
  <c r="E42" i="9"/>
  <c r="F42" i="9" s="1"/>
  <c r="G42" i="9" s="1"/>
  <c r="A43" i="9" s="1"/>
  <c r="B43" i="9" s="1"/>
  <c r="C43" i="9" s="1"/>
  <c r="D43" i="9" s="1"/>
  <c r="B43" i="8"/>
  <c r="C43" i="8" s="1"/>
  <c r="D43" i="8" s="1"/>
  <c r="E43" i="8" s="1"/>
  <c r="F43" i="8" s="1"/>
  <c r="G43" i="8" s="1"/>
  <c r="A44" i="8" s="1"/>
  <c r="B41" i="6"/>
  <c r="C41" i="6" s="1"/>
  <c r="D41" i="6" s="1"/>
  <c r="E41" i="6" s="1"/>
  <c r="F41" i="6" s="1"/>
  <c r="G41" i="6" s="1"/>
  <c r="A42" i="6" s="1"/>
  <c r="B43" i="7"/>
  <c r="C43" i="7" s="1"/>
  <c r="D43" i="7" s="1"/>
  <c r="E43" i="7" s="1"/>
  <c r="F43" i="7" s="1"/>
  <c r="G43" i="7" s="1"/>
  <c r="A44" i="7" s="1"/>
  <c r="B29" i="5"/>
  <c r="C29" i="5" s="1"/>
  <c r="D29" i="5" s="1"/>
  <c r="E29" i="5" s="1"/>
  <c r="F29" i="5" s="1"/>
  <c r="G29" i="5" s="1"/>
  <c r="A30" i="5" s="1"/>
  <c r="E43" i="10" l="1"/>
  <c r="F43" i="10" s="1"/>
  <c r="G43" i="10" s="1"/>
  <c r="A44" i="10" s="1"/>
  <c r="B44" i="10" s="1"/>
  <c r="C44" i="10" s="1"/>
  <c r="D44" i="10" s="1"/>
  <c r="E43" i="9"/>
  <c r="F43" i="9" s="1"/>
  <c r="G43" i="9" s="1"/>
  <c r="A44" i="9" s="1"/>
  <c r="B44" i="9" s="1"/>
  <c r="C44" i="9" s="1"/>
  <c r="D44" i="9" s="1"/>
  <c r="B44" i="8"/>
  <c r="C44" i="8" s="1"/>
  <c r="D44" i="8" s="1"/>
  <c r="E44" i="8" s="1"/>
  <c r="F44" i="8" s="1"/>
  <c r="G44" i="8" s="1"/>
  <c r="A45" i="8" s="1"/>
  <c r="B42" i="6"/>
  <c r="C42" i="6" s="1"/>
  <c r="D42" i="6" s="1"/>
  <c r="E42" i="6" s="1"/>
  <c r="F42" i="6" s="1"/>
  <c r="G42" i="6" s="1"/>
  <c r="A43" i="6" s="1"/>
  <c r="B44" i="7"/>
  <c r="C44" i="7" s="1"/>
  <c r="D44" i="7" s="1"/>
  <c r="E44" i="7" s="1"/>
  <c r="F44" i="7" s="1"/>
  <c r="G44" i="7" s="1"/>
  <c r="A45" i="7" s="1"/>
  <c r="B30" i="5"/>
  <c r="C30" i="5" s="1"/>
  <c r="D30" i="5" s="1"/>
  <c r="E30" i="5" s="1"/>
  <c r="F30" i="5" s="1"/>
  <c r="G30" i="5" s="1"/>
  <c r="A31" i="5" s="1"/>
  <c r="E44" i="10" l="1"/>
  <c r="F44" i="10" s="1"/>
  <c r="G44" i="10" s="1"/>
  <c r="A45" i="10" s="1"/>
  <c r="B45" i="10" s="1"/>
  <c r="C45" i="10" s="1"/>
  <c r="D45" i="10" s="1"/>
  <c r="E44" i="9"/>
  <c r="F44" i="9" s="1"/>
  <c r="G44" i="9" s="1"/>
  <c r="A45" i="9" s="1"/>
  <c r="B45" i="9" s="1"/>
  <c r="C45" i="9" s="1"/>
  <c r="D45" i="9" s="1"/>
  <c r="B45" i="8"/>
  <c r="C45" i="8" s="1"/>
  <c r="D45" i="8" s="1"/>
  <c r="E45" i="8" s="1"/>
  <c r="F45" i="8" s="1"/>
  <c r="G45" i="8" s="1"/>
  <c r="A46" i="8" s="1"/>
  <c r="B43" i="6"/>
  <c r="C43" i="6" s="1"/>
  <c r="D43" i="6" s="1"/>
  <c r="E43" i="6" s="1"/>
  <c r="F43" i="6" s="1"/>
  <c r="G43" i="6" s="1"/>
  <c r="A44" i="6" s="1"/>
  <c r="B45" i="7"/>
  <c r="C45" i="7" s="1"/>
  <c r="D45" i="7" s="1"/>
  <c r="E45" i="7" s="1"/>
  <c r="F45" i="7" s="1"/>
  <c r="G45" i="7" s="1"/>
  <c r="A46" i="7" s="1"/>
  <c r="B31" i="5"/>
  <c r="C31" i="5" s="1"/>
  <c r="D31" i="5" s="1"/>
  <c r="E31" i="5" s="1"/>
  <c r="F31" i="5" s="1"/>
  <c r="G31" i="5" s="1"/>
  <c r="A32" i="5" s="1"/>
  <c r="E45" i="10" l="1"/>
  <c r="F45" i="10" s="1"/>
  <c r="G45" i="10" s="1"/>
  <c r="A46" i="10" s="1"/>
  <c r="B46" i="10" s="1"/>
  <c r="C46" i="10" s="1"/>
  <c r="D46" i="10" s="1"/>
  <c r="E45" i="9"/>
  <c r="F45" i="9" s="1"/>
  <c r="G45" i="9" s="1"/>
  <c r="A46" i="9" s="1"/>
  <c r="B46" i="9" s="1"/>
  <c r="C46" i="9" s="1"/>
  <c r="D46" i="9" s="1"/>
  <c r="B46" i="8"/>
  <c r="C46" i="8" s="1"/>
  <c r="D46" i="8" s="1"/>
  <c r="E46" i="8" s="1"/>
  <c r="F46" i="8" s="1"/>
  <c r="G46" i="8" s="1"/>
  <c r="A47" i="8" s="1"/>
  <c r="B44" i="6"/>
  <c r="C44" i="6" s="1"/>
  <c r="D44" i="6" s="1"/>
  <c r="E44" i="6" s="1"/>
  <c r="F44" i="6" s="1"/>
  <c r="G44" i="6" s="1"/>
  <c r="A45" i="6" s="1"/>
  <c r="B46" i="7"/>
  <c r="C46" i="7" s="1"/>
  <c r="D46" i="7" s="1"/>
  <c r="E46" i="7" s="1"/>
  <c r="F46" i="7" s="1"/>
  <c r="G46" i="7" s="1"/>
  <c r="A47" i="7" s="1"/>
  <c r="B32" i="5"/>
  <c r="C32" i="5" s="1"/>
  <c r="D32" i="5" s="1"/>
  <c r="E32" i="5" s="1"/>
  <c r="F32" i="5" s="1"/>
  <c r="G32" i="5" s="1"/>
  <c r="A33" i="5" s="1"/>
  <c r="E46" i="10" l="1"/>
  <c r="F46" i="10" s="1"/>
  <c r="G46" i="10" s="1"/>
  <c r="A47" i="10" s="1"/>
  <c r="B47" i="10" s="1"/>
  <c r="C47" i="10" s="1"/>
  <c r="D47" i="10" s="1"/>
  <c r="E46" i="9"/>
  <c r="F46" i="9" s="1"/>
  <c r="G46" i="9" s="1"/>
  <c r="A47" i="9" s="1"/>
  <c r="B47" i="9" s="1"/>
  <c r="C47" i="9" s="1"/>
  <c r="D47" i="9" s="1"/>
  <c r="B47" i="8"/>
  <c r="C47" i="8" s="1"/>
  <c r="D47" i="8" s="1"/>
  <c r="E47" i="8" s="1"/>
  <c r="F47" i="8" s="1"/>
  <c r="G47" i="8" s="1"/>
  <c r="A48" i="8" s="1"/>
  <c r="B45" i="6"/>
  <c r="C45" i="6" s="1"/>
  <c r="D45" i="6" s="1"/>
  <c r="E45" i="6" s="1"/>
  <c r="F45" i="6" s="1"/>
  <c r="G45" i="6" s="1"/>
  <c r="A46" i="6" s="1"/>
  <c r="B47" i="7"/>
  <c r="C47" i="7" s="1"/>
  <c r="D47" i="7" s="1"/>
  <c r="E47" i="7" s="1"/>
  <c r="F47" i="7" s="1"/>
  <c r="G47" i="7" s="1"/>
  <c r="A48" i="7" s="1"/>
  <c r="B33" i="5"/>
  <c r="C33" i="5" s="1"/>
  <c r="D33" i="5" s="1"/>
  <c r="E33" i="5" s="1"/>
  <c r="F33" i="5" s="1"/>
  <c r="G33" i="5" s="1"/>
  <c r="A34" i="5" s="1"/>
  <c r="E47" i="10" l="1"/>
  <c r="F47" i="10" s="1"/>
  <c r="G47" i="10" s="1"/>
  <c r="A48" i="10" s="1"/>
  <c r="B48" i="10" s="1"/>
  <c r="C48" i="10" s="1"/>
  <c r="D48" i="10" s="1"/>
  <c r="E47" i="9"/>
  <c r="F47" i="9" s="1"/>
  <c r="G47" i="9" s="1"/>
  <c r="A48" i="9" s="1"/>
  <c r="B48" i="9" s="1"/>
  <c r="C48" i="9" s="1"/>
  <c r="D48" i="9" s="1"/>
  <c r="B48" i="8"/>
  <c r="C48" i="8" s="1"/>
  <c r="D48" i="8" s="1"/>
  <c r="E48" i="8" s="1"/>
  <c r="F48" i="8" s="1"/>
  <c r="G48" i="8" s="1"/>
  <c r="A49" i="8" s="1"/>
  <c r="B46" i="6"/>
  <c r="C46" i="6" s="1"/>
  <c r="D46" i="6" s="1"/>
  <c r="E46" i="6" s="1"/>
  <c r="F46" i="6" s="1"/>
  <c r="G46" i="6" s="1"/>
  <c r="A47" i="6" s="1"/>
  <c r="B48" i="7"/>
  <c r="C48" i="7" s="1"/>
  <c r="D48" i="7" s="1"/>
  <c r="E48" i="7" s="1"/>
  <c r="F48" i="7" s="1"/>
  <c r="G48" i="7" s="1"/>
  <c r="A49" i="7" s="1"/>
  <c r="B34" i="5"/>
  <c r="C34" i="5" s="1"/>
  <c r="D34" i="5" s="1"/>
  <c r="E34" i="5" s="1"/>
  <c r="F34" i="5" s="1"/>
  <c r="G34" i="5" s="1"/>
  <c r="A35" i="5" s="1"/>
  <c r="E48" i="10" l="1"/>
  <c r="F48" i="10" s="1"/>
  <c r="G48" i="10" s="1"/>
  <c r="A49" i="10" s="1"/>
  <c r="B49" i="10" s="1"/>
  <c r="C49" i="10" s="1"/>
  <c r="D49" i="10" s="1"/>
  <c r="E48" i="9"/>
  <c r="F48" i="9" s="1"/>
  <c r="G48" i="9" s="1"/>
  <c r="A49" i="9" s="1"/>
  <c r="B49" i="9" s="1"/>
  <c r="C49" i="9" s="1"/>
  <c r="D49" i="9" s="1"/>
  <c r="B49" i="8"/>
  <c r="C49" i="8" s="1"/>
  <c r="D49" i="8" s="1"/>
  <c r="E49" i="8" s="1"/>
  <c r="F49" i="8" s="1"/>
  <c r="G49" i="8" s="1"/>
  <c r="A50" i="8" s="1"/>
  <c r="B47" i="6"/>
  <c r="C47" i="6" s="1"/>
  <c r="D47" i="6" s="1"/>
  <c r="E47" i="6" s="1"/>
  <c r="F47" i="6" s="1"/>
  <c r="G47" i="6" s="1"/>
  <c r="A48" i="6" s="1"/>
  <c r="B49" i="7"/>
  <c r="C49" i="7" s="1"/>
  <c r="D49" i="7" s="1"/>
  <c r="E49" i="7" s="1"/>
  <c r="F49" i="7" s="1"/>
  <c r="G49" i="7" s="1"/>
  <c r="A50" i="7" s="1"/>
  <c r="B35" i="5"/>
  <c r="C35" i="5" s="1"/>
  <c r="D35" i="5" s="1"/>
  <c r="E35" i="5" s="1"/>
  <c r="F35" i="5" s="1"/>
  <c r="G35" i="5" s="1"/>
  <c r="A36" i="5" s="1"/>
  <c r="E49" i="10" l="1"/>
  <c r="F49" i="10" s="1"/>
  <c r="G49" i="10" s="1"/>
  <c r="A50" i="10" s="1"/>
  <c r="B50" i="10" s="1"/>
  <c r="C50" i="10" s="1"/>
  <c r="D50" i="10" s="1"/>
  <c r="E49" i="9"/>
  <c r="F49" i="9" s="1"/>
  <c r="G49" i="9" s="1"/>
  <c r="A50" i="9" s="1"/>
  <c r="B50" i="9" s="1"/>
  <c r="C50" i="9" s="1"/>
  <c r="D50" i="9" s="1"/>
  <c r="B50" i="8"/>
  <c r="C50" i="8" s="1"/>
  <c r="D50" i="8" s="1"/>
  <c r="E50" i="8" s="1"/>
  <c r="F50" i="8" s="1"/>
  <c r="G50" i="8" s="1"/>
  <c r="A51" i="8" s="1"/>
  <c r="B48" i="6"/>
  <c r="C48" i="6" s="1"/>
  <c r="D48" i="6" s="1"/>
  <c r="E48" i="6" s="1"/>
  <c r="F48" i="6" s="1"/>
  <c r="G48" i="6" s="1"/>
  <c r="A49" i="6" s="1"/>
  <c r="B50" i="7"/>
  <c r="C50" i="7" s="1"/>
  <c r="D50" i="7" s="1"/>
  <c r="E50" i="7" s="1"/>
  <c r="F50" i="7" s="1"/>
  <c r="G50" i="7" s="1"/>
  <c r="A51" i="7" s="1"/>
  <c r="B36" i="5"/>
  <c r="C36" i="5" s="1"/>
  <c r="D36" i="5" s="1"/>
  <c r="E36" i="5" s="1"/>
  <c r="F36" i="5" s="1"/>
  <c r="G36" i="5" s="1"/>
  <c r="A37" i="5" s="1"/>
  <c r="E50" i="10" l="1"/>
  <c r="F50" i="10" s="1"/>
  <c r="G50" i="10" s="1"/>
  <c r="A51" i="10" s="1"/>
  <c r="B51" i="10" s="1"/>
  <c r="C51" i="10" s="1"/>
  <c r="D51" i="10" s="1"/>
  <c r="E50" i="9"/>
  <c r="F50" i="9" s="1"/>
  <c r="G50" i="9" s="1"/>
  <c r="A51" i="9" s="1"/>
  <c r="B51" i="9" s="1"/>
  <c r="C51" i="9" s="1"/>
  <c r="D51" i="9" s="1"/>
  <c r="B51" i="8"/>
  <c r="C51" i="8" s="1"/>
  <c r="D51" i="8" s="1"/>
  <c r="E51" i="8" s="1"/>
  <c r="F51" i="8" s="1"/>
  <c r="G51" i="8" s="1"/>
  <c r="A52" i="8" s="1"/>
  <c r="B49" i="6"/>
  <c r="C49" i="6" s="1"/>
  <c r="D49" i="6" s="1"/>
  <c r="E49" i="6" s="1"/>
  <c r="F49" i="6" s="1"/>
  <c r="G49" i="6" s="1"/>
  <c r="A50" i="6" s="1"/>
  <c r="B51" i="7"/>
  <c r="C51" i="7" s="1"/>
  <c r="D51" i="7" s="1"/>
  <c r="E51" i="7" s="1"/>
  <c r="F51" i="7" s="1"/>
  <c r="G51" i="7" s="1"/>
  <c r="A52" i="7" s="1"/>
  <c r="B37" i="5"/>
  <c r="C37" i="5" s="1"/>
  <c r="D37" i="5" s="1"/>
  <c r="E37" i="5" s="1"/>
  <c r="F37" i="5" s="1"/>
  <c r="G37" i="5" s="1"/>
  <c r="A38" i="5" s="1"/>
  <c r="E51" i="10" l="1"/>
  <c r="F51" i="10" s="1"/>
  <c r="G51" i="10" s="1"/>
  <c r="A52" i="10" s="1"/>
  <c r="B52" i="10" s="1"/>
  <c r="C52" i="10" s="1"/>
  <c r="D52" i="10" s="1"/>
  <c r="E51" i="9"/>
  <c r="F51" i="9" s="1"/>
  <c r="G51" i="9" s="1"/>
  <c r="A52" i="9" s="1"/>
  <c r="B52" i="9" s="1"/>
  <c r="C52" i="9" s="1"/>
  <c r="D52" i="9" s="1"/>
  <c r="B52" i="8"/>
  <c r="C52" i="8" s="1"/>
  <c r="D52" i="8" s="1"/>
  <c r="E52" i="8" s="1"/>
  <c r="F52" i="8" s="1"/>
  <c r="G52" i="8" s="1"/>
  <c r="A53" i="8" s="1"/>
  <c r="B50" i="6"/>
  <c r="C50" i="6" s="1"/>
  <c r="D50" i="6" s="1"/>
  <c r="E50" i="6" s="1"/>
  <c r="F50" i="6" s="1"/>
  <c r="G50" i="6" s="1"/>
  <c r="A51" i="6" s="1"/>
  <c r="B52" i="7"/>
  <c r="C52" i="7" s="1"/>
  <c r="D52" i="7" s="1"/>
  <c r="E52" i="7" s="1"/>
  <c r="F52" i="7" s="1"/>
  <c r="G52" i="7" s="1"/>
  <c r="A53" i="7" s="1"/>
  <c r="B38" i="5"/>
  <c r="C38" i="5" s="1"/>
  <c r="D38" i="5" s="1"/>
  <c r="E38" i="5" s="1"/>
  <c r="F38" i="5" s="1"/>
  <c r="G38" i="5" s="1"/>
  <c r="A39" i="5" s="1"/>
  <c r="E52" i="10" l="1"/>
  <c r="F52" i="10" s="1"/>
  <c r="G52" i="10" s="1"/>
  <c r="A53" i="10" s="1"/>
  <c r="B53" i="10" s="1"/>
  <c r="C53" i="10" s="1"/>
  <c r="D53" i="10" s="1"/>
  <c r="E52" i="9"/>
  <c r="F52" i="9" s="1"/>
  <c r="G52" i="9" s="1"/>
  <c r="A53" i="9" s="1"/>
  <c r="B53" i="9" s="1"/>
  <c r="C53" i="9" s="1"/>
  <c r="D53" i="9" s="1"/>
  <c r="B53" i="8"/>
  <c r="C53" i="8" s="1"/>
  <c r="D53" i="8" s="1"/>
  <c r="E53" i="8" s="1"/>
  <c r="F53" i="8" s="1"/>
  <c r="G53" i="8" s="1"/>
  <c r="B51" i="6"/>
  <c r="C51" i="6" s="1"/>
  <c r="D51" i="6" s="1"/>
  <c r="E51" i="6" s="1"/>
  <c r="F51" i="6" s="1"/>
  <c r="G51" i="6" s="1"/>
  <c r="A52" i="6" s="1"/>
  <c r="B53" i="7"/>
  <c r="C53" i="7" s="1"/>
  <c r="D53" i="7" s="1"/>
  <c r="E53" i="7" s="1"/>
  <c r="F53" i="7" s="1"/>
  <c r="G53" i="7" s="1"/>
  <c r="B39" i="5"/>
  <c r="C39" i="5" s="1"/>
  <c r="D39" i="5" s="1"/>
  <c r="E39" i="5" s="1"/>
  <c r="F39" i="5" s="1"/>
  <c r="G39" i="5" s="1"/>
  <c r="A40" i="5" s="1"/>
  <c r="E53" i="10" l="1"/>
  <c r="F53" i="10" s="1"/>
  <c r="G53" i="10" s="1"/>
  <c r="A54" i="10" s="1"/>
  <c r="B54" i="10" s="1"/>
  <c r="C54" i="10" s="1"/>
  <c r="D54" i="10" s="1"/>
  <c r="E53" i="9"/>
  <c r="F53" i="9" s="1"/>
  <c r="G53" i="9" s="1"/>
  <c r="A54" i="9" s="1"/>
  <c r="B54" i="9" s="1"/>
  <c r="C54" i="9" s="1"/>
  <c r="D54" i="9" s="1"/>
  <c r="B52" i="6"/>
  <c r="C52" i="6" s="1"/>
  <c r="D52" i="6" s="1"/>
  <c r="E52" i="6" s="1"/>
  <c r="F52" i="6" s="1"/>
  <c r="G52" i="6" s="1"/>
  <c r="A53" i="6" s="1"/>
  <c r="B40" i="5"/>
  <c r="C40" i="5" s="1"/>
  <c r="D40" i="5" s="1"/>
  <c r="E40" i="5" s="1"/>
  <c r="F40" i="5" s="1"/>
  <c r="G40" i="5" s="1"/>
  <c r="A41" i="5" s="1"/>
  <c r="E54" i="10" l="1"/>
  <c r="F54" i="10" s="1"/>
  <c r="G54" i="10" s="1"/>
  <c r="E54" i="9"/>
  <c r="F54" i="9" s="1"/>
  <c r="G54" i="9" s="1"/>
  <c r="B53" i="6"/>
  <c r="C53" i="6" s="1"/>
  <c r="D53" i="6" s="1"/>
  <c r="E53" i="6" s="1"/>
  <c r="F53" i="6" s="1"/>
  <c r="G53" i="6" s="1"/>
  <c r="B41" i="5"/>
  <c r="C41" i="5" s="1"/>
  <c r="D41" i="5" s="1"/>
  <c r="E41" i="5" s="1"/>
  <c r="F41" i="5" s="1"/>
  <c r="G41" i="5" s="1"/>
  <c r="A42" i="5" s="1"/>
  <c r="B42" i="5" l="1"/>
  <c r="C42" i="5" s="1"/>
  <c r="D42" i="5" s="1"/>
  <c r="E42" i="5" s="1"/>
  <c r="F42" i="5" s="1"/>
  <c r="G42" i="5" s="1"/>
  <c r="A43" i="5" s="1"/>
  <c r="B43" i="5" l="1"/>
  <c r="C43" i="5" s="1"/>
  <c r="D43" i="5" s="1"/>
  <c r="E43" i="5" s="1"/>
  <c r="F43" i="5" s="1"/>
  <c r="G43" i="5" s="1"/>
  <c r="A44" i="5" s="1"/>
  <c r="B44" i="5" l="1"/>
  <c r="C44" i="5" s="1"/>
  <c r="D44" i="5" s="1"/>
  <c r="E44" i="5" s="1"/>
  <c r="F44" i="5" s="1"/>
  <c r="G44" i="5" s="1"/>
  <c r="A45" i="5" s="1"/>
  <c r="B45" i="5" l="1"/>
  <c r="C45" i="5" s="1"/>
  <c r="D45" i="5" s="1"/>
  <c r="E45" i="5" s="1"/>
  <c r="F45" i="5" s="1"/>
  <c r="G45" i="5" s="1"/>
  <c r="A46" i="5" s="1"/>
  <c r="B46" i="5" l="1"/>
  <c r="C46" i="5" s="1"/>
  <c r="D46" i="5" s="1"/>
  <c r="E46" i="5" s="1"/>
  <c r="F46" i="5" s="1"/>
  <c r="G46" i="5" s="1"/>
  <c r="A47" i="5" s="1"/>
  <c r="B47" i="5" l="1"/>
  <c r="C47" i="5" s="1"/>
  <c r="D47" i="5" s="1"/>
  <c r="E47" i="5" s="1"/>
  <c r="F47" i="5" s="1"/>
  <c r="G47" i="5" s="1"/>
  <c r="A48" i="5" s="1"/>
  <c r="B48" i="5" l="1"/>
  <c r="C48" i="5" s="1"/>
  <c r="D48" i="5" s="1"/>
  <c r="E48" i="5" s="1"/>
  <c r="F48" i="5" s="1"/>
  <c r="G48" i="5" s="1"/>
  <c r="A49" i="5" s="1"/>
  <c r="B49" i="5" l="1"/>
  <c r="C49" i="5" s="1"/>
  <c r="D49" i="5" s="1"/>
  <c r="E49" i="5" s="1"/>
  <c r="F49" i="5" s="1"/>
  <c r="G49" i="5" s="1"/>
  <c r="A50" i="5" s="1"/>
  <c r="B50" i="5" l="1"/>
  <c r="C50" i="5" s="1"/>
  <c r="D50" i="5" s="1"/>
  <c r="E50" i="5" s="1"/>
  <c r="F50" i="5" s="1"/>
  <c r="G50" i="5" s="1"/>
  <c r="A51" i="5" s="1"/>
  <c r="B51" i="5" l="1"/>
  <c r="C51" i="5" s="1"/>
  <c r="D51" i="5" s="1"/>
  <c r="E51" i="5" s="1"/>
  <c r="F51" i="5" s="1"/>
  <c r="G51" i="5" s="1"/>
  <c r="A52" i="5" s="1"/>
  <c r="B52" i="5" l="1"/>
  <c r="C52" i="5" s="1"/>
  <c r="D52" i="5" s="1"/>
  <c r="E52" i="5" s="1"/>
  <c r="F52" i="5" s="1"/>
  <c r="G52" i="5" s="1"/>
  <c r="A53" i="5" s="1"/>
  <c r="B53" i="5" l="1"/>
  <c r="C53" i="5" s="1"/>
  <c r="D53" i="5" s="1"/>
  <c r="E53" i="5" s="1"/>
  <c r="F53" i="5" s="1"/>
  <c r="G53" i="5" s="1"/>
  <c r="L28" i="10" l="1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7" i="10"/>
  <c r="L6" i="10"/>
  <c r="L5" i="10"/>
  <c r="L4" i="10"/>
  <c r="L3" i="10"/>
  <c r="L2" i="10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6" i="9"/>
  <c r="L5" i="9"/>
  <c r="L4" i="9"/>
  <c r="L3" i="9"/>
  <c r="L2" i="9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7" i="8"/>
  <c r="L5" i="8"/>
  <c r="L4" i="8"/>
  <c r="L3" i="8"/>
  <c r="L2" i="8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N2" i="6" l="1"/>
  <c r="N8" i="6" s="1"/>
  <c r="N2" i="7"/>
  <c r="N8" i="7" s="1"/>
  <c r="N2" i="10"/>
  <c r="N2" i="8"/>
  <c r="N8" i="8" s="1"/>
  <c r="N2" i="9"/>
  <c r="N8" i="9" s="1"/>
  <c r="N8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8DC4AE71-08C5-4EE8-B675-2490047286F8}">
      <text>
        <r>
          <rPr>
            <sz val="9"/>
            <color indexed="81"/>
            <rFont val="Tahoma"/>
            <family val="2"/>
          </rPr>
          <t>geel=Feestdag in periode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00000000-0006-0000-0400-000001000000}">
      <text>
        <r>
          <rPr>
            <sz val="9"/>
            <color indexed="81"/>
            <rFont val="Tahoma"/>
            <family val="2"/>
          </rPr>
          <t>geel=Feestdag in periode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00000000-0006-0000-0300-000001000000}">
      <text>
        <r>
          <rPr>
            <sz val="9"/>
            <color indexed="81"/>
            <rFont val="Tahoma"/>
            <family val="2"/>
          </rPr>
          <t>geel=Feestdag in periode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F6EBA988-99FF-4382-84DA-4F39E0239369}">
      <text>
        <r>
          <rPr>
            <sz val="9"/>
            <color indexed="81"/>
            <rFont val="Tahoma"/>
            <family val="2"/>
          </rPr>
          <t>geel=Feestdag in periode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3B3AAA3B-3657-4204-BA75-973C9661567B}">
      <text>
        <r>
          <rPr>
            <sz val="9"/>
            <color indexed="81"/>
            <rFont val="Tahoma"/>
            <family val="2"/>
          </rPr>
          <t>geel=Feestdag in periode</t>
        </r>
      </text>
    </comment>
    <comment ref="N8" authorId="0" shapeId="0" xr:uid="{C2DC3C8E-A6C5-4F86-8291-E0679190CCC5}">
      <text>
        <r>
          <rPr>
            <sz val="9"/>
            <color indexed="81"/>
            <rFont val="Tahoma"/>
            <family val="2"/>
          </rPr>
          <t>Aan manager gevraagd om 2 extra dagen over te zetten naar 2024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3F91C220-D086-41B7-88D2-F93B6A1FDA04}">
      <text>
        <r>
          <rPr>
            <sz val="9"/>
            <color indexed="81"/>
            <rFont val="Tahoma"/>
            <family val="2"/>
          </rPr>
          <t>geel=Feestdag in periode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360FF35C-9F1B-4CAD-846E-37F4207B4F5F}">
      <text>
        <r>
          <rPr>
            <sz val="11"/>
            <color theme="1"/>
            <rFont val="Calibri"/>
            <family val="2"/>
            <scheme val="minor"/>
          </rPr>
          <t>geel=Feestdag in periode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60596220-609D-4F9A-A3A9-8A552121CA2A}">
      <text>
        <r>
          <rPr>
            <sz val="11"/>
            <color theme="1"/>
            <rFont val="Calibri"/>
            <family val="2"/>
            <scheme val="minor"/>
          </rPr>
          <t>geel=Feestdag in periode</t>
        </r>
      </text>
    </comment>
    <comment ref="N8" authorId="0" shapeId="0" xr:uid="{FFAAB050-F105-4DE0-8A4B-57EBA7C96FA5}">
      <text>
        <r>
          <rPr>
            <sz val="9"/>
            <color indexed="81"/>
            <rFont val="Tahoma"/>
            <charset val="1"/>
          </rPr>
          <t>ik mag voor jaar 2026 20 dagen laten uitbetalen wegens vertrek en ik wil extra beschikbaar zijn voor opleiding/kennisoverdracht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<sst xmlns="http://schemas.openxmlformats.org/spreadsheetml/2006/main" count="144" uniqueCount="24">
  <si>
    <t>Ma</t>
  </si>
  <si>
    <t>Di</t>
  </si>
  <si>
    <t>Wo</t>
  </si>
  <si>
    <t>Do</t>
  </si>
  <si>
    <t>Vr</t>
  </si>
  <si>
    <t>Zat</t>
  </si>
  <si>
    <t>Zo</t>
  </si>
  <si>
    <t>Van</t>
  </si>
  <si>
    <t>#werkdagen</t>
  </si>
  <si>
    <t>Aantal</t>
  </si>
  <si>
    <t>BE feestdagen</t>
  </si>
  <si>
    <t>Verlof saldo</t>
  </si>
  <si>
    <t>Vrije verlofdagen</t>
  </si>
  <si>
    <t>Maand</t>
  </si>
  <si>
    <t>Uitleg</t>
  </si>
  <si>
    <t>Rood=Feestdagen</t>
  </si>
  <si>
    <t>Oranje=verlofdagen</t>
  </si>
  <si>
    <t>Blauw=vandaag</t>
  </si>
  <si>
    <t>Jaar</t>
  </si>
  <si>
    <t>Aantal gebruikt</t>
  </si>
  <si>
    <t>Rood = Feestdagen</t>
  </si>
  <si>
    <t>Oranje = verlofdagen</t>
  </si>
  <si>
    <t>Blauw = vandaag</t>
  </si>
  <si>
    <t>Tot en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</si>
</sst>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d\ dd/mm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0" fontId="1" fillId="0" borderId="0" xfId="0" applyFont="1"/>
    <xf numFmtId="0" fontId="4" fillId="0" borderId="0" xfId="0" applyFont="1"/>
    <xf numFmtId="0" fontId="1" fillId="2" borderId="0" xfId="0" applyFont="1" applyFill="1"/>
    <xf numFmtId="0" fontId="1" fillId="0" borderId="1" xfId="0" applyFont="1" applyBorder="1"/>
    <xf numFmtId="164" fontId="0" fillId="0" borderId="1" xfId="0" applyNumberFormat="1" applyBorder="1"/>
    <xf numFmtId="165" fontId="0" fillId="0" borderId="0" xfId="0" applyNumberFormat="1"/>
    <xf numFmtId="164" fontId="5" fillId="0" borderId="0" xfId="0" applyNumberFormat="1" applyFont="1"/>
    <xf numFmtId="165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164" fontId="0" fillId="4" borderId="0" xfId="0" applyNumberFormat="1" applyFill="1"/>
  </cellXfs>
  <cellStyles count="1">
    <cellStyle name="Normal" xfId="0" builtinId="0"/>
  </cellStyles>
  <dxfs count="49">
    <dxf>
      <fill>
        <patternFill>
          <bgColor rgb="FFFFFF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FE38B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8" tint="-0.24994659260841701"/>
      </font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8" tint="-0.24994659260841701"/>
      </font>
    </dxf>
    <dxf>
      <font>
        <b/>
        <i val="0"/>
      </font>
      <fill>
        <patternFill>
          <bgColor rgb="FFFF7C8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8" tint="-0.24994659260841701"/>
      </font>
    </dxf>
    <dxf>
      <font>
        <b/>
        <i val="0"/>
      </font>
      <fill>
        <patternFill>
          <bgColor rgb="FFFF7C8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color theme="8" tint="-0.24994659260841701"/>
      </font>
    </dxf>
    <dxf>
      <font>
        <b/>
        <i val="0"/>
      </font>
      <fill>
        <patternFill>
          <bgColor rgb="FFFF7C8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color theme="8" tint="-0.24994659260841701"/>
      </font>
    </dxf>
    <dxf>
      <font>
        <b/>
        <i val="0"/>
      </font>
      <fill>
        <patternFill>
          <bgColor rgb="FFFF7C8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color theme="8" tint="-0.24994659260841701"/>
      </font>
    </dxf>
    <dxf>
      <font>
        <b/>
        <i val="0"/>
      </font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E38B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5</xdr:row>
      <xdr:rowOff>0</xdr:rowOff>
    </xdr:from>
    <xdr:to>
      <xdr:col>16</xdr:col>
      <xdr:colOff>0</xdr:colOff>
      <xdr:row>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537960" y="914400"/>
          <a:ext cx="2049780" cy="807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BE" sz="1100"/>
            <a:t>Totaal</a:t>
          </a:r>
          <a:r>
            <a:rPr lang="en-BE" sz="1100" baseline="0"/>
            <a:t> 30 verlofdagen</a:t>
          </a:r>
        </a:p>
        <a:p>
          <a:r>
            <a:rPr lang="en-BE" sz="1100" baseline="0"/>
            <a:t>-29 geplande verlofdagen</a:t>
          </a:r>
          <a:endParaRPr lang="en-BE" sz="1100"/>
        </a:p>
        <a:p>
          <a:r>
            <a:rPr lang="en-BE" sz="1100"/>
            <a:t>=&gt;1 dag</a:t>
          </a:r>
          <a:r>
            <a:rPr lang="en-BE" sz="1100" baseline="0"/>
            <a:t> overschot naar volgend jaar</a:t>
          </a:r>
          <a:endParaRPr lang="nl-BE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mie Wong" id="{2D4BBAE4-E67B-4640-BB1B-90C53FC166A0}" userId="S::jamie.wong@blscargo.be::ac45c767-4750-4f3d-a24e-f1ddb1d5e525" providerId="AD"/>
  <person displayName="Jamie Wong" id="{91D61FD5-8731-4CDF-9932-60B9200DF99B}" userId="S::jamie.wong@crossrail.be::ac45c767-4750-4f3d-a24e-f1ddb1d5e52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5-01-21T14:49:46.94" personId="{91D61FD5-8731-4CDF-9932-60B9200DF99B}" id="{360FF35C-9F1B-4CAD-846E-37F4207B4F5F}">
    <text>geel=Feestdag in periode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" dT="2025-01-21T14:49:46.94" personId="{91D61FD5-8731-4CDF-9932-60B9200DF99B}" id="{60596220-609D-4F9A-A3A9-8A552121CA2A}">
    <text>geel=Feestdag in periode</text>
  </threadedComment>
  <threadedComment ref="N15" dT="2026-08-25T09:24:44.60" personId="{2D4BBAE4-E67B-4640-BB1B-90C53FC166A0}" id="{93B6EA03-DC5F-4CFA-972C-F2CAEDA4802E}">
    <text>Hoeveel % werkdagen nog te gaan tot eind van het jaar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4A9E-E6D1-4033-8CD4-67ACF1C13346}">
  <sheetPr codeName="Sheet11"/>
  <dimension ref="A1:P64"/>
  <sheetViews>
    <sheetView workbookViewId="0">
      <selection activeCell="P1" sqref="P1"/>
    </sheetView>
  </sheetViews>
  <sheetFormatPr defaultRowHeight="15" x14ac:dyDescent="0.25"/>
  <cols>
    <col min="1" max="1" width="3.5703125" bestFit="1" customWidth="1"/>
    <col min="2" max="2" width="3" bestFit="1" customWidth="1"/>
    <col min="3" max="3" width="3.85546875" bestFit="1" customWidth="1"/>
    <col min="4" max="4" width="3.42578125" bestFit="1" customWidth="1"/>
    <col min="5" max="5" width="3" bestFit="1" customWidth="1"/>
    <col min="6" max="6" width="3.5703125" customWidth="1"/>
    <col min="7" max="7" width="3" customWidth="1"/>
    <col min="10" max="10" width="13.140625" bestFit="1" customWidth="1"/>
    <col min="11" max="11" width="10.5703125" bestFit="1" customWidth="1"/>
    <col min="12" max="12" width="10.85546875" bestFit="1" customWidth="1"/>
    <col min="13" max="13" width="10.5703125" bestFit="1" customWidth="1"/>
    <col min="15" max="16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23</v>
      </c>
      <c r="L1" t="s">
        <v>8</v>
      </c>
      <c r="N1" t="s">
        <v>9</v>
      </c>
      <c r="P1" t="s">
        <v>10</v>
      </c>
    </row>
    <row r="2" spans="1:16" x14ac:dyDescent="0.25">
      <c r="A2" s="2">
        <v>46267</v>
      </c>
      <c r="B2" s="2">
        <f>A2+1</f>
        <v>46268</v>
      </c>
      <c r="C2" s="2">
        <f t="shared" ref="C2:G3" si="0">B2+1</f>
        <v>46269</v>
      </c>
      <c r="D2" s="2">
        <f t="shared" si="0"/>
        <v>46270</v>
      </c>
      <c r="E2" s="2">
        <f t="shared" si="0"/>
        <v>46271</v>
      </c>
      <c r="F2" s="2">
        <f t="shared" si="0"/>
        <v>46272</v>
      </c>
      <c r="G2" s="2">
        <f t="shared" si="0"/>
        <v>46273</v>
      </c>
      <c r="J2" s="1">
        <v>43728</v>
      </c>
      <c r="K2" s="1">
        <v>43728</v>
      </c>
      <c r="L2">
        <f ca="1">SUMPRODUCT((WEEKDAY(ROW(INDIRECT(J2&amp;":"&amp;K2)),2)&lt;=5)*1)-SUMPRODUCT(($P$2:$P$4&lt;=K2)*($P$2:$P$4&gt;=J2)*1)</f>
        <v>1</v>
      </c>
      <c r="N2">
        <f ca="1">SUM(L2:L51)</f>
        <v>25</v>
      </c>
      <c r="O2" s="3"/>
      <c r="P2" s="6">
        <v>43780</v>
      </c>
    </row>
    <row r="3" spans="1:16" x14ac:dyDescent="0.25">
      <c r="A3" s="2">
        <f t="shared" ref="A3:A19" si="1">G2+1</f>
        <v>46274</v>
      </c>
      <c r="B3" s="2">
        <f>A3+1</f>
        <v>46275</v>
      </c>
      <c r="C3" s="2">
        <f t="shared" si="0"/>
        <v>46276</v>
      </c>
      <c r="D3" s="2">
        <f t="shared" si="0"/>
        <v>46277</v>
      </c>
      <c r="E3" s="2">
        <f t="shared" si="0"/>
        <v>46278</v>
      </c>
      <c r="F3" s="2">
        <f t="shared" si="0"/>
        <v>46279</v>
      </c>
      <c r="G3" s="2">
        <f t="shared" si="0"/>
        <v>46280</v>
      </c>
      <c r="J3" s="1">
        <v>43733</v>
      </c>
      <c r="K3" s="1">
        <v>43734</v>
      </c>
      <c r="L3">
        <f ca="1">SUMPRODUCT((WEEKDAY(ROW(INDIRECT(J3&amp;":"&amp;K3)),2)&lt;=5)*1)-SUMPRODUCT(($P$2:$P$4&lt;=K3)*($P$2:$P$4&gt;=J3)*1)</f>
        <v>2</v>
      </c>
      <c r="O3" s="4"/>
      <c r="P3" s="4">
        <v>43824</v>
      </c>
    </row>
    <row r="4" spans="1:16" x14ac:dyDescent="0.25">
      <c r="A4" s="2">
        <f t="shared" si="1"/>
        <v>46281</v>
      </c>
      <c r="B4" s="2">
        <f t="shared" ref="B4:G19" si="2">A4+1</f>
        <v>46282</v>
      </c>
      <c r="C4" s="2">
        <f t="shared" si="2"/>
        <v>46283</v>
      </c>
      <c r="D4" s="2">
        <f t="shared" si="2"/>
        <v>46284</v>
      </c>
      <c r="E4" s="22">
        <f t="shared" si="2"/>
        <v>46285</v>
      </c>
      <c r="F4" s="2">
        <f t="shared" si="2"/>
        <v>46286</v>
      </c>
      <c r="G4" s="2">
        <f t="shared" si="2"/>
        <v>46287</v>
      </c>
      <c r="J4" s="1">
        <v>43741</v>
      </c>
      <c r="K4" s="1">
        <v>43742</v>
      </c>
      <c r="L4">
        <f t="shared" ref="L4:L15" ca="1" si="3">SUMPRODUCT((WEEKDAY(ROW(INDIRECT(J4&amp;":"&amp;K4)),2)&lt;=5)*1)-SUMPRODUCT(($P$2:$P$4&lt;=K4)*($P$2:$P$4&gt;=J4)*1)</f>
        <v>2</v>
      </c>
      <c r="O4" s="4"/>
      <c r="P4" s="4"/>
    </row>
    <row r="5" spans="1:16" x14ac:dyDescent="0.25">
      <c r="A5" s="2">
        <f t="shared" si="1"/>
        <v>46288</v>
      </c>
      <c r="B5" s="2">
        <f t="shared" si="2"/>
        <v>46289</v>
      </c>
      <c r="C5" s="22">
        <f t="shared" si="2"/>
        <v>46290</v>
      </c>
      <c r="D5" s="22">
        <f t="shared" si="2"/>
        <v>46291</v>
      </c>
      <c r="E5" s="2">
        <f t="shared" si="2"/>
        <v>46292</v>
      </c>
      <c r="F5" s="2">
        <f t="shared" si="2"/>
        <v>46293</v>
      </c>
      <c r="G5" s="2">
        <f t="shared" si="2"/>
        <v>46294</v>
      </c>
      <c r="J5" s="1">
        <v>43748</v>
      </c>
      <c r="K5" s="1">
        <v>43749</v>
      </c>
      <c r="L5">
        <f t="shared" ca="1" si="3"/>
        <v>2</v>
      </c>
      <c r="O5" s="4"/>
      <c r="P5" s="5"/>
    </row>
    <row r="6" spans="1:16" x14ac:dyDescent="0.25">
      <c r="A6" s="2">
        <f t="shared" si="1"/>
        <v>46295</v>
      </c>
      <c r="B6" s="2">
        <f t="shared" si="2"/>
        <v>46296</v>
      </c>
      <c r="C6" s="2">
        <f t="shared" si="2"/>
        <v>46297</v>
      </c>
      <c r="D6" s="22">
        <f t="shared" si="2"/>
        <v>46298</v>
      </c>
      <c r="E6" s="22">
        <f t="shared" si="2"/>
        <v>46299</v>
      </c>
      <c r="F6" s="2">
        <f t="shared" si="2"/>
        <v>46300</v>
      </c>
      <c r="G6" s="2">
        <f t="shared" si="2"/>
        <v>46301</v>
      </c>
      <c r="J6" s="1">
        <v>43755</v>
      </c>
      <c r="K6" s="1">
        <v>43756</v>
      </c>
      <c r="L6">
        <f t="shared" ca="1" si="3"/>
        <v>2</v>
      </c>
      <c r="O6" s="4"/>
      <c r="P6" s="5"/>
    </row>
    <row r="7" spans="1:16" x14ac:dyDescent="0.25">
      <c r="A7" s="2">
        <f t="shared" si="1"/>
        <v>46302</v>
      </c>
      <c r="B7" s="2">
        <f t="shared" si="2"/>
        <v>46303</v>
      </c>
      <c r="C7" s="2">
        <f t="shared" si="2"/>
        <v>46304</v>
      </c>
      <c r="D7" s="22">
        <f t="shared" si="2"/>
        <v>46305</v>
      </c>
      <c r="E7" s="22">
        <f t="shared" si="2"/>
        <v>46306</v>
      </c>
      <c r="F7" s="2">
        <f t="shared" si="2"/>
        <v>46307</v>
      </c>
      <c r="G7" s="2">
        <f t="shared" si="2"/>
        <v>46308</v>
      </c>
      <c r="J7" s="1">
        <v>43762</v>
      </c>
      <c r="K7" s="1">
        <v>43763</v>
      </c>
      <c r="L7">
        <f t="shared" ca="1" si="3"/>
        <v>2</v>
      </c>
      <c r="O7" s="4"/>
      <c r="P7" s="5"/>
    </row>
    <row r="8" spans="1:16" x14ac:dyDescent="0.25">
      <c r="A8" s="2">
        <f t="shared" si="1"/>
        <v>46309</v>
      </c>
      <c r="B8" s="2">
        <f t="shared" si="2"/>
        <v>46310</v>
      </c>
      <c r="C8" s="2">
        <f t="shared" si="2"/>
        <v>46311</v>
      </c>
      <c r="D8" s="22">
        <f t="shared" si="2"/>
        <v>46312</v>
      </c>
      <c r="E8" s="22">
        <f t="shared" si="2"/>
        <v>46313</v>
      </c>
      <c r="F8" s="2">
        <f t="shared" si="2"/>
        <v>46314</v>
      </c>
      <c r="G8" s="2">
        <f t="shared" si="2"/>
        <v>46315</v>
      </c>
      <c r="J8" s="1">
        <v>43783</v>
      </c>
      <c r="K8" s="1">
        <v>43784</v>
      </c>
      <c r="L8">
        <f t="shared" ca="1" si="3"/>
        <v>2</v>
      </c>
      <c r="O8" s="4"/>
      <c r="P8" s="5"/>
    </row>
    <row r="9" spans="1:16" x14ac:dyDescent="0.25">
      <c r="A9" s="2">
        <f t="shared" si="1"/>
        <v>46316</v>
      </c>
      <c r="B9" s="2">
        <f t="shared" si="2"/>
        <v>46317</v>
      </c>
      <c r="C9" s="2">
        <f t="shared" si="2"/>
        <v>46318</v>
      </c>
      <c r="D9" s="22">
        <f t="shared" si="2"/>
        <v>46319</v>
      </c>
      <c r="E9" s="22">
        <f t="shared" si="2"/>
        <v>46320</v>
      </c>
      <c r="F9" s="2">
        <f t="shared" si="2"/>
        <v>46321</v>
      </c>
      <c r="G9" s="2">
        <f t="shared" si="2"/>
        <v>46322</v>
      </c>
      <c r="J9" s="1">
        <v>43790</v>
      </c>
      <c r="K9" s="1">
        <v>43791</v>
      </c>
      <c r="L9">
        <f t="shared" ca="1" si="3"/>
        <v>2</v>
      </c>
      <c r="O9" s="4"/>
      <c r="P9" s="5"/>
    </row>
    <row r="10" spans="1:16" x14ac:dyDescent="0.25">
      <c r="A10" s="2">
        <f t="shared" si="1"/>
        <v>46323</v>
      </c>
      <c r="B10" s="2">
        <f t="shared" si="2"/>
        <v>46324</v>
      </c>
      <c r="C10" s="2">
        <f t="shared" si="2"/>
        <v>46325</v>
      </c>
      <c r="D10" s="2">
        <f t="shared" si="2"/>
        <v>46326</v>
      </c>
      <c r="E10" s="2">
        <f t="shared" si="2"/>
        <v>46327</v>
      </c>
      <c r="F10" s="2">
        <f t="shared" si="2"/>
        <v>46328</v>
      </c>
      <c r="G10" s="2">
        <f t="shared" si="2"/>
        <v>46329</v>
      </c>
      <c r="J10" s="1">
        <v>43804</v>
      </c>
      <c r="K10" s="1">
        <v>43805</v>
      </c>
      <c r="L10">
        <f t="shared" ca="1" si="3"/>
        <v>2</v>
      </c>
      <c r="M10" s="1"/>
      <c r="O10" s="4"/>
      <c r="P10" s="5"/>
    </row>
    <row r="11" spans="1:16" x14ac:dyDescent="0.25">
      <c r="A11" s="2">
        <f t="shared" si="1"/>
        <v>46330</v>
      </c>
      <c r="B11" s="2">
        <f t="shared" si="2"/>
        <v>46331</v>
      </c>
      <c r="C11" s="2">
        <f t="shared" si="2"/>
        <v>46332</v>
      </c>
      <c r="D11" s="2">
        <f t="shared" si="2"/>
        <v>46333</v>
      </c>
      <c r="E11" s="2">
        <f t="shared" si="2"/>
        <v>46334</v>
      </c>
      <c r="F11" s="2">
        <f t="shared" si="2"/>
        <v>46335</v>
      </c>
      <c r="G11" s="2">
        <f t="shared" si="2"/>
        <v>46336</v>
      </c>
      <c r="J11" s="1">
        <v>43811</v>
      </c>
      <c r="K11" s="1">
        <v>43812</v>
      </c>
      <c r="L11">
        <f t="shared" ca="1" si="3"/>
        <v>2</v>
      </c>
      <c r="O11" s="4"/>
      <c r="P11" s="5"/>
    </row>
    <row r="12" spans="1:16" x14ac:dyDescent="0.25">
      <c r="A12" s="2">
        <f t="shared" si="1"/>
        <v>46337</v>
      </c>
      <c r="B12" s="2">
        <f t="shared" si="2"/>
        <v>46338</v>
      </c>
      <c r="C12" s="2">
        <f t="shared" si="2"/>
        <v>46339</v>
      </c>
      <c r="D12" s="22">
        <f t="shared" si="2"/>
        <v>46340</v>
      </c>
      <c r="E12" s="22">
        <f t="shared" si="2"/>
        <v>46341</v>
      </c>
      <c r="F12" s="2">
        <f t="shared" si="2"/>
        <v>46342</v>
      </c>
      <c r="G12" s="2">
        <f t="shared" si="2"/>
        <v>46343</v>
      </c>
      <c r="J12" s="1">
        <v>43823</v>
      </c>
      <c r="K12" s="1">
        <v>43823</v>
      </c>
      <c r="L12">
        <f t="shared" ca="1" si="3"/>
        <v>1</v>
      </c>
      <c r="O12" s="4"/>
      <c r="P12" s="5"/>
    </row>
    <row r="13" spans="1:16" x14ac:dyDescent="0.25">
      <c r="A13" s="2">
        <f t="shared" si="1"/>
        <v>46344</v>
      </c>
      <c r="B13" s="2">
        <f t="shared" si="2"/>
        <v>46345</v>
      </c>
      <c r="C13" s="2">
        <f t="shared" si="2"/>
        <v>46346</v>
      </c>
      <c r="D13" s="22">
        <f t="shared" si="2"/>
        <v>46347</v>
      </c>
      <c r="E13" s="22">
        <f t="shared" si="2"/>
        <v>46348</v>
      </c>
      <c r="F13" s="2">
        <f t="shared" si="2"/>
        <v>46349</v>
      </c>
      <c r="G13" s="2">
        <f t="shared" si="2"/>
        <v>46350</v>
      </c>
      <c r="J13" s="1">
        <v>43818</v>
      </c>
      <c r="K13" s="1">
        <v>43819</v>
      </c>
      <c r="L13">
        <f t="shared" ca="1" si="3"/>
        <v>2</v>
      </c>
      <c r="O13" s="4"/>
      <c r="P13" s="5"/>
    </row>
    <row r="14" spans="1:16" x14ac:dyDescent="0.25">
      <c r="A14" s="2">
        <f t="shared" si="1"/>
        <v>46351</v>
      </c>
      <c r="B14" s="2">
        <f t="shared" si="2"/>
        <v>46352</v>
      </c>
      <c r="C14" s="2">
        <f t="shared" si="2"/>
        <v>46353</v>
      </c>
      <c r="D14" s="2">
        <f t="shared" si="2"/>
        <v>46354</v>
      </c>
      <c r="E14" s="2">
        <f t="shared" si="2"/>
        <v>46355</v>
      </c>
      <c r="F14" s="2">
        <f t="shared" si="2"/>
        <v>46356</v>
      </c>
      <c r="G14" s="2">
        <f t="shared" si="2"/>
        <v>46357</v>
      </c>
      <c r="J14" s="1">
        <v>43825</v>
      </c>
      <c r="K14" s="1">
        <v>43826</v>
      </c>
      <c r="L14">
        <f t="shared" ca="1" si="3"/>
        <v>2</v>
      </c>
      <c r="O14" s="4"/>
      <c r="P14" s="5"/>
    </row>
    <row r="15" spans="1:16" x14ac:dyDescent="0.25">
      <c r="A15" s="2">
        <f t="shared" si="1"/>
        <v>46358</v>
      </c>
      <c r="B15" s="2">
        <f t="shared" si="2"/>
        <v>46359</v>
      </c>
      <c r="C15" s="2">
        <f t="shared" si="2"/>
        <v>46360</v>
      </c>
      <c r="D15" s="22">
        <f t="shared" si="2"/>
        <v>46361</v>
      </c>
      <c r="E15" s="22">
        <f t="shared" si="2"/>
        <v>46362</v>
      </c>
      <c r="F15" s="2">
        <f t="shared" si="2"/>
        <v>46363</v>
      </c>
      <c r="G15" s="2">
        <f t="shared" si="2"/>
        <v>46364</v>
      </c>
      <c r="J15" s="1">
        <v>43830</v>
      </c>
      <c r="K15" s="1">
        <v>43830</v>
      </c>
      <c r="L15">
        <f t="shared" ca="1" si="3"/>
        <v>1</v>
      </c>
      <c r="O15" s="4"/>
      <c r="P15" s="5"/>
    </row>
    <row r="16" spans="1:16" x14ac:dyDescent="0.25">
      <c r="A16" s="2">
        <f t="shared" si="1"/>
        <v>46365</v>
      </c>
      <c r="B16" s="2">
        <f t="shared" si="2"/>
        <v>46366</v>
      </c>
      <c r="C16" s="2">
        <f t="shared" si="2"/>
        <v>46367</v>
      </c>
      <c r="D16" s="22">
        <f t="shared" si="2"/>
        <v>46368</v>
      </c>
      <c r="E16" s="22">
        <f t="shared" si="2"/>
        <v>46369</v>
      </c>
      <c r="F16" s="2">
        <f t="shared" si="2"/>
        <v>46370</v>
      </c>
      <c r="G16" s="2">
        <f t="shared" si="2"/>
        <v>46371</v>
      </c>
      <c r="P16" s="5"/>
    </row>
    <row r="17" spans="1:16" x14ac:dyDescent="0.25">
      <c r="A17" s="2">
        <f t="shared" si="1"/>
        <v>46372</v>
      </c>
      <c r="B17" s="2">
        <f t="shared" si="2"/>
        <v>46373</v>
      </c>
      <c r="C17" s="2">
        <f t="shared" si="2"/>
        <v>46374</v>
      </c>
      <c r="D17" s="22">
        <f t="shared" si="2"/>
        <v>46375</v>
      </c>
      <c r="E17" s="22">
        <f t="shared" si="2"/>
        <v>46376</v>
      </c>
      <c r="F17" s="2">
        <f t="shared" si="2"/>
        <v>46377</v>
      </c>
      <c r="G17" s="2">
        <f t="shared" si="2"/>
        <v>46378</v>
      </c>
      <c r="O17" s="4"/>
      <c r="P17" s="5"/>
    </row>
    <row r="18" spans="1:16" x14ac:dyDescent="0.25">
      <c r="A18" s="2">
        <f t="shared" si="1"/>
        <v>46379</v>
      </c>
      <c r="B18" s="22">
        <f t="shared" si="2"/>
        <v>46380</v>
      </c>
      <c r="C18" s="2">
        <f t="shared" si="2"/>
        <v>46381</v>
      </c>
      <c r="D18" s="22">
        <f t="shared" si="2"/>
        <v>46382</v>
      </c>
      <c r="E18" s="22">
        <f t="shared" si="2"/>
        <v>46383</v>
      </c>
      <c r="F18" s="2">
        <f t="shared" si="2"/>
        <v>46384</v>
      </c>
      <c r="G18" s="2">
        <f t="shared" si="2"/>
        <v>46385</v>
      </c>
      <c r="O18" s="4"/>
      <c r="P18" s="5"/>
    </row>
    <row r="19" spans="1:16" x14ac:dyDescent="0.25">
      <c r="A19" s="2">
        <f t="shared" si="1"/>
        <v>46386</v>
      </c>
      <c r="B19" s="22">
        <f t="shared" si="2"/>
        <v>46387</v>
      </c>
      <c r="C19" s="2">
        <f t="shared" si="2"/>
        <v>46388</v>
      </c>
      <c r="D19" s="2">
        <f t="shared" si="2"/>
        <v>46389</v>
      </c>
      <c r="E19" s="2"/>
      <c r="F19" s="2"/>
      <c r="G19" s="2"/>
      <c r="O19" s="4"/>
      <c r="P19" s="5"/>
    </row>
    <row r="20" spans="1:16" x14ac:dyDescent="0.25">
      <c r="A20" s="2"/>
      <c r="B20" s="2"/>
      <c r="C20" s="2"/>
      <c r="D20" s="2"/>
      <c r="E20" s="2"/>
      <c r="F20" s="2"/>
      <c r="G20" s="2"/>
      <c r="O20" s="4"/>
      <c r="P20" s="5"/>
    </row>
    <row r="21" spans="1:16" x14ac:dyDescent="0.25">
      <c r="A21" s="2"/>
      <c r="B21" s="2"/>
      <c r="C21" s="2"/>
      <c r="D21" s="2"/>
      <c r="E21" s="2"/>
      <c r="F21" s="2"/>
      <c r="G21" s="2"/>
      <c r="O21" s="4"/>
      <c r="P21" s="5"/>
    </row>
    <row r="22" spans="1:16" x14ac:dyDescent="0.25">
      <c r="A22" s="2"/>
      <c r="B22" s="2"/>
      <c r="C22" s="2"/>
      <c r="D22" s="2"/>
      <c r="E22" s="2"/>
      <c r="F22" s="2"/>
      <c r="G22" s="2"/>
      <c r="O22" s="4"/>
      <c r="P22" s="5"/>
    </row>
    <row r="23" spans="1:16" x14ac:dyDescent="0.25">
      <c r="A23" s="2"/>
      <c r="B23" s="2"/>
      <c r="C23" s="2"/>
      <c r="D23" s="2"/>
      <c r="E23" s="2"/>
      <c r="F23" s="2"/>
      <c r="G23" s="2"/>
      <c r="O23" s="4"/>
      <c r="P23" s="5"/>
    </row>
    <row r="24" spans="1:16" x14ac:dyDescent="0.25">
      <c r="A24" s="2"/>
      <c r="B24" s="2"/>
      <c r="C24" s="2"/>
      <c r="D24" s="2"/>
      <c r="E24" s="2"/>
      <c r="F24" s="2"/>
      <c r="G24" s="2"/>
      <c r="O24" s="4"/>
      <c r="P24" s="5"/>
    </row>
    <row r="25" spans="1:16" x14ac:dyDescent="0.25">
      <c r="A25" s="2"/>
      <c r="B25" s="2"/>
      <c r="C25" s="2"/>
      <c r="D25" s="2"/>
      <c r="E25" s="2"/>
      <c r="F25" s="2"/>
      <c r="G25" s="2"/>
      <c r="O25" s="4"/>
      <c r="P25" s="5"/>
    </row>
    <row r="26" spans="1:16" x14ac:dyDescent="0.25">
      <c r="A26" s="2"/>
      <c r="B26" s="2"/>
      <c r="C26" s="2"/>
      <c r="D26" s="2"/>
      <c r="E26" s="2"/>
      <c r="F26" s="2"/>
      <c r="G26" s="2"/>
      <c r="O26" s="4"/>
      <c r="P26" s="5"/>
    </row>
    <row r="27" spans="1:16" x14ac:dyDescent="0.25">
      <c r="A27" s="2"/>
      <c r="B27" s="2"/>
      <c r="C27" s="2"/>
      <c r="D27" s="2"/>
      <c r="E27" s="2"/>
      <c r="F27" s="2"/>
      <c r="G27" s="2"/>
    </row>
    <row r="28" spans="1:16" x14ac:dyDescent="0.25">
      <c r="A28" s="2"/>
      <c r="B28" s="2"/>
      <c r="C28" s="2"/>
      <c r="D28" s="2"/>
      <c r="E28" s="2"/>
      <c r="F28" s="2"/>
      <c r="G28" s="2"/>
    </row>
    <row r="29" spans="1:16" x14ac:dyDescent="0.25">
      <c r="A29" s="2"/>
      <c r="B29" s="2"/>
      <c r="C29" s="2"/>
      <c r="D29" s="2"/>
      <c r="E29" s="2"/>
      <c r="F29" s="2"/>
      <c r="G29" s="2"/>
    </row>
    <row r="30" spans="1:16" x14ac:dyDescent="0.25">
      <c r="A30" s="2"/>
      <c r="B30" s="2"/>
      <c r="C30" s="2"/>
      <c r="D30" s="2"/>
      <c r="E30" s="2"/>
      <c r="F30" s="2"/>
      <c r="G30" s="2"/>
    </row>
    <row r="31" spans="1:16" x14ac:dyDescent="0.25">
      <c r="A31" s="2"/>
      <c r="B31" s="2"/>
      <c r="C31" s="2"/>
      <c r="D31" s="2"/>
      <c r="E31" s="2"/>
      <c r="F31" s="2"/>
      <c r="G31" s="2"/>
    </row>
    <row r="32" spans="1:16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</sheetData>
  <conditionalFormatting sqref="A2:G64">
    <cfRule type="cellIs" dxfId="48" priority="35" operator="equal">
      <formula>TODAY()</formula>
    </cfRule>
    <cfRule type="expression" dxfId="47" priority="36">
      <formula>COUNTIFS($J$3:$J$13,"&lt;="&amp;A2,$K$3:$K$13,"&gt;=" &amp; A2)&gt;0</formula>
    </cfRule>
  </conditionalFormatting>
  <conditionalFormatting sqref="L2:L15">
    <cfRule type="expression" dxfId="46" priority="1">
      <formula>SUMPRODUCT(($P$2:$P$4&lt;=K2)*($P$2:$P$4&gt;=J2)*1)&gt;0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P64"/>
  <sheetViews>
    <sheetView workbookViewId="0"/>
  </sheetViews>
  <sheetFormatPr defaultRowHeight="15" x14ac:dyDescent="0.25"/>
  <cols>
    <col min="1" max="1" width="3.5703125" bestFit="1" customWidth="1"/>
    <col min="2" max="2" width="3" bestFit="1" customWidth="1"/>
    <col min="3" max="3" width="3.85546875" bestFit="1" customWidth="1"/>
    <col min="4" max="4" width="3.42578125" bestFit="1" customWidth="1"/>
    <col min="5" max="5" width="3" bestFit="1" customWidth="1"/>
    <col min="6" max="6" width="3.5703125" customWidth="1"/>
    <col min="7" max="7" width="3" customWidth="1"/>
    <col min="10" max="10" width="13.140625" bestFit="1" customWidth="1"/>
    <col min="11" max="11" width="10.5703125" bestFit="1" customWidth="1"/>
    <col min="12" max="12" width="10.85546875" bestFit="1" customWidth="1"/>
    <col min="13" max="13" width="10.5703125" bestFit="1" customWidth="1"/>
    <col min="15" max="16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23</v>
      </c>
      <c r="L1" t="s">
        <v>8</v>
      </c>
      <c r="N1" t="s">
        <v>9</v>
      </c>
      <c r="P1" t="s">
        <v>10</v>
      </c>
    </row>
    <row r="2" spans="1:16" x14ac:dyDescent="0.25">
      <c r="A2" s="2">
        <v>44074</v>
      </c>
      <c r="B2" s="2">
        <f>A2+1</f>
        <v>44075</v>
      </c>
      <c r="C2" s="2">
        <f t="shared" ref="C2:G3" si="0">B2+1</f>
        <v>44076</v>
      </c>
      <c r="D2" s="2">
        <f t="shared" si="0"/>
        <v>44077</v>
      </c>
      <c r="E2" s="2">
        <f t="shared" si="0"/>
        <v>44078</v>
      </c>
      <c r="F2" s="2">
        <f t="shared" si="0"/>
        <v>44079</v>
      </c>
      <c r="G2" s="2">
        <f t="shared" si="0"/>
        <v>44080</v>
      </c>
      <c r="J2" s="1">
        <v>44130</v>
      </c>
      <c r="K2" s="1">
        <v>44143</v>
      </c>
      <c r="L2">
        <f ca="1">SUMPRODUCT((WEEKDAY(ROW(INDIRECT(J2&amp;":"&amp;K2)),2)&lt;=5)*1)-SUMPRODUCT(($P$2:$P$4&lt;=K2)*($P$2:$P$4&gt;=J2)*1)</f>
        <v>10</v>
      </c>
      <c r="N2">
        <f ca="1">SUM(L2:L50)</f>
        <v>29</v>
      </c>
      <c r="O2" s="3"/>
      <c r="P2" s="6">
        <v>44146</v>
      </c>
    </row>
    <row r="3" spans="1:16" x14ac:dyDescent="0.25">
      <c r="A3" s="2">
        <f t="shared" ref="A3:A19" si="1">G2+1</f>
        <v>44081</v>
      </c>
      <c r="B3" s="2">
        <f>A3+1</f>
        <v>44082</v>
      </c>
      <c r="C3" s="2">
        <f t="shared" si="0"/>
        <v>44083</v>
      </c>
      <c r="D3" s="2">
        <f t="shared" si="0"/>
        <v>44084</v>
      </c>
      <c r="E3" s="2">
        <f t="shared" si="0"/>
        <v>44085</v>
      </c>
      <c r="F3" s="2">
        <f t="shared" si="0"/>
        <v>44086</v>
      </c>
      <c r="G3" s="2">
        <f t="shared" si="0"/>
        <v>44087</v>
      </c>
      <c r="J3" s="1">
        <v>44158</v>
      </c>
      <c r="K3" s="1">
        <v>44171</v>
      </c>
      <c r="L3">
        <f ca="1">SUMPRODUCT((WEEKDAY(ROW(INDIRECT(J3&amp;":"&amp;K3)),2)&lt;=5)*1)-SUMPRODUCT(($P$2:$P$4&lt;=K3)*($P$2:$P$4&gt;=J3)*1)</f>
        <v>10</v>
      </c>
      <c r="O3" s="4"/>
      <c r="P3" s="4">
        <v>44190</v>
      </c>
    </row>
    <row r="4" spans="1:16" x14ac:dyDescent="0.25">
      <c r="A4" s="2">
        <f t="shared" si="1"/>
        <v>44088</v>
      </c>
      <c r="B4" s="2">
        <f t="shared" ref="B4:G19" si="2">A4+1</f>
        <v>44089</v>
      </c>
      <c r="C4" s="2">
        <f t="shared" si="2"/>
        <v>44090</v>
      </c>
      <c r="D4" s="2">
        <f t="shared" si="2"/>
        <v>44091</v>
      </c>
      <c r="E4" s="2">
        <f t="shared" si="2"/>
        <v>44092</v>
      </c>
      <c r="F4" s="2">
        <f t="shared" si="2"/>
        <v>44093</v>
      </c>
      <c r="G4" s="2">
        <f t="shared" si="2"/>
        <v>44094</v>
      </c>
      <c r="J4" s="1">
        <v>44186</v>
      </c>
      <c r="K4" s="1">
        <v>44196</v>
      </c>
      <c r="L4">
        <f ca="1">SUMPRODUCT((WEEKDAY(ROW(INDIRECT(J4&amp;":"&amp;K4)),2)&lt;=5)*1)-SUMPRODUCT(($P$2:$P$4&lt;=K4)*($P$2:$P$4&gt;=J4)*1)</f>
        <v>8</v>
      </c>
      <c r="O4" s="4"/>
      <c r="P4" s="4"/>
    </row>
    <row r="5" spans="1:16" x14ac:dyDescent="0.25">
      <c r="A5" s="2">
        <f t="shared" si="1"/>
        <v>44095</v>
      </c>
      <c r="B5" s="2">
        <f t="shared" si="2"/>
        <v>44096</v>
      </c>
      <c r="C5" s="2">
        <f t="shared" si="2"/>
        <v>44097</v>
      </c>
      <c r="D5" s="2">
        <f t="shared" si="2"/>
        <v>44098</v>
      </c>
      <c r="E5" s="2">
        <f t="shared" si="2"/>
        <v>44099</v>
      </c>
      <c r="F5" s="2">
        <f t="shared" si="2"/>
        <v>44100</v>
      </c>
      <c r="G5" s="2">
        <f t="shared" si="2"/>
        <v>44101</v>
      </c>
      <c r="J5" s="1">
        <v>44175</v>
      </c>
      <c r="K5" s="1">
        <v>44175</v>
      </c>
      <c r="L5">
        <f ca="1">SUMPRODUCT((WEEKDAY(ROW(INDIRECT(J5&amp;":"&amp;K5)),2)&lt;=5)*1)-SUMPRODUCT(($P$2:$P$4&lt;=K5)*($P$2:$P$4&gt;=J5)*1)</f>
        <v>1</v>
      </c>
      <c r="O5" s="4"/>
      <c r="P5" s="5"/>
    </row>
    <row r="6" spans="1:16" x14ac:dyDescent="0.25">
      <c r="A6" s="2">
        <f t="shared" si="1"/>
        <v>44102</v>
      </c>
      <c r="B6" s="2">
        <f t="shared" si="2"/>
        <v>44103</v>
      </c>
      <c r="C6" s="2">
        <f t="shared" si="2"/>
        <v>44104</v>
      </c>
      <c r="D6" s="2">
        <f t="shared" si="2"/>
        <v>44105</v>
      </c>
      <c r="E6" s="2">
        <f t="shared" si="2"/>
        <v>44106</v>
      </c>
      <c r="F6" s="2">
        <f t="shared" si="2"/>
        <v>44107</v>
      </c>
      <c r="G6" s="2">
        <f t="shared" si="2"/>
        <v>44108</v>
      </c>
      <c r="J6" s="1"/>
      <c r="K6" s="1"/>
      <c r="O6" s="4"/>
      <c r="P6" s="5"/>
    </row>
    <row r="7" spans="1:16" x14ac:dyDescent="0.25">
      <c r="A7" s="2">
        <f t="shared" si="1"/>
        <v>44109</v>
      </c>
      <c r="B7" s="2">
        <f t="shared" si="2"/>
        <v>44110</v>
      </c>
      <c r="C7" s="2">
        <f t="shared" si="2"/>
        <v>44111</v>
      </c>
      <c r="D7" s="2">
        <f t="shared" si="2"/>
        <v>44112</v>
      </c>
      <c r="E7" s="2">
        <f t="shared" si="2"/>
        <v>44113</v>
      </c>
      <c r="F7" s="2">
        <f t="shared" si="2"/>
        <v>44114</v>
      </c>
      <c r="G7" s="2">
        <f t="shared" si="2"/>
        <v>44115</v>
      </c>
      <c r="O7" s="4"/>
      <c r="P7" s="5"/>
    </row>
    <row r="8" spans="1:16" x14ac:dyDescent="0.25">
      <c r="A8" s="2">
        <f t="shared" si="1"/>
        <v>44116</v>
      </c>
      <c r="B8" s="2">
        <f t="shared" si="2"/>
        <v>44117</v>
      </c>
      <c r="C8" s="2">
        <f t="shared" si="2"/>
        <v>44118</v>
      </c>
      <c r="D8" s="2">
        <f t="shared" si="2"/>
        <v>44119</v>
      </c>
      <c r="E8" s="2">
        <f t="shared" si="2"/>
        <v>44120</v>
      </c>
      <c r="F8" s="2">
        <f t="shared" si="2"/>
        <v>44121</v>
      </c>
      <c r="G8" s="2">
        <f t="shared" si="2"/>
        <v>44122</v>
      </c>
      <c r="O8" s="4"/>
      <c r="P8" s="5"/>
    </row>
    <row r="9" spans="1:16" x14ac:dyDescent="0.25">
      <c r="A9" s="2">
        <f t="shared" si="1"/>
        <v>44123</v>
      </c>
      <c r="B9" s="2">
        <f t="shared" si="2"/>
        <v>44124</v>
      </c>
      <c r="C9" s="2">
        <f t="shared" si="2"/>
        <v>44125</v>
      </c>
      <c r="D9" s="2">
        <f t="shared" si="2"/>
        <v>44126</v>
      </c>
      <c r="E9" s="2">
        <f t="shared" si="2"/>
        <v>44127</v>
      </c>
      <c r="F9" s="2">
        <f t="shared" si="2"/>
        <v>44128</v>
      </c>
      <c r="G9" s="2">
        <f t="shared" si="2"/>
        <v>44129</v>
      </c>
      <c r="O9" s="4"/>
      <c r="P9" s="5"/>
    </row>
    <row r="10" spans="1:16" x14ac:dyDescent="0.25">
      <c r="A10" s="2">
        <f t="shared" si="1"/>
        <v>44130</v>
      </c>
      <c r="B10" s="2">
        <f t="shared" si="2"/>
        <v>44131</v>
      </c>
      <c r="C10" s="2">
        <f t="shared" si="2"/>
        <v>44132</v>
      </c>
      <c r="D10" s="2">
        <f t="shared" si="2"/>
        <v>44133</v>
      </c>
      <c r="E10" s="2">
        <f t="shared" si="2"/>
        <v>44134</v>
      </c>
      <c r="F10" s="2">
        <f t="shared" si="2"/>
        <v>44135</v>
      </c>
      <c r="G10" s="2">
        <f t="shared" si="2"/>
        <v>44136</v>
      </c>
      <c r="L10" s="1"/>
      <c r="M10" s="1"/>
      <c r="O10" s="4"/>
      <c r="P10" s="5"/>
    </row>
    <row r="11" spans="1:16" x14ac:dyDescent="0.25">
      <c r="A11" s="2">
        <f t="shared" si="1"/>
        <v>44137</v>
      </c>
      <c r="B11" s="2">
        <f t="shared" si="2"/>
        <v>44138</v>
      </c>
      <c r="C11" s="2">
        <f t="shared" si="2"/>
        <v>44139</v>
      </c>
      <c r="D11" s="2">
        <f t="shared" si="2"/>
        <v>44140</v>
      </c>
      <c r="E11" s="2">
        <f t="shared" si="2"/>
        <v>44141</v>
      </c>
      <c r="F11" s="2">
        <f t="shared" si="2"/>
        <v>44142</v>
      </c>
      <c r="G11" s="2">
        <f t="shared" si="2"/>
        <v>44143</v>
      </c>
      <c r="O11" s="4"/>
      <c r="P11" s="5"/>
    </row>
    <row r="12" spans="1:16" x14ac:dyDescent="0.25">
      <c r="A12" s="2">
        <f t="shared" si="1"/>
        <v>44144</v>
      </c>
      <c r="B12" s="2">
        <f t="shared" si="2"/>
        <v>44145</v>
      </c>
      <c r="C12" s="2">
        <f t="shared" si="2"/>
        <v>44146</v>
      </c>
      <c r="D12" s="2">
        <f t="shared" si="2"/>
        <v>44147</v>
      </c>
      <c r="E12" s="2">
        <f t="shared" si="2"/>
        <v>44148</v>
      </c>
      <c r="F12" s="2">
        <f t="shared" si="2"/>
        <v>44149</v>
      </c>
      <c r="G12" s="2">
        <f t="shared" si="2"/>
        <v>44150</v>
      </c>
      <c r="O12" s="4"/>
      <c r="P12" s="5"/>
    </row>
    <row r="13" spans="1:16" x14ac:dyDescent="0.25">
      <c r="A13" s="2">
        <f t="shared" si="1"/>
        <v>44151</v>
      </c>
      <c r="B13" s="2">
        <f t="shared" si="2"/>
        <v>44152</v>
      </c>
      <c r="C13" s="2">
        <f t="shared" si="2"/>
        <v>44153</v>
      </c>
      <c r="D13" s="2">
        <f t="shared" si="2"/>
        <v>44154</v>
      </c>
      <c r="E13" s="2">
        <f t="shared" si="2"/>
        <v>44155</v>
      </c>
      <c r="F13" s="2">
        <f t="shared" si="2"/>
        <v>44156</v>
      </c>
      <c r="G13" s="2">
        <f t="shared" si="2"/>
        <v>44157</v>
      </c>
      <c r="O13" s="4"/>
      <c r="P13" s="5"/>
    </row>
    <row r="14" spans="1:16" x14ac:dyDescent="0.25">
      <c r="A14" s="2">
        <f t="shared" si="1"/>
        <v>44158</v>
      </c>
      <c r="B14" s="2">
        <f t="shared" si="2"/>
        <v>44159</v>
      </c>
      <c r="C14" s="2">
        <f t="shared" si="2"/>
        <v>44160</v>
      </c>
      <c r="D14" s="2">
        <f t="shared" si="2"/>
        <v>44161</v>
      </c>
      <c r="E14" s="2">
        <f t="shared" si="2"/>
        <v>44162</v>
      </c>
      <c r="F14" s="2">
        <f t="shared" si="2"/>
        <v>44163</v>
      </c>
      <c r="G14" s="2">
        <f t="shared" si="2"/>
        <v>44164</v>
      </c>
      <c r="O14" s="4"/>
      <c r="P14" s="5"/>
    </row>
    <row r="15" spans="1:16" x14ac:dyDescent="0.25">
      <c r="A15" s="2">
        <f t="shared" si="1"/>
        <v>44165</v>
      </c>
      <c r="B15" s="2">
        <f t="shared" si="2"/>
        <v>44166</v>
      </c>
      <c r="C15" s="2">
        <f t="shared" si="2"/>
        <v>44167</v>
      </c>
      <c r="D15" s="2">
        <f t="shared" si="2"/>
        <v>44168</v>
      </c>
      <c r="E15" s="2">
        <f t="shared" si="2"/>
        <v>44169</v>
      </c>
      <c r="F15" s="2">
        <f t="shared" si="2"/>
        <v>44170</v>
      </c>
      <c r="G15" s="2">
        <f t="shared" si="2"/>
        <v>44171</v>
      </c>
      <c r="O15" s="4"/>
      <c r="P15" s="5"/>
    </row>
    <row r="16" spans="1:16" x14ac:dyDescent="0.25">
      <c r="A16" s="2">
        <f t="shared" si="1"/>
        <v>44172</v>
      </c>
      <c r="B16" s="2">
        <f t="shared" si="2"/>
        <v>44173</v>
      </c>
      <c r="C16" s="2">
        <f t="shared" si="2"/>
        <v>44174</v>
      </c>
      <c r="D16" s="2">
        <f t="shared" si="2"/>
        <v>44175</v>
      </c>
      <c r="E16" s="2">
        <f t="shared" si="2"/>
        <v>44176</v>
      </c>
      <c r="F16" s="2">
        <f t="shared" si="2"/>
        <v>44177</v>
      </c>
      <c r="G16" s="2">
        <f t="shared" si="2"/>
        <v>44178</v>
      </c>
      <c r="P16" s="5"/>
    </row>
    <row r="17" spans="1:16" x14ac:dyDescent="0.25">
      <c r="A17" s="2">
        <f t="shared" si="1"/>
        <v>44179</v>
      </c>
      <c r="B17" s="2">
        <f t="shared" si="2"/>
        <v>44180</v>
      </c>
      <c r="C17" s="2">
        <f t="shared" si="2"/>
        <v>44181</v>
      </c>
      <c r="D17" s="2">
        <f t="shared" si="2"/>
        <v>44182</v>
      </c>
      <c r="E17" s="2">
        <f t="shared" si="2"/>
        <v>44183</v>
      </c>
      <c r="F17" s="2">
        <f t="shared" si="2"/>
        <v>44184</v>
      </c>
      <c r="G17" s="2">
        <f t="shared" si="2"/>
        <v>44185</v>
      </c>
      <c r="O17" s="4"/>
      <c r="P17" s="5"/>
    </row>
    <row r="18" spans="1:16" x14ac:dyDescent="0.25">
      <c r="A18" s="2">
        <f t="shared" si="1"/>
        <v>44186</v>
      </c>
      <c r="B18" s="2">
        <f t="shared" si="2"/>
        <v>44187</v>
      </c>
      <c r="C18" s="2">
        <f t="shared" si="2"/>
        <v>44188</v>
      </c>
      <c r="D18" s="2">
        <f t="shared" si="2"/>
        <v>44189</v>
      </c>
      <c r="E18" s="2">
        <f t="shared" si="2"/>
        <v>44190</v>
      </c>
      <c r="F18" s="2">
        <f t="shared" si="2"/>
        <v>44191</v>
      </c>
      <c r="G18" s="2">
        <f t="shared" si="2"/>
        <v>44192</v>
      </c>
      <c r="O18" s="4"/>
      <c r="P18" s="5"/>
    </row>
    <row r="19" spans="1:16" x14ac:dyDescent="0.25">
      <c r="A19" s="2">
        <f t="shared" si="1"/>
        <v>44193</v>
      </c>
      <c r="B19" s="2">
        <f t="shared" si="2"/>
        <v>44194</v>
      </c>
      <c r="C19" s="2">
        <f t="shared" si="2"/>
        <v>44195</v>
      </c>
      <c r="D19" s="2">
        <f t="shared" si="2"/>
        <v>44196</v>
      </c>
      <c r="E19" s="2"/>
      <c r="F19" s="2"/>
      <c r="G19" s="2"/>
      <c r="O19" s="4"/>
      <c r="P19" s="5"/>
    </row>
    <row r="20" spans="1:16" x14ac:dyDescent="0.25">
      <c r="A20" s="2"/>
      <c r="B20" s="2"/>
      <c r="C20" s="2"/>
      <c r="D20" s="2"/>
      <c r="E20" s="2"/>
      <c r="F20" s="2"/>
      <c r="G20" s="2"/>
      <c r="O20" s="4"/>
      <c r="P20" s="5"/>
    </row>
    <row r="21" spans="1:16" x14ac:dyDescent="0.25">
      <c r="A21" s="2"/>
      <c r="B21" s="2"/>
      <c r="C21" s="2"/>
      <c r="D21" s="2"/>
      <c r="E21" s="2"/>
      <c r="F21" s="2"/>
      <c r="G21" s="2"/>
      <c r="O21" s="4"/>
      <c r="P21" s="5"/>
    </row>
    <row r="22" spans="1:16" x14ac:dyDescent="0.25">
      <c r="A22" s="2"/>
      <c r="B22" s="2"/>
      <c r="C22" s="2"/>
      <c r="D22" s="2"/>
      <c r="E22" s="2"/>
      <c r="F22" s="2"/>
      <c r="G22" s="2"/>
      <c r="O22" s="4"/>
      <c r="P22" s="5"/>
    </row>
    <row r="23" spans="1:16" x14ac:dyDescent="0.25">
      <c r="A23" s="2"/>
      <c r="B23" s="2"/>
      <c r="C23" s="2"/>
      <c r="D23" s="2"/>
      <c r="E23" s="2"/>
      <c r="F23" s="2"/>
      <c r="G23" s="2"/>
      <c r="O23" s="4"/>
      <c r="P23" s="5"/>
    </row>
    <row r="24" spans="1:16" x14ac:dyDescent="0.25">
      <c r="A24" s="2"/>
      <c r="B24" s="2"/>
      <c r="C24" s="2"/>
      <c r="D24" s="2"/>
      <c r="E24" s="2"/>
      <c r="F24" s="2"/>
      <c r="G24" s="2"/>
      <c r="O24" s="4"/>
      <c r="P24" s="5"/>
    </row>
    <row r="25" spans="1:16" x14ac:dyDescent="0.25">
      <c r="A25" s="2"/>
      <c r="B25" s="2"/>
      <c r="C25" s="2"/>
      <c r="D25" s="2"/>
      <c r="E25" s="2"/>
      <c r="F25" s="2"/>
      <c r="G25" s="2"/>
      <c r="O25" s="4"/>
      <c r="P25" s="5"/>
    </row>
    <row r="26" spans="1:16" x14ac:dyDescent="0.25">
      <c r="A26" s="2"/>
      <c r="B26" s="2"/>
      <c r="C26" s="2"/>
      <c r="D26" s="2"/>
      <c r="E26" s="2"/>
      <c r="F26" s="2"/>
      <c r="G26" s="2"/>
      <c r="O26" s="4"/>
      <c r="P26" s="5"/>
    </row>
    <row r="27" spans="1:16" x14ac:dyDescent="0.25">
      <c r="A27" s="2"/>
      <c r="B27" s="2"/>
      <c r="C27" s="2"/>
      <c r="D27" s="2"/>
      <c r="E27" s="2"/>
      <c r="F27" s="2"/>
      <c r="G27" s="2"/>
    </row>
    <row r="28" spans="1:16" x14ac:dyDescent="0.25">
      <c r="A28" s="2"/>
      <c r="B28" s="2"/>
      <c r="C28" s="2"/>
      <c r="D28" s="2"/>
      <c r="E28" s="2"/>
      <c r="F28" s="2"/>
      <c r="G28" s="2"/>
    </row>
    <row r="29" spans="1:16" x14ac:dyDescent="0.25">
      <c r="A29" s="2"/>
      <c r="B29" s="2"/>
      <c r="C29" s="2"/>
      <c r="D29" s="2"/>
      <c r="E29" s="2"/>
      <c r="F29" s="2"/>
      <c r="G29" s="2"/>
    </row>
    <row r="30" spans="1:16" x14ac:dyDescent="0.25">
      <c r="A30" s="2"/>
      <c r="B30" s="2"/>
      <c r="C30" s="2"/>
      <c r="D30" s="2"/>
      <c r="E30" s="2"/>
      <c r="F30" s="2"/>
      <c r="G30" s="2"/>
    </row>
    <row r="31" spans="1:16" x14ac:dyDescent="0.25">
      <c r="A31" s="2"/>
      <c r="B31" s="2"/>
      <c r="C31" s="2"/>
      <c r="D31" s="2"/>
      <c r="E31" s="2"/>
      <c r="F31" s="2"/>
      <c r="G31" s="2"/>
    </row>
    <row r="32" spans="1:16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</sheetData>
  <conditionalFormatting sqref="A2:G64">
    <cfRule type="cellIs" dxfId="45" priority="2" operator="equal">
      <formula>TODAY()</formula>
    </cfRule>
    <cfRule type="expression" dxfId="44" priority="3">
      <formula>COUNTIFS($J$2:$J$20,"&lt;="&amp;A2,$K$2:$K$20,"&gt;=" &amp; A2)&gt;0</formula>
    </cfRule>
  </conditionalFormatting>
  <conditionalFormatting sqref="L2:L5">
    <cfRule type="expression" dxfId="43" priority="1">
      <formula>SUMPRODUCT(($P$2:$P$4&lt;=K2)*($P$2:$P$4&gt;=J2)*1)&gt;0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R64"/>
  <sheetViews>
    <sheetView showGridLines="0" workbookViewId="0"/>
  </sheetViews>
  <sheetFormatPr defaultRowHeight="15" x14ac:dyDescent="0.25"/>
  <cols>
    <col min="1" max="1" width="3.5703125" bestFit="1" customWidth="1"/>
    <col min="2" max="2" width="3" bestFit="1" customWidth="1"/>
    <col min="3" max="3" width="3.85546875" bestFit="1" customWidth="1"/>
    <col min="4" max="4" width="3.42578125" bestFit="1" customWidth="1"/>
    <col min="5" max="5" width="3" bestFit="1" customWidth="1"/>
    <col min="6" max="6" width="3.5703125" customWidth="1"/>
    <col min="7" max="7" width="3" customWidth="1"/>
    <col min="8" max="8" width="11.85546875" bestFit="1" customWidth="1"/>
    <col min="9" max="9" width="5.5703125" customWidth="1"/>
    <col min="10" max="10" width="13.140625" bestFit="1" customWidth="1"/>
    <col min="11" max="11" width="10.5703125" bestFit="1" customWidth="1"/>
    <col min="12" max="12" width="10.85546875" bestFit="1" customWidth="1"/>
    <col min="13" max="13" width="5.5703125" customWidth="1"/>
    <col min="14" max="14" width="15.5703125" bestFit="1" customWidth="1"/>
    <col min="15" max="15" width="5.5703125" customWidth="1"/>
    <col min="16" max="16" width="12.85546875" bestFit="1" customWidth="1"/>
    <col min="17" max="17" width="5.5703125" customWidth="1"/>
  </cols>
  <sheetData>
    <row r="1" spans="1:1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10" t="s">
        <v>13</v>
      </c>
      <c r="J1" s="9" t="s">
        <v>7</v>
      </c>
      <c r="K1" s="9" t="s">
        <v>23</v>
      </c>
      <c r="L1" s="9" t="s">
        <v>8</v>
      </c>
      <c r="N1" s="9" t="s">
        <v>9</v>
      </c>
      <c r="P1" s="9" t="s">
        <v>10</v>
      </c>
      <c r="R1" s="9" t="s">
        <v>14</v>
      </c>
    </row>
    <row r="2" spans="1:18" x14ac:dyDescent="0.25">
      <c r="A2" s="2">
        <f>DATE(N11,1,-2)-WEEKDAY(DATE(N11,1,3))+7</f>
        <v>44200</v>
      </c>
      <c r="B2" s="2">
        <f>A2+1</f>
        <v>44201</v>
      </c>
      <c r="C2" s="2">
        <f t="shared" ref="C2:G3" si="0">B2+1</f>
        <v>44202</v>
      </c>
      <c r="D2" s="2">
        <f t="shared" si="0"/>
        <v>44203</v>
      </c>
      <c r="E2" s="2">
        <f t="shared" si="0"/>
        <v>44204</v>
      </c>
      <c r="F2" s="2">
        <f t="shared" si="0"/>
        <v>44205</v>
      </c>
      <c r="G2" s="2">
        <f t="shared" si="0"/>
        <v>44206</v>
      </c>
      <c r="H2" s="11" t="str">
        <f>"KW"&amp;TEXT(_xlfn.ISOWEEKNUM($A2),"00") &amp;" " &amp; PROPER(TEXT(A2,"mmm-yy"))</f>
        <v>KW01 Jan-21</v>
      </c>
      <c r="J2" s="1">
        <v>44224</v>
      </c>
      <c r="K2" s="1">
        <v>44224</v>
      </c>
      <c r="L2">
        <f ca="1">SUMPRODUCT((WEEKDAY(ROW(INDIRECT(J2&amp;":"&amp;K2)),2)&lt;=5)*1)-SUMPRODUCT(($P$2:$P$11&lt;=K2)*($P$2:$P$11&gt;=J2)*1)</f>
        <v>1</v>
      </c>
      <c r="N2">
        <f ca="1">SUM(L2:L50)</f>
        <v>26</v>
      </c>
      <c r="O2" s="3"/>
      <c r="P2" s="6">
        <f>DATE(N11,1,1)</f>
        <v>44197</v>
      </c>
      <c r="R2" t="s">
        <v>15</v>
      </c>
    </row>
    <row r="3" spans="1:18" x14ac:dyDescent="0.25">
      <c r="A3" s="2">
        <f t="shared" ref="A3:A18" si="1">G2+1</f>
        <v>44207</v>
      </c>
      <c r="B3" s="2">
        <f>A3+1</f>
        <v>44208</v>
      </c>
      <c r="C3" s="2">
        <f t="shared" si="0"/>
        <v>44209</v>
      </c>
      <c r="D3" s="2">
        <f t="shared" si="0"/>
        <v>44210</v>
      </c>
      <c r="E3" s="2">
        <f t="shared" si="0"/>
        <v>44211</v>
      </c>
      <c r="F3" s="2">
        <f t="shared" si="0"/>
        <v>44212</v>
      </c>
      <c r="G3" s="2">
        <f t="shared" si="0"/>
        <v>44213</v>
      </c>
      <c r="H3" s="11" t="str">
        <f t="shared" ref="H3:H53" si="2">"KW"&amp;TEXT(_xlfn.ISOWEEKNUM($A3),"00") &amp;" " &amp; PROPER(TEXT(A3,"mmm-yy"))</f>
        <v>KW02 Jan-21</v>
      </c>
      <c r="J3" s="1">
        <v>44228</v>
      </c>
      <c r="K3" s="1">
        <v>44228</v>
      </c>
      <c r="L3">
        <v>0.5</v>
      </c>
      <c r="O3" s="4"/>
      <c r="P3" s="4">
        <f>DOLLAR(("4/"&amp;N11)/7+MOD(19*MOD(N11,19)-7,30)*14%,)*7-6+1</f>
        <v>44291</v>
      </c>
      <c r="R3" t="s">
        <v>16</v>
      </c>
    </row>
    <row r="4" spans="1:18" x14ac:dyDescent="0.25">
      <c r="A4" s="2">
        <f t="shared" si="1"/>
        <v>44214</v>
      </c>
      <c r="B4" s="2">
        <f t="shared" ref="B4:G18" si="3">A4+1</f>
        <v>44215</v>
      </c>
      <c r="C4" s="2">
        <f t="shared" si="3"/>
        <v>44216</v>
      </c>
      <c r="D4" s="2">
        <f t="shared" si="3"/>
        <v>44217</v>
      </c>
      <c r="E4" s="2">
        <f t="shared" si="3"/>
        <v>44218</v>
      </c>
      <c r="F4" s="2">
        <f t="shared" si="3"/>
        <v>44219</v>
      </c>
      <c r="G4" s="2">
        <f t="shared" si="3"/>
        <v>44220</v>
      </c>
      <c r="H4" s="11" t="str">
        <f t="shared" si="2"/>
        <v>KW03 Jan-21</v>
      </c>
      <c r="J4" s="1">
        <v>44246</v>
      </c>
      <c r="K4" s="1">
        <v>44246</v>
      </c>
      <c r="L4">
        <f ca="1">SUMPRODUCT((WEEKDAY(ROW(INDIRECT(J4&amp;":"&amp;K4)),2)&lt;=5)*1)-SUMPRODUCT(($P$2:$P$11&lt;=K4)*($P$2:$P$11&gt;=J4)*1)</f>
        <v>1</v>
      </c>
      <c r="N4" s="9" t="s">
        <v>11</v>
      </c>
      <c r="O4" s="4"/>
      <c r="P4" s="4">
        <f>DATE(N11,5,1)</f>
        <v>44317</v>
      </c>
      <c r="R4" t="s">
        <v>17</v>
      </c>
    </row>
    <row r="5" spans="1:18" x14ac:dyDescent="0.25">
      <c r="A5" s="2">
        <f t="shared" si="1"/>
        <v>44221</v>
      </c>
      <c r="B5" s="2">
        <f t="shared" si="3"/>
        <v>44222</v>
      </c>
      <c r="C5" s="2">
        <f t="shared" si="3"/>
        <v>44223</v>
      </c>
      <c r="D5" s="2">
        <f t="shared" si="3"/>
        <v>44224</v>
      </c>
      <c r="E5" s="2">
        <f t="shared" si="3"/>
        <v>44225</v>
      </c>
      <c r="F5" s="2">
        <f t="shared" si="3"/>
        <v>44226</v>
      </c>
      <c r="G5" s="2">
        <f t="shared" si="3"/>
        <v>44227</v>
      </c>
      <c r="H5" s="11" t="str">
        <f t="shared" si="2"/>
        <v>KW04 Jan-21</v>
      </c>
      <c r="J5" s="1">
        <v>44273</v>
      </c>
      <c r="K5" s="1">
        <v>44273</v>
      </c>
      <c r="L5">
        <v>0.5</v>
      </c>
      <c r="N5">
        <v>31</v>
      </c>
      <c r="O5" s="4"/>
      <c r="P5" s="4">
        <f>P3+38</f>
        <v>44329</v>
      </c>
    </row>
    <row r="6" spans="1:18" x14ac:dyDescent="0.25">
      <c r="A6" s="2">
        <f t="shared" si="1"/>
        <v>44228</v>
      </c>
      <c r="B6" s="2">
        <f t="shared" si="3"/>
        <v>44229</v>
      </c>
      <c r="C6" s="2">
        <f t="shared" si="3"/>
        <v>44230</v>
      </c>
      <c r="D6" s="2">
        <f t="shared" si="3"/>
        <v>44231</v>
      </c>
      <c r="E6" s="2">
        <f t="shared" si="3"/>
        <v>44232</v>
      </c>
      <c r="F6" s="2">
        <f t="shared" si="3"/>
        <v>44233</v>
      </c>
      <c r="G6" s="2">
        <f t="shared" si="3"/>
        <v>44234</v>
      </c>
      <c r="H6" s="11" t="str">
        <f t="shared" si="2"/>
        <v>KW05 Feb-21</v>
      </c>
      <c r="J6" s="1">
        <v>44403</v>
      </c>
      <c r="K6" s="1">
        <v>44409</v>
      </c>
      <c r="L6">
        <f t="shared" ref="L6:L11" ca="1" si="4">SUMPRODUCT((WEEKDAY(ROW(INDIRECT(J6&amp;":"&amp;K6)),2)&lt;=5)*1)-SUMPRODUCT(($P$2:$P$11&lt;=K6)*($P$2:$P$11&gt;=J6)*1)</f>
        <v>5</v>
      </c>
      <c r="O6" s="4"/>
      <c r="P6" s="4">
        <f>P3+49</f>
        <v>44340</v>
      </c>
    </row>
    <row r="7" spans="1:18" x14ac:dyDescent="0.25">
      <c r="A7" s="2">
        <f t="shared" si="1"/>
        <v>44235</v>
      </c>
      <c r="B7" s="2">
        <f t="shared" si="3"/>
        <v>44236</v>
      </c>
      <c r="C7" s="2">
        <f t="shared" si="3"/>
        <v>44237</v>
      </c>
      <c r="D7" s="2">
        <f t="shared" si="3"/>
        <v>44238</v>
      </c>
      <c r="E7" s="2">
        <f t="shared" si="3"/>
        <v>44239</v>
      </c>
      <c r="F7" s="2">
        <f t="shared" si="3"/>
        <v>44240</v>
      </c>
      <c r="G7" s="2">
        <f t="shared" si="3"/>
        <v>44241</v>
      </c>
      <c r="H7" s="11" t="str">
        <f t="shared" si="2"/>
        <v>KW06 Feb-21</v>
      </c>
      <c r="J7" s="1">
        <v>44438</v>
      </c>
      <c r="K7" s="1">
        <v>44444</v>
      </c>
      <c r="L7">
        <f t="shared" ca="1" si="4"/>
        <v>5</v>
      </c>
      <c r="N7" s="9" t="s">
        <v>12</v>
      </c>
      <c r="O7" s="4"/>
      <c r="P7" s="4">
        <f>DATE(N11,7,21)</f>
        <v>44398</v>
      </c>
    </row>
    <row r="8" spans="1:18" x14ac:dyDescent="0.25">
      <c r="A8" s="2">
        <f t="shared" si="1"/>
        <v>44242</v>
      </c>
      <c r="B8" s="2">
        <f t="shared" si="3"/>
        <v>44243</v>
      </c>
      <c r="C8" s="2">
        <f t="shared" si="3"/>
        <v>44244</v>
      </c>
      <c r="D8" s="2">
        <f t="shared" si="3"/>
        <v>44245</v>
      </c>
      <c r="E8" s="2">
        <f t="shared" si="3"/>
        <v>44246</v>
      </c>
      <c r="F8" s="2">
        <f t="shared" si="3"/>
        <v>44247</v>
      </c>
      <c r="G8" s="2">
        <f t="shared" si="3"/>
        <v>44248</v>
      </c>
      <c r="H8" s="11" t="str">
        <f t="shared" si="2"/>
        <v>KW07 Feb-21</v>
      </c>
      <c r="J8" s="1">
        <v>44466</v>
      </c>
      <c r="K8" s="1">
        <v>44472</v>
      </c>
      <c r="L8">
        <f t="shared" ca="1" si="4"/>
        <v>5</v>
      </c>
      <c r="N8">
        <f ca="1">N5-N2</f>
        <v>5</v>
      </c>
      <c r="O8" s="4"/>
      <c r="P8" s="4">
        <f>DATE(N11,8,15)</f>
        <v>44423</v>
      </c>
    </row>
    <row r="9" spans="1:18" x14ac:dyDescent="0.25">
      <c r="A9" s="2">
        <f t="shared" si="1"/>
        <v>44249</v>
      </c>
      <c r="B9" s="2">
        <f t="shared" si="3"/>
        <v>44250</v>
      </c>
      <c r="C9" s="2">
        <f t="shared" si="3"/>
        <v>44251</v>
      </c>
      <c r="D9" s="2">
        <f t="shared" si="3"/>
        <v>44252</v>
      </c>
      <c r="E9" s="2">
        <f t="shared" si="3"/>
        <v>44253</v>
      </c>
      <c r="F9" s="2">
        <f t="shared" si="3"/>
        <v>44254</v>
      </c>
      <c r="G9" s="2">
        <f t="shared" si="3"/>
        <v>44255</v>
      </c>
      <c r="H9" s="11" t="str">
        <f t="shared" si="2"/>
        <v>KW08 Feb-21</v>
      </c>
      <c r="J9" s="1">
        <v>44494</v>
      </c>
      <c r="K9" s="1">
        <v>44500</v>
      </c>
      <c r="L9">
        <f t="shared" ca="1" si="4"/>
        <v>5</v>
      </c>
      <c r="O9" s="4"/>
      <c r="P9" s="4">
        <f>DATE(N11,11,1)</f>
        <v>44501</v>
      </c>
    </row>
    <row r="10" spans="1:18" x14ac:dyDescent="0.25">
      <c r="A10" s="2">
        <f t="shared" si="1"/>
        <v>44256</v>
      </c>
      <c r="B10" s="2">
        <f t="shared" si="3"/>
        <v>44257</v>
      </c>
      <c r="C10" s="2">
        <f t="shared" si="3"/>
        <v>44258</v>
      </c>
      <c r="D10" s="2">
        <f t="shared" si="3"/>
        <v>44259</v>
      </c>
      <c r="E10" s="2">
        <f t="shared" si="3"/>
        <v>44260</v>
      </c>
      <c r="F10" s="2">
        <f t="shared" si="3"/>
        <v>44261</v>
      </c>
      <c r="G10" s="2">
        <f t="shared" si="3"/>
        <v>44262</v>
      </c>
      <c r="H10" s="11" t="str">
        <f t="shared" si="2"/>
        <v>KW09 Mar-21</v>
      </c>
      <c r="J10" s="1">
        <v>44530</v>
      </c>
      <c r="K10" s="1">
        <v>44531</v>
      </c>
      <c r="L10">
        <f t="shared" ca="1" si="4"/>
        <v>2</v>
      </c>
      <c r="M10" s="1"/>
      <c r="N10" s="9" t="s">
        <v>18</v>
      </c>
      <c r="O10" s="4"/>
      <c r="P10" s="4">
        <f>DATE(N11,11,11)</f>
        <v>44511</v>
      </c>
    </row>
    <row r="11" spans="1:18" x14ac:dyDescent="0.25">
      <c r="A11" s="2">
        <f t="shared" si="1"/>
        <v>44263</v>
      </c>
      <c r="B11" s="2">
        <f t="shared" si="3"/>
        <v>44264</v>
      </c>
      <c r="C11" s="2">
        <f t="shared" si="3"/>
        <v>44265</v>
      </c>
      <c r="D11" s="2">
        <f t="shared" si="3"/>
        <v>44266</v>
      </c>
      <c r="E11" s="2">
        <f t="shared" si="3"/>
        <v>44267</v>
      </c>
      <c r="F11" s="2">
        <f t="shared" si="3"/>
        <v>44268</v>
      </c>
      <c r="G11" s="2">
        <f t="shared" si="3"/>
        <v>44269</v>
      </c>
      <c r="H11" s="11" t="str">
        <f t="shared" si="2"/>
        <v>KW10 Mar-21</v>
      </c>
      <c r="J11" s="1">
        <v>44533</v>
      </c>
      <c r="K11" s="1">
        <v>44533</v>
      </c>
      <c r="L11">
        <f t="shared" ca="1" si="4"/>
        <v>1</v>
      </c>
      <c r="N11">
        <v>2021</v>
      </c>
      <c r="O11" s="4"/>
      <c r="P11" s="4">
        <f>DATE(N11,12,25)</f>
        <v>44555</v>
      </c>
    </row>
    <row r="12" spans="1:18" x14ac:dyDescent="0.25">
      <c r="A12" s="2">
        <f t="shared" si="1"/>
        <v>44270</v>
      </c>
      <c r="B12" s="2">
        <f t="shared" si="3"/>
        <v>44271</v>
      </c>
      <c r="C12" s="2">
        <f t="shared" si="3"/>
        <v>44272</v>
      </c>
      <c r="D12" s="2">
        <f t="shared" si="3"/>
        <v>44273</v>
      </c>
      <c r="E12" s="2">
        <f t="shared" si="3"/>
        <v>44274</v>
      </c>
      <c r="F12" s="2">
        <f t="shared" si="3"/>
        <v>44275</v>
      </c>
      <c r="G12" s="2">
        <f t="shared" si="3"/>
        <v>44276</v>
      </c>
      <c r="H12" s="11" t="str">
        <f t="shared" si="2"/>
        <v>KW11 Mar-21</v>
      </c>
      <c r="O12" s="4"/>
      <c r="P12" s="5"/>
    </row>
    <row r="13" spans="1:18" x14ac:dyDescent="0.25">
      <c r="A13" s="2">
        <f t="shared" si="1"/>
        <v>44277</v>
      </c>
      <c r="B13" s="2">
        <f t="shared" si="3"/>
        <v>44278</v>
      </c>
      <c r="C13" s="2">
        <f t="shared" si="3"/>
        <v>44279</v>
      </c>
      <c r="D13" s="2">
        <f t="shared" si="3"/>
        <v>44280</v>
      </c>
      <c r="E13" s="2">
        <f t="shared" si="3"/>
        <v>44281</v>
      </c>
      <c r="F13" s="2">
        <f t="shared" si="3"/>
        <v>44282</v>
      </c>
      <c r="G13" s="2">
        <f t="shared" si="3"/>
        <v>44283</v>
      </c>
      <c r="H13" s="11" t="str">
        <f t="shared" si="2"/>
        <v>KW12 Mar-21</v>
      </c>
      <c r="O13" s="4"/>
      <c r="P13" s="5"/>
    </row>
    <row r="14" spans="1:18" x14ac:dyDescent="0.25">
      <c r="A14" s="2">
        <f t="shared" si="1"/>
        <v>44284</v>
      </c>
      <c r="B14" s="2">
        <f t="shared" si="3"/>
        <v>44285</v>
      </c>
      <c r="C14" s="2">
        <f t="shared" si="3"/>
        <v>44286</v>
      </c>
      <c r="D14" s="2">
        <f t="shared" si="3"/>
        <v>44287</v>
      </c>
      <c r="E14" s="2">
        <f t="shared" si="3"/>
        <v>44288</v>
      </c>
      <c r="F14" s="2">
        <f t="shared" si="3"/>
        <v>44289</v>
      </c>
      <c r="G14" s="2">
        <f t="shared" si="3"/>
        <v>44290</v>
      </c>
      <c r="H14" s="11" t="str">
        <f t="shared" si="2"/>
        <v>KW13 Mar-21</v>
      </c>
      <c r="O14" s="4"/>
      <c r="P14" s="5"/>
    </row>
    <row r="15" spans="1:18" x14ac:dyDescent="0.25">
      <c r="A15" s="2">
        <f t="shared" si="1"/>
        <v>44291</v>
      </c>
      <c r="B15" s="2">
        <f t="shared" si="3"/>
        <v>44292</v>
      </c>
      <c r="C15" s="2">
        <f t="shared" si="3"/>
        <v>44293</v>
      </c>
      <c r="D15" s="2">
        <f t="shared" si="3"/>
        <v>44294</v>
      </c>
      <c r="E15" s="2">
        <f t="shared" si="3"/>
        <v>44295</v>
      </c>
      <c r="F15" s="2">
        <f t="shared" si="3"/>
        <v>44296</v>
      </c>
      <c r="G15" s="2">
        <f t="shared" si="3"/>
        <v>44297</v>
      </c>
      <c r="H15" s="11" t="str">
        <f t="shared" si="2"/>
        <v>KW14 Apr-21</v>
      </c>
      <c r="O15" s="4"/>
      <c r="P15" s="5"/>
    </row>
    <row r="16" spans="1:18" x14ac:dyDescent="0.25">
      <c r="A16" s="2">
        <f t="shared" si="1"/>
        <v>44298</v>
      </c>
      <c r="B16" s="2">
        <f t="shared" si="3"/>
        <v>44299</v>
      </c>
      <c r="C16" s="2">
        <f t="shared" si="3"/>
        <v>44300</v>
      </c>
      <c r="D16" s="2">
        <f t="shared" si="3"/>
        <v>44301</v>
      </c>
      <c r="E16" s="2">
        <f t="shared" si="3"/>
        <v>44302</v>
      </c>
      <c r="F16" s="2">
        <f t="shared" si="3"/>
        <v>44303</v>
      </c>
      <c r="G16" s="2">
        <f t="shared" si="3"/>
        <v>44304</v>
      </c>
      <c r="H16" s="11" t="str">
        <f t="shared" si="2"/>
        <v>KW15 Apr-21</v>
      </c>
      <c r="P16" s="5"/>
    </row>
    <row r="17" spans="1:16" x14ac:dyDescent="0.25">
      <c r="A17" s="2">
        <f t="shared" si="1"/>
        <v>44305</v>
      </c>
      <c r="B17" s="2">
        <f t="shared" si="3"/>
        <v>44306</v>
      </c>
      <c r="C17" s="2">
        <f t="shared" si="3"/>
        <v>44307</v>
      </c>
      <c r="D17" s="2">
        <f t="shared" si="3"/>
        <v>44308</v>
      </c>
      <c r="E17" s="2">
        <f t="shared" si="3"/>
        <v>44309</v>
      </c>
      <c r="F17" s="2">
        <f t="shared" si="3"/>
        <v>44310</v>
      </c>
      <c r="G17" s="2">
        <f t="shared" si="3"/>
        <v>44311</v>
      </c>
      <c r="H17" s="11" t="str">
        <f t="shared" si="2"/>
        <v>KW16 Apr-21</v>
      </c>
      <c r="O17" s="4"/>
      <c r="P17" s="4"/>
    </row>
    <row r="18" spans="1:16" x14ac:dyDescent="0.25">
      <c r="A18" s="2">
        <f t="shared" si="1"/>
        <v>44312</v>
      </c>
      <c r="B18" s="2">
        <f t="shared" si="3"/>
        <v>44313</v>
      </c>
      <c r="C18" s="2">
        <f t="shared" si="3"/>
        <v>44314</v>
      </c>
      <c r="D18" s="2">
        <f t="shared" si="3"/>
        <v>44315</v>
      </c>
      <c r="E18" s="2">
        <f t="shared" si="3"/>
        <v>44316</v>
      </c>
      <c r="F18" s="2">
        <f t="shared" si="3"/>
        <v>44317</v>
      </c>
      <c r="G18" s="2">
        <f t="shared" si="3"/>
        <v>44318</v>
      </c>
      <c r="H18" s="11" t="str">
        <f t="shared" si="2"/>
        <v>KW17 Apr-21</v>
      </c>
      <c r="O18" s="4"/>
      <c r="P18" s="5"/>
    </row>
    <row r="19" spans="1:16" x14ac:dyDescent="0.25">
      <c r="A19" s="2">
        <f t="shared" ref="A19:A53" si="5">G18+1</f>
        <v>44319</v>
      </c>
      <c r="B19" s="2">
        <f t="shared" ref="B19:B53" si="6">A19+1</f>
        <v>44320</v>
      </c>
      <c r="C19" s="2">
        <f t="shared" ref="C19:C53" si="7">B19+1</f>
        <v>44321</v>
      </c>
      <c r="D19" s="2">
        <f t="shared" ref="D19:D53" si="8">C19+1</f>
        <v>44322</v>
      </c>
      <c r="E19" s="2">
        <f t="shared" ref="E19:E53" si="9">D19+1</f>
        <v>44323</v>
      </c>
      <c r="F19" s="2">
        <f t="shared" ref="F19:F53" si="10">E19+1</f>
        <v>44324</v>
      </c>
      <c r="G19" s="2">
        <f t="shared" ref="G19:G53" si="11">F19+1</f>
        <v>44325</v>
      </c>
      <c r="H19" s="11" t="str">
        <f t="shared" si="2"/>
        <v>KW18 May-21</v>
      </c>
      <c r="O19" s="4"/>
      <c r="P19" s="5"/>
    </row>
    <row r="20" spans="1:16" x14ac:dyDescent="0.25">
      <c r="A20" s="2">
        <f t="shared" si="5"/>
        <v>44326</v>
      </c>
      <c r="B20" s="2">
        <f t="shared" si="6"/>
        <v>44327</v>
      </c>
      <c r="C20" s="2">
        <f t="shared" si="7"/>
        <v>44328</v>
      </c>
      <c r="D20" s="2">
        <f t="shared" si="8"/>
        <v>44329</v>
      </c>
      <c r="E20" s="2">
        <f t="shared" si="9"/>
        <v>44330</v>
      </c>
      <c r="F20" s="2">
        <f t="shared" si="10"/>
        <v>44331</v>
      </c>
      <c r="G20" s="2">
        <f t="shared" si="11"/>
        <v>44332</v>
      </c>
      <c r="H20" s="11" t="str">
        <f t="shared" si="2"/>
        <v>KW19 May-21</v>
      </c>
      <c r="O20" s="4"/>
      <c r="P20" s="5"/>
    </row>
    <row r="21" spans="1:16" x14ac:dyDescent="0.25">
      <c r="A21" s="2">
        <f t="shared" si="5"/>
        <v>44333</v>
      </c>
      <c r="B21" s="2">
        <f t="shared" si="6"/>
        <v>44334</v>
      </c>
      <c r="C21" s="2">
        <f t="shared" si="7"/>
        <v>44335</v>
      </c>
      <c r="D21" s="2">
        <f t="shared" si="8"/>
        <v>44336</v>
      </c>
      <c r="E21" s="2">
        <f t="shared" si="9"/>
        <v>44337</v>
      </c>
      <c r="F21" s="2">
        <f t="shared" si="10"/>
        <v>44338</v>
      </c>
      <c r="G21" s="2">
        <f t="shared" si="11"/>
        <v>44339</v>
      </c>
      <c r="H21" s="11" t="str">
        <f t="shared" si="2"/>
        <v>KW20 May-21</v>
      </c>
    </row>
    <row r="22" spans="1:16" x14ac:dyDescent="0.25">
      <c r="A22" s="2">
        <f t="shared" si="5"/>
        <v>44340</v>
      </c>
      <c r="B22" s="2">
        <f t="shared" si="6"/>
        <v>44341</v>
      </c>
      <c r="C22" s="2">
        <f t="shared" si="7"/>
        <v>44342</v>
      </c>
      <c r="D22" s="2">
        <f t="shared" si="8"/>
        <v>44343</v>
      </c>
      <c r="E22" s="2">
        <f t="shared" si="9"/>
        <v>44344</v>
      </c>
      <c r="F22" s="2">
        <f t="shared" si="10"/>
        <v>44345</v>
      </c>
      <c r="G22" s="2">
        <f t="shared" si="11"/>
        <v>44346</v>
      </c>
      <c r="H22" s="11" t="str">
        <f t="shared" si="2"/>
        <v>KW21 May-21</v>
      </c>
    </row>
    <row r="23" spans="1:16" x14ac:dyDescent="0.25">
      <c r="A23" s="2">
        <f t="shared" si="5"/>
        <v>44347</v>
      </c>
      <c r="B23" s="2">
        <f t="shared" si="6"/>
        <v>44348</v>
      </c>
      <c r="C23" s="2">
        <f t="shared" si="7"/>
        <v>44349</v>
      </c>
      <c r="D23" s="2">
        <f t="shared" si="8"/>
        <v>44350</v>
      </c>
      <c r="E23" s="2">
        <f t="shared" si="9"/>
        <v>44351</v>
      </c>
      <c r="F23" s="2">
        <f t="shared" si="10"/>
        <v>44352</v>
      </c>
      <c r="G23" s="2">
        <f t="shared" si="11"/>
        <v>44353</v>
      </c>
      <c r="H23" s="11" t="str">
        <f t="shared" si="2"/>
        <v>KW22 May-21</v>
      </c>
    </row>
    <row r="24" spans="1:16" x14ac:dyDescent="0.25">
      <c r="A24" s="2">
        <f t="shared" si="5"/>
        <v>44354</v>
      </c>
      <c r="B24" s="2">
        <f t="shared" si="6"/>
        <v>44355</v>
      </c>
      <c r="C24" s="2">
        <f t="shared" si="7"/>
        <v>44356</v>
      </c>
      <c r="D24" s="2">
        <f t="shared" si="8"/>
        <v>44357</v>
      </c>
      <c r="E24" s="2">
        <f t="shared" si="9"/>
        <v>44358</v>
      </c>
      <c r="F24" s="2">
        <f t="shared" si="10"/>
        <v>44359</v>
      </c>
      <c r="G24" s="2">
        <f t="shared" si="11"/>
        <v>44360</v>
      </c>
      <c r="H24" s="11" t="str">
        <f t="shared" si="2"/>
        <v>KW23 Jun-21</v>
      </c>
    </row>
    <row r="25" spans="1:16" x14ac:dyDescent="0.25">
      <c r="A25" s="2">
        <f t="shared" si="5"/>
        <v>44361</v>
      </c>
      <c r="B25" s="2">
        <f t="shared" si="6"/>
        <v>44362</v>
      </c>
      <c r="C25" s="2">
        <f t="shared" si="7"/>
        <v>44363</v>
      </c>
      <c r="D25" s="2">
        <f t="shared" si="8"/>
        <v>44364</v>
      </c>
      <c r="E25" s="2">
        <f t="shared" si="9"/>
        <v>44365</v>
      </c>
      <c r="F25" s="2">
        <f t="shared" si="10"/>
        <v>44366</v>
      </c>
      <c r="G25" s="2">
        <f t="shared" si="11"/>
        <v>44367</v>
      </c>
      <c r="H25" s="11" t="str">
        <f t="shared" si="2"/>
        <v>KW24 Jun-21</v>
      </c>
    </row>
    <row r="26" spans="1:16" x14ac:dyDescent="0.25">
      <c r="A26" s="2">
        <f t="shared" si="5"/>
        <v>44368</v>
      </c>
      <c r="B26" s="2">
        <f t="shared" si="6"/>
        <v>44369</v>
      </c>
      <c r="C26" s="2">
        <f t="shared" si="7"/>
        <v>44370</v>
      </c>
      <c r="D26" s="2">
        <f t="shared" si="8"/>
        <v>44371</v>
      </c>
      <c r="E26" s="2">
        <f t="shared" si="9"/>
        <v>44372</v>
      </c>
      <c r="F26" s="2">
        <f t="shared" si="10"/>
        <v>44373</v>
      </c>
      <c r="G26" s="2">
        <f t="shared" si="11"/>
        <v>44374</v>
      </c>
      <c r="H26" s="11" t="str">
        <f t="shared" si="2"/>
        <v>KW25 Jun-21</v>
      </c>
    </row>
    <row r="27" spans="1:16" x14ac:dyDescent="0.25">
      <c r="A27" s="2">
        <f t="shared" si="5"/>
        <v>44375</v>
      </c>
      <c r="B27" s="2">
        <f t="shared" si="6"/>
        <v>44376</v>
      </c>
      <c r="C27" s="2">
        <f t="shared" si="7"/>
        <v>44377</v>
      </c>
      <c r="D27" s="2">
        <f t="shared" si="8"/>
        <v>44378</v>
      </c>
      <c r="E27" s="2">
        <f t="shared" si="9"/>
        <v>44379</v>
      </c>
      <c r="F27" s="2">
        <f t="shared" si="10"/>
        <v>44380</v>
      </c>
      <c r="G27" s="2">
        <f t="shared" si="11"/>
        <v>44381</v>
      </c>
      <c r="H27" s="11" t="str">
        <f t="shared" si="2"/>
        <v>KW26 Jun-21</v>
      </c>
    </row>
    <row r="28" spans="1:16" x14ac:dyDescent="0.25">
      <c r="A28" s="2">
        <f t="shared" si="5"/>
        <v>44382</v>
      </c>
      <c r="B28" s="2">
        <f t="shared" si="6"/>
        <v>44383</v>
      </c>
      <c r="C28" s="2">
        <f t="shared" si="7"/>
        <v>44384</v>
      </c>
      <c r="D28" s="2">
        <f t="shared" si="8"/>
        <v>44385</v>
      </c>
      <c r="E28" s="2">
        <f t="shared" si="9"/>
        <v>44386</v>
      </c>
      <c r="F28" s="2">
        <f t="shared" si="10"/>
        <v>44387</v>
      </c>
      <c r="G28" s="2">
        <f t="shared" si="11"/>
        <v>44388</v>
      </c>
      <c r="H28" s="11" t="str">
        <f t="shared" si="2"/>
        <v>KW27 Jul-21</v>
      </c>
    </row>
    <row r="29" spans="1:16" x14ac:dyDescent="0.25">
      <c r="A29" s="2">
        <f t="shared" si="5"/>
        <v>44389</v>
      </c>
      <c r="B29" s="2">
        <f t="shared" si="6"/>
        <v>44390</v>
      </c>
      <c r="C29" s="2">
        <f t="shared" si="7"/>
        <v>44391</v>
      </c>
      <c r="D29" s="2">
        <f t="shared" si="8"/>
        <v>44392</v>
      </c>
      <c r="E29" s="2">
        <f t="shared" si="9"/>
        <v>44393</v>
      </c>
      <c r="F29" s="2">
        <f t="shared" si="10"/>
        <v>44394</v>
      </c>
      <c r="G29" s="2">
        <f t="shared" si="11"/>
        <v>44395</v>
      </c>
      <c r="H29" s="11" t="str">
        <f t="shared" si="2"/>
        <v>KW28 Jul-21</v>
      </c>
    </row>
    <row r="30" spans="1:16" x14ac:dyDescent="0.25">
      <c r="A30" s="2">
        <f t="shared" si="5"/>
        <v>44396</v>
      </c>
      <c r="B30" s="2">
        <f t="shared" si="6"/>
        <v>44397</v>
      </c>
      <c r="C30" s="2">
        <f t="shared" si="7"/>
        <v>44398</v>
      </c>
      <c r="D30" s="2">
        <f t="shared" si="8"/>
        <v>44399</v>
      </c>
      <c r="E30" s="2">
        <f t="shared" si="9"/>
        <v>44400</v>
      </c>
      <c r="F30" s="2">
        <f t="shared" si="10"/>
        <v>44401</v>
      </c>
      <c r="G30" s="2">
        <f t="shared" si="11"/>
        <v>44402</v>
      </c>
      <c r="H30" s="11" t="str">
        <f t="shared" si="2"/>
        <v>KW29 Jul-21</v>
      </c>
    </row>
    <row r="31" spans="1:16" x14ac:dyDescent="0.25">
      <c r="A31" s="2">
        <f t="shared" si="5"/>
        <v>44403</v>
      </c>
      <c r="B31" s="2">
        <f t="shared" si="6"/>
        <v>44404</v>
      </c>
      <c r="C31" s="2">
        <f t="shared" si="7"/>
        <v>44405</v>
      </c>
      <c r="D31" s="2">
        <f t="shared" si="8"/>
        <v>44406</v>
      </c>
      <c r="E31" s="2">
        <f t="shared" si="9"/>
        <v>44407</v>
      </c>
      <c r="F31" s="2">
        <f t="shared" si="10"/>
        <v>44408</v>
      </c>
      <c r="G31" s="2">
        <f t="shared" si="11"/>
        <v>44409</v>
      </c>
      <c r="H31" s="11" t="str">
        <f t="shared" si="2"/>
        <v>KW30 Jul-21</v>
      </c>
    </row>
    <row r="32" spans="1:16" x14ac:dyDescent="0.25">
      <c r="A32" s="2">
        <f t="shared" si="5"/>
        <v>44410</v>
      </c>
      <c r="B32" s="2">
        <f t="shared" si="6"/>
        <v>44411</v>
      </c>
      <c r="C32" s="2">
        <f t="shared" si="7"/>
        <v>44412</v>
      </c>
      <c r="D32" s="2">
        <f t="shared" si="8"/>
        <v>44413</v>
      </c>
      <c r="E32" s="2">
        <f t="shared" si="9"/>
        <v>44414</v>
      </c>
      <c r="F32" s="2">
        <f t="shared" si="10"/>
        <v>44415</v>
      </c>
      <c r="G32" s="2">
        <f t="shared" si="11"/>
        <v>44416</v>
      </c>
      <c r="H32" s="11" t="str">
        <f t="shared" si="2"/>
        <v>KW31 Aug-21</v>
      </c>
    </row>
    <row r="33" spans="1:8" x14ac:dyDescent="0.25">
      <c r="A33" s="2">
        <f t="shared" si="5"/>
        <v>44417</v>
      </c>
      <c r="B33" s="2">
        <f t="shared" si="6"/>
        <v>44418</v>
      </c>
      <c r="C33" s="2">
        <f t="shared" si="7"/>
        <v>44419</v>
      </c>
      <c r="D33" s="2">
        <f t="shared" si="8"/>
        <v>44420</v>
      </c>
      <c r="E33" s="2">
        <f t="shared" si="9"/>
        <v>44421</v>
      </c>
      <c r="F33" s="2">
        <f t="shared" si="10"/>
        <v>44422</v>
      </c>
      <c r="G33" s="2">
        <f t="shared" si="11"/>
        <v>44423</v>
      </c>
      <c r="H33" s="11" t="str">
        <f t="shared" si="2"/>
        <v>KW32 Aug-21</v>
      </c>
    </row>
    <row r="34" spans="1:8" x14ac:dyDescent="0.25">
      <c r="A34" s="2">
        <f t="shared" si="5"/>
        <v>44424</v>
      </c>
      <c r="B34" s="2">
        <f t="shared" si="6"/>
        <v>44425</v>
      </c>
      <c r="C34" s="2">
        <f t="shared" si="7"/>
        <v>44426</v>
      </c>
      <c r="D34" s="2">
        <f t="shared" si="8"/>
        <v>44427</v>
      </c>
      <c r="E34" s="2">
        <f t="shared" si="9"/>
        <v>44428</v>
      </c>
      <c r="F34" s="2">
        <f t="shared" si="10"/>
        <v>44429</v>
      </c>
      <c r="G34" s="2">
        <f t="shared" si="11"/>
        <v>44430</v>
      </c>
      <c r="H34" s="11" t="str">
        <f t="shared" si="2"/>
        <v>KW33 Aug-21</v>
      </c>
    </row>
    <row r="35" spans="1:8" x14ac:dyDescent="0.25">
      <c r="A35" s="2">
        <f t="shared" si="5"/>
        <v>44431</v>
      </c>
      <c r="B35" s="2">
        <f t="shared" si="6"/>
        <v>44432</v>
      </c>
      <c r="C35" s="2">
        <f t="shared" si="7"/>
        <v>44433</v>
      </c>
      <c r="D35" s="2">
        <f t="shared" si="8"/>
        <v>44434</v>
      </c>
      <c r="E35" s="2">
        <f t="shared" si="9"/>
        <v>44435</v>
      </c>
      <c r="F35" s="2">
        <f t="shared" si="10"/>
        <v>44436</v>
      </c>
      <c r="G35" s="2">
        <f t="shared" si="11"/>
        <v>44437</v>
      </c>
      <c r="H35" s="11" t="str">
        <f t="shared" si="2"/>
        <v>KW34 Aug-21</v>
      </c>
    </row>
    <row r="36" spans="1:8" x14ac:dyDescent="0.25">
      <c r="A36" s="2">
        <f t="shared" si="5"/>
        <v>44438</v>
      </c>
      <c r="B36" s="2">
        <f t="shared" si="6"/>
        <v>44439</v>
      </c>
      <c r="C36" s="2">
        <f t="shared" si="7"/>
        <v>44440</v>
      </c>
      <c r="D36" s="2">
        <f t="shared" si="8"/>
        <v>44441</v>
      </c>
      <c r="E36" s="2">
        <f t="shared" si="9"/>
        <v>44442</v>
      </c>
      <c r="F36" s="2">
        <f t="shared" si="10"/>
        <v>44443</v>
      </c>
      <c r="G36" s="2">
        <f t="shared" si="11"/>
        <v>44444</v>
      </c>
      <c r="H36" s="11" t="str">
        <f t="shared" si="2"/>
        <v>KW35 Aug-21</v>
      </c>
    </row>
    <row r="37" spans="1:8" x14ac:dyDescent="0.25">
      <c r="A37" s="2">
        <f t="shared" si="5"/>
        <v>44445</v>
      </c>
      <c r="B37" s="2">
        <f t="shared" si="6"/>
        <v>44446</v>
      </c>
      <c r="C37" s="2">
        <f t="shared" si="7"/>
        <v>44447</v>
      </c>
      <c r="D37" s="2">
        <f t="shared" si="8"/>
        <v>44448</v>
      </c>
      <c r="E37" s="2">
        <f t="shared" si="9"/>
        <v>44449</v>
      </c>
      <c r="F37" s="2">
        <f t="shared" si="10"/>
        <v>44450</v>
      </c>
      <c r="G37" s="2">
        <f t="shared" si="11"/>
        <v>44451</v>
      </c>
      <c r="H37" s="11" t="str">
        <f t="shared" si="2"/>
        <v>KW36 Sept-21</v>
      </c>
    </row>
    <row r="38" spans="1:8" x14ac:dyDescent="0.25">
      <c r="A38" s="2">
        <f t="shared" si="5"/>
        <v>44452</v>
      </c>
      <c r="B38" s="2">
        <f t="shared" si="6"/>
        <v>44453</v>
      </c>
      <c r="C38" s="2">
        <f t="shared" si="7"/>
        <v>44454</v>
      </c>
      <c r="D38" s="2">
        <f t="shared" si="8"/>
        <v>44455</v>
      </c>
      <c r="E38" s="2">
        <f t="shared" si="9"/>
        <v>44456</v>
      </c>
      <c r="F38" s="2">
        <f t="shared" si="10"/>
        <v>44457</v>
      </c>
      <c r="G38" s="2">
        <f t="shared" si="11"/>
        <v>44458</v>
      </c>
      <c r="H38" s="11" t="str">
        <f t="shared" si="2"/>
        <v>KW37 Sept-21</v>
      </c>
    </row>
    <row r="39" spans="1:8" x14ac:dyDescent="0.25">
      <c r="A39" s="2">
        <f t="shared" si="5"/>
        <v>44459</v>
      </c>
      <c r="B39" s="2">
        <f t="shared" si="6"/>
        <v>44460</v>
      </c>
      <c r="C39" s="2">
        <f t="shared" si="7"/>
        <v>44461</v>
      </c>
      <c r="D39" s="2">
        <f t="shared" si="8"/>
        <v>44462</v>
      </c>
      <c r="E39" s="2">
        <f t="shared" si="9"/>
        <v>44463</v>
      </c>
      <c r="F39" s="2">
        <f t="shared" si="10"/>
        <v>44464</v>
      </c>
      <c r="G39" s="2">
        <f t="shared" si="11"/>
        <v>44465</v>
      </c>
      <c r="H39" s="11" t="str">
        <f t="shared" si="2"/>
        <v>KW38 Sept-21</v>
      </c>
    </row>
    <row r="40" spans="1:8" x14ac:dyDescent="0.25">
      <c r="A40" s="2">
        <f t="shared" si="5"/>
        <v>44466</v>
      </c>
      <c r="B40" s="2">
        <f t="shared" si="6"/>
        <v>44467</v>
      </c>
      <c r="C40" s="2">
        <f t="shared" si="7"/>
        <v>44468</v>
      </c>
      <c r="D40" s="2">
        <f t="shared" si="8"/>
        <v>44469</v>
      </c>
      <c r="E40" s="2">
        <f t="shared" si="9"/>
        <v>44470</v>
      </c>
      <c r="F40" s="2">
        <f t="shared" si="10"/>
        <v>44471</v>
      </c>
      <c r="G40" s="2">
        <f t="shared" si="11"/>
        <v>44472</v>
      </c>
      <c r="H40" s="11" t="str">
        <f t="shared" si="2"/>
        <v>KW39 Sept-21</v>
      </c>
    </row>
    <row r="41" spans="1:8" x14ac:dyDescent="0.25">
      <c r="A41" s="2">
        <f t="shared" si="5"/>
        <v>44473</v>
      </c>
      <c r="B41" s="2">
        <f t="shared" si="6"/>
        <v>44474</v>
      </c>
      <c r="C41" s="2">
        <f t="shared" si="7"/>
        <v>44475</v>
      </c>
      <c r="D41" s="2">
        <f t="shared" si="8"/>
        <v>44476</v>
      </c>
      <c r="E41" s="2">
        <f t="shared" si="9"/>
        <v>44477</v>
      </c>
      <c r="F41" s="2">
        <f t="shared" si="10"/>
        <v>44478</v>
      </c>
      <c r="G41" s="2">
        <f t="shared" si="11"/>
        <v>44479</v>
      </c>
      <c r="H41" s="11" t="str">
        <f t="shared" si="2"/>
        <v>KW40 Oct-21</v>
      </c>
    </row>
    <row r="42" spans="1:8" x14ac:dyDescent="0.25">
      <c r="A42" s="2">
        <f t="shared" si="5"/>
        <v>44480</v>
      </c>
      <c r="B42" s="2">
        <f t="shared" si="6"/>
        <v>44481</v>
      </c>
      <c r="C42" s="2">
        <f t="shared" si="7"/>
        <v>44482</v>
      </c>
      <c r="D42" s="2">
        <f t="shared" si="8"/>
        <v>44483</v>
      </c>
      <c r="E42" s="2">
        <f t="shared" si="9"/>
        <v>44484</v>
      </c>
      <c r="F42" s="2">
        <f t="shared" si="10"/>
        <v>44485</v>
      </c>
      <c r="G42" s="2">
        <f t="shared" si="11"/>
        <v>44486</v>
      </c>
      <c r="H42" s="11" t="str">
        <f t="shared" si="2"/>
        <v>KW41 Oct-21</v>
      </c>
    </row>
    <row r="43" spans="1:8" x14ac:dyDescent="0.25">
      <c r="A43" s="2">
        <f t="shared" si="5"/>
        <v>44487</v>
      </c>
      <c r="B43" s="2">
        <f t="shared" si="6"/>
        <v>44488</v>
      </c>
      <c r="C43" s="2">
        <f t="shared" si="7"/>
        <v>44489</v>
      </c>
      <c r="D43" s="2">
        <f t="shared" si="8"/>
        <v>44490</v>
      </c>
      <c r="E43" s="2">
        <f t="shared" si="9"/>
        <v>44491</v>
      </c>
      <c r="F43" s="2">
        <f t="shared" si="10"/>
        <v>44492</v>
      </c>
      <c r="G43" s="2">
        <f t="shared" si="11"/>
        <v>44493</v>
      </c>
      <c r="H43" s="11" t="str">
        <f t="shared" si="2"/>
        <v>KW42 Oct-21</v>
      </c>
    </row>
    <row r="44" spans="1:8" x14ac:dyDescent="0.25">
      <c r="A44" s="2">
        <f t="shared" si="5"/>
        <v>44494</v>
      </c>
      <c r="B44" s="2">
        <f t="shared" si="6"/>
        <v>44495</v>
      </c>
      <c r="C44" s="2">
        <f t="shared" si="7"/>
        <v>44496</v>
      </c>
      <c r="D44" s="2">
        <f t="shared" si="8"/>
        <v>44497</v>
      </c>
      <c r="E44" s="2">
        <f t="shared" si="9"/>
        <v>44498</v>
      </c>
      <c r="F44" s="2">
        <f t="shared" si="10"/>
        <v>44499</v>
      </c>
      <c r="G44" s="2">
        <f t="shared" si="11"/>
        <v>44500</v>
      </c>
      <c r="H44" s="11" t="str">
        <f t="shared" si="2"/>
        <v>KW43 Oct-21</v>
      </c>
    </row>
    <row r="45" spans="1:8" x14ac:dyDescent="0.25">
      <c r="A45" s="2">
        <f t="shared" si="5"/>
        <v>44501</v>
      </c>
      <c r="B45" s="2">
        <f t="shared" si="6"/>
        <v>44502</v>
      </c>
      <c r="C45" s="2">
        <f t="shared" si="7"/>
        <v>44503</v>
      </c>
      <c r="D45" s="2">
        <f t="shared" si="8"/>
        <v>44504</v>
      </c>
      <c r="E45" s="2">
        <f t="shared" si="9"/>
        <v>44505</v>
      </c>
      <c r="F45" s="2">
        <f t="shared" si="10"/>
        <v>44506</v>
      </c>
      <c r="G45" s="2">
        <f t="shared" si="11"/>
        <v>44507</v>
      </c>
      <c r="H45" s="11" t="str">
        <f t="shared" si="2"/>
        <v>KW44 Nov-21</v>
      </c>
    </row>
    <row r="46" spans="1:8" x14ac:dyDescent="0.25">
      <c r="A46" s="2">
        <f t="shared" si="5"/>
        <v>44508</v>
      </c>
      <c r="B46" s="2">
        <f t="shared" si="6"/>
        <v>44509</v>
      </c>
      <c r="C46" s="2">
        <f t="shared" si="7"/>
        <v>44510</v>
      </c>
      <c r="D46" s="2">
        <f t="shared" si="8"/>
        <v>44511</v>
      </c>
      <c r="E46" s="2">
        <f t="shared" si="9"/>
        <v>44512</v>
      </c>
      <c r="F46" s="2">
        <f t="shared" si="10"/>
        <v>44513</v>
      </c>
      <c r="G46" s="2">
        <f t="shared" si="11"/>
        <v>44514</v>
      </c>
      <c r="H46" s="11" t="str">
        <f t="shared" si="2"/>
        <v>KW45 Nov-21</v>
      </c>
    </row>
    <row r="47" spans="1:8" x14ac:dyDescent="0.25">
      <c r="A47" s="2">
        <f t="shared" si="5"/>
        <v>44515</v>
      </c>
      <c r="B47" s="2">
        <f t="shared" si="6"/>
        <v>44516</v>
      </c>
      <c r="C47" s="2">
        <f t="shared" si="7"/>
        <v>44517</v>
      </c>
      <c r="D47" s="2">
        <f t="shared" si="8"/>
        <v>44518</v>
      </c>
      <c r="E47" s="2">
        <f t="shared" si="9"/>
        <v>44519</v>
      </c>
      <c r="F47" s="2">
        <f t="shared" si="10"/>
        <v>44520</v>
      </c>
      <c r="G47" s="2">
        <f t="shared" si="11"/>
        <v>44521</v>
      </c>
      <c r="H47" s="11" t="str">
        <f t="shared" si="2"/>
        <v>KW46 Nov-21</v>
      </c>
    </row>
    <row r="48" spans="1:8" x14ac:dyDescent="0.25">
      <c r="A48" s="2">
        <f t="shared" si="5"/>
        <v>44522</v>
      </c>
      <c r="B48" s="2">
        <f t="shared" si="6"/>
        <v>44523</v>
      </c>
      <c r="C48" s="2">
        <f t="shared" si="7"/>
        <v>44524</v>
      </c>
      <c r="D48" s="2">
        <f t="shared" si="8"/>
        <v>44525</v>
      </c>
      <c r="E48" s="2">
        <f t="shared" si="9"/>
        <v>44526</v>
      </c>
      <c r="F48" s="2">
        <f t="shared" si="10"/>
        <v>44527</v>
      </c>
      <c r="G48" s="2">
        <f t="shared" si="11"/>
        <v>44528</v>
      </c>
      <c r="H48" s="11" t="str">
        <f t="shared" si="2"/>
        <v>KW47 Nov-21</v>
      </c>
    </row>
    <row r="49" spans="1:8" x14ac:dyDescent="0.25">
      <c r="A49" s="2">
        <f t="shared" si="5"/>
        <v>44529</v>
      </c>
      <c r="B49" s="2">
        <f t="shared" si="6"/>
        <v>44530</v>
      </c>
      <c r="C49" s="2">
        <f t="shared" si="7"/>
        <v>44531</v>
      </c>
      <c r="D49" s="2">
        <f t="shared" si="8"/>
        <v>44532</v>
      </c>
      <c r="E49" s="2">
        <f t="shared" si="9"/>
        <v>44533</v>
      </c>
      <c r="F49" s="2">
        <f t="shared" si="10"/>
        <v>44534</v>
      </c>
      <c r="G49" s="2">
        <f t="shared" si="11"/>
        <v>44535</v>
      </c>
      <c r="H49" s="11" t="str">
        <f t="shared" si="2"/>
        <v>KW48 Nov-21</v>
      </c>
    </row>
    <row r="50" spans="1:8" x14ac:dyDescent="0.25">
      <c r="A50" s="2">
        <f t="shared" si="5"/>
        <v>44536</v>
      </c>
      <c r="B50" s="2">
        <f t="shared" si="6"/>
        <v>44537</v>
      </c>
      <c r="C50" s="2">
        <f t="shared" si="7"/>
        <v>44538</v>
      </c>
      <c r="D50" s="2">
        <f t="shared" si="8"/>
        <v>44539</v>
      </c>
      <c r="E50" s="2">
        <f t="shared" si="9"/>
        <v>44540</v>
      </c>
      <c r="F50" s="2">
        <f t="shared" si="10"/>
        <v>44541</v>
      </c>
      <c r="G50" s="2">
        <f t="shared" si="11"/>
        <v>44542</v>
      </c>
      <c r="H50" s="11" t="str">
        <f t="shared" si="2"/>
        <v>KW49 Dec-21</v>
      </c>
    </row>
    <row r="51" spans="1:8" x14ac:dyDescent="0.25">
      <c r="A51" s="2">
        <f t="shared" si="5"/>
        <v>44543</v>
      </c>
      <c r="B51" s="2">
        <f t="shared" si="6"/>
        <v>44544</v>
      </c>
      <c r="C51" s="2">
        <f t="shared" si="7"/>
        <v>44545</v>
      </c>
      <c r="D51" s="2">
        <f t="shared" si="8"/>
        <v>44546</v>
      </c>
      <c r="E51" s="2">
        <f t="shared" si="9"/>
        <v>44547</v>
      </c>
      <c r="F51" s="2">
        <f t="shared" si="10"/>
        <v>44548</v>
      </c>
      <c r="G51" s="2">
        <f t="shared" si="11"/>
        <v>44549</v>
      </c>
      <c r="H51" s="11" t="str">
        <f t="shared" si="2"/>
        <v>KW50 Dec-21</v>
      </c>
    </row>
    <row r="52" spans="1:8" x14ac:dyDescent="0.25">
      <c r="A52" s="2">
        <f t="shared" si="5"/>
        <v>44550</v>
      </c>
      <c r="B52" s="2">
        <f t="shared" si="6"/>
        <v>44551</v>
      </c>
      <c r="C52" s="2">
        <f t="shared" si="7"/>
        <v>44552</v>
      </c>
      <c r="D52" s="2">
        <f t="shared" si="8"/>
        <v>44553</v>
      </c>
      <c r="E52" s="2">
        <f t="shared" si="9"/>
        <v>44554</v>
      </c>
      <c r="F52" s="2">
        <f t="shared" si="10"/>
        <v>44555</v>
      </c>
      <c r="G52" s="2">
        <f t="shared" si="11"/>
        <v>44556</v>
      </c>
      <c r="H52" s="11" t="str">
        <f t="shared" si="2"/>
        <v>KW51 Dec-21</v>
      </c>
    </row>
    <row r="53" spans="1:8" x14ac:dyDescent="0.25">
      <c r="A53" s="2">
        <f t="shared" si="5"/>
        <v>44557</v>
      </c>
      <c r="B53" s="2">
        <f t="shared" si="6"/>
        <v>44558</v>
      </c>
      <c r="C53" s="2">
        <f t="shared" si="7"/>
        <v>44559</v>
      </c>
      <c r="D53" s="2">
        <f t="shared" si="8"/>
        <v>44560</v>
      </c>
      <c r="E53" s="2">
        <f t="shared" si="9"/>
        <v>44561</v>
      </c>
      <c r="F53" s="2">
        <f t="shared" si="10"/>
        <v>44562</v>
      </c>
      <c r="G53" s="2">
        <f t="shared" si="11"/>
        <v>44563</v>
      </c>
      <c r="H53" s="11" t="str">
        <f t="shared" si="2"/>
        <v>KW52 Dec-21</v>
      </c>
    </row>
    <row r="54" spans="1:8" x14ac:dyDescent="0.25">
      <c r="A54" s="2"/>
      <c r="B54" s="2"/>
      <c r="C54" s="2"/>
      <c r="D54" s="2"/>
      <c r="E54" s="2"/>
      <c r="F54" s="2"/>
      <c r="G54" s="2"/>
    </row>
    <row r="55" spans="1:8" x14ac:dyDescent="0.25">
      <c r="A55" s="2"/>
      <c r="B55" s="2"/>
      <c r="C55" s="2"/>
      <c r="D55" s="2"/>
      <c r="E55" s="2"/>
      <c r="F55" s="2"/>
      <c r="G55" s="2"/>
    </row>
    <row r="56" spans="1:8" x14ac:dyDescent="0.25">
      <c r="A56" s="2"/>
      <c r="B56" s="2"/>
      <c r="C56" s="2"/>
      <c r="D56" s="2"/>
      <c r="E56" s="2"/>
      <c r="F56" s="2"/>
      <c r="G56" s="2"/>
    </row>
    <row r="57" spans="1:8" x14ac:dyDescent="0.25">
      <c r="A57" s="2"/>
      <c r="B57" s="2"/>
      <c r="C57" s="2"/>
      <c r="D57" s="2"/>
      <c r="E57" s="2"/>
      <c r="F57" s="2"/>
      <c r="G57" s="2"/>
    </row>
    <row r="58" spans="1:8" x14ac:dyDescent="0.25">
      <c r="A58" s="2"/>
      <c r="B58" s="2"/>
      <c r="C58" s="2"/>
      <c r="D58" s="2"/>
      <c r="E58" s="2"/>
      <c r="F58" s="2"/>
      <c r="G58" s="2"/>
    </row>
    <row r="59" spans="1:8" x14ac:dyDescent="0.25">
      <c r="A59" s="2"/>
      <c r="B59" s="2"/>
      <c r="C59" s="2"/>
      <c r="D59" s="2"/>
      <c r="E59" s="2"/>
      <c r="F59" s="2"/>
      <c r="G59" s="2"/>
    </row>
    <row r="60" spans="1:8" x14ac:dyDescent="0.25">
      <c r="A60" s="2"/>
      <c r="B60" s="2"/>
      <c r="C60" s="2"/>
      <c r="D60" s="2"/>
      <c r="E60" s="2"/>
      <c r="F60" s="2"/>
      <c r="G60" s="2"/>
    </row>
    <row r="61" spans="1:8" x14ac:dyDescent="0.25">
      <c r="A61" s="2"/>
      <c r="B61" s="2"/>
      <c r="C61" s="2"/>
      <c r="D61" s="2"/>
      <c r="E61" s="2"/>
      <c r="F61" s="2"/>
      <c r="G61" s="2"/>
    </row>
    <row r="62" spans="1:8" x14ac:dyDescent="0.25">
      <c r="A62" s="2"/>
      <c r="B62" s="2"/>
      <c r="C62" s="2"/>
      <c r="D62" s="2"/>
      <c r="E62" s="2"/>
      <c r="F62" s="2"/>
      <c r="G62" s="2"/>
    </row>
    <row r="63" spans="1:8" x14ac:dyDescent="0.25">
      <c r="A63" s="2"/>
      <c r="B63" s="2"/>
      <c r="C63" s="2"/>
      <c r="D63" s="2"/>
      <c r="E63" s="2"/>
      <c r="F63" s="2"/>
      <c r="G63" s="2"/>
    </row>
    <row r="64" spans="1:8" x14ac:dyDescent="0.25">
      <c r="A64" s="2"/>
      <c r="B64" s="2"/>
      <c r="C64" s="2"/>
      <c r="D64" s="2"/>
      <c r="E64" s="2"/>
      <c r="F64" s="2"/>
      <c r="G64" s="2"/>
    </row>
  </sheetData>
  <conditionalFormatting sqref="A2:G54">
    <cfRule type="expression" dxfId="42" priority="3">
      <formula>AND(COUNTIF($P$2:$P$20,A2),A2&lt;&gt;0)</formula>
    </cfRule>
    <cfRule type="expression" dxfId="41" priority="5">
      <formula>WEEKDAY(A2,2)&gt;=6</formula>
    </cfRule>
    <cfRule type="cellIs" dxfId="40" priority="6" operator="equal">
      <formula>TODAY()</formula>
    </cfRule>
    <cfRule type="expression" dxfId="39" priority="8">
      <formula>COUNTIFS($J$2:$J$20,"&lt;="&amp;A2,$K$2:$K$20,"&gt;=" &amp; A2)&gt;0</formula>
    </cfRule>
    <cfRule type="expression" dxfId="38" priority="9">
      <formula>MOD(MONTH(A2),2)=0</formula>
    </cfRule>
  </conditionalFormatting>
  <conditionalFormatting sqref="H2:H53">
    <cfRule type="expression" dxfId="37" priority="4">
      <formula>AND($A2&lt;=TODAY(),$G2&gt;=TODAY())</formula>
    </cfRule>
  </conditionalFormatting>
  <conditionalFormatting sqref="L2:L11">
    <cfRule type="expression" dxfId="36" priority="7">
      <formula>SUMPRODUCT(($P$2:$P$4&lt;=K2)*($P$2:$P$4&gt;=J2)*1)&gt;0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5863-7BD3-421E-88A5-20590B6B1419}">
  <sheetPr codeName="Sheet6"/>
  <dimension ref="A1:R64"/>
  <sheetViews>
    <sheetView showGridLines="0" workbookViewId="0"/>
  </sheetViews>
  <sheetFormatPr defaultRowHeight="15" x14ac:dyDescent="0.25"/>
  <cols>
    <col min="1" max="1" width="3.5703125" bestFit="1" customWidth="1"/>
    <col min="2" max="2" width="3" bestFit="1" customWidth="1"/>
    <col min="3" max="3" width="3.85546875" bestFit="1" customWidth="1"/>
    <col min="4" max="4" width="3.42578125" bestFit="1" customWidth="1"/>
    <col min="5" max="5" width="3" bestFit="1" customWidth="1"/>
    <col min="6" max="6" width="3.5703125" customWidth="1"/>
    <col min="7" max="7" width="3" customWidth="1"/>
    <col min="8" max="8" width="11.85546875" bestFit="1" customWidth="1"/>
    <col min="9" max="9" width="5.5703125" customWidth="1"/>
    <col min="10" max="11" width="15.42578125" bestFit="1" customWidth="1"/>
    <col min="12" max="12" width="10.85546875" bestFit="1" customWidth="1"/>
    <col min="13" max="13" width="5.5703125" customWidth="1"/>
    <col min="14" max="14" width="15.5703125" bestFit="1" customWidth="1"/>
    <col min="15" max="15" width="5.5703125" customWidth="1"/>
    <col min="16" max="16" width="12.85546875" bestFit="1" customWidth="1"/>
    <col min="17" max="17" width="5.5703125" customWidth="1"/>
  </cols>
  <sheetData>
    <row r="1" spans="1:1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10" t="s">
        <v>13</v>
      </c>
      <c r="J1" s="9" t="s">
        <v>7</v>
      </c>
      <c r="K1" s="9" t="s">
        <v>23</v>
      </c>
      <c r="L1" s="9" t="s">
        <v>8</v>
      </c>
      <c r="N1" s="9" t="s">
        <v>19</v>
      </c>
      <c r="P1" s="9" t="s">
        <v>10</v>
      </c>
      <c r="R1" s="9" t="s">
        <v>14</v>
      </c>
    </row>
    <row r="2" spans="1:18" x14ac:dyDescent="0.25">
      <c r="A2" s="2">
        <f>DATE(N11,1,-2)-WEEKDAY(DATE(N11,1,3))+7</f>
        <v>44564</v>
      </c>
      <c r="B2" s="2">
        <f>A2+1</f>
        <v>44565</v>
      </c>
      <c r="C2" s="2">
        <f t="shared" ref="C2:G3" si="0">B2+1</f>
        <v>44566</v>
      </c>
      <c r="D2" s="2">
        <f t="shared" si="0"/>
        <v>44567</v>
      </c>
      <c r="E2" s="2">
        <f t="shared" si="0"/>
        <v>44568</v>
      </c>
      <c r="F2" s="2">
        <f t="shared" si="0"/>
        <v>44569</v>
      </c>
      <c r="G2" s="2">
        <f t="shared" si="0"/>
        <v>44570</v>
      </c>
      <c r="H2" s="11" t="str">
        <f>"KW"&amp;TEXT(_xlfn.ISOWEEKNUM($A2),"00") &amp;" " &amp; PROPER(TEXT(A2,"mmm-yy"))</f>
        <v>KW01 Jan-22</v>
      </c>
      <c r="J2" s="12">
        <v>44624</v>
      </c>
      <c r="K2" s="12">
        <v>44624</v>
      </c>
      <c r="L2" cm="1">
        <f t="array" aca="1" ref="L2" ca="1">IF(J2=0,"",SUMPRODUCT((WEEKDAY(ROW(INDIRECT(J2&amp;":"&amp;K2)),2)&lt;=5)*1)-SUMPRODUCT(($P$2:$P$11&lt;=K2)*($P$2:$P$11&gt;=J2)*1))</f>
        <v>1</v>
      </c>
      <c r="N2">
        <f ca="1">SUM(L2:L50)</f>
        <v>30</v>
      </c>
      <c r="O2" s="3"/>
      <c r="P2" s="6">
        <f>DATE(N11,1,1)</f>
        <v>44562</v>
      </c>
      <c r="R2" t="s">
        <v>20</v>
      </c>
    </row>
    <row r="3" spans="1:18" x14ac:dyDescent="0.25">
      <c r="A3" s="2">
        <f t="shared" ref="A3:A53" si="1">G2+1</f>
        <v>44571</v>
      </c>
      <c r="B3" s="2">
        <f>A3+1</f>
        <v>44572</v>
      </c>
      <c r="C3" s="2">
        <f t="shared" si="0"/>
        <v>44573</v>
      </c>
      <c r="D3" s="2">
        <f t="shared" si="0"/>
        <v>44574</v>
      </c>
      <c r="E3" s="2">
        <f t="shared" si="0"/>
        <v>44575</v>
      </c>
      <c r="F3" s="2">
        <f t="shared" si="0"/>
        <v>44576</v>
      </c>
      <c r="G3" s="2">
        <f t="shared" si="0"/>
        <v>44577</v>
      </c>
      <c r="H3" s="11" t="str">
        <f t="shared" ref="H3:H53" si="2">"KW"&amp;TEXT(_xlfn.ISOWEEKNUM($A3),"00") &amp;" " &amp; PROPER(TEXT(A3,"mmm-yy"))</f>
        <v>KW02 Jan-22</v>
      </c>
      <c r="J3" s="12">
        <v>44631</v>
      </c>
      <c r="K3" s="12">
        <v>44631</v>
      </c>
      <c r="L3" cm="1">
        <f t="array" aca="1" ref="L3" ca="1">IF(J3=0,"",SUMPRODUCT((WEEKDAY(ROW(INDIRECT(J3&amp;":"&amp;K3)),2)&lt;=5)*1)-SUMPRODUCT(($P$2:$P$11&lt;=K3)*($P$2:$P$11&gt;=J3)*1))</f>
        <v>1</v>
      </c>
      <c r="O3" s="4"/>
      <c r="P3" s="4">
        <f>DOLLAR(("4/"&amp;N11)/7+MOD(19*MOD(N11,19)-7,30)*14%,)*7-6+1</f>
        <v>44669</v>
      </c>
      <c r="R3" t="s">
        <v>21</v>
      </c>
    </row>
    <row r="4" spans="1:18" x14ac:dyDescent="0.25">
      <c r="A4" s="2">
        <f t="shared" si="1"/>
        <v>44578</v>
      </c>
      <c r="B4" s="2">
        <f t="shared" ref="B4:G19" si="3">A4+1</f>
        <v>44579</v>
      </c>
      <c r="C4" s="2">
        <f t="shared" si="3"/>
        <v>44580</v>
      </c>
      <c r="D4" s="2">
        <f t="shared" si="3"/>
        <v>44581</v>
      </c>
      <c r="E4" s="2">
        <f t="shared" si="3"/>
        <v>44582</v>
      </c>
      <c r="F4" s="2">
        <f t="shared" si="3"/>
        <v>44583</v>
      </c>
      <c r="G4" s="2">
        <f t="shared" si="3"/>
        <v>44584</v>
      </c>
      <c r="H4" s="11" t="str">
        <f t="shared" si="2"/>
        <v>KW03 Jan-22</v>
      </c>
      <c r="J4" s="12">
        <v>44638</v>
      </c>
      <c r="K4" s="12">
        <v>44638</v>
      </c>
      <c r="L4" cm="1">
        <f t="array" aca="1" ref="L4" ca="1">IF(J4=0,"",SUMPRODUCT((WEEKDAY(ROW(INDIRECT(J4&amp;":"&amp;K4)),2)&lt;=5)*1)-SUMPRODUCT(($P$2:$P$11&lt;=K4)*($P$2:$P$11&gt;=J4)*1))</f>
        <v>1</v>
      </c>
      <c r="N4" s="9" t="s">
        <v>11</v>
      </c>
      <c r="O4" s="4"/>
      <c r="P4" s="4">
        <f>DATE(N11,5,1)</f>
        <v>44682</v>
      </c>
      <c r="R4" t="s">
        <v>22</v>
      </c>
    </row>
    <row r="5" spans="1:18" x14ac:dyDescent="0.25">
      <c r="A5" s="2">
        <f t="shared" si="1"/>
        <v>44585</v>
      </c>
      <c r="B5" s="2">
        <f t="shared" si="3"/>
        <v>44586</v>
      </c>
      <c r="C5" s="2">
        <f t="shared" si="3"/>
        <v>44587</v>
      </c>
      <c r="D5" s="2">
        <f t="shared" si="3"/>
        <v>44588</v>
      </c>
      <c r="E5" s="2">
        <f t="shared" si="3"/>
        <v>44589</v>
      </c>
      <c r="F5" s="2">
        <f t="shared" si="3"/>
        <v>44590</v>
      </c>
      <c r="G5" s="2">
        <f t="shared" si="3"/>
        <v>44591</v>
      </c>
      <c r="H5" s="11" t="str">
        <f t="shared" si="2"/>
        <v>KW04 Jan-22</v>
      </c>
      <c r="J5" s="12">
        <v>44645</v>
      </c>
      <c r="K5" s="12">
        <v>44645</v>
      </c>
      <c r="L5" cm="1">
        <f t="array" aca="1" ref="L5" ca="1">IF(J5=0,"",SUMPRODUCT((WEEKDAY(ROW(INDIRECT(J5&amp;":"&amp;K5)),2)&lt;=5)*1)-SUMPRODUCT(($P$2:$P$11&lt;=K5)*($P$2:$P$11&gt;=J5)*1))</f>
        <v>1</v>
      </c>
      <c r="N5">
        <v>35</v>
      </c>
      <c r="O5" s="4"/>
      <c r="P5" s="4">
        <f>P3+38</f>
        <v>44707</v>
      </c>
    </row>
    <row r="6" spans="1:18" x14ac:dyDescent="0.25">
      <c r="A6" s="2">
        <f t="shared" si="1"/>
        <v>44592</v>
      </c>
      <c r="B6" s="2">
        <f t="shared" si="3"/>
        <v>44593</v>
      </c>
      <c r="C6" s="2">
        <f t="shared" si="3"/>
        <v>44594</v>
      </c>
      <c r="D6" s="2">
        <f t="shared" si="3"/>
        <v>44595</v>
      </c>
      <c r="E6" s="2">
        <f t="shared" si="3"/>
        <v>44596</v>
      </c>
      <c r="F6" s="2">
        <f t="shared" si="3"/>
        <v>44597</v>
      </c>
      <c r="G6" s="2">
        <f t="shared" si="3"/>
        <v>44598</v>
      </c>
      <c r="H6" s="11" t="str">
        <f t="shared" si="2"/>
        <v>KW05 Jan-22</v>
      </c>
      <c r="J6" s="12">
        <v>44651</v>
      </c>
      <c r="K6" s="12">
        <v>44651</v>
      </c>
      <c r="L6" cm="1">
        <f t="array" aca="1" ref="L6" ca="1">IF(J6=0,"",SUMPRODUCT((WEEKDAY(ROW(INDIRECT(J6&amp;":"&amp;K6)),2)&lt;=5)*1)-SUMPRODUCT(($P$2:$P$11&lt;=K6)*($P$2:$P$11&gt;=J6)*1))</f>
        <v>1</v>
      </c>
      <c r="O6" s="4"/>
      <c r="P6" s="4">
        <f>P3+49</f>
        <v>44718</v>
      </c>
    </row>
    <row r="7" spans="1:18" x14ac:dyDescent="0.25">
      <c r="A7" s="2">
        <f t="shared" si="1"/>
        <v>44599</v>
      </c>
      <c r="B7" s="2">
        <f t="shared" si="3"/>
        <v>44600</v>
      </c>
      <c r="C7" s="2">
        <f t="shared" si="3"/>
        <v>44601</v>
      </c>
      <c r="D7" s="2">
        <f t="shared" si="3"/>
        <v>44602</v>
      </c>
      <c r="E7" s="2">
        <f t="shared" si="3"/>
        <v>44603</v>
      </c>
      <c r="F7" s="2">
        <f t="shared" si="3"/>
        <v>44604</v>
      </c>
      <c r="G7" s="2">
        <f t="shared" si="3"/>
        <v>44605</v>
      </c>
      <c r="H7" s="11" t="str">
        <f t="shared" si="2"/>
        <v>KW06 Feb-22</v>
      </c>
      <c r="J7" s="12">
        <v>44725</v>
      </c>
      <c r="K7" s="12">
        <v>44725</v>
      </c>
      <c r="L7" cm="1">
        <f t="array" aca="1" ref="L7" ca="1">IF(J7=0,"",SUMPRODUCT((WEEKDAY(ROW(INDIRECT(J7&amp;":"&amp;K7)),2)&lt;=5)*1)-SUMPRODUCT(($P$2:$P$11&lt;=K7)*($P$2:$P$11&gt;=J7)*1))</f>
        <v>1</v>
      </c>
      <c r="N7" s="9" t="s">
        <v>12</v>
      </c>
      <c r="O7" s="4"/>
      <c r="P7" s="4">
        <f>DATE(N11,7,21)</f>
        <v>44763</v>
      </c>
    </row>
    <row r="8" spans="1:18" x14ac:dyDescent="0.25">
      <c r="A8" s="2">
        <f t="shared" si="1"/>
        <v>44606</v>
      </c>
      <c r="B8" s="2">
        <f t="shared" si="3"/>
        <v>44607</v>
      </c>
      <c r="C8" s="2">
        <f t="shared" si="3"/>
        <v>44608</v>
      </c>
      <c r="D8" s="2">
        <f t="shared" si="3"/>
        <v>44609</v>
      </c>
      <c r="E8" s="2">
        <f t="shared" si="3"/>
        <v>44610</v>
      </c>
      <c r="F8" s="2">
        <f t="shared" si="3"/>
        <v>44611</v>
      </c>
      <c r="G8" s="2">
        <f t="shared" si="3"/>
        <v>44612</v>
      </c>
      <c r="H8" s="11" t="str">
        <f t="shared" si="2"/>
        <v>KW07 Feb-22</v>
      </c>
      <c r="J8" s="12">
        <v>44732</v>
      </c>
      <c r="K8" s="12">
        <v>44732</v>
      </c>
      <c r="L8" cm="1">
        <f t="array" aca="1" ref="L8" ca="1">IF(J8=0,"",SUMPRODUCT((WEEKDAY(ROW(INDIRECT(J8&amp;":"&amp;K8)),2)&lt;=5)*1)-SUMPRODUCT(($P$2:$P$11&lt;=K8)*($P$2:$P$11&gt;=J8)*1))</f>
        <v>1</v>
      </c>
      <c r="N8">
        <f ca="1">N5-N2</f>
        <v>5</v>
      </c>
      <c r="O8" s="4"/>
      <c r="P8" s="4">
        <f>DATE(N11,8,15)</f>
        <v>44788</v>
      </c>
    </row>
    <row r="9" spans="1:18" x14ac:dyDescent="0.25">
      <c r="A9" s="2">
        <f t="shared" si="1"/>
        <v>44613</v>
      </c>
      <c r="B9" s="2">
        <f t="shared" si="3"/>
        <v>44614</v>
      </c>
      <c r="C9" s="2">
        <f t="shared" si="3"/>
        <v>44615</v>
      </c>
      <c r="D9" s="2">
        <f t="shared" si="3"/>
        <v>44616</v>
      </c>
      <c r="E9" s="2">
        <f t="shared" si="3"/>
        <v>44617</v>
      </c>
      <c r="F9" s="2">
        <f t="shared" si="3"/>
        <v>44618</v>
      </c>
      <c r="G9" s="2">
        <f t="shared" si="3"/>
        <v>44619</v>
      </c>
      <c r="H9" s="11" t="str">
        <f t="shared" si="2"/>
        <v>KW08 Feb-22</v>
      </c>
      <c r="J9" s="12">
        <v>44739</v>
      </c>
      <c r="K9" s="12">
        <v>44739</v>
      </c>
      <c r="L9" cm="1">
        <f t="array" aca="1" ref="L9" ca="1">IF(J9=0,"",SUMPRODUCT((WEEKDAY(ROW(INDIRECT(J9&amp;":"&amp;K9)),2)&lt;=5)*1)-SUMPRODUCT(($P$2:$P$11&lt;=K9)*($P$2:$P$11&gt;=J9)*1))</f>
        <v>1</v>
      </c>
      <c r="O9" s="4"/>
      <c r="P9" s="4">
        <f>DATE(N11,11,1)</f>
        <v>44866</v>
      </c>
    </row>
    <row r="10" spans="1:18" x14ac:dyDescent="0.25">
      <c r="A10" s="2">
        <f t="shared" si="1"/>
        <v>44620</v>
      </c>
      <c r="B10" s="2">
        <f t="shared" si="3"/>
        <v>44621</v>
      </c>
      <c r="C10" s="2">
        <f t="shared" si="3"/>
        <v>44622</v>
      </c>
      <c r="D10" s="2">
        <f t="shared" si="3"/>
        <v>44623</v>
      </c>
      <c r="E10" s="2">
        <f t="shared" si="3"/>
        <v>44624</v>
      </c>
      <c r="F10" s="2">
        <f t="shared" si="3"/>
        <v>44625</v>
      </c>
      <c r="G10" s="2">
        <f t="shared" si="3"/>
        <v>44626</v>
      </c>
      <c r="H10" s="11" t="str">
        <f t="shared" si="2"/>
        <v>KW09 Feb-22</v>
      </c>
      <c r="J10" s="12">
        <v>44774</v>
      </c>
      <c r="K10" s="12">
        <v>44774</v>
      </c>
      <c r="L10" cm="1">
        <f t="array" aca="1" ref="L10" ca="1">IF(J10=0,"",SUMPRODUCT((WEEKDAY(ROW(INDIRECT(J10&amp;":"&amp;K10)),2)&lt;=5)*1)-SUMPRODUCT(($P$2:$P$11&lt;=K10)*($P$2:$P$11&gt;=J10)*1))</f>
        <v>1</v>
      </c>
      <c r="M10" s="1"/>
      <c r="N10" s="9" t="s">
        <v>18</v>
      </c>
      <c r="O10" s="4"/>
      <c r="P10" s="4">
        <f>DATE(N11,11,11)</f>
        <v>44876</v>
      </c>
    </row>
    <row r="11" spans="1:18" x14ac:dyDescent="0.25">
      <c r="A11" s="2">
        <f t="shared" si="1"/>
        <v>44627</v>
      </c>
      <c r="B11" s="2">
        <f t="shared" si="3"/>
        <v>44628</v>
      </c>
      <c r="C11" s="2">
        <f t="shared" si="3"/>
        <v>44629</v>
      </c>
      <c r="D11" s="2">
        <f t="shared" si="3"/>
        <v>44630</v>
      </c>
      <c r="E11" s="2">
        <f t="shared" si="3"/>
        <v>44631</v>
      </c>
      <c r="F11" s="2">
        <f t="shared" si="3"/>
        <v>44632</v>
      </c>
      <c r="G11" s="2">
        <f t="shared" si="3"/>
        <v>44633</v>
      </c>
      <c r="H11" s="11" t="str">
        <f t="shared" si="2"/>
        <v>KW10 Mar-22</v>
      </c>
      <c r="J11" s="12">
        <v>44781</v>
      </c>
      <c r="K11" s="12">
        <v>44781</v>
      </c>
      <c r="L11" cm="1">
        <f t="array" aca="1" ref="L11" ca="1">IF(J11=0,"",SUMPRODUCT((WEEKDAY(ROW(INDIRECT(J11&amp;":"&amp;K11)),2)&lt;=5)*1)-SUMPRODUCT(($P$2:$P$11&lt;=K11)*($P$2:$P$11&gt;=J11)*1))</f>
        <v>1</v>
      </c>
      <c r="N11">
        <v>2022</v>
      </c>
      <c r="O11" s="4"/>
      <c r="P11" s="4">
        <f>DATE(N11,12,25)</f>
        <v>44920</v>
      </c>
    </row>
    <row r="12" spans="1:18" x14ac:dyDescent="0.25">
      <c r="A12" s="2">
        <f t="shared" si="1"/>
        <v>44634</v>
      </c>
      <c r="B12" s="2">
        <f t="shared" si="3"/>
        <v>44635</v>
      </c>
      <c r="C12" s="2">
        <f t="shared" si="3"/>
        <v>44636</v>
      </c>
      <c r="D12" s="2">
        <f t="shared" si="3"/>
        <v>44637</v>
      </c>
      <c r="E12" s="2">
        <f t="shared" si="3"/>
        <v>44638</v>
      </c>
      <c r="F12" s="2">
        <f t="shared" si="3"/>
        <v>44639</v>
      </c>
      <c r="G12" s="2">
        <f t="shared" si="3"/>
        <v>44640</v>
      </c>
      <c r="H12" s="11" t="str">
        <f t="shared" si="2"/>
        <v>KW11 Mar-22</v>
      </c>
      <c r="J12" s="12">
        <v>44795</v>
      </c>
      <c r="K12" s="12">
        <v>44795</v>
      </c>
      <c r="L12" cm="1">
        <f t="array" aca="1" ref="L12" ca="1">IF(J12=0,"",SUMPRODUCT((WEEKDAY(ROW(INDIRECT(J12&amp;":"&amp;K12)),2)&lt;=5)*1)-SUMPRODUCT(($P$2:$P$11&lt;=K12)*($P$2:$P$11&gt;=J12)*1))</f>
        <v>1</v>
      </c>
      <c r="O12" s="4"/>
      <c r="P12" s="5"/>
    </row>
    <row r="13" spans="1:18" x14ac:dyDescent="0.25">
      <c r="A13" s="2">
        <f t="shared" si="1"/>
        <v>44641</v>
      </c>
      <c r="B13" s="2">
        <f t="shared" si="3"/>
        <v>44642</v>
      </c>
      <c r="C13" s="2">
        <f t="shared" si="3"/>
        <v>44643</v>
      </c>
      <c r="D13" s="2">
        <f t="shared" si="3"/>
        <v>44644</v>
      </c>
      <c r="E13" s="2">
        <f t="shared" si="3"/>
        <v>44645</v>
      </c>
      <c r="F13" s="2">
        <f t="shared" si="3"/>
        <v>44646</v>
      </c>
      <c r="G13" s="2">
        <f t="shared" si="3"/>
        <v>44647</v>
      </c>
      <c r="H13" s="11" t="str">
        <f t="shared" si="2"/>
        <v>KW12 Mar-22</v>
      </c>
      <c r="J13" s="12">
        <v>44802</v>
      </c>
      <c r="K13" s="12">
        <v>44802</v>
      </c>
      <c r="L13" cm="1">
        <f t="array" aca="1" ref="L13" ca="1">IF(J13=0,"",SUMPRODUCT((WEEKDAY(ROW(INDIRECT(J13&amp;":"&amp;K13)),2)&lt;=5)*1)-SUMPRODUCT(($P$2:$P$11&lt;=K13)*($P$2:$P$11&gt;=J13)*1))</f>
        <v>1</v>
      </c>
      <c r="O13" s="4"/>
      <c r="P13" s="5"/>
    </row>
    <row r="14" spans="1:18" x14ac:dyDescent="0.25">
      <c r="A14" s="2">
        <f t="shared" si="1"/>
        <v>44648</v>
      </c>
      <c r="B14" s="2">
        <f t="shared" si="3"/>
        <v>44649</v>
      </c>
      <c r="C14" s="2">
        <f t="shared" si="3"/>
        <v>44650</v>
      </c>
      <c r="D14" s="2">
        <f t="shared" si="3"/>
        <v>44651</v>
      </c>
      <c r="E14" s="2">
        <f t="shared" si="3"/>
        <v>44652</v>
      </c>
      <c r="F14" s="2">
        <f t="shared" si="3"/>
        <v>44653</v>
      </c>
      <c r="G14" s="2">
        <f t="shared" si="3"/>
        <v>44654</v>
      </c>
      <c r="H14" s="11" t="str">
        <f t="shared" si="2"/>
        <v>KW13 Mar-22</v>
      </c>
      <c r="J14" s="12">
        <v>44809</v>
      </c>
      <c r="K14" s="12">
        <v>44809</v>
      </c>
      <c r="L14" cm="1">
        <f t="array" aca="1" ref="L14" ca="1">IF(J14=0,"",SUMPRODUCT((WEEKDAY(ROW(INDIRECT(J14&amp;":"&amp;K14)),2)&lt;=5)*1)-SUMPRODUCT(($P$2:$P$11&lt;=K14)*($P$2:$P$11&gt;=J14)*1))</f>
        <v>1</v>
      </c>
      <c r="O14" s="4"/>
      <c r="P14" s="5"/>
    </row>
    <row r="15" spans="1:18" x14ac:dyDescent="0.25">
      <c r="A15" s="2">
        <f t="shared" si="1"/>
        <v>44655</v>
      </c>
      <c r="B15" s="2">
        <f t="shared" si="3"/>
        <v>44656</v>
      </c>
      <c r="C15" s="2">
        <f t="shared" si="3"/>
        <v>44657</v>
      </c>
      <c r="D15" s="2">
        <f t="shared" si="3"/>
        <v>44658</v>
      </c>
      <c r="E15" s="2">
        <f t="shared" si="3"/>
        <v>44659</v>
      </c>
      <c r="F15" s="2">
        <f t="shared" si="3"/>
        <v>44660</v>
      </c>
      <c r="G15" s="2">
        <f t="shared" si="3"/>
        <v>44661</v>
      </c>
      <c r="H15" s="11" t="str">
        <f t="shared" si="2"/>
        <v>KW14 Apr-22</v>
      </c>
      <c r="J15" s="12">
        <v>44816</v>
      </c>
      <c r="K15" s="12">
        <v>44816</v>
      </c>
      <c r="L15" cm="1">
        <f t="array" aca="1" ref="L15" ca="1">IF(J15=0,"",SUMPRODUCT((WEEKDAY(ROW(INDIRECT(J15&amp;":"&amp;K15)),2)&lt;=5)*1)-SUMPRODUCT(($P$2:$P$11&lt;=K15)*($P$2:$P$11&gt;=J15)*1))</f>
        <v>1</v>
      </c>
      <c r="O15" s="4"/>
      <c r="P15" s="5"/>
    </row>
    <row r="16" spans="1:18" x14ac:dyDescent="0.25">
      <c r="A16" s="2">
        <f t="shared" si="1"/>
        <v>44662</v>
      </c>
      <c r="B16" s="2">
        <f t="shared" si="3"/>
        <v>44663</v>
      </c>
      <c r="C16" s="2">
        <f t="shared" si="3"/>
        <v>44664</v>
      </c>
      <c r="D16" s="2">
        <f t="shared" si="3"/>
        <v>44665</v>
      </c>
      <c r="E16" s="2">
        <f t="shared" si="3"/>
        <v>44666</v>
      </c>
      <c r="F16" s="2">
        <f t="shared" si="3"/>
        <v>44667</v>
      </c>
      <c r="G16" s="2">
        <f t="shared" si="3"/>
        <v>44668</v>
      </c>
      <c r="H16" s="11" t="str">
        <f t="shared" si="2"/>
        <v>KW15 Apr-22</v>
      </c>
      <c r="J16" s="12">
        <v>44823</v>
      </c>
      <c r="K16" s="12">
        <v>44823</v>
      </c>
      <c r="L16" cm="1">
        <f t="array" aca="1" ref="L16" ca="1">IF(J16=0,"",SUMPRODUCT((WEEKDAY(ROW(INDIRECT(J16&amp;":"&amp;K16)),2)&lt;=5)*1)-SUMPRODUCT(($P$2:$P$11&lt;=K16)*($P$2:$P$11&gt;=J16)*1))</f>
        <v>1</v>
      </c>
      <c r="P16" s="5"/>
    </row>
    <row r="17" spans="1:16" x14ac:dyDescent="0.25">
      <c r="A17" s="2">
        <f t="shared" si="1"/>
        <v>44669</v>
      </c>
      <c r="B17" s="2">
        <f t="shared" si="3"/>
        <v>44670</v>
      </c>
      <c r="C17" s="2">
        <f t="shared" si="3"/>
        <v>44671</v>
      </c>
      <c r="D17" s="2">
        <f t="shared" si="3"/>
        <v>44672</v>
      </c>
      <c r="E17" s="2">
        <f t="shared" si="3"/>
        <v>44673</v>
      </c>
      <c r="F17" s="2">
        <f t="shared" si="3"/>
        <v>44674</v>
      </c>
      <c r="G17" s="2">
        <f t="shared" si="3"/>
        <v>44675</v>
      </c>
      <c r="H17" s="11" t="str">
        <f t="shared" si="2"/>
        <v>KW16 Apr-22</v>
      </c>
      <c r="J17" s="12">
        <v>44830</v>
      </c>
      <c r="K17" s="12">
        <v>44830</v>
      </c>
      <c r="L17" cm="1">
        <f t="array" aca="1" ref="L17" ca="1">IF(J17=0,"",SUMPRODUCT((WEEKDAY(ROW(INDIRECT(J17&amp;":"&amp;K17)),2)&lt;=5)*1)-SUMPRODUCT(($P$2:$P$11&lt;=K17)*($P$2:$P$11&gt;=J17)*1))</f>
        <v>1</v>
      </c>
      <c r="O17" s="4"/>
      <c r="P17" s="4"/>
    </row>
    <row r="18" spans="1:16" x14ac:dyDescent="0.25">
      <c r="A18" s="2">
        <f t="shared" si="1"/>
        <v>44676</v>
      </c>
      <c r="B18" s="2">
        <f t="shared" si="3"/>
        <v>44677</v>
      </c>
      <c r="C18" s="2">
        <f t="shared" si="3"/>
        <v>44678</v>
      </c>
      <c r="D18" s="2">
        <f t="shared" si="3"/>
        <v>44679</v>
      </c>
      <c r="E18" s="2">
        <f t="shared" si="3"/>
        <v>44680</v>
      </c>
      <c r="F18" s="2">
        <f t="shared" si="3"/>
        <v>44681</v>
      </c>
      <c r="G18" s="2">
        <f t="shared" si="3"/>
        <v>44682</v>
      </c>
      <c r="H18" s="11" t="str">
        <f t="shared" si="2"/>
        <v>KW17 Apr-22</v>
      </c>
      <c r="J18" s="12">
        <v>44837</v>
      </c>
      <c r="K18" s="12">
        <v>44837</v>
      </c>
      <c r="L18" cm="1">
        <f t="array" aca="1" ref="L18" ca="1">IF(J18=0,"",SUMPRODUCT((WEEKDAY(ROW(INDIRECT(J18&amp;":"&amp;K18)),2)&lt;=5)*1)-SUMPRODUCT(($P$2:$P$11&lt;=K18)*($P$2:$P$11&gt;=J18)*1))</f>
        <v>1</v>
      </c>
      <c r="O18" s="4"/>
      <c r="P18" s="5"/>
    </row>
    <row r="19" spans="1:16" x14ac:dyDescent="0.25">
      <c r="A19" s="2">
        <f t="shared" si="1"/>
        <v>44683</v>
      </c>
      <c r="B19" s="2">
        <f t="shared" si="3"/>
        <v>44684</v>
      </c>
      <c r="C19" s="2">
        <f t="shared" si="3"/>
        <v>44685</v>
      </c>
      <c r="D19" s="2">
        <f t="shared" si="3"/>
        <v>44686</v>
      </c>
      <c r="E19" s="2">
        <f t="shared" si="3"/>
        <v>44687</v>
      </c>
      <c r="F19" s="2">
        <f t="shared" si="3"/>
        <v>44688</v>
      </c>
      <c r="G19" s="2">
        <f t="shared" si="3"/>
        <v>44689</v>
      </c>
      <c r="H19" s="11" t="str">
        <f t="shared" si="2"/>
        <v>KW18 May-22</v>
      </c>
      <c r="J19" s="12">
        <v>44844</v>
      </c>
      <c r="K19" s="12">
        <v>44844</v>
      </c>
      <c r="L19" cm="1">
        <f t="array" aca="1" ref="L19" ca="1">IF(J19=0,"",SUMPRODUCT((WEEKDAY(ROW(INDIRECT(J19&amp;":"&amp;K19)),2)&lt;=5)*1)-SUMPRODUCT(($P$2:$P$11&lt;=K19)*($P$2:$P$11&gt;=J19)*1))</f>
        <v>1</v>
      </c>
      <c r="O19" s="4"/>
      <c r="P19" s="5"/>
    </row>
    <row r="20" spans="1:16" x14ac:dyDescent="0.25">
      <c r="A20" s="2">
        <f t="shared" si="1"/>
        <v>44690</v>
      </c>
      <c r="B20" s="2">
        <f t="shared" ref="B20:G53" si="4">A20+1</f>
        <v>44691</v>
      </c>
      <c r="C20" s="2">
        <f t="shared" si="4"/>
        <v>44692</v>
      </c>
      <c r="D20" s="2">
        <f t="shared" si="4"/>
        <v>44693</v>
      </c>
      <c r="E20" s="2">
        <f t="shared" si="4"/>
        <v>44694</v>
      </c>
      <c r="F20" s="2">
        <f t="shared" si="4"/>
        <v>44695</v>
      </c>
      <c r="G20" s="2">
        <f t="shared" si="4"/>
        <v>44696</v>
      </c>
      <c r="H20" s="11" t="str">
        <f t="shared" si="2"/>
        <v>KW19 May-22</v>
      </c>
      <c r="J20" s="12">
        <v>44851</v>
      </c>
      <c r="K20" s="12">
        <v>44851</v>
      </c>
      <c r="L20" cm="1">
        <f t="array" aca="1" ref="L20" ca="1">IF(J20=0,"",SUMPRODUCT((WEEKDAY(ROW(INDIRECT(J20&amp;":"&amp;K20)),2)&lt;=5)*1)-SUMPRODUCT(($P$2:$P$11&lt;=K20)*($P$2:$P$11&gt;=J20)*1))</f>
        <v>1</v>
      </c>
      <c r="O20" s="4"/>
      <c r="P20" s="5"/>
    </row>
    <row r="21" spans="1:16" x14ac:dyDescent="0.25">
      <c r="A21" s="2">
        <f t="shared" si="1"/>
        <v>44697</v>
      </c>
      <c r="B21" s="2">
        <f t="shared" si="4"/>
        <v>44698</v>
      </c>
      <c r="C21" s="2">
        <f t="shared" si="4"/>
        <v>44699</v>
      </c>
      <c r="D21" s="2">
        <f t="shared" si="4"/>
        <v>44700</v>
      </c>
      <c r="E21" s="2">
        <f t="shared" si="4"/>
        <v>44701</v>
      </c>
      <c r="F21" s="2">
        <f t="shared" si="4"/>
        <v>44702</v>
      </c>
      <c r="G21" s="2">
        <f t="shared" si="4"/>
        <v>44703</v>
      </c>
      <c r="H21" s="11" t="str">
        <f t="shared" si="2"/>
        <v>KW20 May-22</v>
      </c>
      <c r="J21" s="12">
        <v>44858</v>
      </c>
      <c r="K21" s="12">
        <v>44858</v>
      </c>
      <c r="L21" cm="1">
        <f t="array" aca="1" ref="L21" ca="1">IF(J21=0,"",SUMPRODUCT((WEEKDAY(ROW(INDIRECT(J21&amp;":"&amp;K21)),2)&lt;=5)*1)-SUMPRODUCT(($P$2:$P$11&lt;=K21)*($P$2:$P$11&gt;=J21)*1))</f>
        <v>1</v>
      </c>
    </row>
    <row r="22" spans="1:16" x14ac:dyDescent="0.25">
      <c r="A22" s="13">
        <f t="shared" si="1"/>
        <v>44704</v>
      </c>
      <c r="B22" s="13">
        <f t="shared" si="4"/>
        <v>44705</v>
      </c>
      <c r="C22" s="13">
        <f t="shared" si="4"/>
        <v>44706</v>
      </c>
      <c r="D22" s="13">
        <f t="shared" si="4"/>
        <v>44707</v>
      </c>
      <c r="E22" s="13">
        <f t="shared" si="4"/>
        <v>44708</v>
      </c>
      <c r="F22" s="13">
        <f t="shared" si="4"/>
        <v>44709</v>
      </c>
      <c r="G22" s="2">
        <f t="shared" si="4"/>
        <v>44710</v>
      </c>
      <c r="H22" s="11" t="str">
        <f t="shared" si="2"/>
        <v>KW21 May-22</v>
      </c>
      <c r="J22" s="12">
        <v>44865</v>
      </c>
      <c r="K22" s="12">
        <v>44865</v>
      </c>
      <c r="L22" cm="1">
        <f t="array" aca="1" ref="L22" ca="1">IF(J22=0,"",SUMPRODUCT((WEEKDAY(ROW(INDIRECT(J22&amp;":"&amp;K22)),2)&lt;=5)*1)-SUMPRODUCT(($P$2:$P$11&lt;=K22)*($P$2:$P$11&gt;=J22)*1))</f>
        <v>1</v>
      </c>
    </row>
    <row r="23" spans="1:16" x14ac:dyDescent="0.25">
      <c r="A23" s="13">
        <f t="shared" si="1"/>
        <v>44711</v>
      </c>
      <c r="B23" s="13">
        <f t="shared" si="4"/>
        <v>44712</v>
      </c>
      <c r="C23" s="13">
        <f t="shared" si="4"/>
        <v>44713</v>
      </c>
      <c r="D23" s="13">
        <f t="shared" si="4"/>
        <v>44714</v>
      </c>
      <c r="E23" s="13">
        <f t="shared" si="4"/>
        <v>44715</v>
      </c>
      <c r="F23" s="13">
        <f t="shared" si="4"/>
        <v>44716</v>
      </c>
      <c r="G23" s="2">
        <f t="shared" si="4"/>
        <v>44717</v>
      </c>
      <c r="H23" s="11" t="str">
        <f t="shared" si="2"/>
        <v>KW22 May-22</v>
      </c>
      <c r="J23" s="12">
        <v>44872</v>
      </c>
      <c r="K23" s="12">
        <v>44872</v>
      </c>
      <c r="L23" cm="1">
        <f t="array" aca="1" ref="L23" ca="1">IF(J23=0,"",SUMPRODUCT((WEEKDAY(ROW(INDIRECT(J23&amp;":"&amp;K23)),2)&lt;=5)*1)-SUMPRODUCT(($P$2:$P$11&lt;=K23)*($P$2:$P$11&gt;=J23)*1))</f>
        <v>1</v>
      </c>
    </row>
    <row r="24" spans="1:16" x14ac:dyDescent="0.25">
      <c r="A24" s="13">
        <f t="shared" si="1"/>
        <v>44718</v>
      </c>
      <c r="B24" s="13">
        <f t="shared" si="4"/>
        <v>44719</v>
      </c>
      <c r="C24" s="13">
        <f t="shared" si="4"/>
        <v>44720</v>
      </c>
      <c r="D24" s="13">
        <f t="shared" si="4"/>
        <v>44721</v>
      </c>
      <c r="E24" s="13">
        <f t="shared" si="4"/>
        <v>44722</v>
      </c>
      <c r="F24" s="13">
        <f t="shared" si="4"/>
        <v>44723</v>
      </c>
      <c r="G24" s="2">
        <f t="shared" si="4"/>
        <v>44724</v>
      </c>
      <c r="H24" s="11" t="str">
        <f t="shared" si="2"/>
        <v>KW23 Jun-22</v>
      </c>
      <c r="J24" s="12">
        <v>44879</v>
      </c>
      <c r="K24" s="12">
        <v>44879</v>
      </c>
      <c r="L24" cm="1">
        <f t="array" aca="1" ref="L24" ca="1">IF(J24=0,"",SUMPRODUCT((WEEKDAY(ROW(INDIRECT(J24&amp;":"&amp;K24)),2)&lt;=5)*1)-SUMPRODUCT(($P$2:$P$11&lt;=K24)*($P$2:$P$11&gt;=J24)*1))</f>
        <v>1</v>
      </c>
    </row>
    <row r="25" spans="1:16" x14ac:dyDescent="0.25">
      <c r="A25" s="13">
        <f t="shared" si="1"/>
        <v>44725</v>
      </c>
      <c r="B25" s="13">
        <f t="shared" si="4"/>
        <v>44726</v>
      </c>
      <c r="C25" s="13">
        <f t="shared" si="4"/>
        <v>44727</v>
      </c>
      <c r="D25" s="13">
        <f t="shared" si="4"/>
        <v>44728</v>
      </c>
      <c r="E25" s="13">
        <f t="shared" si="4"/>
        <v>44729</v>
      </c>
      <c r="F25" s="13">
        <f t="shared" si="4"/>
        <v>44730</v>
      </c>
      <c r="G25" s="2">
        <f t="shared" si="4"/>
        <v>44731</v>
      </c>
      <c r="H25" s="11" t="str">
        <f t="shared" si="2"/>
        <v>KW24 Jun-22</v>
      </c>
      <c r="J25" s="12">
        <v>44886</v>
      </c>
      <c r="K25" s="12">
        <v>44886</v>
      </c>
      <c r="L25" cm="1">
        <f t="array" aca="1" ref="L25" ca="1">IF(J25=0,"",SUMPRODUCT((WEEKDAY(ROW(INDIRECT(J25&amp;":"&amp;K25)),2)&lt;=5)*1)-SUMPRODUCT(($P$2:$P$11&lt;=K25)*($P$2:$P$11&gt;=J25)*1))</f>
        <v>1</v>
      </c>
    </row>
    <row r="26" spans="1:16" x14ac:dyDescent="0.25">
      <c r="A26" s="13">
        <f t="shared" si="1"/>
        <v>44732</v>
      </c>
      <c r="B26" s="13">
        <f t="shared" si="4"/>
        <v>44733</v>
      </c>
      <c r="C26" s="13">
        <f t="shared" si="4"/>
        <v>44734</v>
      </c>
      <c r="D26" s="13">
        <f t="shared" si="4"/>
        <v>44735</v>
      </c>
      <c r="E26" s="13">
        <f t="shared" si="4"/>
        <v>44736</v>
      </c>
      <c r="F26" s="13">
        <f t="shared" si="4"/>
        <v>44737</v>
      </c>
      <c r="G26" s="2">
        <f t="shared" si="4"/>
        <v>44738</v>
      </c>
      <c r="H26" s="11" t="str">
        <f t="shared" si="2"/>
        <v>KW25 Jun-22</v>
      </c>
      <c r="J26" s="12">
        <v>44893</v>
      </c>
      <c r="K26" s="12">
        <v>44893</v>
      </c>
      <c r="L26" cm="1">
        <f t="array" aca="1" ref="L26" ca="1">IF(J26=0,"",SUMPRODUCT((WEEKDAY(ROW(INDIRECT(J26&amp;":"&amp;K26)),2)&lt;=5)*1)-SUMPRODUCT(($P$2:$P$11&lt;=K26)*($P$2:$P$11&gt;=J26)*1))</f>
        <v>1</v>
      </c>
    </row>
    <row r="27" spans="1:16" x14ac:dyDescent="0.25">
      <c r="A27" s="13">
        <f t="shared" si="1"/>
        <v>44739</v>
      </c>
      <c r="B27" s="13">
        <f t="shared" si="4"/>
        <v>44740</v>
      </c>
      <c r="C27" s="13">
        <f t="shared" si="4"/>
        <v>44741</v>
      </c>
      <c r="D27" s="13">
        <f t="shared" si="4"/>
        <v>44742</v>
      </c>
      <c r="E27" s="13">
        <f t="shared" si="4"/>
        <v>44743</v>
      </c>
      <c r="F27" s="13">
        <f t="shared" si="4"/>
        <v>44744</v>
      </c>
      <c r="G27" s="2">
        <f t="shared" si="4"/>
        <v>44745</v>
      </c>
      <c r="H27" s="11" t="str">
        <f t="shared" si="2"/>
        <v>KW26 Jun-22</v>
      </c>
      <c r="J27" s="12">
        <v>44900</v>
      </c>
      <c r="K27" s="12">
        <v>44900</v>
      </c>
      <c r="L27" cm="1">
        <f t="array" aca="1" ref="L27" ca="1">IF(J27=0,"",SUMPRODUCT((WEEKDAY(ROW(INDIRECT(J27&amp;":"&amp;K27)),2)&lt;=5)*1)-SUMPRODUCT(($P$2:$P$11&lt;=K27)*($P$2:$P$11&gt;=J27)*1))</f>
        <v>1</v>
      </c>
    </row>
    <row r="28" spans="1:16" x14ac:dyDescent="0.25">
      <c r="A28" s="13">
        <f t="shared" si="1"/>
        <v>44746</v>
      </c>
      <c r="B28" s="13">
        <f t="shared" si="4"/>
        <v>44747</v>
      </c>
      <c r="C28" s="13">
        <f t="shared" si="4"/>
        <v>44748</v>
      </c>
      <c r="D28" s="13">
        <f t="shared" si="4"/>
        <v>44749</v>
      </c>
      <c r="E28" s="13">
        <f t="shared" si="4"/>
        <v>44750</v>
      </c>
      <c r="F28" s="13">
        <f t="shared" si="4"/>
        <v>44751</v>
      </c>
      <c r="G28" s="2">
        <f t="shared" si="4"/>
        <v>44752</v>
      </c>
      <c r="H28" s="11" t="str">
        <f t="shared" si="2"/>
        <v>KW27 Jul-22</v>
      </c>
      <c r="J28" s="12">
        <v>44907</v>
      </c>
      <c r="K28" s="12">
        <v>44907</v>
      </c>
      <c r="L28" cm="1">
        <f t="array" aca="1" ref="L28" ca="1">IF(J28=0,"",SUMPRODUCT((WEEKDAY(ROW(INDIRECT(J28&amp;":"&amp;K28)),2)&lt;=5)*1)-SUMPRODUCT(($P$2:$P$11&lt;=K28)*($P$2:$P$11&gt;=J28)*1))</f>
        <v>1</v>
      </c>
    </row>
    <row r="29" spans="1:16" x14ac:dyDescent="0.25">
      <c r="A29" s="13">
        <f t="shared" si="1"/>
        <v>44753</v>
      </c>
      <c r="B29" s="13">
        <f t="shared" si="4"/>
        <v>44754</v>
      </c>
      <c r="C29" s="13">
        <f t="shared" si="4"/>
        <v>44755</v>
      </c>
      <c r="D29" s="13">
        <f t="shared" si="4"/>
        <v>44756</v>
      </c>
      <c r="E29" s="13">
        <f t="shared" si="4"/>
        <v>44757</v>
      </c>
      <c r="F29" s="13">
        <f t="shared" si="4"/>
        <v>44758</v>
      </c>
      <c r="G29" s="2">
        <f t="shared" si="4"/>
        <v>44759</v>
      </c>
      <c r="H29" s="11" t="str">
        <f t="shared" si="2"/>
        <v>KW28 Jul-22</v>
      </c>
      <c r="J29" s="12">
        <v>44914</v>
      </c>
      <c r="K29" s="12">
        <v>44914</v>
      </c>
      <c r="L29" cm="1">
        <f t="array" aca="1" ref="L29" ca="1">IF(J29=0,"",SUMPRODUCT((WEEKDAY(ROW(INDIRECT(J29&amp;":"&amp;K29)),2)&lt;=5)*1)-SUMPRODUCT(($P$2:$P$11&lt;=K29)*($P$2:$P$11&gt;=J29)*1))</f>
        <v>1</v>
      </c>
    </row>
    <row r="30" spans="1:16" x14ac:dyDescent="0.25">
      <c r="A30" s="13">
        <f t="shared" si="1"/>
        <v>44760</v>
      </c>
      <c r="B30" s="13">
        <f t="shared" si="4"/>
        <v>44761</v>
      </c>
      <c r="C30" s="13">
        <f t="shared" si="4"/>
        <v>44762</v>
      </c>
      <c r="D30" s="13">
        <f t="shared" si="4"/>
        <v>44763</v>
      </c>
      <c r="E30" s="13">
        <f t="shared" si="4"/>
        <v>44764</v>
      </c>
      <c r="F30" s="13">
        <f t="shared" si="4"/>
        <v>44765</v>
      </c>
      <c r="G30" s="2">
        <f t="shared" si="4"/>
        <v>44766</v>
      </c>
      <c r="H30" s="11" t="str">
        <f t="shared" si="2"/>
        <v>KW29 Jul-22</v>
      </c>
      <c r="J30" s="12">
        <v>44921</v>
      </c>
      <c r="K30" s="12">
        <v>44921</v>
      </c>
      <c r="L30" cm="1">
        <f t="array" aca="1" ref="L30" ca="1">IF(J30=0,"",SUMPRODUCT((WEEKDAY(ROW(INDIRECT(J30&amp;":"&amp;K30)),2)&lt;=5)*1)-SUMPRODUCT(($P$2:$P$11&lt;=K30)*($P$2:$P$11&gt;=J30)*1))</f>
        <v>1</v>
      </c>
    </row>
    <row r="31" spans="1:16" x14ac:dyDescent="0.25">
      <c r="A31" s="13">
        <f t="shared" si="1"/>
        <v>44767</v>
      </c>
      <c r="B31" s="13">
        <f t="shared" si="4"/>
        <v>44768</v>
      </c>
      <c r="C31" s="13">
        <f t="shared" si="4"/>
        <v>44769</v>
      </c>
      <c r="D31" s="13">
        <f t="shared" si="4"/>
        <v>44770</v>
      </c>
      <c r="E31" s="13">
        <f t="shared" si="4"/>
        <v>44771</v>
      </c>
      <c r="F31" s="13">
        <f t="shared" si="4"/>
        <v>44772</v>
      </c>
      <c r="G31" s="2">
        <f t="shared" si="4"/>
        <v>44773</v>
      </c>
      <c r="H31" s="11" t="str">
        <f t="shared" si="2"/>
        <v>KW30 Jul-22</v>
      </c>
      <c r="J31" s="12">
        <v>44923</v>
      </c>
      <c r="K31" s="12">
        <v>44923</v>
      </c>
      <c r="L31" cm="1">
        <f t="array" aca="1" ref="L31" ca="1">IF(J31=0,"",SUMPRODUCT((WEEKDAY(ROW(INDIRECT(J31&amp;":"&amp;K31)),2)&lt;=5)*1)-SUMPRODUCT(($P$2:$P$11&lt;=K31)*($P$2:$P$11&gt;=J31)*1))</f>
        <v>1</v>
      </c>
    </row>
    <row r="32" spans="1:16" x14ac:dyDescent="0.25">
      <c r="A32" s="13">
        <f t="shared" si="1"/>
        <v>44774</v>
      </c>
      <c r="B32" s="13">
        <f t="shared" si="4"/>
        <v>44775</v>
      </c>
      <c r="C32" s="13">
        <f t="shared" si="4"/>
        <v>44776</v>
      </c>
      <c r="D32" s="13">
        <f t="shared" si="4"/>
        <v>44777</v>
      </c>
      <c r="E32" s="13">
        <f t="shared" si="4"/>
        <v>44778</v>
      </c>
      <c r="F32" s="13">
        <f t="shared" si="4"/>
        <v>44779</v>
      </c>
      <c r="G32" s="2">
        <f t="shared" si="4"/>
        <v>44780</v>
      </c>
      <c r="H32" s="11" t="str">
        <f t="shared" si="2"/>
        <v>KW31 Aug-22</v>
      </c>
    </row>
    <row r="33" spans="1:8" x14ac:dyDescent="0.25">
      <c r="A33" s="13">
        <f t="shared" si="1"/>
        <v>44781</v>
      </c>
      <c r="B33" s="13">
        <f t="shared" si="4"/>
        <v>44782</v>
      </c>
      <c r="C33" s="13">
        <f t="shared" si="4"/>
        <v>44783</v>
      </c>
      <c r="D33" s="13">
        <f t="shared" si="4"/>
        <v>44784</v>
      </c>
      <c r="E33" s="13">
        <f t="shared" si="4"/>
        <v>44785</v>
      </c>
      <c r="F33" s="13">
        <f t="shared" si="4"/>
        <v>44786</v>
      </c>
      <c r="G33" s="2">
        <f t="shared" si="4"/>
        <v>44787</v>
      </c>
      <c r="H33" s="11" t="str">
        <f t="shared" si="2"/>
        <v>KW32 Aug-22</v>
      </c>
    </row>
    <row r="34" spans="1:8" x14ac:dyDescent="0.25">
      <c r="A34" s="13">
        <f t="shared" si="1"/>
        <v>44788</v>
      </c>
      <c r="B34" s="13">
        <f t="shared" si="4"/>
        <v>44789</v>
      </c>
      <c r="C34" s="13">
        <f t="shared" si="4"/>
        <v>44790</v>
      </c>
      <c r="D34" s="13">
        <f t="shared" si="4"/>
        <v>44791</v>
      </c>
      <c r="E34" s="13">
        <f t="shared" si="4"/>
        <v>44792</v>
      </c>
      <c r="F34" s="13">
        <f t="shared" si="4"/>
        <v>44793</v>
      </c>
      <c r="G34" s="2">
        <f t="shared" si="4"/>
        <v>44794</v>
      </c>
      <c r="H34" s="11" t="str">
        <f t="shared" si="2"/>
        <v>KW33 Aug-22</v>
      </c>
    </row>
    <row r="35" spans="1:8" x14ac:dyDescent="0.25">
      <c r="A35" s="13">
        <f t="shared" si="1"/>
        <v>44795</v>
      </c>
      <c r="B35" s="13">
        <f t="shared" si="4"/>
        <v>44796</v>
      </c>
      <c r="C35" s="13">
        <f t="shared" si="4"/>
        <v>44797</v>
      </c>
      <c r="D35" s="13">
        <f t="shared" si="4"/>
        <v>44798</v>
      </c>
      <c r="E35" s="13">
        <f t="shared" si="4"/>
        <v>44799</v>
      </c>
      <c r="F35" s="13">
        <f t="shared" si="4"/>
        <v>44800</v>
      </c>
      <c r="G35" s="2">
        <f t="shared" si="4"/>
        <v>44801</v>
      </c>
      <c r="H35" s="11" t="str">
        <f t="shared" si="2"/>
        <v>KW34 Aug-22</v>
      </c>
    </row>
    <row r="36" spans="1:8" x14ac:dyDescent="0.25">
      <c r="A36" s="13">
        <f t="shared" si="1"/>
        <v>44802</v>
      </c>
      <c r="B36" s="13">
        <f t="shared" si="4"/>
        <v>44803</v>
      </c>
      <c r="C36" s="13">
        <f t="shared" si="4"/>
        <v>44804</v>
      </c>
      <c r="D36" s="13">
        <f t="shared" si="4"/>
        <v>44805</v>
      </c>
      <c r="E36" s="13">
        <f t="shared" si="4"/>
        <v>44806</v>
      </c>
      <c r="F36" s="13">
        <f t="shared" si="4"/>
        <v>44807</v>
      </c>
      <c r="G36" s="2">
        <f t="shared" si="4"/>
        <v>44808</v>
      </c>
      <c r="H36" s="11" t="str">
        <f t="shared" si="2"/>
        <v>KW35 Aug-22</v>
      </c>
    </row>
    <row r="37" spans="1:8" x14ac:dyDescent="0.25">
      <c r="A37" s="13">
        <f t="shared" si="1"/>
        <v>44809</v>
      </c>
      <c r="B37" s="13">
        <f t="shared" si="4"/>
        <v>44810</v>
      </c>
      <c r="C37" s="13">
        <f t="shared" si="4"/>
        <v>44811</v>
      </c>
      <c r="D37" s="13">
        <f t="shared" si="4"/>
        <v>44812</v>
      </c>
      <c r="E37" s="13">
        <f t="shared" si="4"/>
        <v>44813</v>
      </c>
      <c r="F37" s="13">
        <f t="shared" si="4"/>
        <v>44814</v>
      </c>
      <c r="G37" s="2">
        <f t="shared" si="4"/>
        <v>44815</v>
      </c>
      <c r="H37" s="11" t="str">
        <f t="shared" si="2"/>
        <v>KW36 Sept-22</v>
      </c>
    </row>
    <row r="38" spans="1:8" x14ac:dyDescent="0.25">
      <c r="A38" s="13">
        <f t="shared" si="1"/>
        <v>44816</v>
      </c>
      <c r="B38" s="13">
        <f t="shared" si="4"/>
        <v>44817</v>
      </c>
      <c r="C38" s="13">
        <f t="shared" si="4"/>
        <v>44818</v>
      </c>
      <c r="D38" s="13">
        <f t="shared" si="4"/>
        <v>44819</v>
      </c>
      <c r="E38" s="13">
        <f t="shared" si="4"/>
        <v>44820</v>
      </c>
      <c r="F38" s="13">
        <f t="shared" si="4"/>
        <v>44821</v>
      </c>
      <c r="G38" s="2">
        <f t="shared" si="4"/>
        <v>44822</v>
      </c>
      <c r="H38" s="11" t="str">
        <f t="shared" si="2"/>
        <v>KW37 Sept-22</v>
      </c>
    </row>
    <row r="39" spans="1:8" x14ac:dyDescent="0.25">
      <c r="A39" s="13">
        <f t="shared" si="1"/>
        <v>44823</v>
      </c>
      <c r="B39" s="13">
        <f t="shared" si="4"/>
        <v>44824</v>
      </c>
      <c r="C39" s="13">
        <f t="shared" si="4"/>
        <v>44825</v>
      </c>
      <c r="D39" s="13">
        <f t="shared" si="4"/>
        <v>44826</v>
      </c>
      <c r="E39" s="13">
        <f t="shared" si="4"/>
        <v>44827</v>
      </c>
      <c r="F39" s="13">
        <f t="shared" si="4"/>
        <v>44828</v>
      </c>
      <c r="G39" s="2">
        <f t="shared" si="4"/>
        <v>44829</v>
      </c>
      <c r="H39" s="11" t="str">
        <f t="shared" si="2"/>
        <v>KW38 Sept-22</v>
      </c>
    </row>
    <row r="40" spans="1:8" x14ac:dyDescent="0.25">
      <c r="A40" s="13">
        <f t="shared" si="1"/>
        <v>44830</v>
      </c>
      <c r="B40" s="13">
        <f t="shared" si="4"/>
        <v>44831</v>
      </c>
      <c r="C40" s="13">
        <f t="shared" si="4"/>
        <v>44832</v>
      </c>
      <c r="D40" s="13">
        <f t="shared" si="4"/>
        <v>44833</v>
      </c>
      <c r="E40" s="13">
        <f t="shared" si="4"/>
        <v>44834</v>
      </c>
      <c r="F40" s="13">
        <f t="shared" si="4"/>
        <v>44835</v>
      </c>
      <c r="G40" s="2">
        <f t="shared" si="4"/>
        <v>44836</v>
      </c>
      <c r="H40" s="11" t="str">
        <f t="shared" si="2"/>
        <v>KW39 Sept-22</v>
      </c>
    </row>
    <row r="41" spans="1:8" x14ac:dyDescent="0.25">
      <c r="A41" s="13">
        <f t="shared" si="1"/>
        <v>44837</v>
      </c>
      <c r="B41" s="13">
        <f t="shared" si="4"/>
        <v>44838</v>
      </c>
      <c r="C41" s="13">
        <f t="shared" si="4"/>
        <v>44839</v>
      </c>
      <c r="D41" s="13">
        <f t="shared" si="4"/>
        <v>44840</v>
      </c>
      <c r="E41" s="13">
        <f t="shared" si="4"/>
        <v>44841</v>
      </c>
      <c r="F41" s="13">
        <f t="shared" si="4"/>
        <v>44842</v>
      </c>
      <c r="G41" s="2">
        <f t="shared" si="4"/>
        <v>44843</v>
      </c>
      <c r="H41" s="11" t="str">
        <f t="shared" si="2"/>
        <v>KW40 Oct-22</v>
      </c>
    </row>
    <row r="42" spans="1:8" x14ac:dyDescent="0.25">
      <c r="A42" s="13">
        <f t="shared" si="1"/>
        <v>44844</v>
      </c>
      <c r="B42" s="13">
        <f t="shared" si="4"/>
        <v>44845</v>
      </c>
      <c r="C42" s="13">
        <f t="shared" si="4"/>
        <v>44846</v>
      </c>
      <c r="D42" s="13">
        <f t="shared" si="4"/>
        <v>44847</v>
      </c>
      <c r="E42" s="13">
        <f t="shared" si="4"/>
        <v>44848</v>
      </c>
      <c r="F42" s="13">
        <f t="shared" si="4"/>
        <v>44849</v>
      </c>
      <c r="G42" s="2">
        <f t="shared" si="4"/>
        <v>44850</v>
      </c>
      <c r="H42" s="11" t="str">
        <f t="shared" si="2"/>
        <v>KW41 Oct-22</v>
      </c>
    </row>
    <row r="43" spans="1:8" x14ac:dyDescent="0.25">
      <c r="A43" s="13">
        <f t="shared" si="1"/>
        <v>44851</v>
      </c>
      <c r="B43" s="13">
        <f t="shared" si="4"/>
        <v>44852</v>
      </c>
      <c r="C43" s="13">
        <f t="shared" si="4"/>
        <v>44853</v>
      </c>
      <c r="D43" s="13">
        <f t="shared" si="4"/>
        <v>44854</v>
      </c>
      <c r="E43" s="13">
        <f t="shared" si="4"/>
        <v>44855</v>
      </c>
      <c r="F43" s="13">
        <f t="shared" si="4"/>
        <v>44856</v>
      </c>
      <c r="G43" s="2">
        <f t="shared" si="4"/>
        <v>44857</v>
      </c>
      <c r="H43" s="11" t="str">
        <f t="shared" si="2"/>
        <v>KW42 Oct-22</v>
      </c>
    </row>
    <row r="44" spans="1:8" x14ac:dyDescent="0.25">
      <c r="A44" s="13">
        <f t="shared" si="1"/>
        <v>44858</v>
      </c>
      <c r="B44" s="13">
        <f t="shared" si="4"/>
        <v>44859</v>
      </c>
      <c r="C44" s="13">
        <f t="shared" si="4"/>
        <v>44860</v>
      </c>
      <c r="D44" s="13">
        <f t="shared" si="4"/>
        <v>44861</v>
      </c>
      <c r="E44" s="13">
        <f t="shared" si="4"/>
        <v>44862</v>
      </c>
      <c r="F44" s="13">
        <f t="shared" si="4"/>
        <v>44863</v>
      </c>
      <c r="G44" s="2">
        <f t="shared" si="4"/>
        <v>44864</v>
      </c>
      <c r="H44" s="11" t="str">
        <f t="shared" si="2"/>
        <v>KW43 Oct-22</v>
      </c>
    </row>
    <row r="45" spans="1:8" x14ac:dyDescent="0.25">
      <c r="A45" s="2">
        <f t="shared" si="1"/>
        <v>44865</v>
      </c>
      <c r="B45" s="2">
        <f t="shared" si="4"/>
        <v>44866</v>
      </c>
      <c r="C45" s="2">
        <f t="shared" si="4"/>
        <v>44867</v>
      </c>
      <c r="D45" s="2">
        <f t="shared" si="4"/>
        <v>44868</v>
      </c>
      <c r="E45" s="2">
        <f t="shared" si="4"/>
        <v>44869</v>
      </c>
      <c r="F45" s="2">
        <f t="shared" si="4"/>
        <v>44870</v>
      </c>
      <c r="G45" s="2">
        <f t="shared" si="4"/>
        <v>44871</v>
      </c>
      <c r="H45" s="11" t="str">
        <f t="shared" si="2"/>
        <v>KW44 Oct-22</v>
      </c>
    </row>
    <row r="46" spans="1:8" x14ac:dyDescent="0.25">
      <c r="A46" s="2">
        <f t="shared" si="1"/>
        <v>44872</v>
      </c>
      <c r="B46" s="2">
        <f t="shared" si="4"/>
        <v>44873</v>
      </c>
      <c r="C46" s="2">
        <f t="shared" si="4"/>
        <v>44874</v>
      </c>
      <c r="D46" s="2">
        <f t="shared" si="4"/>
        <v>44875</v>
      </c>
      <c r="E46" s="2">
        <f t="shared" si="4"/>
        <v>44876</v>
      </c>
      <c r="F46" s="2">
        <f t="shared" si="4"/>
        <v>44877</v>
      </c>
      <c r="G46" s="2">
        <f t="shared" si="4"/>
        <v>44878</v>
      </c>
      <c r="H46" s="11" t="str">
        <f t="shared" si="2"/>
        <v>KW45 Nov-22</v>
      </c>
    </row>
    <row r="47" spans="1:8" x14ac:dyDescent="0.25">
      <c r="A47" s="2">
        <f t="shared" si="1"/>
        <v>44879</v>
      </c>
      <c r="B47" s="2">
        <f t="shared" si="4"/>
        <v>44880</v>
      </c>
      <c r="C47" s="2">
        <f t="shared" si="4"/>
        <v>44881</v>
      </c>
      <c r="D47" s="2">
        <f t="shared" si="4"/>
        <v>44882</v>
      </c>
      <c r="E47" s="2">
        <f t="shared" si="4"/>
        <v>44883</v>
      </c>
      <c r="F47" s="2">
        <f t="shared" si="4"/>
        <v>44884</v>
      </c>
      <c r="G47" s="2">
        <f t="shared" si="4"/>
        <v>44885</v>
      </c>
      <c r="H47" s="11" t="str">
        <f t="shared" si="2"/>
        <v>KW46 Nov-22</v>
      </c>
    </row>
    <row r="48" spans="1:8" x14ac:dyDescent="0.25">
      <c r="A48" s="2">
        <f t="shared" si="1"/>
        <v>44886</v>
      </c>
      <c r="B48" s="2">
        <f t="shared" si="4"/>
        <v>44887</v>
      </c>
      <c r="C48" s="2">
        <f t="shared" si="4"/>
        <v>44888</v>
      </c>
      <c r="D48" s="2">
        <f t="shared" si="4"/>
        <v>44889</v>
      </c>
      <c r="E48" s="2">
        <f t="shared" si="4"/>
        <v>44890</v>
      </c>
      <c r="F48" s="2">
        <f t="shared" si="4"/>
        <v>44891</v>
      </c>
      <c r="G48" s="2">
        <f t="shared" si="4"/>
        <v>44892</v>
      </c>
      <c r="H48" s="11" t="str">
        <f t="shared" si="2"/>
        <v>KW47 Nov-22</v>
      </c>
    </row>
    <row r="49" spans="1:8" x14ac:dyDescent="0.25">
      <c r="A49" s="2">
        <f t="shared" si="1"/>
        <v>44893</v>
      </c>
      <c r="B49" s="2">
        <f t="shared" si="4"/>
        <v>44894</v>
      </c>
      <c r="C49" s="2">
        <f t="shared" si="4"/>
        <v>44895</v>
      </c>
      <c r="D49" s="2">
        <f t="shared" si="4"/>
        <v>44896</v>
      </c>
      <c r="E49" s="2">
        <f t="shared" si="4"/>
        <v>44897</v>
      </c>
      <c r="F49" s="2">
        <f t="shared" si="4"/>
        <v>44898</v>
      </c>
      <c r="G49" s="2">
        <f t="shared" si="4"/>
        <v>44899</v>
      </c>
      <c r="H49" s="11" t="str">
        <f t="shared" si="2"/>
        <v>KW48 Nov-22</v>
      </c>
    </row>
    <row r="50" spans="1:8" x14ac:dyDescent="0.25">
      <c r="A50" s="2">
        <f t="shared" si="1"/>
        <v>44900</v>
      </c>
      <c r="B50" s="2">
        <f t="shared" si="4"/>
        <v>44901</v>
      </c>
      <c r="C50" s="2">
        <f t="shared" si="4"/>
        <v>44902</v>
      </c>
      <c r="D50" s="2">
        <f t="shared" si="4"/>
        <v>44903</v>
      </c>
      <c r="E50" s="2">
        <f t="shared" si="4"/>
        <v>44904</v>
      </c>
      <c r="F50" s="2">
        <f t="shared" si="4"/>
        <v>44905</v>
      </c>
      <c r="G50" s="2">
        <f t="shared" si="4"/>
        <v>44906</v>
      </c>
      <c r="H50" s="11" t="str">
        <f t="shared" si="2"/>
        <v>KW49 Dec-22</v>
      </c>
    </row>
    <row r="51" spans="1:8" x14ac:dyDescent="0.25">
      <c r="A51" s="2">
        <f t="shared" si="1"/>
        <v>44907</v>
      </c>
      <c r="B51" s="2">
        <f t="shared" si="4"/>
        <v>44908</v>
      </c>
      <c r="C51" s="2">
        <f t="shared" si="4"/>
        <v>44909</v>
      </c>
      <c r="D51" s="2">
        <f t="shared" si="4"/>
        <v>44910</v>
      </c>
      <c r="E51" s="2">
        <f t="shared" si="4"/>
        <v>44911</v>
      </c>
      <c r="F51" s="2">
        <f t="shared" si="4"/>
        <v>44912</v>
      </c>
      <c r="G51" s="2">
        <f t="shared" si="4"/>
        <v>44913</v>
      </c>
      <c r="H51" s="11" t="str">
        <f t="shared" si="2"/>
        <v>KW50 Dec-22</v>
      </c>
    </row>
    <row r="52" spans="1:8" x14ac:dyDescent="0.25">
      <c r="A52" s="2">
        <f t="shared" si="1"/>
        <v>44914</v>
      </c>
      <c r="B52" s="2">
        <f t="shared" si="4"/>
        <v>44915</v>
      </c>
      <c r="C52" s="2">
        <f t="shared" si="4"/>
        <v>44916</v>
      </c>
      <c r="D52" s="2">
        <f t="shared" si="4"/>
        <v>44917</v>
      </c>
      <c r="E52" s="2">
        <f t="shared" si="4"/>
        <v>44918</v>
      </c>
      <c r="F52" s="2">
        <f t="shared" si="4"/>
        <v>44919</v>
      </c>
      <c r="G52" s="2">
        <f t="shared" si="4"/>
        <v>44920</v>
      </c>
      <c r="H52" s="11" t="str">
        <f t="shared" si="2"/>
        <v>KW51 Dec-22</v>
      </c>
    </row>
    <row r="53" spans="1:8" x14ac:dyDescent="0.25">
      <c r="A53" s="2">
        <f t="shared" si="1"/>
        <v>44921</v>
      </c>
      <c r="B53" s="2">
        <f t="shared" si="4"/>
        <v>44922</v>
      </c>
      <c r="C53" s="2">
        <f t="shared" si="4"/>
        <v>44923</v>
      </c>
      <c r="D53" s="2">
        <f t="shared" si="4"/>
        <v>44924</v>
      </c>
      <c r="E53" s="2">
        <f t="shared" si="4"/>
        <v>44925</v>
      </c>
      <c r="F53" s="2">
        <f t="shared" si="4"/>
        <v>44926</v>
      </c>
      <c r="G53" s="2">
        <f t="shared" si="4"/>
        <v>44927</v>
      </c>
      <c r="H53" s="11" t="str">
        <f t="shared" si="2"/>
        <v>KW52 Dec-22</v>
      </c>
    </row>
    <row r="54" spans="1:8" x14ac:dyDescent="0.25">
      <c r="A54" s="2"/>
      <c r="B54" s="2"/>
      <c r="C54" s="2"/>
      <c r="D54" s="2"/>
      <c r="E54" s="2"/>
      <c r="F54" s="2"/>
      <c r="G54" s="2"/>
    </row>
    <row r="55" spans="1:8" x14ac:dyDescent="0.25">
      <c r="A55" s="2"/>
      <c r="B55" s="2"/>
      <c r="C55" s="2"/>
      <c r="D55" s="2"/>
      <c r="E55" s="2"/>
      <c r="F55" s="2"/>
      <c r="G55" s="2"/>
    </row>
    <row r="56" spans="1:8" x14ac:dyDescent="0.25">
      <c r="A56" s="2"/>
      <c r="B56" s="2"/>
      <c r="C56" s="2"/>
      <c r="D56" s="2"/>
      <c r="E56" s="2"/>
      <c r="F56" s="2"/>
      <c r="G56" s="2"/>
    </row>
    <row r="57" spans="1:8" x14ac:dyDescent="0.25">
      <c r="A57" s="2"/>
      <c r="B57" s="2"/>
      <c r="C57" s="2"/>
      <c r="D57" s="2"/>
      <c r="E57" s="2"/>
      <c r="F57" s="2"/>
      <c r="G57" s="2"/>
    </row>
    <row r="58" spans="1:8" x14ac:dyDescent="0.25">
      <c r="A58" s="2"/>
      <c r="B58" s="2"/>
      <c r="C58" s="2"/>
      <c r="D58" s="2"/>
      <c r="E58" s="2"/>
      <c r="F58" s="2"/>
      <c r="G58" s="2"/>
    </row>
    <row r="59" spans="1:8" x14ac:dyDescent="0.25">
      <c r="A59" s="2"/>
      <c r="B59" s="2"/>
      <c r="C59" s="2"/>
      <c r="D59" s="2"/>
      <c r="E59" s="2"/>
      <c r="F59" s="2"/>
      <c r="G59" s="2"/>
    </row>
    <row r="60" spans="1:8" x14ac:dyDescent="0.25">
      <c r="A60" s="2"/>
      <c r="B60" s="2"/>
      <c r="C60" s="2"/>
      <c r="D60" s="2"/>
      <c r="E60" s="2"/>
      <c r="F60" s="2"/>
      <c r="G60" s="2"/>
    </row>
    <row r="61" spans="1:8" x14ac:dyDescent="0.25">
      <c r="A61" s="2"/>
      <c r="B61" s="2"/>
      <c r="C61" s="2"/>
      <c r="D61" s="2"/>
      <c r="E61" s="2"/>
      <c r="F61" s="2"/>
      <c r="G61" s="2"/>
    </row>
    <row r="62" spans="1:8" x14ac:dyDescent="0.25">
      <c r="A62" s="2"/>
      <c r="B62" s="2"/>
      <c r="C62" s="2"/>
      <c r="D62" s="2"/>
      <c r="E62" s="2"/>
      <c r="F62" s="2"/>
      <c r="G62" s="2"/>
    </row>
    <row r="63" spans="1:8" x14ac:dyDescent="0.25">
      <c r="A63" s="2"/>
      <c r="B63" s="2"/>
      <c r="C63" s="2"/>
      <c r="D63" s="2"/>
      <c r="E63" s="2"/>
      <c r="F63" s="2"/>
      <c r="G63" s="2"/>
    </row>
    <row r="64" spans="1:8" x14ac:dyDescent="0.25">
      <c r="A64" s="2"/>
      <c r="B64" s="2"/>
      <c r="C64" s="2"/>
      <c r="D64" s="2"/>
      <c r="E64" s="2"/>
      <c r="F64" s="2"/>
      <c r="G64" s="2"/>
    </row>
  </sheetData>
  <conditionalFormatting sqref="A2:G54">
    <cfRule type="expression" dxfId="35" priority="1">
      <formula>AND(COUNTIF($P$2:$P$20,A2),A2&lt;&gt;0)</formula>
    </cfRule>
    <cfRule type="expression" dxfId="34" priority="3">
      <formula>WEEKDAY(A2,2)&gt;=6</formula>
    </cfRule>
    <cfRule type="cellIs" dxfId="33" priority="4" operator="equal">
      <formula>TODAY()</formula>
    </cfRule>
    <cfRule type="expression" dxfId="32" priority="6">
      <formula>COUNTIFS($J$2:$J$40,"&lt;="&amp;A2,$K$2:$K$40,"&gt;=" &amp; A2)&gt;0</formula>
    </cfRule>
    <cfRule type="expression" dxfId="31" priority="7">
      <formula>MOD(MONTH(A2),2)=0</formula>
    </cfRule>
  </conditionalFormatting>
  <conditionalFormatting sqref="H2:H53">
    <cfRule type="expression" dxfId="30" priority="2">
      <formula>AND($A2&lt;=TODAY(),$G2&gt;=TODAY())</formula>
    </cfRule>
  </conditionalFormatting>
  <conditionalFormatting sqref="L2:L40">
    <cfRule type="expression" dxfId="29" priority="5">
      <formula>SUMPRODUCT(($P$2:$P$4&lt;=K2)*($P$2:$P$4&gt;=J2)*1)&gt;0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6EE4-1B64-48A6-806F-7DF5FA8786E8}">
  <sheetPr codeName="Sheet7"/>
  <dimension ref="A1:R64"/>
  <sheetViews>
    <sheetView showGridLines="0" workbookViewId="0"/>
  </sheetViews>
  <sheetFormatPr defaultRowHeight="15" x14ac:dyDescent="0.25"/>
  <cols>
    <col min="1" max="1" width="3.5703125" bestFit="1" customWidth="1"/>
    <col min="2" max="2" width="3" bestFit="1" customWidth="1"/>
    <col min="3" max="3" width="3.85546875" bestFit="1" customWidth="1"/>
    <col min="4" max="4" width="3.42578125" bestFit="1" customWidth="1"/>
    <col min="5" max="5" width="3" bestFit="1" customWidth="1"/>
    <col min="6" max="6" width="3.5703125" customWidth="1"/>
    <col min="7" max="7" width="3" customWidth="1"/>
    <col min="8" max="8" width="11.85546875" bestFit="1" customWidth="1"/>
    <col min="9" max="9" width="5.5703125" customWidth="1"/>
    <col min="10" max="11" width="15.42578125" bestFit="1" customWidth="1"/>
    <col min="12" max="12" width="11.85546875" bestFit="1" customWidth="1"/>
    <col min="13" max="13" width="5.5703125" customWidth="1"/>
    <col min="14" max="14" width="15.5703125" bestFit="1" customWidth="1"/>
    <col min="15" max="15" width="5.5703125" customWidth="1"/>
    <col min="16" max="16" width="12.85546875" bestFit="1" customWidth="1"/>
    <col min="17" max="17" width="5.5703125" customWidth="1"/>
  </cols>
  <sheetData>
    <row r="1" spans="1:1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10" t="s">
        <v>13</v>
      </c>
      <c r="J1" s="9" t="s">
        <v>7</v>
      </c>
      <c r="K1" s="9" t="s">
        <v>23</v>
      </c>
      <c r="L1" s="9" t="s">
        <v>8</v>
      </c>
      <c r="N1" s="9" t="s">
        <v>19</v>
      </c>
      <c r="P1" s="9" t="s">
        <v>10</v>
      </c>
      <c r="R1" s="9" t="s">
        <v>14</v>
      </c>
    </row>
    <row r="2" spans="1:18" x14ac:dyDescent="0.25">
      <c r="A2" s="2">
        <f>DATE(N11,1,-2)-WEEKDAY(DATE(N11,1,3))+7</f>
        <v>44928</v>
      </c>
      <c r="B2" s="2">
        <f>A2+1</f>
        <v>44929</v>
      </c>
      <c r="C2" s="2">
        <f t="shared" ref="C2:G3" si="0">B2+1</f>
        <v>44930</v>
      </c>
      <c r="D2" s="2">
        <f t="shared" si="0"/>
        <v>44931</v>
      </c>
      <c r="E2" s="2">
        <f t="shared" si="0"/>
        <v>44932</v>
      </c>
      <c r="F2" s="2">
        <f t="shared" si="0"/>
        <v>44933</v>
      </c>
      <c r="G2" s="2">
        <f t="shared" si="0"/>
        <v>44934</v>
      </c>
      <c r="H2" s="11" t="str">
        <f>"KW"&amp;TEXT(_xlfn.ISOWEEKNUM($A2),"00") &amp;" " &amp; PROPER(TEXT(A2,"mmm-yy"))</f>
        <v>KW01 Jan-23</v>
      </c>
      <c r="J2" s="12">
        <v>44928</v>
      </c>
      <c r="K2" s="12">
        <v>44928</v>
      </c>
      <c r="L2" cm="1">
        <f t="array" aca="1" ref="L2" ca="1">IF(J2=0,"",SUMPRODUCT((WEEKDAY(ROW(INDIRECT(J2&amp;":"&amp;K2)),2)&lt;=5)*1)-SUMPRODUCT(($P$2:$P$11&lt;=K2)*($P$2:$P$11&gt;=J2)*1))</f>
        <v>1</v>
      </c>
      <c r="N2">
        <f ca="1">SUM(L2:L50)</f>
        <v>28</v>
      </c>
      <c r="O2" s="3"/>
      <c r="P2" s="6">
        <f>DATE(N11,1,1)</f>
        <v>44927</v>
      </c>
      <c r="R2" t="s">
        <v>20</v>
      </c>
    </row>
    <row r="3" spans="1:18" x14ac:dyDescent="0.25">
      <c r="A3" s="2">
        <f t="shared" ref="A3:A53" si="1">G2+1</f>
        <v>44935</v>
      </c>
      <c r="B3" s="2">
        <f>A3+1</f>
        <v>44936</v>
      </c>
      <c r="C3" s="2">
        <f t="shared" si="0"/>
        <v>44937</v>
      </c>
      <c r="D3" s="2">
        <f t="shared" si="0"/>
        <v>44938</v>
      </c>
      <c r="E3" s="2">
        <f t="shared" si="0"/>
        <v>44939</v>
      </c>
      <c r="F3" s="2">
        <f t="shared" si="0"/>
        <v>44940</v>
      </c>
      <c r="G3" s="2">
        <f t="shared" si="0"/>
        <v>44941</v>
      </c>
      <c r="H3" s="11" t="str">
        <f t="shared" ref="H3:H53" si="2">"KW"&amp;TEXT(_xlfn.ISOWEEKNUM($A3),"00") &amp;" " &amp; PROPER(TEXT(A3,"mmm-yy"))</f>
        <v>KW02 Jan-23</v>
      </c>
      <c r="J3" s="12">
        <v>44935</v>
      </c>
      <c r="K3" s="12">
        <v>44935</v>
      </c>
      <c r="L3" cm="1">
        <f t="array" aca="1" ref="L3" ca="1">IF(J3=0,"",SUMPRODUCT((WEEKDAY(ROW(INDIRECT(J3&amp;":"&amp;K3)),2)&lt;=5)*1)-SUMPRODUCT(($P$2:$P$11&lt;=K3)*($P$2:$P$11&gt;=J3)*1))</f>
        <v>1</v>
      </c>
      <c r="O3" s="4"/>
      <c r="P3" s="4">
        <f>DOLLAR(("4/"&amp;N11)/7+MOD(19*MOD(N11,19)-7,30)*14%,)*7-6+1</f>
        <v>45026</v>
      </c>
      <c r="R3" t="s">
        <v>21</v>
      </c>
    </row>
    <row r="4" spans="1:18" x14ac:dyDescent="0.25">
      <c r="A4" s="2">
        <f t="shared" si="1"/>
        <v>44942</v>
      </c>
      <c r="B4" s="2">
        <f t="shared" ref="B4:G19" si="3">A4+1</f>
        <v>44943</v>
      </c>
      <c r="C4" s="2">
        <f t="shared" si="3"/>
        <v>44944</v>
      </c>
      <c r="D4" s="2">
        <f t="shared" si="3"/>
        <v>44945</v>
      </c>
      <c r="E4" s="2">
        <f t="shared" si="3"/>
        <v>44946</v>
      </c>
      <c r="F4" s="2">
        <f t="shared" si="3"/>
        <v>44947</v>
      </c>
      <c r="G4" s="2">
        <f t="shared" si="3"/>
        <v>44948</v>
      </c>
      <c r="H4" s="11" t="str">
        <f t="shared" si="2"/>
        <v>KW03 Jan-23</v>
      </c>
      <c r="J4" s="12">
        <v>44942</v>
      </c>
      <c r="K4" s="12">
        <v>44942</v>
      </c>
      <c r="L4" cm="1">
        <f t="array" aca="1" ref="L4" ca="1">IF(J4=0,"",SUMPRODUCT((WEEKDAY(ROW(INDIRECT(J4&amp;":"&amp;K4)),2)&lt;=5)*1)-SUMPRODUCT(($P$2:$P$11&lt;=K4)*($P$2:$P$11&gt;=J4)*1))</f>
        <v>1</v>
      </c>
      <c r="N4" s="9" t="s">
        <v>11</v>
      </c>
      <c r="O4" s="4"/>
      <c r="P4" s="4">
        <f>DATE(N11,5,1)</f>
        <v>45047</v>
      </c>
      <c r="R4" t="s">
        <v>22</v>
      </c>
    </row>
    <row r="5" spans="1:18" x14ac:dyDescent="0.25">
      <c r="A5" s="2">
        <f t="shared" si="1"/>
        <v>44949</v>
      </c>
      <c r="B5" s="2">
        <f t="shared" si="3"/>
        <v>44950</v>
      </c>
      <c r="C5" s="2">
        <f t="shared" si="3"/>
        <v>44951</v>
      </c>
      <c r="D5" s="2">
        <f t="shared" si="3"/>
        <v>44952</v>
      </c>
      <c r="E5" s="2">
        <f t="shared" si="3"/>
        <v>44953</v>
      </c>
      <c r="F5" s="2">
        <f t="shared" si="3"/>
        <v>44954</v>
      </c>
      <c r="G5" s="2">
        <f t="shared" si="3"/>
        <v>44955</v>
      </c>
      <c r="H5" s="11" t="str">
        <f t="shared" si="2"/>
        <v>KW04 Jan-23</v>
      </c>
      <c r="J5" s="12">
        <v>44949</v>
      </c>
      <c r="K5" s="12">
        <v>44949</v>
      </c>
      <c r="L5" cm="1">
        <f t="array" aca="1" ref="L5" ca="1">IF(J5=0,"",SUMPRODUCT((WEEKDAY(ROW(INDIRECT(J5&amp;":"&amp;K5)),2)&lt;=5)*1)-SUMPRODUCT(($P$2:$P$11&lt;=K5)*($P$2:$P$11&gt;=J5)*1))</f>
        <v>1</v>
      </c>
      <c r="N5">
        <v>35</v>
      </c>
      <c r="O5" s="4"/>
      <c r="P5" s="4">
        <f>P3+38</f>
        <v>45064</v>
      </c>
    </row>
    <row r="6" spans="1:18" x14ac:dyDescent="0.25">
      <c r="A6" s="2">
        <f t="shared" si="1"/>
        <v>44956</v>
      </c>
      <c r="B6" s="2">
        <f t="shared" si="3"/>
        <v>44957</v>
      </c>
      <c r="C6" s="2">
        <f t="shared" si="3"/>
        <v>44958</v>
      </c>
      <c r="D6" s="2">
        <f t="shared" si="3"/>
        <v>44959</v>
      </c>
      <c r="E6" s="2">
        <f t="shared" si="3"/>
        <v>44960</v>
      </c>
      <c r="F6" s="2">
        <f t="shared" si="3"/>
        <v>44961</v>
      </c>
      <c r="G6" s="2">
        <f t="shared" si="3"/>
        <v>44962</v>
      </c>
      <c r="H6" s="11" t="str">
        <f t="shared" si="2"/>
        <v>KW05 Jan-23</v>
      </c>
      <c r="J6" s="12">
        <v>44956</v>
      </c>
      <c r="K6" s="12">
        <v>44956</v>
      </c>
      <c r="L6" cm="1">
        <f t="array" aca="1" ref="L6" ca="1">IF(J6=0,"",SUMPRODUCT((WEEKDAY(ROW(INDIRECT(J6&amp;":"&amp;K6)),2)&lt;=5)*1)-SUMPRODUCT(($P$2:$P$11&lt;=K6)*($P$2:$P$11&gt;=J6)*1))</f>
        <v>1</v>
      </c>
      <c r="O6" s="4"/>
      <c r="P6" s="4">
        <f>P3+49</f>
        <v>45075</v>
      </c>
    </row>
    <row r="7" spans="1:18" x14ac:dyDescent="0.25">
      <c r="A7" s="2">
        <f t="shared" si="1"/>
        <v>44963</v>
      </c>
      <c r="B7" s="2">
        <f t="shared" si="3"/>
        <v>44964</v>
      </c>
      <c r="C7" s="2">
        <f t="shared" si="3"/>
        <v>44965</v>
      </c>
      <c r="D7" s="2">
        <f t="shared" si="3"/>
        <v>44966</v>
      </c>
      <c r="E7" s="2">
        <f t="shared" si="3"/>
        <v>44967</v>
      </c>
      <c r="F7" s="2">
        <f t="shared" si="3"/>
        <v>44968</v>
      </c>
      <c r="G7" s="2">
        <f t="shared" si="3"/>
        <v>44969</v>
      </c>
      <c r="H7" s="11" t="str">
        <f t="shared" si="2"/>
        <v>KW06 Feb-23</v>
      </c>
      <c r="J7" s="12">
        <v>44963</v>
      </c>
      <c r="K7" s="12">
        <v>44963</v>
      </c>
      <c r="L7" cm="1">
        <f t="array" aca="1" ref="L7" ca="1">IF(J7=0,"",SUMPRODUCT((WEEKDAY(ROW(INDIRECT(J7&amp;":"&amp;K7)),2)&lt;=5)*1)-SUMPRODUCT(($P$2:$P$11&lt;=K7)*($P$2:$P$11&gt;=J7)*1))</f>
        <v>1</v>
      </c>
      <c r="N7" s="9" t="s">
        <v>12</v>
      </c>
      <c r="O7" s="4"/>
      <c r="P7" s="4">
        <f>DATE(N11,7,21)</f>
        <v>45128</v>
      </c>
    </row>
    <row r="8" spans="1:18" x14ac:dyDescent="0.25">
      <c r="A8" s="2">
        <f t="shared" si="1"/>
        <v>44970</v>
      </c>
      <c r="B8" s="2">
        <f t="shared" si="3"/>
        <v>44971</v>
      </c>
      <c r="C8" s="2">
        <f t="shared" si="3"/>
        <v>44972</v>
      </c>
      <c r="D8" s="2">
        <f t="shared" si="3"/>
        <v>44973</v>
      </c>
      <c r="E8" s="2">
        <f t="shared" si="3"/>
        <v>44974</v>
      </c>
      <c r="F8" s="2">
        <f t="shared" si="3"/>
        <v>44975</v>
      </c>
      <c r="G8" s="2">
        <f t="shared" si="3"/>
        <v>44976</v>
      </c>
      <c r="H8" s="11" t="str">
        <f t="shared" si="2"/>
        <v>KW07 Feb-23</v>
      </c>
      <c r="J8" s="12">
        <v>44998</v>
      </c>
      <c r="K8" s="12">
        <v>44998</v>
      </c>
      <c r="L8" cm="1">
        <f t="array" aca="1" ref="L8" ca="1">IF(J8=0,"",SUMPRODUCT((WEEKDAY(ROW(INDIRECT(J8&amp;":"&amp;K8)),2)&lt;=5)*1)-SUMPRODUCT(($P$2:$P$11&lt;=K8)*($P$2:$P$11&gt;=J8)*1))</f>
        <v>1</v>
      </c>
      <c r="N8">
        <f ca="1">N5-N2</f>
        <v>7</v>
      </c>
      <c r="O8" s="4"/>
      <c r="P8" s="4">
        <f>DATE(N11,8,15)</f>
        <v>45153</v>
      </c>
    </row>
    <row r="9" spans="1:18" x14ac:dyDescent="0.25">
      <c r="A9" s="2">
        <f t="shared" si="1"/>
        <v>44977</v>
      </c>
      <c r="B9" s="2">
        <f t="shared" si="3"/>
        <v>44978</v>
      </c>
      <c r="C9" s="2">
        <f t="shared" si="3"/>
        <v>44979</v>
      </c>
      <c r="D9" s="2">
        <f t="shared" si="3"/>
        <v>44980</v>
      </c>
      <c r="E9" s="2">
        <f t="shared" si="3"/>
        <v>44981</v>
      </c>
      <c r="F9" s="2">
        <f t="shared" si="3"/>
        <v>44982</v>
      </c>
      <c r="G9" s="2">
        <f t="shared" si="3"/>
        <v>44983</v>
      </c>
      <c r="H9" s="11" t="str">
        <f t="shared" si="2"/>
        <v>KW08 Feb-23</v>
      </c>
      <c r="J9" s="12">
        <v>45264</v>
      </c>
      <c r="K9" s="12">
        <v>45264</v>
      </c>
      <c r="L9" cm="1">
        <f t="array" aca="1" ref="L9" ca="1">IF(J9=0,"",SUMPRODUCT((WEEKDAY(ROW(INDIRECT(J9&amp;":"&amp;K9)),2)&lt;=5)*1)-SUMPRODUCT(($P$2:$P$11&lt;=K9)*($P$2:$P$11&gt;=J9)*1))</f>
        <v>1</v>
      </c>
      <c r="O9" s="4"/>
      <c r="P9" s="4">
        <f>DATE(N11,11,1)</f>
        <v>45231</v>
      </c>
    </row>
    <row r="10" spans="1:18" x14ac:dyDescent="0.25">
      <c r="A10" s="2">
        <f t="shared" si="1"/>
        <v>44984</v>
      </c>
      <c r="B10" s="2">
        <f t="shared" si="3"/>
        <v>44985</v>
      </c>
      <c r="C10" s="2">
        <f t="shared" si="3"/>
        <v>44986</v>
      </c>
      <c r="D10" s="2">
        <f t="shared" si="3"/>
        <v>44987</v>
      </c>
      <c r="E10" s="2">
        <f t="shared" si="3"/>
        <v>44988</v>
      </c>
      <c r="F10" s="2">
        <f t="shared" si="3"/>
        <v>44989</v>
      </c>
      <c r="G10" s="2">
        <f t="shared" si="3"/>
        <v>44990</v>
      </c>
      <c r="H10" s="11" t="str">
        <f t="shared" si="2"/>
        <v>KW09 Feb-23</v>
      </c>
      <c r="J10" s="12">
        <v>45271</v>
      </c>
      <c r="K10" s="12">
        <v>45271</v>
      </c>
      <c r="L10" cm="1">
        <f t="array" aca="1" ref="L10" ca="1">IF(J10=0,"",SUMPRODUCT((WEEKDAY(ROW(INDIRECT(J10&amp;":"&amp;K10)),2)&lt;=5)*1)-SUMPRODUCT(($P$2:$P$11&lt;=K10)*($P$2:$P$11&gt;=J10)*1))</f>
        <v>1</v>
      </c>
      <c r="M10" s="1"/>
      <c r="N10" s="9" t="s">
        <v>18</v>
      </c>
      <c r="O10" s="4"/>
      <c r="P10" s="4">
        <f>DATE(N11,11,11)</f>
        <v>45241</v>
      </c>
    </row>
    <row r="11" spans="1:18" x14ac:dyDescent="0.25">
      <c r="A11" s="2">
        <f t="shared" si="1"/>
        <v>44991</v>
      </c>
      <c r="B11" s="2">
        <f t="shared" si="3"/>
        <v>44992</v>
      </c>
      <c r="C11" s="2">
        <f t="shared" si="3"/>
        <v>44993</v>
      </c>
      <c r="D11" s="2">
        <f t="shared" si="3"/>
        <v>44994</v>
      </c>
      <c r="E11" s="2">
        <f t="shared" si="3"/>
        <v>44995</v>
      </c>
      <c r="F11" s="2">
        <f t="shared" si="3"/>
        <v>44996</v>
      </c>
      <c r="G11" s="2">
        <f t="shared" si="3"/>
        <v>44997</v>
      </c>
      <c r="H11" s="11" t="str">
        <f t="shared" si="2"/>
        <v>KW10 Mar-23</v>
      </c>
      <c r="J11" s="12">
        <v>45278</v>
      </c>
      <c r="K11" s="12">
        <v>45278</v>
      </c>
      <c r="L11" cm="1">
        <f t="array" aca="1" ref="L11" ca="1">IF(J11=0,"",SUMPRODUCT((WEEKDAY(ROW(INDIRECT(J11&amp;":"&amp;K11)),2)&lt;=5)*1)-SUMPRODUCT(($P$2:$P$11&lt;=K11)*($P$2:$P$11&gt;=J11)*1))</f>
        <v>1</v>
      </c>
      <c r="N11">
        <v>2023</v>
      </c>
      <c r="O11" s="4"/>
      <c r="P11" s="4">
        <f>DATE(N11,12,25)</f>
        <v>45285</v>
      </c>
    </row>
    <row r="12" spans="1:18" x14ac:dyDescent="0.25">
      <c r="A12" s="2">
        <f t="shared" si="1"/>
        <v>44998</v>
      </c>
      <c r="B12" s="2">
        <f t="shared" si="3"/>
        <v>44999</v>
      </c>
      <c r="C12" s="2">
        <f t="shared" si="3"/>
        <v>45000</v>
      </c>
      <c r="D12" s="2">
        <f t="shared" si="3"/>
        <v>45001</v>
      </c>
      <c r="E12" s="2">
        <f t="shared" si="3"/>
        <v>45002</v>
      </c>
      <c r="F12" s="2">
        <f t="shared" si="3"/>
        <v>45003</v>
      </c>
      <c r="G12" s="2">
        <f t="shared" si="3"/>
        <v>45004</v>
      </c>
      <c r="H12" s="11" t="str">
        <f t="shared" si="2"/>
        <v>KW11 Mar-23</v>
      </c>
      <c r="J12" s="12">
        <v>45056</v>
      </c>
      <c r="K12" s="12">
        <v>45056</v>
      </c>
      <c r="L12" cm="1">
        <f t="array" aca="1" ref="L12" ca="1">IF(J12=0,"",SUMPRODUCT((WEEKDAY(ROW(INDIRECT(J12&amp;":"&amp;K12)),2)&lt;=5)*1)-SUMPRODUCT(($P$2:$P$11&lt;=K12)*($P$2:$P$11&gt;=J12)*1))</f>
        <v>1</v>
      </c>
      <c r="O12" s="4"/>
      <c r="P12" s="4"/>
    </row>
    <row r="13" spans="1:18" x14ac:dyDescent="0.25">
      <c r="A13" s="2">
        <f t="shared" si="1"/>
        <v>45005</v>
      </c>
      <c r="B13" s="2">
        <f t="shared" si="3"/>
        <v>45006</v>
      </c>
      <c r="C13" s="2">
        <f t="shared" si="3"/>
        <v>45007</v>
      </c>
      <c r="D13" s="2">
        <f t="shared" si="3"/>
        <v>45008</v>
      </c>
      <c r="E13" s="2">
        <f t="shared" si="3"/>
        <v>45009</v>
      </c>
      <c r="F13" s="2">
        <f t="shared" si="3"/>
        <v>45010</v>
      </c>
      <c r="G13" s="2">
        <f t="shared" si="3"/>
        <v>45011</v>
      </c>
      <c r="H13" s="11" t="str">
        <f t="shared" si="2"/>
        <v>KW12 Mar-23</v>
      </c>
      <c r="J13" s="12">
        <v>45138</v>
      </c>
      <c r="K13" s="12">
        <v>45138</v>
      </c>
      <c r="L13" cm="1">
        <f t="array" aca="1" ref="L13" ca="1">IF(J13=0,"",SUMPRODUCT((WEEKDAY(ROW(INDIRECT(J13&amp;":"&amp;K13)),2)&lt;=5)*1)-SUMPRODUCT(($P$2:$P$11&lt;=K13)*($P$2:$P$11&gt;=J13)*1))</f>
        <v>1</v>
      </c>
      <c r="O13" s="4"/>
      <c r="P13" s="5"/>
    </row>
    <row r="14" spans="1:18" x14ac:dyDescent="0.25">
      <c r="A14" s="2">
        <f t="shared" si="1"/>
        <v>45012</v>
      </c>
      <c r="B14" s="2">
        <f t="shared" si="3"/>
        <v>45013</v>
      </c>
      <c r="C14" s="2">
        <f t="shared" si="3"/>
        <v>45014</v>
      </c>
      <c r="D14" s="2">
        <f t="shared" si="3"/>
        <v>45015</v>
      </c>
      <c r="E14" s="2">
        <f t="shared" si="3"/>
        <v>45016</v>
      </c>
      <c r="F14" s="2">
        <f t="shared" si="3"/>
        <v>45017</v>
      </c>
      <c r="G14" s="2">
        <f t="shared" si="3"/>
        <v>45018</v>
      </c>
      <c r="H14" s="11" t="str">
        <f t="shared" si="2"/>
        <v>KW13 Mar-23</v>
      </c>
      <c r="J14" s="12">
        <v>45182</v>
      </c>
      <c r="K14" s="12">
        <v>45182</v>
      </c>
      <c r="L14" cm="1">
        <f t="array" aca="1" ref="L14" ca="1">IF(J14=0,"",SUMPRODUCT((WEEKDAY(ROW(INDIRECT(J14&amp;":"&amp;K14)),2)&lt;=5)*1)-SUMPRODUCT(($P$2:$P$11&lt;=K14)*($P$2:$P$11&gt;=J14)*1))</f>
        <v>1</v>
      </c>
      <c r="O14" s="4"/>
      <c r="P14" s="5"/>
    </row>
    <row r="15" spans="1:18" x14ac:dyDescent="0.25">
      <c r="A15" s="2">
        <f t="shared" si="1"/>
        <v>45019</v>
      </c>
      <c r="B15" s="2">
        <f t="shared" si="3"/>
        <v>45020</v>
      </c>
      <c r="C15" s="2">
        <f t="shared" si="3"/>
        <v>45021</v>
      </c>
      <c r="D15" s="2">
        <f t="shared" si="3"/>
        <v>45022</v>
      </c>
      <c r="E15" s="2">
        <f t="shared" si="3"/>
        <v>45023</v>
      </c>
      <c r="F15" s="2">
        <f t="shared" si="3"/>
        <v>45024</v>
      </c>
      <c r="G15" s="2">
        <f t="shared" si="3"/>
        <v>45025</v>
      </c>
      <c r="H15" s="11" t="str">
        <f t="shared" si="2"/>
        <v>KW14 Apr-23</v>
      </c>
      <c r="J15" s="12">
        <v>45187</v>
      </c>
      <c r="K15" s="12">
        <v>45187</v>
      </c>
      <c r="L15" cm="1">
        <f t="array" aca="1" ref="L15" ca="1">IF(J15=0,"",SUMPRODUCT((WEEKDAY(ROW(INDIRECT(J15&amp;":"&amp;K15)),2)&lt;=5)*1)-SUMPRODUCT(($P$2:$P$11&lt;=K15)*($P$2:$P$11&gt;=J15)*1))</f>
        <v>1</v>
      </c>
      <c r="O15" s="4"/>
      <c r="P15" s="5"/>
    </row>
    <row r="16" spans="1:18" x14ac:dyDescent="0.25">
      <c r="A16" s="2">
        <f t="shared" si="1"/>
        <v>45026</v>
      </c>
      <c r="B16" s="2">
        <f t="shared" si="3"/>
        <v>45027</v>
      </c>
      <c r="C16" s="2">
        <f t="shared" si="3"/>
        <v>45028</v>
      </c>
      <c r="D16" s="2">
        <f t="shared" si="3"/>
        <v>45029</v>
      </c>
      <c r="E16" s="2">
        <f t="shared" si="3"/>
        <v>45030</v>
      </c>
      <c r="F16" s="2">
        <f t="shared" si="3"/>
        <v>45031</v>
      </c>
      <c r="G16" s="2">
        <f t="shared" si="3"/>
        <v>45032</v>
      </c>
      <c r="H16" s="11" t="str">
        <f t="shared" si="2"/>
        <v>KW15 Apr-23</v>
      </c>
      <c r="J16" s="12">
        <v>45194</v>
      </c>
      <c r="K16" s="12">
        <v>45194</v>
      </c>
      <c r="L16" cm="1">
        <f t="array" aca="1" ref="L16" ca="1">IF(J16=0,"",SUMPRODUCT((WEEKDAY(ROW(INDIRECT(J16&amp;":"&amp;K16)),2)&lt;=5)*1)-SUMPRODUCT(($P$2:$P$11&lt;=K16)*($P$2:$P$11&gt;=J16)*1))</f>
        <v>1</v>
      </c>
      <c r="P16" s="5"/>
    </row>
    <row r="17" spans="1:16" x14ac:dyDescent="0.25">
      <c r="A17" s="2">
        <f t="shared" si="1"/>
        <v>45033</v>
      </c>
      <c r="B17" s="2">
        <f t="shared" si="3"/>
        <v>45034</v>
      </c>
      <c r="C17" s="2">
        <f t="shared" si="3"/>
        <v>45035</v>
      </c>
      <c r="D17" s="2">
        <f t="shared" si="3"/>
        <v>45036</v>
      </c>
      <c r="E17" s="2">
        <f t="shared" si="3"/>
        <v>45037</v>
      </c>
      <c r="F17" s="2">
        <f t="shared" si="3"/>
        <v>45038</v>
      </c>
      <c r="G17" s="2">
        <f t="shared" si="3"/>
        <v>45039</v>
      </c>
      <c r="H17" s="11" t="str">
        <f t="shared" si="2"/>
        <v>KW16 Apr-23</v>
      </c>
      <c r="J17" s="12">
        <v>45201</v>
      </c>
      <c r="K17" s="12">
        <v>45201</v>
      </c>
      <c r="L17" cm="1">
        <f t="array" aca="1" ref="L17" ca="1">IF(J17=0,"",SUMPRODUCT((WEEKDAY(ROW(INDIRECT(J17&amp;":"&amp;K17)),2)&lt;=5)*1)-SUMPRODUCT(($P$2:$P$11&lt;=K17)*($P$2:$P$11&gt;=J17)*1))</f>
        <v>1</v>
      </c>
      <c r="O17" s="4"/>
      <c r="P17" s="4"/>
    </row>
    <row r="18" spans="1:16" x14ac:dyDescent="0.25">
      <c r="A18" s="2">
        <f t="shared" si="1"/>
        <v>45040</v>
      </c>
      <c r="B18" s="2">
        <f t="shared" si="3"/>
        <v>45041</v>
      </c>
      <c r="C18" s="2">
        <f t="shared" si="3"/>
        <v>45042</v>
      </c>
      <c r="D18" s="2">
        <f t="shared" si="3"/>
        <v>45043</v>
      </c>
      <c r="E18" s="2">
        <f t="shared" si="3"/>
        <v>45044</v>
      </c>
      <c r="F18" s="2">
        <f t="shared" si="3"/>
        <v>45045</v>
      </c>
      <c r="G18" s="2">
        <f t="shared" si="3"/>
        <v>45046</v>
      </c>
      <c r="H18" s="11" t="str">
        <f t="shared" si="2"/>
        <v>KW17 Apr-23</v>
      </c>
      <c r="J18" s="12">
        <v>45208</v>
      </c>
      <c r="K18" s="12">
        <v>45208</v>
      </c>
      <c r="L18" cm="1">
        <f t="array" aca="1" ref="L18" ca="1">IF(J18=0,"",SUMPRODUCT((WEEKDAY(ROW(INDIRECT(J18&amp;":"&amp;K18)),2)&lt;=5)*1)-SUMPRODUCT(($P$2:$P$11&lt;=K18)*($P$2:$P$11&gt;=J18)*1))</f>
        <v>1</v>
      </c>
      <c r="O18" s="4"/>
      <c r="P18" s="5"/>
    </row>
    <row r="19" spans="1:16" x14ac:dyDescent="0.25">
      <c r="A19" s="2">
        <f t="shared" si="1"/>
        <v>45047</v>
      </c>
      <c r="B19" s="2">
        <f t="shared" si="3"/>
        <v>45048</v>
      </c>
      <c r="C19" s="2">
        <f t="shared" si="3"/>
        <v>45049</v>
      </c>
      <c r="D19" s="2">
        <f t="shared" si="3"/>
        <v>45050</v>
      </c>
      <c r="E19" s="2">
        <f t="shared" si="3"/>
        <v>45051</v>
      </c>
      <c r="F19" s="2">
        <f t="shared" si="3"/>
        <v>45052</v>
      </c>
      <c r="G19" s="2">
        <f t="shared" si="3"/>
        <v>45053</v>
      </c>
      <c r="H19" s="11" t="str">
        <f t="shared" si="2"/>
        <v>KW18 May-23</v>
      </c>
      <c r="J19" s="12">
        <v>45215</v>
      </c>
      <c r="K19" s="12">
        <v>45215</v>
      </c>
      <c r="L19" cm="1">
        <f t="array" aca="1" ref="L19" ca="1">IF(J19=0,"",SUMPRODUCT((WEEKDAY(ROW(INDIRECT(J19&amp;":"&amp;K19)),2)&lt;=5)*1)-SUMPRODUCT(($P$2:$P$11&lt;=K19)*($P$2:$P$11&gt;=J19)*1))</f>
        <v>1</v>
      </c>
      <c r="O19" s="4"/>
      <c r="P19" s="5"/>
    </row>
    <row r="20" spans="1:16" x14ac:dyDescent="0.25">
      <c r="A20" s="2">
        <f t="shared" si="1"/>
        <v>45054</v>
      </c>
      <c r="B20" s="2">
        <f t="shared" ref="B20:G53" si="4">A20+1</f>
        <v>45055</v>
      </c>
      <c r="C20" s="2">
        <f t="shared" si="4"/>
        <v>45056</v>
      </c>
      <c r="D20" s="2">
        <f t="shared" si="4"/>
        <v>45057</v>
      </c>
      <c r="E20" s="2">
        <f t="shared" si="4"/>
        <v>45058</v>
      </c>
      <c r="F20" s="2">
        <f t="shared" si="4"/>
        <v>45059</v>
      </c>
      <c r="G20" s="2">
        <f t="shared" si="4"/>
        <v>45060</v>
      </c>
      <c r="H20" s="11" t="str">
        <f t="shared" si="2"/>
        <v>KW19 May-23</v>
      </c>
      <c r="J20" s="12">
        <v>45222</v>
      </c>
      <c r="K20" s="12">
        <v>45222</v>
      </c>
      <c r="L20" cm="1">
        <f t="array" aca="1" ref="L20" ca="1">IF(J20=0,"",SUMPRODUCT((WEEKDAY(ROW(INDIRECT(J20&amp;":"&amp;K20)),2)&lt;=5)*1)-SUMPRODUCT(($P$2:$P$11&lt;=K20)*($P$2:$P$11&gt;=J20)*1))</f>
        <v>1</v>
      </c>
      <c r="O20" s="4"/>
      <c r="P20" s="5"/>
    </row>
    <row r="21" spans="1:16" x14ac:dyDescent="0.25">
      <c r="A21" s="2">
        <f t="shared" si="1"/>
        <v>45061</v>
      </c>
      <c r="B21" s="2">
        <f t="shared" si="4"/>
        <v>45062</v>
      </c>
      <c r="C21" s="2">
        <f t="shared" si="4"/>
        <v>45063</v>
      </c>
      <c r="D21" s="2">
        <f t="shared" si="4"/>
        <v>45064</v>
      </c>
      <c r="E21" s="2">
        <f t="shared" si="4"/>
        <v>45065</v>
      </c>
      <c r="F21" s="2">
        <f t="shared" si="4"/>
        <v>45066</v>
      </c>
      <c r="G21" s="2">
        <f t="shared" si="4"/>
        <v>45067</v>
      </c>
      <c r="H21" s="11" t="str">
        <f t="shared" si="2"/>
        <v>KW20 May-23</v>
      </c>
      <c r="J21" s="12">
        <v>45229</v>
      </c>
      <c r="K21" s="12">
        <v>45229</v>
      </c>
      <c r="L21" cm="1">
        <f t="array" aca="1" ref="L21" ca="1">IF(J21=0,"",SUMPRODUCT((WEEKDAY(ROW(INDIRECT(J21&amp;":"&amp;K21)),2)&lt;=5)*1)-SUMPRODUCT(($P$2:$P$11&lt;=K21)*($P$2:$P$11&gt;=J21)*1))</f>
        <v>1</v>
      </c>
    </row>
    <row r="22" spans="1:16" x14ac:dyDescent="0.25">
      <c r="A22" s="13">
        <f t="shared" si="1"/>
        <v>45068</v>
      </c>
      <c r="B22" s="13">
        <f t="shared" si="4"/>
        <v>45069</v>
      </c>
      <c r="C22" s="13">
        <f t="shared" si="4"/>
        <v>45070</v>
      </c>
      <c r="D22" s="13">
        <f t="shared" si="4"/>
        <v>45071</v>
      </c>
      <c r="E22" s="13">
        <f t="shared" si="4"/>
        <v>45072</v>
      </c>
      <c r="F22" s="13">
        <f t="shared" si="4"/>
        <v>45073</v>
      </c>
      <c r="G22" s="2">
        <f t="shared" si="4"/>
        <v>45074</v>
      </c>
      <c r="H22" s="11" t="str">
        <f t="shared" si="2"/>
        <v>KW21 May-23</v>
      </c>
      <c r="J22" s="12">
        <v>45236</v>
      </c>
      <c r="K22" s="12">
        <v>45236</v>
      </c>
      <c r="L22" cm="1">
        <f t="array" aca="1" ref="L22" ca="1">IF(J22=0,"",SUMPRODUCT((WEEKDAY(ROW(INDIRECT(J22&amp;":"&amp;K22)),2)&lt;=5)*1)-SUMPRODUCT(($P$2:$P$11&lt;=K22)*($P$2:$P$11&gt;=J22)*1))</f>
        <v>1</v>
      </c>
    </row>
    <row r="23" spans="1:16" x14ac:dyDescent="0.25">
      <c r="A23" s="13">
        <f t="shared" si="1"/>
        <v>45075</v>
      </c>
      <c r="B23" s="13">
        <f t="shared" si="4"/>
        <v>45076</v>
      </c>
      <c r="C23" s="13">
        <f t="shared" si="4"/>
        <v>45077</v>
      </c>
      <c r="D23" s="13">
        <f t="shared" si="4"/>
        <v>45078</v>
      </c>
      <c r="E23" s="13">
        <f t="shared" si="4"/>
        <v>45079</v>
      </c>
      <c r="F23" s="13">
        <f t="shared" si="4"/>
        <v>45080</v>
      </c>
      <c r="G23" s="2">
        <f t="shared" si="4"/>
        <v>45081</v>
      </c>
      <c r="H23" s="11" t="str">
        <f t="shared" si="2"/>
        <v>KW22 May-23</v>
      </c>
      <c r="J23" s="12">
        <v>45243</v>
      </c>
      <c r="K23" s="12">
        <v>45243</v>
      </c>
      <c r="L23" cm="1">
        <f t="array" aca="1" ref="L23" ca="1">IF(J23=0,"",SUMPRODUCT((WEEKDAY(ROW(INDIRECT(J23&amp;":"&amp;K23)),2)&lt;=5)*1)-SUMPRODUCT(($P$2:$P$11&lt;=K23)*($P$2:$P$11&gt;=J23)*1))</f>
        <v>1</v>
      </c>
    </row>
    <row r="24" spans="1:16" x14ac:dyDescent="0.25">
      <c r="A24" s="13">
        <f t="shared" si="1"/>
        <v>45082</v>
      </c>
      <c r="B24" s="13">
        <f t="shared" si="4"/>
        <v>45083</v>
      </c>
      <c r="C24" s="13">
        <f t="shared" si="4"/>
        <v>45084</v>
      </c>
      <c r="D24" s="13">
        <f t="shared" si="4"/>
        <v>45085</v>
      </c>
      <c r="E24" s="13">
        <f t="shared" si="4"/>
        <v>45086</v>
      </c>
      <c r="F24" s="13">
        <f t="shared" si="4"/>
        <v>45087</v>
      </c>
      <c r="G24" s="2">
        <f t="shared" si="4"/>
        <v>45088</v>
      </c>
      <c r="H24" s="11" t="str">
        <f t="shared" si="2"/>
        <v>KW23 Jun-23</v>
      </c>
      <c r="J24" s="12">
        <v>45257</v>
      </c>
      <c r="K24" s="12">
        <v>45257</v>
      </c>
      <c r="L24" cm="1">
        <f t="array" aca="1" ref="L24" ca="1">IF(J24=0,"",SUMPRODUCT((WEEKDAY(ROW(INDIRECT(J24&amp;":"&amp;K24)),2)&lt;=5)*1)-SUMPRODUCT(($P$2:$P$11&lt;=K24)*($P$2:$P$11&gt;=J24)*1))</f>
        <v>1</v>
      </c>
    </row>
    <row r="25" spans="1:16" x14ac:dyDescent="0.25">
      <c r="A25" s="13">
        <f t="shared" si="1"/>
        <v>45089</v>
      </c>
      <c r="B25" s="13">
        <f t="shared" si="4"/>
        <v>45090</v>
      </c>
      <c r="C25" s="13">
        <f t="shared" si="4"/>
        <v>45091</v>
      </c>
      <c r="D25" s="13">
        <f t="shared" si="4"/>
        <v>45092</v>
      </c>
      <c r="E25" s="13">
        <f t="shared" si="4"/>
        <v>45093</v>
      </c>
      <c r="F25" s="13">
        <f t="shared" si="4"/>
        <v>45094</v>
      </c>
      <c r="G25" s="2">
        <f t="shared" si="4"/>
        <v>45095</v>
      </c>
      <c r="H25" s="11" t="str">
        <f t="shared" si="2"/>
        <v>KW24 Jun-23</v>
      </c>
      <c r="J25" s="12">
        <v>45196</v>
      </c>
      <c r="K25" s="12">
        <v>45196</v>
      </c>
      <c r="L25" cm="1">
        <f t="array" aca="1" ref="L25" ca="1">IF(J25=0,"",SUMPRODUCT((WEEKDAY(ROW(INDIRECT(J25&amp;":"&amp;K25)),2)&lt;=5)*1)-SUMPRODUCT(($P$2:$P$11&lt;=K25)*($P$2:$P$11&gt;=J25)*1))</f>
        <v>1</v>
      </c>
    </row>
    <row r="26" spans="1:16" x14ac:dyDescent="0.25">
      <c r="A26" s="13">
        <f t="shared" si="1"/>
        <v>45096</v>
      </c>
      <c r="B26" s="13">
        <f t="shared" si="4"/>
        <v>45097</v>
      </c>
      <c r="C26" s="13">
        <f t="shared" si="4"/>
        <v>45098</v>
      </c>
      <c r="D26" s="13">
        <f t="shared" si="4"/>
        <v>45099</v>
      </c>
      <c r="E26" s="13">
        <f t="shared" si="4"/>
        <v>45100</v>
      </c>
      <c r="F26" s="13">
        <f t="shared" si="4"/>
        <v>45101</v>
      </c>
      <c r="G26" s="2">
        <f t="shared" si="4"/>
        <v>45102</v>
      </c>
      <c r="H26" s="11" t="str">
        <f t="shared" si="2"/>
        <v>KW25 Jun-23</v>
      </c>
      <c r="J26" s="12">
        <v>45224</v>
      </c>
      <c r="K26" s="12">
        <v>45224</v>
      </c>
      <c r="L26" cm="1">
        <f t="array" aca="1" ref="L26" ca="1">IF(J26=0,"",SUMPRODUCT((WEEKDAY(ROW(INDIRECT(J26&amp;":"&amp;K26)),2)&lt;=5)*1)-SUMPRODUCT(($P$2:$P$11&lt;=K26)*($P$2:$P$11&gt;=J26)*1))</f>
        <v>1</v>
      </c>
    </row>
    <row r="27" spans="1:16" x14ac:dyDescent="0.25">
      <c r="A27" s="13">
        <f t="shared" si="1"/>
        <v>45103</v>
      </c>
      <c r="B27" s="13">
        <f t="shared" si="4"/>
        <v>45104</v>
      </c>
      <c r="C27" s="13">
        <f t="shared" si="4"/>
        <v>45105</v>
      </c>
      <c r="D27" s="13">
        <f t="shared" si="4"/>
        <v>45106</v>
      </c>
      <c r="E27" s="13">
        <f t="shared" si="4"/>
        <v>45107</v>
      </c>
      <c r="F27" s="13">
        <f t="shared" si="4"/>
        <v>45108</v>
      </c>
      <c r="G27" s="2">
        <f t="shared" si="4"/>
        <v>45109</v>
      </c>
      <c r="H27" s="11" t="str">
        <f t="shared" si="2"/>
        <v>KW26 Jun-23</v>
      </c>
      <c r="J27" s="12">
        <v>45238</v>
      </c>
      <c r="K27" s="12">
        <v>45238</v>
      </c>
      <c r="L27" cm="1">
        <f t="array" aca="1" ref="L27" ca="1">IF(J27=0,"",SUMPRODUCT((WEEKDAY(ROW(INDIRECT(J27&amp;":"&amp;K27)),2)&lt;=5)*1)-SUMPRODUCT(($P$2:$P$11&lt;=K27)*($P$2:$P$11&gt;=J27)*1))</f>
        <v>1</v>
      </c>
    </row>
    <row r="28" spans="1:16" x14ac:dyDescent="0.25">
      <c r="A28" s="13">
        <f t="shared" si="1"/>
        <v>45110</v>
      </c>
      <c r="B28" s="13">
        <f t="shared" si="4"/>
        <v>45111</v>
      </c>
      <c r="C28" s="13">
        <f t="shared" si="4"/>
        <v>45112</v>
      </c>
      <c r="D28" s="13">
        <f t="shared" si="4"/>
        <v>45113</v>
      </c>
      <c r="E28" s="13">
        <f t="shared" si="4"/>
        <v>45114</v>
      </c>
      <c r="F28" s="13">
        <f t="shared" si="4"/>
        <v>45115</v>
      </c>
      <c r="G28" s="2">
        <f t="shared" si="4"/>
        <v>45116</v>
      </c>
      <c r="H28" s="11" t="str">
        <f t="shared" si="2"/>
        <v>KW27 Jul-23</v>
      </c>
      <c r="J28" s="12">
        <v>45288</v>
      </c>
      <c r="K28" s="12">
        <v>45289</v>
      </c>
      <c r="L28" cm="1">
        <f t="array" aca="1" ref="L28" ca="1">IF(J28=0,"",SUMPRODUCT((WEEKDAY(ROW(INDIRECT(J28&amp;":"&amp;K28)),2)&lt;=5)*1)-SUMPRODUCT(($P$2:$P$11&lt;=K28)*($P$2:$P$11&gt;=J28)*1))</f>
        <v>2</v>
      </c>
    </row>
    <row r="29" spans="1:16" x14ac:dyDescent="0.25">
      <c r="A29" s="13">
        <f t="shared" si="1"/>
        <v>45117</v>
      </c>
      <c r="B29" s="13">
        <f t="shared" si="4"/>
        <v>45118</v>
      </c>
      <c r="C29" s="13">
        <f t="shared" si="4"/>
        <v>45119</v>
      </c>
      <c r="D29" s="13">
        <f t="shared" si="4"/>
        <v>45120</v>
      </c>
      <c r="E29" s="13">
        <f t="shared" si="4"/>
        <v>45121</v>
      </c>
      <c r="F29" s="13">
        <f t="shared" si="4"/>
        <v>45122</v>
      </c>
      <c r="G29" s="2">
        <f t="shared" si="4"/>
        <v>45123</v>
      </c>
      <c r="H29" s="11" t="str">
        <f t="shared" si="2"/>
        <v>KW28 Jul-23</v>
      </c>
      <c r="J29" s="12"/>
      <c r="K29" s="12"/>
    </row>
    <row r="30" spans="1:16" x14ac:dyDescent="0.25">
      <c r="A30" s="13">
        <f t="shared" si="1"/>
        <v>45124</v>
      </c>
      <c r="B30" s="13">
        <f t="shared" si="4"/>
        <v>45125</v>
      </c>
      <c r="C30" s="13">
        <f t="shared" si="4"/>
        <v>45126</v>
      </c>
      <c r="D30" s="13">
        <f t="shared" si="4"/>
        <v>45127</v>
      </c>
      <c r="E30" s="13">
        <f t="shared" si="4"/>
        <v>45128</v>
      </c>
      <c r="F30" s="13">
        <f t="shared" si="4"/>
        <v>45129</v>
      </c>
      <c r="G30" s="2">
        <f t="shared" si="4"/>
        <v>45130</v>
      </c>
      <c r="H30" s="11" t="str">
        <f t="shared" si="2"/>
        <v>KW29 Jul-23</v>
      </c>
      <c r="J30" s="12"/>
      <c r="K30" s="12"/>
    </row>
    <row r="31" spans="1:16" x14ac:dyDescent="0.25">
      <c r="A31" s="13">
        <f t="shared" si="1"/>
        <v>45131</v>
      </c>
      <c r="B31" s="13">
        <f t="shared" si="4"/>
        <v>45132</v>
      </c>
      <c r="C31" s="13">
        <f t="shared" si="4"/>
        <v>45133</v>
      </c>
      <c r="D31" s="13">
        <f t="shared" si="4"/>
        <v>45134</v>
      </c>
      <c r="E31" s="13">
        <f t="shared" si="4"/>
        <v>45135</v>
      </c>
      <c r="F31" s="13">
        <f t="shared" si="4"/>
        <v>45136</v>
      </c>
      <c r="G31" s="2">
        <f t="shared" si="4"/>
        <v>45137</v>
      </c>
      <c r="H31" s="11" t="str">
        <f t="shared" si="2"/>
        <v>KW30 Jul-23</v>
      </c>
    </row>
    <row r="32" spans="1:16" x14ac:dyDescent="0.25">
      <c r="A32" s="13">
        <f t="shared" si="1"/>
        <v>45138</v>
      </c>
      <c r="B32" s="13">
        <f t="shared" si="4"/>
        <v>45139</v>
      </c>
      <c r="C32" s="13">
        <f t="shared" si="4"/>
        <v>45140</v>
      </c>
      <c r="D32" s="13">
        <f t="shared" si="4"/>
        <v>45141</v>
      </c>
      <c r="E32" s="13">
        <f t="shared" si="4"/>
        <v>45142</v>
      </c>
      <c r="F32" s="13">
        <f t="shared" si="4"/>
        <v>45143</v>
      </c>
      <c r="G32" s="2">
        <f t="shared" si="4"/>
        <v>45144</v>
      </c>
      <c r="H32" s="11" t="str">
        <f t="shared" si="2"/>
        <v>KW31 Jul-23</v>
      </c>
    </row>
    <row r="33" spans="1:8" x14ac:dyDescent="0.25">
      <c r="A33" s="13">
        <f t="shared" si="1"/>
        <v>45145</v>
      </c>
      <c r="B33" s="13">
        <f t="shared" si="4"/>
        <v>45146</v>
      </c>
      <c r="C33" s="13">
        <f t="shared" si="4"/>
        <v>45147</v>
      </c>
      <c r="D33" s="13">
        <f t="shared" si="4"/>
        <v>45148</v>
      </c>
      <c r="E33" s="13">
        <f t="shared" si="4"/>
        <v>45149</v>
      </c>
      <c r="F33" s="13">
        <f t="shared" si="4"/>
        <v>45150</v>
      </c>
      <c r="G33" s="2">
        <f t="shared" si="4"/>
        <v>45151</v>
      </c>
      <c r="H33" s="11" t="str">
        <f t="shared" si="2"/>
        <v>KW32 Aug-23</v>
      </c>
    </row>
    <row r="34" spans="1:8" x14ac:dyDescent="0.25">
      <c r="A34" s="13">
        <f t="shared" si="1"/>
        <v>45152</v>
      </c>
      <c r="B34" s="13">
        <f t="shared" si="4"/>
        <v>45153</v>
      </c>
      <c r="C34" s="13">
        <f t="shared" si="4"/>
        <v>45154</v>
      </c>
      <c r="D34" s="13">
        <f t="shared" si="4"/>
        <v>45155</v>
      </c>
      <c r="E34" s="13">
        <f t="shared" si="4"/>
        <v>45156</v>
      </c>
      <c r="F34" s="13">
        <f t="shared" si="4"/>
        <v>45157</v>
      </c>
      <c r="G34" s="2">
        <f t="shared" si="4"/>
        <v>45158</v>
      </c>
      <c r="H34" s="11" t="str">
        <f t="shared" si="2"/>
        <v>KW33 Aug-23</v>
      </c>
    </row>
    <row r="35" spans="1:8" x14ac:dyDescent="0.25">
      <c r="A35" s="13">
        <f t="shared" si="1"/>
        <v>45159</v>
      </c>
      <c r="B35" s="13">
        <f t="shared" si="4"/>
        <v>45160</v>
      </c>
      <c r="C35" s="13">
        <f t="shared" si="4"/>
        <v>45161</v>
      </c>
      <c r="D35" s="13">
        <f t="shared" si="4"/>
        <v>45162</v>
      </c>
      <c r="E35" s="13">
        <f t="shared" si="4"/>
        <v>45163</v>
      </c>
      <c r="F35" s="13">
        <f t="shared" si="4"/>
        <v>45164</v>
      </c>
      <c r="G35" s="2">
        <f t="shared" si="4"/>
        <v>45165</v>
      </c>
      <c r="H35" s="11" t="str">
        <f t="shared" si="2"/>
        <v>KW34 Aug-23</v>
      </c>
    </row>
    <row r="36" spans="1:8" x14ac:dyDescent="0.25">
      <c r="A36" s="13">
        <f t="shared" si="1"/>
        <v>45166</v>
      </c>
      <c r="B36" s="13">
        <f t="shared" si="4"/>
        <v>45167</v>
      </c>
      <c r="C36" s="13">
        <f t="shared" si="4"/>
        <v>45168</v>
      </c>
      <c r="D36" s="13">
        <f t="shared" si="4"/>
        <v>45169</v>
      </c>
      <c r="E36" s="13">
        <f t="shared" si="4"/>
        <v>45170</v>
      </c>
      <c r="F36" s="13">
        <f t="shared" si="4"/>
        <v>45171</v>
      </c>
      <c r="G36" s="2">
        <f t="shared" si="4"/>
        <v>45172</v>
      </c>
      <c r="H36" s="11" t="str">
        <f t="shared" si="2"/>
        <v>KW35 Aug-23</v>
      </c>
    </row>
    <row r="37" spans="1:8" x14ac:dyDescent="0.25">
      <c r="A37" s="13">
        <f t="shared" si="1"/>
        <v>45173</v>
      </c>
      <c r="B37" s="13">
        <f t="shared" si="4"/>
        <v>45174</v>
      </c>
      <c r="C37" s="13">
        <f t="shared" si="4"/>
        <v>45175</v>
      </c>
      <c r="D37" s="13">
        <f t="shared" si="4"/>
        <v>45176</v>
      </c>
      <c r="E37" s="13">
        <f t="shared" si="4"/>
        <v>45177</v>
      </c>
      <c r="F37" s="13">
        <f t="shared" si="4"/>
        <v>45178</v>
      </c>
      <c r="G37" s="2">
        <f t="shared" si="4"/>
        <v>45179</v>
      </c>
      <c r="H37" s="11" t="str">
        <f t="shared" si="2"/>
        <v>KW36 Sept-23</v>
      </c>
    </row>
    <row r="38" spans="1:8" x14ac:dyDescent="0.25">
      <c r="A38" s="13">
        <f t="shared" si="1"/>
        <v>45180</v>
      </c>
      <c r="B38" s="13">
        <f t="shared" si="4"/>
        <v>45181</v>
      </c>
      <c r="C38" s="13">
        <f t="shared" si="4"/>
        <v>45182</v>
      </c>
      <c r="D38" s="13">
        <f t="shared" si="4"/>
        <v>45183</v>
      </c>
      <c r="E38" s="13">
        <f t="shared" si="4"/>
        <v>45184</v>
      </c>
      <c r="F38" s="13">
        <f t="shared" si="4"/>
        <v>45185</v>
      </c>
      <c r="G38" s="2">
        <f t="shared" si="4"/>
        <v>45186</v>
      </c>
      <c r="H38" s="11" t="str">
        <f t="shared" si="2"/>
        <v>KW37 Sept-23</v>
      </c>
    </row>
    <row r="39" spans="1:8" x14ac:dyDescent="0.25">
      <c r="A39" s="13">
        <f t="shared" si="1"/>
        <v>45187</v>
      </c>
      <c r="B39" s="13">
        <f t="shared" si="4"/>
        <v>45188</v>
      </c>
      <c r="C39" s="13">
        <f t="shared" si="4"/>
        <v>45189</v>
      </c>
      <c r="D39" s="13">
        <f t="shared" si="4"/>
        <v>45190</v>
      </c>
      <c r="E39" s="13">
        <f t="shared" si="4"/>
        <v>45191</v>
      </c>
      <c r="F39" s="13">
        <f t="shared" si="4"/>
        <v>45192</v>
      </c>
      <c r="G39" s="2">
        <f t="shared" si="4"/>
        <v>45193</v>
      </c>
      <c r="H39" s="11" t="str">
        <f t="shared" si="2"/>
        <v>KW38 Sept-23</v>
      </c>
    </row>
    <row r="40" spans="1:8" x14ac:dyDescent="0.25">
      <c r="A40" s="13">
        <f t="shared" si="1"/>
        <v>45194</v>
      </c>
      <c r="B40" s="13">
        <f t="shared" si="4"/>
        <v>45195</v>
      </c>
      <c r="C40" s="13">
        <f t="shared" si="4"/>
        <v>45196</v>
      </c>
      <c r="D40" s="13">
        <f t="shared" si="4"/>
        <v>45197</v>
      </c>
      <c r="E40" s="13">
        <f t="shared" si="4"/>
        <v>45198</v>
      </c>
      <c r="F40" s="13">
        <f t="shared" si="4"/>
        <v>45199</v>
      </c>
      <c r="G40" s="2">
        <f t="shared" si="4"/>
        <v>45200</v>
      </c>
      <c r="H40" s="11" t="str">
        <f t="shared" si="2"/>
        <v>KW39 Sept-23</v>
      </c>
    </row>
    <row r="41" spans="1:8" x14ac:dyDescent="0.25">
      <c r="A41" s="13">
        <f t="shared" si="1"/>
        <v>45201</v>
      </c>
      <c r="B41" s="13">
        <f t="shared" si="4"/>
        <v>45202</v>
      </c>
      <c r="C41" s="13">
        <f t="shared" si="4"/>
        <v>45203</v>
      </c>
      <c r="D41" s="13">
        <f t="shared" si="4"/>
        <v>45204</v>
      </c>
      <c r="E41" s="13">
        <f t="shared" si="4"/>
        <v>45205</v>
      </c>
      <c r="F41" s="13">
        <f t="shared" si="4"/>
        <v>45206</v>
      </c>
      <c r="G41" s="2">
        <f t="shared" si="4"/>
        <v>45207</v>
      </c>
      <c r="H41" s="11" t="str">
        <f t="shared" si="2"/>
        <v>KW40 Oct-23</v>
      </c>
    </row>
    <row r="42" spans="1:8" x14ac:dyDescent="0.25">
      <c r="A42" s="13">
        <f t="shared" si="1"/>
        <v>45208</v>
      </c>
      <c r="B42" s="13">
        <f t="shared" si="4"/>
        <v>45209</v>
      </c>
      <c r="C42" s="13">
        <f t="shared" si="4"/>
        <v>45210</v>
      </c>
      <c r="D42" s="13">
        <f t="shared" si="4"/>
        <v>45211</v>
      </c>
      <c r="E42" s="13">
        <f t="shared" si="4"/>
        <v>45212</v>
      </c>
      <c r="F42" s="13">
        <f t="shared" si="4"/>
        <v>45213</v>
      </c>
      <c r="G42" s="2">
        <f t="shared" si="4"/>
        <v>45214</v>
      </c>
      <c r="H42" s="11" t="str">
        <f t="shared" si="2"/>
        <v>KW41 Oct-23</v>
      </c>
    </row>
    <row r="43" spans="1:8" x14ac:dyDescent="0.25">
      <c r="A43" s="13">
        <f t="shared" si="1"/>
        <v>45215</v>
      </c>
      <c r="B43" s="13">
        <f t="shared" si="4"/>
        <v>45216</v>
      </c>
      <c r="C43" s="13">
        <f t="shared" si="4"/>
        <v>45217</v>
      </c>
      <c r="D43" s="13">
        <f t="shared" si="4"/>
        <v>45218</v>
      </c>
      <c r="E43" s="13">
        <f t="shared" si="4"/>
        <v>45219</v>
      </c>
      <c r="F43" s="13">
        <f t="shared" si="4"/>
        <v>45220</v>
      </c>
      <c r="G43" s="2">
        <f t="shared" si="4"/>
        <v>45221</v>
      </c>
      <c r="H43" s="11" t="str">
        <f t="shared" si="2"/>
        <v>KW42 Oct-23</v>
      </c>
    </row>
    <row r="44" spans="1:8" x14ac:dyDescent="0.25">
      <c r="A44" s="13">
        <f t="shared" si="1"/>
        <v>45222</v>
      </c>
      <c r="B44" s="13">
        <f t="shared" si="4"/>
        <v>45223</v>
      </c>
      <c r="C44" s="13">
        <f t="shared" si="4"/>
        <v>45224</v>
      </c>
      <c r="D44" s="13">
        <f t="shared" si="4"/>
        <v>45225</v>
      </c>
      <c r="E44" s="13">
        <f t="shared" si="4"/>
        <v>45226</v>
      </c>
      <c r="F44" s="13">
        <f t="shared" si="4"/>
        <v>45227</v>
      </c>
      <c r="G44" s="2">
        <f t="shared" si="4"/>
        <v>45228</v>
      </c>
      <c r="H44" s="11" t="str">
        <f t="shared" si="2"/>
        <v>KW43 Oct-23</v>
      </c>
    </row>
    <row r="45" spans="1:8" x14ac:dyDescent="0.25">
      <c r="A45" s="2">
        <f t="shared" si="1"/>
        <v>45229</v>
      </c>
      <c r="B45" s="2">
        <f t="shared" si="4"/>
        <v>45230</v>
      </c>
      <c r="C45" s="2">
        <f t="shared" si="4"/>
        <v>45231</v>
      </c>
      <c r="D45" s="2">
        <f t="shared" si="4"/>
        <v>45232</v>
      </c>
      <c r="E45" s="2">
        <f t="shared" si="4"/>
        <v>45233</v>
      </c>
      <c r="F45" s="2">
        <f t="shared" si="4"/>
        <v>45234</v>
      </c>
      <c r="G45" s="2">
        <f t="shared" si="4"/>
        <v>45235</v>
      </c>
      <c r="H45" s="11" t="str">
        <f t="shared" si="2"/>
        <v>KW44 Oct-23</v>
      </c>
    </row>
    <row r="46" spans="1:8" x14ac:dyDescent="0.25">
      <c r="A46" s="2">
        <f t="shared" si="1"/>
        <v>45236</v>
      </c>
      <c r="B46" s="2">
        <f t="shared" si="4"/>
        <v>45237</v>
      </c>
      <c r="C46" s="2">
        <f t="shared" si="4"/>
        <v>45238</v>
      </c>
      <c r="D46" s="2">
        <f t="shared" si="4"/>
        <v>45239</v>
      </c>
      <c r="E46" s="2">
        <f t="shared" si="4"/>
        <v>45240</v>
      </c>
      <c r="F46" s="2">
        <f t="shared" si="4"/>
        <v>45241</v>
      </c>
      <c r="G46" s="2">
        <f t="shared" si="4"/>
        <v>45242</v>
      </c>
      <c r="H46" s="11" t="str">
        <f t="shared" si="2"/>
        <v>KW45 Nov-23</v>
      </c>
    </row>
    <row r="47" spans="1:8" x14ac:dyDescent="0.25">
      <c r="A47" s="2">
        <f t="shared" si="1"/>
        <v>45243</v>
      </c>
      <c r="B47" s="2">
        <f t="shared" si="4"/>
        <v>45244</v>
      </c>
      <c r="C47" s="2">
        <f t="shared" si="4"/>
        <v>45245</v>
      </c>
      <c r="D47" s="2">
        <f t="shared" si="4"/>
        <v>45246</v>
      </c>
      <c r="E47" s="2">
        <f t="shared" si="4"/>
        <v>45247</v>
      </c>
      <c r="F47" s="2">
        <f t="shared" si="4"/>
        <v>45248</v>
      </c>
      <c r="G47" s="2">
        <f t="shared" si="4"/>
        <v>45249</v>
      </c>
      <c r="H47" s="11" t="str">
        <f t="shared" si="2"/>
        <v>KW46 Nov-23</v>
      </c>
    </row>
    <row r="48" spans="1:8" x14ac:dyDescent="0.25">
      <c r="A48" s="2">
        <f t="shared" si="1"/>
        <v>45250</v>
      </c>
      <c r="B48" s="2">
        <f t="shared" si="4"/>
        <v>45251</v>
      </c>
      <c r="C48" s="2">
        <f t="shared" si="4"/>
        <v>45252</v>
      </c>
      <c r="D48" s="2">
        <f t="shared" si="4"/>
        <v>45253</v>
      </c>
      <c r="E48" s="2">
        <f t="shared" si="4"/>
        <v>45254</v>
      </c>
      <c r="F48" s="2">
        <f t="shared" si="4"/>
        <v>45255</v>
      </c>
      <c r="G48" s="2">
        <f t="shared" si="4"/>
        <v>45256</v>
      </c>
      <c r="H48" s="11" t="str">
        <f t="shared" si="2"/>
        <v>KW47 Nov-23</v>
      </c>
    </row>
    <row r="49" spans="1:8" x14ac:dyDescent="0.25">
      <c r="A49" s="2">
        <f t="shared" si="1"/>
        <v>45257</v>
      </c>
      <c r="B49" s="2">
        <f t="shared" si="4"/>
        <v>45258</v>
      </c>
      <c r="C49" s="2">
        <f t="shared" si="4"/>
        <v>45259</v>
      </c>
      <c r="D49" s="2">
        <f t="shared" si="4"/>
        <v>45260</v>
      </c>
      <c r="E49" s="2">
        <f t="shared" si="4"/>
        <v>45261</v>
      </c>
      <c r="F49" s="2">
        <f t="shared" si="4"/>
        <v>45262</v>
      </c>
      <c r="G49" s="2">
        <f t="shared" si="4"/>
        <v>45263</v>
      </c>
      <c r="H49" s="11" t="str">
        <f t="shared" si="2"/>
        <v>KW48 Nov-23</v>
      </c>
    </row>
    <row r="50" spans="1:8" x14ac:dyDescent="0.25">
      <c r="A50" s="2">
        <f t="shared" si="1"/>
        <v>45264</v>
      </c>
      <c r="B50" s="2">
        <f t="shared" si="4"/>
        <v>45265</v>
      </c>
      <c r="C50" s="2">
        <f t="shared" si="4"/>
        <v>45266</v>
      </c>
      <c r="D50" s="2">
        <f t="shared" si="4"/>
        <v>45267</v>
      </c>
      <c r="E50" s="2">
        <f t="shared" si="4"/>
        <v>45268</v>
      </c>
      <c r="F50" s="2">
        <f t="shared" si="4"/>
        <v>45269</v>
      </c>
      <c r="G50" s="2">
        <f t="shared" si="4"/>
        <v>45270</v>
      </c>
      <c r="H50" s="11" t="str">
        <f t="shared" si="2"/>
        <v>KW49 Dec-23</v>
      </c>
    </row>
    <row r="51" spans="1:8" x14ac:dyDescent="0.25">
      <c r="A51" s="2">
        <f t="shared" si="1"/>
        <v>45271</v>
      </c>
      <c r="B51" s="2">
        <f t="shared" si="4"/>
        <v>45272</v>
      </c>
      <c r="C51" s="2">
        <f t="shared" si="4"/>
        <v>45273</v>
      </c>
      <c r="D51" s="2">
        <f t="shared" si="4"/>
        <v>45274</v>
      </c>
      <c r="E51" s="2">
        <f t="shared" si="4"/>
        <v>45275</v>
      </c>
      <c r="F51" s="2">
        <f t="shared" si="4"/>
        <v>45276</v>
      </c>
      <c r="G51" s="2">
        <f t="shared" si="4"/>
        <v>45277</v>
      </c>
      <c r="H51" s="11" t="str">
        <f t="shared" si="2"/>
        <v>KW50 Dec-23</v>
      </c>
    </row>
    <row r="52" spans="1:8" x14ac:dyDescent="0.25">
      <c r="A52" s="2">
        <f t="shared" si="1"/>
        <v>45278</v>
      </c>
      <c r="B52" s="2">
        <f t="shared" si="4"/>
        <v>45279</v>
      </c>
      <c r="C52" s="2">
        <f t="shared" si="4"/>
        <v>45280</v>
      </c>
      <c r="D52" s="2">
        <f t="shared" si="4"/>
        <v>45281</v>
      </c>
      <c r="E52" s="2">
        <f t="shared" si="4"/>
        <v>45282</v>
      </c>
      <c r="F52" s="2">
        <f t="shared" si="4"/>
        <v>45283</v>
      </c>
      <c r="G52" s="2">
        <f t="shared" si="4"/>
        <v>45284</v>
      </c>
      <c r="H52" s="11" t="str">
        <f t="shared" si="2"/>
        <v>KW51 Dec-23</v>
      </c>
    </row>
    <row r="53" spans="1:8" x14ac:dyDescent="0.25">
      <c r="A53" s="2">
        <f t="shared" si="1"/>
        <v>45285</v>
      </c>
      <c r="B53" s="2">
        <f t="shared" si="4"/>
        <v>45286</v>
      </c>
      <c r="C53" s="2">
        <f t="shared" si="4"/>
        <v>45287</v>
      </c>
      <c r="D53" s="2">
        <f t="shared" si="4"/>
        <v>45288</v>
      </c>
      <c r="E53" s="2">
        <f t="shared" si="4"/>
        <v>45289</v>
      </c>
      <c r="F53" s="2">
        <f t="shared" si="4"/>
        <v>45290</v>
      </c>
      <c r="G53" s="2">
        <f t="shared" si="4"/>
        <v>45291</v>
      </c>
      <c r="H53" s="11" t="str">
        <f t="shared" si="2"/>
        <v>KW52 Dec-23</v>
      </c>
    </row>
    <row r="54" spans="1:8" x14ac:dyDescent="0.25">
      <c r="A54" s="2"/>
      <c r="B54" s="2"/>
      <c r="C54" s="2"/>
      <c r="D54" s="2"/>
      <c r="E54" s="2"/>
      <c r="F54" s="2"/>
      <c r="G54" s="2"/>
    </row>
    <row r="55" spans="1:8" x14ac:dyDescent="0.25">
      <c r="A55" s="2"/>
      <c r="B55" s="2"/>
      <c r="C55" s="2"/>
      <c r="D55" s="2"/>
      <c r="E55" s="2"/>
      <c r="F55" s="2"/>
      <c r="G55" s="2"/>
    </row>
    <row r="56" spans="1:8" x14ac:dyDescent="0.25">
      <c r="A56" s="2"/>
      <c r="B56" s="2"/>
      <c r="C56" s="2"/>
      <c r="D56" s="2"/>
      <c r="E56" s="2"/>
      <c r="F56" s="2"/>
      <c r="G56" s="2"/>
    </row>
    <row r="57" spans="1:8" x14ac:dyDescent="0.25">
      <c r="A57" s="2"/>
      <c r="B57" s="2"/>
      <c r="C57" s="2"/>
      <c r="D57" s="2"/>
      <c r="E57" s="2"/>
      <c r="F57" s="2"/>
      <c r="G57" s="2"/>
    </row>
    <row r="58" spans="1:8" x14ac:dyDescent="0.25">
      <c r="A58" s="2"/>
      <c r="B58" s="2"/>
      <c r="C58" s="2"/>
      <c r="D58" s="2"/>
      <c r="E58" s="2"/>
      <c r="F58" s="2"/>
      <c r="G58" s="2"/>
    </row>
    <row r="59" spans="1:8" x14ac:dyDescent="0.25">
      <c r="A59" s="2"/>
      <c r="B59" s="2"/>
      <c r="C59" s="2"/>
      <c r="D59" s="2"/>
      <c r="E59" s="2"/>
      <c r="F59" s="2"/>
      <c r="G59" s="2"/>
    </row>
    <row r="60" spans="1:8" x14ac:dyDescent="0.25">
      <c r="A60" s="2"/>
      <c r="B60" s="2"/>
      <c r="C60" s="2"/>
      <c r="D60" s="2"/>
      <c r="E60" s="2"/>
      <c r="F60" s="2"/>
      <c r="G60" s="2"/>
    </row>
    <row r="61" spans="1:8" x14ac:dyDescent="0.25">
      <c r="A61" s="2"/>
      <c r="B61" s="2"/>
      <c r="C61" s="2"/>
      <c r="D61" s="2"/>
      <c r="E61" s="2"/>
      <c r="F61" s="2"/>
      <c r="G61" s="2"/>
    </row>
    <row r="62" spans="1:8" x14ac:dyDescent="0.25">
      <c r="A62" s="2"/>
      <c r="B62" s="2"/>
      <c r="C62" s="2"/>
      <c r="D62" s="2"/>
      <c r="E62" s="2"/>
      <c r="F62" s="2"/>
      <c r="G62" s="2"/>
    </row>
    <row r="63" spans="1:8" x14ac:dyDescent="0.25">
      <c r="A63" s="2"/>
      <c r="B63" s="2"/>
      <c r="C63" s="2"/>
      <c r="D63" s="2"/>
      <c r="E63" s="2"/>
      <c r="F63" s="2"/>
      <c r="G63" s="2"/>
    </row>
    <row r="64" spans="1:8" x14ac:dyDescent="0.25">
      <c r="A64" s="2"/>
      <c r="B64" s="2"/>
      <c r="C64" s="2"/>
      <c r="D64" s="2"/>
      <c r="E64" s="2"/>
      <c r="F64" s="2"/>
      <c r="G64" s="2"/>
    </row>
  </sheetData>
  <conditionalFormatting sqref="A2:G54">
    <cfRule type="expression" dxfId="28" priority="2">
      <formula>AND(COUNTIF($P$2:$P$20,A2),A2&lt;&gt;0)</formula>
    </cfRule>
    <cfRule type="expression" dxfId="27" priority="4">
      <formula>WEEKDAY(A2,2)&gt;=6</formula>
    </cfRule>
    <cfRule type="cellIs" dxfId="26" priority="5" operator="equal">
      <formula>TODAY()</formula>
    </cfRule>
    <cfRule type="expression" dxfId="25" priority="7">
      <formula>COUNTIFS($J$2:$J$40,"&lt;="&amp;A2,$K$2:$K$40,"&gt;=" &amp; A2)&gt;0</formula>
    </cfRule>
    <cfRule type="expression" dxfId="24" priority="8">
      <formula>MOD(MONTH(A2),2)=0</formula>
    </cfRule>
  </conditionalFormatting>
  <conditionalFormatting sqref="H2:H53">
    <cfRule type="expression" dxfId="23" priority="3">
      <formula>AND($A2&lt;=TODAY(),$G2&gt;=TODAY())</formula>
    </cfRule>
  </conditionalFormatting>
  <conditionalFormatting sqref="L2:L40">
    <cfRule type="expression" dxfId="22" priority="1">
      <formula>SUMPRODUCT(($P$2:$P$4&lt;=K2)*($P$2:$P$4&gt;=J2)*1)&gt;0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C160-26F0-4CB1-83EE-9216BBA72745}">
  <sheetPr codeName="Sheet8"/>
  <dimension ref="A1:R64"/>
  <sheetViews>
    <sheetView showGridLines="0" workbookViewId="0"/>
  </sheetViews>
  <sheetFormatPr defaultRowHeight="15" x14ac:dyDescent="0.25"/>
  <cols>
    <col min="1" max="7" width="3.5703125" style="20" customWidth="1"/>
    <col min="8" max="8" width="11.85546875" bestFit="1" customWidth="1"/>
    <col min="9" max="9" width="5.5703125" customWidth="1"/>
    <col min="10" max="11" width="15.42578125" bestFit="1" customWidth="1"/>
    <col min="12" max="12" width="11.85546875" bestFit="1" customWidth="1"/>
    <col min="13" max="13" width="5.5703125" customWidth="1"/>
    <col min="14" max="14" width="16.5703125" bestFit="1" customWidth="1"/>
    <col min="15" max="15" width="5.5703125" customWidth="1"/>
    <col min="16" max="16" width="15.42578125" bestFit="1" customWidth="1"/>
    <col min="17" max="17" width="5.5703125" customWidth="1"/>
  </cols>
  <sheetData>
    <row r="1" spans="1:18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0" t="s">
        <v>13</v>
      </c>
      <c r="J1" s="9" t="s">
        <v>7</v>
      </c>
      <c r="K1" s="9" t="s">
        <v>23</v>
      </c>
      <c r="L1" s="9" t="s">
        <v>8</v>
      </c>
      <c r="N1" s="9" t="s">
        <v>19</v>
      </c>
      <c r="P1" s="9" t="s">
        <v>10</v>
      </c>
      <c r="R1" s="9" t="s">
        <v>14</v>
      </c>
    </row>
    <row r="2" spans="1:18" x14ac:dyDescent="0.25">
      <c r="A2" s="18">
        <f>DATE(N11,1,-2)-WEEKDAY(DATE(N11,1,3))+7</f>
        <v>45292</v>
      </c>
      <c r="B2" s="18">
        <f>A2+1</f>
        <v>45293</v>
      </c>
      <c r="C2" s="18">
        <f t="shared" ref="C2:G3" si="0">B2+1</f>
        <v>45294</v>
      </c>
      <c r="D2" s="18">
        <f t="shared" si="0"/>
        <v>45295</v>
      </c>
      <c r="E2" s="18">
        <f t="shared" si="0"/>
        <v>45296</v>
      </c>
      <c r="F2" s="18">
        <f t="shared" si="0"/>
        <v>45297</v>
      </c>
      <c r="G2" s="18">
        <f t="shared" si="0"/>
        <v>45298</v>
      </c>
      <c r="H2" s="11" t="str">
        <f>"KW"&amp;TEXT(_xlfn.ISOWEEKNUM($A2),"00") &amp;" " &amp; PROPER(TEXT(A2,"mmm-yy"))</f>
        <v>KW01 Jan-24</v>
      </c>
      <c r="J2" s="12">
        <v>45295</v>
      </c>
      <c r="K2" s="12">
        <v>45296</v>
      </c>
      <c r="L2" cm="1">
        <f t="array" aca="1" ref="L2" ca="1">IF(J2=0,"",SUMPRODUCT((WEEKDAY(ROW(INDIRECT(J2&amp;":"&amp;K2)),2)&lt;=5)*1)-SUMPRODUCT(($P$2:$P$11&lt;=K2)*($P$2:$P$11&gt;=J2)*1))</f>
        <v>2</v>
      </c>
      <c r="N2">
        <f ca="1">SUM(L2:L48)</f>
        <v>31</v>
      </c>
      <c r="O2" s="3"/>
      <c r="P2" s="14">
        <f>DATE(N11,1,1)</f>
        <v>45292</v>
      </c>
      <c r="R2" t="s">
        <v>20</v>
      </c>
    </row>
    <row r="3" spans="1:18" x14ac:dyDescent="0.25">
      <c r="A3" s="18">
        <f t="shared" ref="A3:A53" si="1">G2+1</f>
        <v>45299</v>
      </c>
      <c r="B3" s="18">
        <f>A3+1</f>
        <v>45300</v>
      </c>
      <c r="C3" s="18">
        <f t="shared" si="0"/>
        <v>45301</v>
      </c>
      <c r="D3" s="18">
        <f t="shared" si="0"/>
        <v>45302</v>
      </c>
      <c r="E3" s="18">
        <f t="shared" si="0"/>
        <v>45303</v>
      </c>
      <c r="F3" s="18">
        <f t="shared" si="0"/>
        <v>45304</v>
      </c>
      <c r="G3" s="18">
        <f t="shared" si="0"/>
        <v>45305</v>
      </c>
      <c r="H3" s="11" t="str">
        <f t="shared" ref="H3:H53" si="2">"KW"&amp;TEXT(_xlfn.ISOWEEKNUM($A3),"00") &amp;" " &amp; PROPER(TEXT(A3,"mmm-yy"))</f>
        <v>KW02 Jan-24</v>
      </c>
      <c r="J3" s="12">
        <v>45308</v>
      </c>
      <c r="K3" s="12">
        <v>45308</v>
      </c>
      <c r="L3" cm="1">
        <f t="array" aca="1" ref="L3" ca="1">IF(J3=0,"",SUMPRODUCT((WEEKDAY(ROW(INDIRECT(J3&amp;":"&amp;K3)),2)&lt;=5)*1)-SUMPRODUCT(($P$2:$P$11&lt;=K3)*($P$2:$P$11&gt;=J3)*1))</f>
        <v>1</v>
      </c>
      <c r="O3" s="4"/>
      <c r="P3" s="15">
        <f>DOLLAR(("4/"&amp;N11)/7+MOD(19*MOD(N11,19)-7,30)*14%,)*7-6+1</f>
        <v>45383</v>
      </c>
      <c r="R3" t="s">
        <v>21</v>
      </c>
    </row>
    <row r="4" spans="1:18" x14ac:dyDescent="0.25">
      <c r="A4" s="18">
        <f t="shared" si="1"/>
        <v>45306</v>
      </c>
      <c r="B4" s="18">
        <f t="shared" ref="B4:G19" si="3">A4+1</f>
        <v>45307</v>
      </c>
      <c r="C4" s="18">
        <f t="shared" si="3"/>
        <v>45308</v>
      </c>
      <c r="D4" s="18">
        <f t="shared" si="3"/>
        <v>45309</v>
      </c>
      <c r="E4" s="18">
        <f t="shared" si="3"/>
        <v>45310</v>
      </c>
      <c r="F4" s="18">
        <f t="shared" si="3"/>
        <v>45311</v>
      </c>
      <c r="G4" s="18">
        <f t="shared" si="3"/>
        <v>45312</v>
      </c>
      <c r="H4" s="11" t="str">
        <f t="shared" si="2"/>
        <v>KW03 Jan-24</v>
      </c>
      <c r="J4" s="12">
        <v>45324</v>
      </c>
      <c r="K4" s="12">
        <v>45324</v>
      </c>
      <c r="L4" cm="1">
        <f t="array" aca="1" ref="L4" ca="1">IF(J4=0,"",SUMPRODUCT((WEEKDAY(ROW(INDIRECT(J4&amp;":"&amp;K4)),2)&lt;=5)*1)-SUMPRODUCT(($P$2:$P$11&lt;=K4)*($P$2:$P$11&gt;=J4)*1))</f>
        <v>1</v>
      </c>
      <c r="N4" s="9" t="s">
        <v>11</v>
      </c>
      <c r="O4" s="4"/>
      <c r="P4" s="15">
        <f>DATE(N11,5,1)</f>
        <v>45413</v>
      </c>
      <c r="R4" t="s">
        <v>22</v>
      </c>
    </row>
    <row r="5" spans="1:18" x14ac:dyDescent="0.25">
      <c r="A5" s="18">
        <f t="shared" si="1"/>
        <v>45313</v>
      </c>
      <c r="B5" s="18">
        <f t="shared" si="3"/>
        <v>45314</v>
      </c>
      <c r="C5" s="18">
        <f t="shared" si="3"/>
        <v>45315</v>
      </c>
      <c r="D5" s="18">
        <f t="shared" si="3"/>
        <v>45316</v>
      </c>
      <c r="E5" s="18">
        <f t="shared" si="3"/>
        <v>45317</v>
      </c>
      <c r="F5" s="18">
        <f t="shared" si="3"/>
        <v>45318</v>
      </c>
      <c r="G5" s="18">
        <f t="shared" si="3"/>
        <v>45319</v>
      </c>
      <c r="H5" s="11" t="str">
        <f t="shared" si="2"/>
        <v>KW04 Jan-24</v>
      </c>
      <c r="J5" s="12">
        <v>45362</v>
      </c>
      <c r="K5" s="12">
        <v>45362</v>
      </c>
      <c r="L5" cm="1">
        <f t="array" aca="1" ref="L5" ca="1">IF(J5=0,"",SUMPRODUCT((WEEKDAY(ROW(INDIRECT(J5&amp;":"&amp;K5)),2)&lt;=5)*1)-SUMPRODUCT(($P$2:$P$11&lt;=K5)*($P$2:$P$11&gt;=J5)*1))</f>
        <v>1</v>
      </c>
      <c r="N5">
        <v>36</v>
      </c>
      <c r="O5" s="4"/>
      <c r="P5" s="15">
        <f>P3+38</f>
        <v>45421</v>
      </c>
    </row>
    <row r="6" spans="1:18" x14ac:dyDescent="0.25">
      <c r="A6" s="18">
        <f t="shared" si="1"/>
        <v>45320</v>
      </c>
      <c r="B6" s="18">
        <f t="shared" si="3"/>
        <v>45321</v>
      </c>
      <c r="C6" s="18">
        <f t="shared" si="3"/>
        <v>45322</v>
      </c>
      <c r="D6" s="18">
        <f t="shared" si="3"/>
        <v>45323</v>
      </c>
      <c r="E6" s="18">
        <f t="shared" si="3"/>
        <v>45324</v>
      </c>
      <c r="F6" s="18">
        <f t="shared" si="3"/>
        <v>45325</v>
      </c>
      <c r="G6" s="18">
        <f t="shared" si="3"/>
        <v>45326</v>
      </c>
      <c r="H6" s="11" t="str">
        <f t="shared" si="2"/>
        <v>KW05 Jan-24</v>
      </c>
      <c r="J6" s="12">
        <v>45371</v>
      </c>
      <c r="K6" s="12">
        <v>45371</v>
      </c>
      <c r="L6" s="21">
        <v>0.5</v>
      </c>
      <c r="O6" s="4"/>
      <c r="P6" s="15">
        <f>P3+49</f>
        <v>45432</v>
      </c>
    </row>
    <row r="7" spans="1:18" x14ac:dyDescent="0.25">
      <c r="A7" s="18">
        <f t="shared" si="1"/>
        <v>45327</v>
      </c>
      <c r="B7" s="18">
        <f t="shared" si="3"/>
        <v>45328</v>
      </c>
      <c r="C7" s="18">
        <f t="shared" si="3"/>
        <v>45329</v>
      </c>
      <c r="D7" s="18">
        <f t="shared" si="3"/>
        <v>45330</v>
      </c>
      <c r="E7" s="18">
        <f t="shared" si="3"/>
        <v>45331</v>
      </c>
      <c r="F7" s="18">
        <f t="shared" si="3"/>
        <v>45332</v>
      </c>
      <c r="G7" s="18">
        <f t="shared" si="3"/>
        <v>45333</v>
      </c>
      <c r="H7" s="11" t="str">
        <f t="shared" si="2"/>
        <v>KW06 Feb-24</v>
      </c>
      <c r="J7" s="12">
        <v>45378</v>
      </c>
      <c r="K7" s="12">
        <v>45378</v>
      </c>
      <c r="L7" cm="1">
        <f t="array" aca="1" ref="L7" ca="1">IF(J7=0,"",SUMPRODUCT((WEEKDAY(ROW(INDIRECT(J7&amp;":"&amp;K7)),2)&lt;=5)*1)-SUMPRODUCT(($P$2:$P$11&lt;=K7)*($P$2:$P$11&gt;=J7)*1))</f>
        <v>1</v>
      </c>
      <c r="N7" s="9" t="s">
        <v>12</v>
      </c>
      <c r="O7" s="4"/>
      <c r="P7" s="15">
        <f>DATE(N11,7,21)</f>
        <v>45494</v>
      </c>
    </row>
    <row r="8" spans="1:18" x14ac:dyDescent="0.25">
      <c r="A8" s="18">
        <f t="shared" si="1"/>
        <v>45334</v>
      </c>
      <c r="B8" s="18">
        <f t="shared" si="3"/>
        <v>45335</v>
      </c>
      <c r="C8" s="18">
        <f t="shared" si="3"/>
        <v>45336</v>
      </c>
      <c r="D8" s="18">
        <f t="shared" si="3"/>
        <v>45337</v>
      </c>
      <c r="E8" s="18">
        <f t="shared" si="3"/>
        <v>45338</v>
      </c>
      <c r="F8" s="18">
        <f t="shared" si="3"/>
        <v>45339</v>
      </c>
      <c r="G8" s="18">
        <f t="shared" si="3"/>
        <v>45340</v>
      </c>
      <c r="H8" s="11" t="str">
        <f t="shared" si="2"/>
        <v>KW07 Feb-24</v>
      </c>
      <c r="J8" s="12">
        <v>45380</v>
      </c>
      <c r="K8" s="12">
        <v>45380</v>
      </c>
      <c r="L8" s="21">
        <v>0.5</v>
      </c>
      <c r="N8">
        <f ca="1">N5-N2</f>
        <v>5</v>
      </c>
      <c r="O8" s="4"/>
      <c r="P8" s="15">
        <f>DATE(N11,8,15)</f>
        <v>45519</v>
      </c>
    </row>
    <row r="9" spans="1:18" x14ac:dyDescent="0.25">
      <c r="A9" s="18">
        <f t="shared" si="1"/>
        <v>45341</v>
      </c>
      <c r="B9" s="18">
        <f t="shared" si="3"/>
        <v>45342</v>
      </c>
      <c r="C9" s="18">
        <f t="shared" si="3"/>
        <v>45343</v>
      </c>
      <c r="D9" s="18">
        <f t="shared" si="3"/>
        <v>45344</v>
      </c>
      <c r="E9" s="18">
        <f t="shared" si="3"/>
        <v>45345</v>
      </c>
      <c r="F9" s="18">
        <f t="shared" si="3"/>
        <v>45346</v>
      </c>
      <c r="G9" s="18">
        <f t="shared" si="3"/>
        <v>45347</v>
      </c>
      <c r="H9" s="11" t="str">
        <f t="shared" si="2"/>
        <v>KW08 Feb-24</v>
      </c>
      <c r="J9" s="12">
        <v>45385</v>
      </c>
      <c r="K9" s="12">
        <v>45385</v>
      </c>
      <c r="L9" cm="1">
        <f t="array" aca="1" ref="L9" ca="1">IF(J9=0,"",SUMPRODUCT((WEEKDAY(ROW(INDIRECT(J9&amp;":"&amp;K9)),2)&lt;=5)*1)-SUMPRODUCT(($P$2:$P$11&lt;=K9)*($P$2:$P$11&gt;=J9)*1))</f>
        <v>1</v>
      </c>
      <c r="O9" s="4"/>
      <c r="P9" s="15">
        <f>DATE(N11,11,1)</f>
        <v>45597</v>
      </c>
    </row>
    <row r="10" spans="1:18" x14ac:dyDescent="0.25">
      <c r="A10" s="18">
        <f t="shared" si="1"/>
        <v>45348</v>
      </c>
      <c r="B10" s="18">
        <f t="shared" si="3"/>
        <v>45349</v>
      </c>
      <c r="C10" s="18">
        <f t="shared" si="3"/>
        <v>45350</v>
      </c>
      <c r="D10" s="18">
        <f t="shared" si="3"/>
        <v>45351</v>
      </c>
      <c r="E10" s="18">
        <f t="shared" si="3"/>
        <v>45352</v>
      </c>
      <c r="F10" s="18">
        <f t="shared" si="3"/>
        <v>45353</v>
      </c>
      <c r="G10" s="18">
        <f t="shared" si="3"/>
        <v>45354</v>
      </c>
      <c r="H10" s="11" t="str">
        <f t="shared" si="2"/>
        <v>KW09 Feb-24</v>
      </c>
      <c r="J10" s="12">
        <v>45397</v>
      </c>
      <c r="K10" s="12">
        <v>45397</v>
      </c>
      <c r="L10" cm="1">
        <f t="array" aca="1" ref="L10" ca="1">IF(J10=0,"",SUMPRODUCT((WEEKDAY(ROW(INDIRECT(J10&amp;":"&amp;K10)),2)&lt;=5)*1)-SUMPRODUCT(($P$2:$P$11&lt;=K10)*($P$2:$P$11&gt;=J10)*1))</f>
        <v>1</v>
      </c>
      <c r="M10" s="1"/>
      <c r="N10" s="9" t="s">
        <v>18</v>
      </c>
      <c r="O10" s="4"/>
      <c r="P10" s="15">
        <f>DATE(N11,11,11)</f>
        <v>45607</v>
      </c>
    </row>
    <row r="11" spans="1:18" x14ac:dyDescent="0.25">
      <c r="A11" s="18">
        <f t="shared" si="1"/>
        <v>45355</v>
      </c>
      <c r="B11" s="18">
        <f t="shared" si="3"/>
        <v>45356</v>
      </c>
      <c r="C11" s="18">
        <f t="shared" si="3"/>
        <v>45357</v>
      </c>
      <c r="D11" s="18">
        <f t="shared" si="3"/>
        <v>45358</v>
      </c>
      <c r="E11" s="18">
        <f t="shared" si="3"/>
        <v>45359</v>
      </c>
      <c r="F11" s="18">
        <f t="shared" si="3"/>
        <v>45360</v>
      </c>
      <c r="G11" s="18">
        <f t="shared" si="3"/>
        <v>45361</v>
      </c>
      <c r="H11" s="11" t="str">
        <f t="shared" si="2"/>
        <v>KW10 Mar-24</v>
      </c>
      <c r="J11" s="12">
        <v>45427</v>
      </c>
      <c r="K11" s="12">
        <v>45427</v>
      </c>
      <c r="L11" cm="1">
        <f t="array" aca="1" ref="L11" ca="1">IF(J11=0,"",SUMPRODUCT((WEEKDAY(ROW(INDIRECT(J11&amp;":"&amp;K11)),2)&lt;=5)*1)-SUMPRODUCT(($P$2:$P$11&lt;=K11)*($P$2:$P$11&gt;=J11)*1))</f>
        <v>1</v>
      </c>
      <c r="N11">
        <v>2024</v>
      </c>
      <c r="O11" s="4"/>
      <c r="P11" s="15">
        <f>DATE(N11,12,25)</f>
        <v>45651</v>
      </c>
    </row>
    <row r="12" spans="1:18" x14ac:dyDescent="0.25">
      <c r="A12" s="18">
        <f t="shared" si="1"/>
        <v>45362</v>
      </c>
      <c r="B12" s="18">
        <f t="shared" si="3"/>
        <v>45363</v>
      </c>
      <c r="C12" s="18">
        <f t="shared" si="3"/>
        <v>45364</v>
      </c>
      <c r="D12" s="18">
        <f t="shared" si="3"/>
        <v>45365</v>
      </c>
      <c r="E12" s="18">
        <f t="shared" si="3"/>
        <v>45366</v>
      </c>
      <c r="F12" s="18">
        <f t="shared" si="3"/>
        <v>45367</v>
      </c>
      <c r="G12" s="18">
        <f t="shared" si="3"/>
        <v>45368</v>
      </c>
      <c r="H12" s="11" t="str">
        <f t="shared" si="2"/>
        <v>KW11 Mar-24</v>
      </c>
      <c r="J12" s="12">
        <v>45441</v>
      </c>
      <c r="K12" s="12">
        <v>45441</v>
      </c>
      <c r="L12" cm="1">
        <f t="array" aca="1" ref="L12" ca="1">IF(J12=0,"",SUMPRODUCT((WEEKDAY(ROW(INDIRECT(J12&amp;":"&amp;K12)),2)&lt;=5)*1)-SUMPRODUCT(($P$2:$P$11&lt;=K12)*($P$2:$P$11&gt;=J12)*1))</f>
        <v>1</v>
      </c>
      <c r="O12" s="4"/>
      <c r="P12" s="4"/>
    </row>
    <row r="13" spans="1:18" x14ac:dyDescent="0.25">
      <c r="A13" s="18">
        <f t="shared" si="1"/>
        <v>45369</v>
      </c>
      <c r="B13" s="18">
        <f t="shared" si="3"/>
        <v>45370</v>
      </c>
      <c r="C13" s="18">
        <f t="shared" si="3"/>
        <v>45371</v>
      </c>
      <c r="D13" s="18">
        <f t="shared" si="3"/>
        <v>45372</v>
      </c>
      <c r="E13" s="18">
        <f t="shared" si="3"/>
        <v>45373</v>
      </c>
      <c r="F13" s="18">
        <f t="shared" si="3"/>
        <v>45374</v>
      </c>
      <c r="G13" s="18">
        <f t="shared" si="3"/>
        <v>45375</v>
      </c>
      <c r="H13" s="11" t="str">
        <f t="shared" si="2"/>
        <v>KW12 Mar-24</v>
      </c>
      <c r="J13" s="12">
        <v>45453</v>
      </c>
      <c r="K13" s="12">
        <v>45453</v>
      </c>
      <c r="L13" cm="1">
        <f t="array" aca="1" ref="L13" ca="1">IF(J13=0,"",SUMPRODUCT((WEEKDAY(ROW(INDIRECT(J13&amp;":"&amp;K13)),2)&lt;=5)*1)-SUMPRODUCT(($P$2:$P$11&lt;=K13)*($P$2:$P$11&gt;=J13)*1))</f>
        <v>1</v>
      </c>
      <c r="O13" s="4"/>
      <c r="P13" s="5"/>
    </row>
    <row r="14" spans="1:18" x14ac:dyDescent="0.25">
      <c r="A14" s="18">
        <f t="shared" si="1"/>
        <v>45376</v>
      </c>
      <c r="B14" s="18">
        <f t="shared" si="3"/>
        <v>45377</v>
      </c>
      <c r="C14" s="18">
        <f t="shared" si="3"/>
        <v>45378</v>
      </c>
      <c r="D14" s="18">
        <f t="shared" si="3"/>
        <v>45379</v>
      </c>
      <c r="E14" s="18">
        <f t="shared" si="3"/>
        <v>45380</v>
      </c>
      <c r="F14" s="18">
        <f t="shared" si="3"/>
        <v>45381</v>
      </c>
      <c r="G14" s="18">
        <f t="shared" si="3"/>
        <v>45382</v>
      </c>
      <c r="H14" s="11" t="str">
        <f t="shared" si="2"/>
        <v>KW13 Mar-24</v>
      </c>
      <c r="J14" s="12">
        <v>45496</v>
      </c>
      <c r="K14" s="12">
        <v>45496</v>
      </c>
      <c r="L14" cm="1">
        <f t="array" aca="1" ref="L14" ca="1">IF(J14=0,"",SUMPRODUCT((WEEKDAY(ROW(INDIRECT(J14&amp;":"&amp;K14)),2)&lt;=5)*1)-SUMPRODUCT(($P$2:$P$11&lt;=K14)*($P$2:$P$11&gt;=J14)*1))</f>
        <v>1</v>
      </c>
      <c r="O14" s="4"/>
      <c r="P14" s="5"/>
    </row>
    <row r="15" spans="1:18" x14ac:dyDescent="0.25">
      <c r="A15" s="18">
        <f t="shared" si="1"/>
        <v>45383</v>
      </c>
      <c r="B15" s="18">
        <f t="shared" si="3"/>
        <v>45384</v>
      </c>
      <c r="C15" s="18">
        <f t="shared" si="3"/>
        <v>45385</v>
      </c>
      <c r="D15" s="18">
        <f t="shared" si="3"/>
        <v>45386</v>
      </c>
      <c r="E15" s="18">
        <f t="shared" si="3"/>
        <v>45387</v>
      </c>
      <c r="F15" s="18">
        <f t="shared" si="3"/>
        <v>45388</v>
      </c>
      <c r="G15" s="18">
        <f t="shared" si="3"/>
        <v>45389</v>
      </c>
      <c r="H15" s="11" t="str">
        <f t="shared" si="2"/>
        <v>KW14 Apr-24</v>
      </c>
      <c r="J15" s="12">
        <v>45518</v>
      </c>
      <c r="K15" s="12">
        <v>45518</v>
      </c>
      <c r="L15" cm="1">
        <f t="array" aca="1" ref="L15" ca="1">IF(J15=0,"",SUMPRODUCT((WEEKDAY(ROW(INDIRECT(J15&amp;":"&amp;K15)),2)&lt;=5)*1)-SUMPRODUCT(($P$2:$P$11&lt;=K15)*($P$2:$P$11&gt;=J15)*1))</f>
        <v>1</v>
      </c>
      <c r="O15" s="4"/>
      <c r="P15" s="5"/>
    </row>
    <row r="16" spans="1:18" x14ac:dyDescent="0.25">
      <c r="A16" s="18">
        <f t="shared" si="1"/>
        <v>45390</v>
      </c>
      <c r="B16" s="18">
        <f t="shared" si="3"/>
        <v>45391</v>
      </c>
      <c r="C16" s="18">
        <f t="shared" si="3"/>
        <v>45392</v>
      </c>
      <c r="D16" s="18">
        <f t="shared" si="3"/>
        <v>45393</v>
      </c>
      <c r="E16" s="18">
        <f t="shared" si="3"/>
        <v>45394</v>
      </c>
      <c r="F16" s="18">
        <f t="shared" si="3"/>
        <v>45395</v>
      </c>
      <c r="G16" s="18">
        <f t="shared" si="3"/>
        <v>45396</v>
      </c>
      <c r="H16" s="11" t="str">
        <f t="shared" si="2"/>
        <v>KW15 Apr-24</v>
      </c>
      <c r="J16" s="12">
        <v>45524</v>
      </c>
      <c r="K16" s="12">
        <v>45524</v>
      </c>
      <c r="L16" cm="1">
        <f t="array" aca="1" ref="L16" ca="1">IF(J16=0,"",SUMPRODUCT((WEEKDAY(ROW(INDIRECT(J16&amp;":"&amp;K16)),2)&lt;=5)*1)-SUMPRODUCT(($P$2:$P$11&lt;=K16)*($P$2:$P$11&gt;=J16)*1))</f>
        <v>1</v>
      </c>
      <c r="P16" s="5"/>
    </row>
    <row r="17" spans="1:16" x14ac:dyDescent="0.25">
      <c r="A17" s="18">
        <f t="shared" si="1"/>
        <v>45397</v>
      </c>
      <c r="B17" s="18">
        <f t="shared" si="3"/>
        <v>45398</v>
      </c>
      <c r="C17" s="18">
        <f t="shared" si="3"/>
        <v>45399</v>
      </c>
      <c r="D17" s="18">
        <f t="shared" si="3"/>
        <v>45400</v>
      </c>
      <c r="E17" s="18">
        <f t="shared" si="3"/>
        <v>45401</v>
      </c>
      <c r="F17" s="18">
        <f t="shared" si="3"/>
        <v>45402</v>
      </c>
      <c r="G17" s="18">
        <f t="shared" si="3"/>
        <v>45403</v>
      </c>
      <c r="H17" s="11" t="str">
        <f t="shared" si="2"/>
        <v>KW16 Apr-24</v>
      </c>
      <c r="J17" s="12">
        <v>45558</v>
      </c>
      <c r="K17" s="12">
        <v>45558</v>
      </c>
      <c r="L17" cm="1">
        <f t="array" aca="1" ref="L17" ca="1">IF(J17=0,"",SUMPRODUCT((WEEKDAY(ROW(INDIRECT(J17&amp;":"&amp;K17)),2)&lt;=5)*1)-SUMPRODUCT(($P$2:$P$11&lt;=K17)*($P$2:$P$11&gt;=J17)*1))</f>
        <v>1</v>
      </c>
      <c r="O17" s="4"/>
      <c r="P17" s="4"/>
    </row>
    <row r="18" spans="1:16" x14ac:dyDescent="0.25">
      <c r="A18" s="18">
        <f t="shared" si="1"/>
        <v>45404</v>
      </c>
      <c r="B18" s="18">
        <f t="shared" si="3"/>
        <v>45405</v>
      </c>
      <c r="C18" s="18">
        <f t="shared" si="3"/>
        <v>45406</v>
      </c>
      <c r="D18" s="18">
        <f t="shared" si="3"/>
        <v>45407</v>
      </c>
      <c r="E18" s="18">
        <f t="shared" si="3"/>
        <v>45408</v>
      </c>
      <c r="F18" s="18">
        <f t="shared" si="3"/>
        <v>45409</v>
      </c>
      <c r="G18" s="18">
        <f t="shared" si="3"/>
        <v>45410</v>
      </c>
      <c r="H18" s="11" t="str">
        <f t="shared" si="2"/>
        <v>KW17 Apr-24</v>
      </c>
      <c r="J18" s="12">
        <v>45586</v>
      </c>
      <c r="K18" s="12">
        <v>45586</v>
      </c>
      <c r="L18" cm="1">
        <f t="array" aca="1" ref="L18" ca="1">IF(J18=0,"",SUMPRODUCT((WEEKDAY(ROW(INDIRECT(J18&amp;":"&amp;K18)),2)&lt;=5)*1)-SUMPRODUCT(($P$2:$P$11&lt;=K18)*($P$2:$P$11&gt;=J18)*1))</f>
        <v>1</v>
      </c>
      <c r="O18" s="4"/>
      <c r="P18" s="5"/>
    </row>
    <row r="19" spans="1:16" x14ac:dyDescent="0.25">
      <c r="A19" s="18">
        <f t="shared" si="1"/>
        <v>45411</v>
      </c>
      <c r="B19" s="18">
        <f t="shared" si="3"/>
        <v>45412</v>
      </c>
      <c r="C19" s="18">
        <f t="shared" si="3"/>
        <v>45413</v>
      </c>
      <c r="D19" s="18">
        <f t="shared" si="3"/>
        <v>45414</v>
      </c>
      <c r="E19" s="18">
        <f t="shared" si="3"/>
        <v>45415</v>
      </c>
      <c r="F19" s="18">
        <f t="shared" si="3"/>
        <v>45416</v>
      </c>
      <c r="G19" s="18">
        <f t="shared" si="3"/>
        <v>45417</v>
      </c>
      <c r="H19" s="11" t="str">
        <f t="shared" si="2"/>
        <v>KW18 Apr-24</v>
      </c>
      <c r="J19" s="12">
        <v>45600</v>
      </c>
      <c r="K19" s="12">
        <v>45600</v>
      </c>
      <c r="L19" cm="1">
        <f t="array" aca="1" ref="L19" ca="1">IF(J19=0,"",SUMPRODUCT((WEEKDAY(ROW(INDIRECT(J19&amp;":"&amp;K19)),2)&lt;=5)*1)-SUMPRODUCT(($P$2:$P$11&lt;=K19)*($P$2:$P$11&gt;=J19)*1))</f>
        <v>1</v>
      </c>
      <c r="O19" s="4"/>
      <c r="P19" s="5"/>
    </row>
    <row r="20" spans="1:16" x14ac:dyDescent="0.25">
      <c r="A20" s="18">
        <f t="shared" si="1"/>
        <v>45418</v>
      </c>
      <c r="B20" s="18">
        <f t="shared" ref="B20:G53" si="4">A20+1</f>
        <v>45419</v>
      </c>
      <c r="C20" s="18">
        <f t="shared" si="4"/>
        <v>45420</v>
      </c>
      <c r="D20" s="18">
        <f t="shared" si="4"/>
        <v>45421</v>
      </c>
      <c r="E20" s="18">
        <f t="shared" si="4"/>
        <v>45422</v>
      </c>
      <c r="F20" s="18">
        <f t="shared" si="4"/>
        <v>45423</v>
      </c>
      <c r="G20" s="18">
        <f t="shared" si="4"/>
        <v>45424</v>
      </c>
      <c r="H20" s="11" t="str">
        <f t="shared" si="2"/>
        <v>KW19 May-24</v>
      </c>
      <c r="J20" s="12">
        <v>45614</v>
      </c>
      <c r="K20" s="12">
        <v>45614</v>
      </c>
      <c r="L20" cm="1">
        <f t="array" aca="1" ref="L20" ca="1">IF(J20=0,"",SUMPRODUCT((WEEKDAY(ROW(INDIRECT(J20&amp;":"&amp;K20)),2)&lt;=5)*1)-SUMPRODUCT(($P$2:$P$11&lt;=K20)*($P$2:$P$11&gt;=J20)*1))</f>
        <v>1</v>
      </c>
      <c r="O20" s="4"/>
      <c r="P20" s="5"/>
    </row>
    <row r="21" spans="1:16" x14ac:dyDescent="0.25">
      <c r="A21" s="18">
        <f t="shared" si="1"/>
        <v>45425</v>
      </c>
      <c r="B21" s="18">
        <f t="shared" si="4"/>
        <v>45426</v>
      </c>
      <c r="C21" s="18">
        <f t="shared" si="4"/>
        <v>45427</v>
      </c>
      <c r="D21" s="18">
        <f t="shared" si="4"/>
        <v>45428</v>
      </c>
      <c r="E21" s="18">
        <f t="shared" si="4"/>
        <v>45429</v>
      </c>
      <c r="F21" s="18">
        <f t="shared" si="4"/>
        <v>45430</v>
      </c>
      <c r="G21" s="18">
        <f t="shared" si="4"/>
        <v>45431</v>
      </c>
      <c r="H21" s="11" t="str">
        <f t="shared" si="2"/>
        <v>KW20 May-24</v>
      </c>
      <c r="J21" s="12">
        <v>45628</v>
      </c>
      <c r="K21" s="12">
        <v>45629</v>
      </c>
      <c r="L21" cm="1">
        <f t="array" aca="1" ref="L21" ca="1">IF(J21=0,"",SUMPRODUCT((WEEKDAY(ROW(INDIRECT(J21&amp;":"&amp;K21)),2)&lt;=5)*1)-SUMPRODUCT(($P$2:$P$11&lt;=K21)*($P$2:$P$11&gt;=J21)*1))</f>
        <v>2</v>
      </c>
    </row>
    <row r="22" spans="1:16" x14ac:dyDescent="0.25">
      <c r="A22" s="19">
        <f t="shared" si="1"/>
        <v>45432</v>
      </c>
      <c r="B22" s="19">
        <f t="shared" si="4"/>
        <v>45433</v>
      </c>
      <c r="C22" s="19">
        <f t="shared" si="4"/>
        <v>45434</v>
      </c>
      <c r="D22" s="19">
        <f t="shared" si="4"/>
        <v>45435</v>
      </c>
      <c r="E22" s="19">
        <f t="shared" si="4"/>
        <v>45436</v>
      </c>
      <c r="F22" s="19">
        <f t="shared" si="4"/>
        <v>45437</v>
      </c>
      <c r="G22" s="18">
        <f t="shared" si="4"/>
        <v>45438</v>
      </c>
      <c r="H22" s="11" t="str">
        <f t="shared" si="2"/>
        <v>KW21 May-24</v>
      </c>
      <c r="J22" s="12">
        <v>45635</v>
      </c>
      <c r="K22" s="12">
        <v>45635</v>
      </c>
      <c r="L22" cm="1">
        <f t="array" aca="1" ref="L22" ca="1">IF(J22=0,"",SUMPRODUCT((WEEKDAY(ROW(INDIRECT(J22&amp;":"&amp;K22)),2)&lt;=5)*1)-SUMPRODUCT(($P$2:$P$11&lt;=K22)*($P$2:$P$11&gt;=J22)*1))</f>
        <v>1</v>
      </c>
    </row>
    <row r="23" spans="1:16" x14ac:dyDescent="0.25">
      <c r="A23" s="19">
        <f t="shared" si="1"/>
        <v>45439</v>
      </c>
      <c r="B23" s="19">
        <f t="shared" si="4"/>
        <v>45440</v>
      </c>
      <c r="C23" s="19">
        <f t="shared" si="4"/>
        <v>45441</v>
      </c>
      <c r="D23" s="19">
        <f t="shared" si="4"/>
        <v>45442</v>
      </c>
      <c r="E23" s="19">
        <f t="shared" si="4"/>
        <v>45443</v>
      </c>
      <c r="F23" s="19">
        <f t="shared" si="4"/>
        <v>45444</v>
      </c>
      <c r="G23" s="18">
        <f t="shared" si="4"/>
        <v>45445</v>
      </c>
      <c r="H23" s="11" t="str">
        <f t="shared" si="2"/>
        <v>KW22 May-24</v>
      </c>
      <c r="J23" s="12">
        <v>45642</v>
      </c>
      <c r="K23" s="12">
        <v>45643</v>
      </c>
      <c r="L23" cm="1">
        <f t="array" aca="1" ref="L23" ca="1">IF(J23=0,"",SUMPRODUCT((WEEKDAY(ROW(INDIRECT(J23&amp;":"&amp;K23)),2)&lt;=5)*1)-SUMPRODUCT(($P$2:$P$11&lt;=K23)*($P$2:$P$11&gt;=J23)*1))</f>
        <v>2</v>
      </c>
    </row>
    <row r="24" spans="1:16" x14ac:dyDescent="0.25">
      <c r="A24" s="19">
        <f t="shared" si="1"/>
        <v>45446</v>
      </c>
      <c r="B24" s="19">
        <f t="shared" si="4"/>
        <v>45447</v>
      </c>
      <c r="C24" s="19">
        <f t="shared" si="4"/>
        <v>45448</v>
      </c>
      <c r="D24" s="19">
        <f t="shared" si="4"/>
        <v>45449</v>
      </c>
      <c r="E24" s="19">
        <f t="shared" si="4"/>
        <v>45450</v>
      </c>
      <c r="F24" s="19">
        <f t="shared" si="4"/>
        <v>45451</v>
      </c>
      <c r="G24" s="18">
        <f t="shared" si="4"/>
        <v>45452</v>
      </c>
      <c r="H24" s="11" t="str">
        <f t="shared" si="2"/>
        <v>KW23 Jun-24</v>
      </c>
      <c r="J24" s="12">
        <v>45645</v>
      </c>
      <c r="K24" s="12">
        <v>45646</v>
      </c>
      <c r="L24" cm="1">
        <f t="array" aca="1" ref="L24" ca="1">IF(J24=0,"",SUMPRODUCT((WEEKDAY(ROW(INDIRECT(J24&amp;":"&amp;K24)),2)&lt;=5)*1)-SUMPRODUCT(($P$2:$P$11&lt;=K24)*($P$2:$P$11&gt;=J24)*1))</f>
        <v>2</v>
      </c>
    </row>
    <row r="25" spans="1:16" x14ac:dyDescent="0.25">
      <c r="A25" s="19">
        <f t="shared" si="1"/>
        <v>45453</v>
      </c>
      <c r="B25" s="19">
        <f t="shared" si="4"/>
        <v>45454</v>
      </c>
      <c r="C25" s="19">
        <f t="shared" si="4"/>
        <v>45455</v>
      </c>
      <c r="D25" s="19">
        <f t="shared" si="4"/>
        <v>45456</v>
      </c>
      <c r="E25" s="19">
        <f t="shared" si="4"/>
        <v>45457</v>
      </c>
      <c r="F25" s="19">
        <f t="shared" si="4"/>
        <v>45458</v>
      </c>
      <c r="G25" s="18">
        <f t="shared" si="4"/>
        <v>45459</v>
      </c>
      <c r="H25" s="11" t="str">
        <f t="shared" si="2"/>
        <v>KW24 Jun-24</v>
      </c>
      <c r="J25" s="12">
        <v>45649</v>
      </c>
      <c r="K25" s="12">
        <v>45649</v>
      </c>
      <c r="L25" cm="1">
        <f t="array" aca="1" ref="L25" ca="1">IF(J25=0,"",SUMPRODUCT((WEEKDAY(ROW(INDIRECT(J25&amp;":"&amp;K25)),2)&lt;=5)*1)-SUMPRODUCT(($P$2:$P$11&lt;=K25)*($P$2:$P$11&gt;=J25)*1))</f>
        <v>1</v>
      </c>
    </row>
    <row r="26" spans="1:16" x14ac:dyDescent="0.25">
      <c r="A26" s="19">
        <f t="shared" si="1"/>
        <v>45460</v>
      </c>
      <c r="B26" s="19">
        <f t="shared" si="4"/>
        <v>45461</v>
      </c>
      <c r="C26" s="19">
        <f t="shared" si="4"/>
        <v>45462</v>
      </c>
      <c r="D26" s="19">
        <f t="shared" si="4"/>
        <v>45463</v>
      </c>
      <c r="E26" s="19">
        <f t="shared" si="4"/>
        <v>45464</v>
      </c>
      <c r="F26" s="19">
        <f t="shared" si="4"/>
        <v>45465</v>
      </c>
      <c r="G26" s="18">
        <f t="shared" si="4"/>
        <v>45466</v>
      </c>
      <c r="H26" s="11" t="str">
        <f t="shared" si="2"/>
        <v>KW25 Jun-24</v>
      </c>
      <c r="J26" s="12">
        <v>45652</v>
      </c>
      <c r="K26" s="12">
        <v>45653</v>
      </c>
      <c r="L26" cm="1">
        <f t="array" aca="1" ref="L26" ca="1">IF(J26=0,"",SUMPRODUCT((WEEKDAY(ROW(INDIRECT(J26&amp;":"&amp;K26)),2)&lt;=5)*1)-SUMPRODUCT(($P$2:$P$11&lt;=K26)*($P$2:$P$11&gt;=J26)*1))</f>
        <v>2</v>
      </c>
    </row>
    <row r="27" spans="1:16" x14ac:dyDescent="0.25">
      <c r="A27" s="19">
        <f t="shared" si="1"/>
        <v>45467</v>
      </c>
      <c r="B27" s="19">
        <f t="shared" si="4"/>
        <v>45468</v>
      </c>
      <c r="C27" s="19">
        <f t="shared" si="4"/>
        <v>45469</v>
      </c>
      <c r="D27" s="19">
        <f t="shared" si="4"/>
        <v>45470</v>
      </c>
      <c r="E27" s="19">
        <f t="shared" si="4"/>
        <v>45471</v>
      </c>
      <c r="F27" s="19">
        <f t="shared" si="4"/>
        <v>45472</v>
      </c>
      <c r="G27" s="18">
        <f t="shared" si="4"/>
        <v>45473</v>
      </c>
      <c r="H27" s="11" t="str">
        <f t="shared" si="2"/>
        <v>KW26 Jun-24</v>
      </c>
      <c r="J27" s="12">
        <v>45538</v>
      </c>
      <c r="K27" s="12">
        <v>45538</v>
      </c>
      <c r="L27" cm="1">
        <f t="array" aca="1" ref="L27" ca="1">IF(J27=0,"",SUMPRODUCT((WEEKDAY(ROW(INDIRECT(J27&amp;":"&amp;K27)),2)&lt;=5)*1)-SUMPRODUCT(($P$2:$P$11&lt;=K27)*($P$2:$P$11&gt;=J27)*1))</f>
        <v>1</v>
      </c>
    </row>
    <row r="28" spans="1:16" x14ac:dyDescent="0.25">
      <c r="A28" s="19">
        <f t="shared" si="1"/>
        <v>45474</v>
      </c>
      <c r="B28" s="19">
        <f t="shared" si="4"/>
        <v>45475</v>
      </c>
      <c r="C28" s="19">
        <f t="shared" si="4"/>
        <v>45476</v>
      </c>
      <c r="D28" s="19">
        <f t="shared" si="4"/>
        <v>45477</v>
      </c>
      <c r="E28" s="19">
        <f t="shared" si="4"/>
        <v>45478</v>
      </c>
      <c r="F28" s="19">
        <f t="shared" si="4"/>
        <v>45479</v>
      </c>
      <c r="G28" s="18">
        <f t="shared" si="4"/>
        <v>45480</v>
      </c>
      <c r="H28" s="11" t="str">
        <f t="shared" si="2"/>
        <v>KW27 Jul-24</v>
      </c>
      <c r="J28" s="12">
        <v>45565</v>
      </c>
      <c r="K28" s="12">
        <v>45565</v>
      </c>
      <c r="L28" cm="1">
        <f t="array" aca="1" ref="L28" ca="1">IF(J28=0,"",SUMPRODUCT((WEEKDAY(ROW(INDIRECT(J28&amp;":"&amp;K28)),2)&lt;=5)*1)-SUMPRODUCT(($P$2:$P$11&lt;=K28)*($P$2:$P$11&gt;=J28)*1))</f>
        <v>1</v>
      </c>
    </row>
    <row r="29" spans="1:16" x14ac:dyDescent="0.25">
      <c r="A29" s="19">
        <f t="shared" si="1"/>
        <v>45481</v>
      </c>
      <c r="B29" s="19">
        <f t="shared" si="4"/>
        <v>45482</v>
      </c>
      <c r="C29" s="19">
        <f t="shared" si="4"/>
        <v>45483</v>
      </c>
      <c r="D29" s="19">
        <f t="shared" si="4"/>
        <v>45484</v>
      </c>
      <c r="E29" s="19">
        <f t="shared" si="4"/>
        <v>45485</v>
      </c>
      <c r="F29" s="19">
        <f t="shared" si="4"/>
        <v>45486</v>
      </c>
      <c r="G29" s="18">
        <f t="shared" si="4"/>
        <v>45487</v>
      </c>
      <c r="H29" s="11" t="str">
        <f t="shared" si="2"/>
        <v>KW28 Jul-24</v>
      </c>
    </row>
    <row r="30" spans="1:16" x14ac:dyDescent="0.25">
      <c r="A30" s="19">
        <f t="shared" si="1"/>
        <v>45488</v>
      </c>
      <c r="B30" s="19">
        <f t="shared" si="4"/>
        <v>45489</v>
      </c>
      <c r="C30" s="19">
        <f t="shared" si="4"/>
        <v>45490</v>
      </c>
      <c r="D30" s="19">
        <f t="shared" si="4"/>
        <v>45491</v>
      </c>
      <c r="E30" s="19">
        <f t="shared" si="4"/>
        <v>45492</v>
      </c>
      <c r="F30" s="19">
        <f t="shared" si="4"/>
        <v>45493</v>
      </c>
      <c r="G30" s="18">
        <f t="shared" si="4"/>
        <v>45494</v>
      </c>
      <c r="H30" s="11" t="str">
        <f t="shared" si="2"/>
        <v>KW29 Jul-24</v>
      </c>
    </row>
    <row r="31" spans="1:16" x14ac:dyDescent="0.25">
      <c r="A31" s="19">
        <f t="shared" si="1"/>
        <v>45495</v>
      </c>
      <c r="B31" s="19">
        <f t="shared" si="4"/>
        <v>45496</v>
      </c>
      <c r="C31" s="19">
        <f t="shared" si="4"/>
        <v>45497</v>
      </c>
      <c r="D31" s="19">
        <f t="shared" si="4"/>
        <v>45498</v>
      </c>
      <c r="E31" s="19">
        <f t="shared" si="4"/>
        <v>45499</v>
      </c>
      <c r="F31" s="19">
        <f t="shared" si="4"/>
        <v>45500</v>
      </c>
      <c r="G31" s="18">
        <f t="shared" si="4"/>
        <v>45501</v>
      </c>
      <c r="H31" s="11" t="str">
        <f t="shared" si="2"/>
        <v>KW30 Jul-24</v>
      </c>
    </row>
    <row r="32" spans="1:16" x14ac:dyDescent="0.25">
      <c r="A32" s="19">
        <f t="shared" si="1"/>
        <v>45502</v>
      </c>
      <c r="B32" s="19">
        <f t="shared" si="4"/>
        <v>45503</v>
      </c>
      <c r="C32" s="19">
        <f t="shared" si="4"/>
        <v>45504</v>
      </c>
      <c r="D32" s="19">
        <f t="shared" si="4"/>
        <v>45505</v>
      </c>
      <c r="E32" s="19">
        <f t="shared" si="4"/>
        <v>45506</v>
      </c>
      <c r="F32" s="19">
        <f t="shared" si="4"/>
        <v>45507</v>
      </c>
      <c r="G32" s="18">
        <f t="shared" si="4"/>
        <v>45508</v>
      </c>
      <c r="H32" s="11" t="str">
        <f t="shared" si="2"/>
        <v>KW31 Jul-24</v>
      </c>
    </row>
    <row r="33" spans="1:8" x14ac:dyDescent="0.25">
      <c r="A33" s="19">
        <f t="shared" si="1"/>
        <v>45509</v>
      </c>
      <c r="B33" s="19">
        <f t="shared" si="4"/>
        <v>45510</v>
      </c>
      <c r="C33" s="19">
        <f t="shared" si="4"/>
        <v>45511</v>
      </c>
      <c r="D33" s="19">
        <f t="shared" si="4"/>
        <v>45512</v>
      </c>
      <c r="E33" s="19">
        <f t="shared" si="4"/>
        <v>45513</v>
      </c>
      <c r="F33" s="19">
        <f t="shared" si="4"/>
        <v>45514</v>
      </c>
      <c r="G33" s="18">
        <f t="shared" si="4"/>
        <v>45515</v>
      </c>
      <c r="H33" s="11" t="str">
        <f t="shared" si="2"/>
        <v>KW32 Aug-24</v>
      </c>
    </row>
    <row r="34" spans="1:8" x14ac:dyDescent="0.25">
      <c r="A34" s="19">
        <f t="shared" si="1"/>
        <v>45516</v>
      </c>
      <c r="B34" s="19">
        <f t="shared" si="4"/>
        <v>45517</v>
      </c>
      <c r="C34" s="19">
        <f t="shared" si="4"/>
        <v>45518</v>
      </c>
      <c r="D34" s="19">
        <f t="shared" si="4"/>
        <v>45519</v>
      </c>
      <c r="E34" s="19">
        <f t="shared" si="4"/>
        <v>45520</v>
      </c>
      <c r="F34" s="19">
        <f t="shared" si="4"/>
        <v>45521</v>
      </c>
      <c r="G34" s="18">
        <f t="shared" si="4"/>
        <v>45522</v>
      </c>
      <c r="H34" s="11" t="str">
        <f t="shared" si="2"/>
        <v>KW33 Aug-24</v>
      </c>
    </row>
    <row r="35" spans="1:8" x14ac:dyDescent="0.25">
      <c r="A35" s="19">
        <f t="shared" si="1"/>
        <v>45523</v>
      </c>
      <c r="B35" s="19">
        <f t="shared" si="4"/>
        <v>45524</v>
      </c>
      <c r="C35" s="19">
        <f t="shared" si="4"/>
        <v>45525</v>
      </c>
      <c r="D35" s="19">
        <f t="shared" si="4"/>
        <v>45526</v>
      </c>
      <c r="E35" s="19">
        <f t="shared" si="4"/>
        <v>45527</v>
      </c>
      <c r="F35" s="19">
        <f t="shared" si="4"/>
        <v>45528</v>
      </c>
      <c r="G35" s="18">
        <f t="shared" si="4"/>
        <v>45529</v>
      </c>
      <c r="H35" s="11" t="str">
        <f t="shared" si="2"/>
        <v>KW34 Aug-24</v>
      </c>
    </row>
    <row r="36" spans="1:8" x14ac:dyDescent="0.25">
      <c r="A36" s="19">
        <f t="shared" si="1"/>
        <v>45530</v>
      </c>
      <c r="B36" s="19">
        <f t="shared" si="4"/>
        <v>45531</v>
      </c>
      <c r="C36" s="19">
        <f t="shared" si="4"/>
        <v>45532</v>
      </c>
      <c r="D36" s="19">
        <f t="shared" si="4"/>
        <v>45533</v>
      </c>
      <c r="E36" s="19">
        <f t="shared" si="4"/>
        <v>45534</v>
      </c>
      <c r="F36" s="19">
        <f t="shared" si="4"/>
        <v>45535</v>
      </c>
      <c r="G36" s="18">
        <f t="shared" si="4"/>
        <v>45536</v>
      </c>
      <c r="H36" s="11" t="str">
        <f t="shared" si="2"/>
        <v>KW35 Aug-24</v>
      </c>
    </row>
    <row r="37" spans="1:8" x14ac:dyDescent="0.25">
      <c r="A37" s="19">
        <f t="shared" si="1"/>
        <v>45537</v>
      </c>
      <c r="B37" s="19">
        <f t="shared" si="4"/>
        <v>45538</v>
      </c>
      <c r="C37" s="19">
        <f t="shared" si="4"/>
        <v>45539</v>
      </c>
      <c r="D37" s="19">
        <f t="shared" si="4"/>
        <v>45540</v>
      </c>
      <c r="E37" s="19">
        <f t="shared" si="4"/>
        <v>45541</v>
      </c>
      <c r="F37" s="19">
        <f t="shared" si="4"/>
        <v>45542</v>
      </c>
      <c r="G37" s="18">
        <f t="shared" si="4"/>
        <v>45543</v>
      </c>
      <c r="H37" s="11" t="str">
        <f t="shared" si="2"/>
        <v>KW36 Sept-24</v>
      </c>
    </row>
    <row r="38" spans="1:8" x14ac:dyDescent="0.25">
      <c r="A38" s="19">
        <f t="shared" si="1"/>
        <v>45544</v>
      </c>
      <c r="B38" s="19">
        <f t="shared" si="4"/>
        <v>45545</v>
      </c>
      <c r="C38" s="19">
        <f t="shared" si="4"/>
        <v>45546</v>
      </c>
      <c r="D38" s="19">
        <f t="shared" si="4"/>
        <v>45547</v>
      </c>
      <c r="E38" s="19">
        <f t="shared" si="4"/>
        <v>45548</v>
      </c>
      <c r="F38" s="19">
        <f t="shared" si="4"/>
        <v>45549</v>
      </c>
      <c r="G38" s="18">
        <f t="shared" si="4"/>
        <v>45550</v>
      </c>
      <c r="H38" s="11" t="str">
        <f t="shared" si="2"/>
        <v>KW37 Sept-24</v>
      </c>
    </row>
    <row r="39" spans="1:8" x14ac:dyDescent="0.25">
      <c r="A39" s="19">
        <f t="shared" si="1"/>
        <v>45551</v>
      </c>
      <c r="B39" s="19">
        <f t="shared" si="4"/>
        <v>45552</v>
      </c>
      <c r="C39" s="19">
        <f t="shared" si="4"/>
        <v>45553</v>
      </c>
      <c r="D39" s="19">
        <f t="shared" si="4"/>
        <v>45554</v>
      </c>
      <c r="E39" s="19">
        <f t="shared" si="4"/>
        <v>45555</v>
      </c>
      <c r="F39" s="19">
        <f t="shared" si="4"/>
        <v>45556</v>
      </c>
      <c r="G39" s="18">
        <f t="shared" si="4"/>
        <v>45557</v>
      </c>
      <c r="H39" s="11" t="str">
        <f t="shared" si="2"/>
        <v>KW38 Sept-24</v>
      </c>
    </row>
    <row r="40" spans="1:8" x14ac:dyDescent="0.25">
      <c r="A40" s="19">
        <f t="shared" si="1"/>
        <v>45558</v>
      </c>
      <c r="B40" s="19">
        <f t="shared" si="4"/>
        <v>45559</v>
      </c>
      <c r="C40" s="19">
        <f t="shared" si="4"/>
        <v>45560</v>
      </c>
      <c r="D40" s="19">
        <f t="shared" si="4"/>
        <v>45561</v>
      </c>
      <c r="E40" s="19">
        <f t="shared" si="4"/>
        <v>45562</v>
      </c>
      <c r="F40" s="19">
        <f t="shared" si="4"/>
        <v>45563</v>
      </c>
      <c r="G40" s="18">
        <f t="shared" si="4"/>
        <v>45564</v>
      </c>
      <c r="H40" s="11" t="str">
        <f t="shared" si="2"/>
        <v>KW39 Sept-24</v>
      </c>
    </row>
    <row r="41" spans="1:8" x14ac:dyDescent="0.25">
      <c r="A41" s="19">
        <f t="shared" si="1"/>
        <v>45565</v>
      </c>
      <c r="B41" s="19">
        <f t="shared" si="4"/>
        <v>45566</v>
      </c>
      <c r="C41" s="19">
        <f t="shared" si="4"/>
        <v>45567</v>
      </c>
      <c r="D41" s="19">
        <f t="shared" si="4"/>
        <v>45568</v>
      </c>
      <c r="E41" s="19">
        <f t="shared" si="4"/>
        <v>45569</v>
      </c>
      <c r="F41" s="19">
        <f t="shared" si="4"/>
        <v>45570</v>
      </c>
      <c r="G41" s="18">
        <f t="shared" si="4"/>
        <v>45571</v>
      </c>
      <c r="H41" s="11" t="str">
        <f t="shared" si="2"/>
        <v>KW40 Sept-24</v>
      </c>
    </row>
    <row r="42" spans="1:8" x14ac:dyDescent="0.25">
      <c r="A42" s="19">
        <f t="shared" si="1"/>
        <v>45572</v>
      </c>
      <c r="B42" s="19">
        <f t="shared" si="4"/>
        <v>45573</v>
      </c>
      <c r="C42" s="19">
        <f t="shared" si="4"/>
        <v>45574</v>
      </c>
      <c r="D42" s="19">
        <f t="shared" si="4"/>
        <v>45575</v>
      </c>
      <c r="E42" s="19">
        <f t="shared" si="4"/>
        <v>45576</v>
      </c>
      <c r="F42" s="19">
        <f t="shared" si="4"/>
        <v>45577</v>
      </c>
      <c r="G42" s="18">
        <f t="shared" si="4"/>
        <v>45578</v>
      </c>
      <c r="H42" s="11" t="str">
        <f t="shared" si="2"/>
        <v>KW41 Oct-24</v>
      </c>
    </row>
    <row r="43" spans="1:8" x14ac:dyDescent="0.25">
      <c r="A43" s="19">
        <f t="shared" si="1"/>
        <v>45579</v>
      </c>
      <c r="B43" s="19">
        <f t="shared" si="4"/>
        <v>45580</v>
      </c>
      <c r="C43" s="19">
        <f t="shared" si="4"/>
        <v>45581</v>
      </c>
      <c r="D43" s="19">
        <f t="shared" si="4"/>
        <v>45582</v>
      </c>
      <c r="E43" s="19">
        <f t="shared" si="4"/>
        <v>45583</v>
      </c>
      <c r="F43" s="19">
        <f t="shared" si="4"/>
        <v>45584</v>
      </c>
      <c r="G43" s="18">
        <f t="shared" si="4"/>
        <v>45585</v>
      </c>
      <c r="H43" s="11" t="str">
        <f t="shared" si="2"/>
        <v>KW42 Oct-24</v>
      </c>
    </row>
    <row r="44" spans="1:8" x14ac:dyDescent="0.25">
      <c r="A44" s="19">
        <f t="shared" si="1"/>
        <v>45586</v>
      </c>
      <c r="B44" s="19">
        <f t="shared" si="4"/>
        <v>45587</v>
      </c>
      <c r="C44" s="19">
        <f t="shared" si="4"/>
        <v>45588</v>
      </c>
      <c r="D44" s="19">
        <f t="shared" si="4"/>
        <v>45589</v>
      </c>
      <c r="E44" s="19">
        <f t="shared" si="4"/>
        <v>45590</v>
      </c>
      <c r="F44" s="19">
        <f t="shared" si="4"/>
        <v>45591</v>
      </c>
      <c r="G44" s="18">
        <f t="shared" si="4"/>
        <v>45592</v>
      </c>
      <c r="H44" s="11" t="str">
        <f t="shared" si="2"/>
        <v>KW43 Oct-24</v>
      </c>
    </row>
    <row r="45" spans="1:8" x14ac:dyDescent="0.25">
      <c r="A45" s="18">
        <f t="shared" si="1"/>
        <v>45593</v>
      </c>
      <c r="B45" s="18">
        <f t="shared" si="4"/>
        <v>45594</v>
      </c>
      <c r="C45" s="18">
        <f t="shared" si="4"/>
        <v>45595</v>
      </c>
      <c r="D45" s="18">
        <f t="shared" si="4"/>
        <v>45596</v>
      </c>
      <c r="E45" s="18">
        <f t="shared" si="4"/>
        <v>45597</v>
      </c>
      <c r="F45" s="18">
        <f t="shared" si="4"/>
        <v>45598</v>
      </c>
      <c r="G45" s="18">
        <f t="shared" si="4"/>
        <v>45599</v>
      </c>
      <c r="H45" s="11" t="str">
        <f t="shared" si="2"/>
        <v>KW44 Oct-24</v>
      </c>
    </row>
    <row r="46" spans="1:8" x14ac:dyDescent="0.25">
      <c r="A46" s="18">
        <f t="shared" si="1"/>
        <v>45600</v>
      </c>
      <c r="B46" s="18">
        <f t="shared" si="4"/>
        <v>45601</v>
      </c>
      <c r="C46" s="18">
        <f t="shared" si="4"/>
        <v>45602</v>
      </c>
      <c r="D46" s="18">
        <f t="shared" si="4"/>
        <v>45603</v>
      </c>
      <c r="E46" s="18">
        <f t="shared" si="4"/>
        <v>45604</v>
      </c>
      <c r="F46" s="18">
        <f t="shared" si="4"/>
        <v>45605</v>
      </c>
      <c r="G46" s="18">
        <f t="shared" si="4"/>
        <v>45606</v>
      </c>
      <c r="H46" s="11" t="str">
        <f t="shared" si="2"/>
        <v>KW45 Nov-24</v>
      </c>
    </row>
    <row r="47" spans="1:8" x14ac:dyDescent="0.25">
      <c r="A47" s="18">
        <f t="shared" si="1"/>
        <v>45607</v>
      </c>
      <c r="B47" s="18">
        <f t="shared" si="4"/>
        <v>45608</v>
      </c>
      <c r="C47" s="18">
        <f t="shared" si="4"/>
        <v>45609</v>
      </c>
      <c r="D47" s="18">
        <f t="shared" si="4"/>
        <v>45610</v>
      </c>
      <c r="E47" s="18">
        <f t="shared" si="4"/>
        <v>45611</v>
      </c>
      <c r="F47" s="18">
        <f t="shared" si="4"/>
        <v>45612</v>
      </c>
      <c r="G47" s="18">
        <f t="shared" si="4"/>
        <v>45613</v>
      </c>
      <c r="H47" s="11" t="str">
        <f t="shared" si="2"/>
        <v>KW46 Nov-24</v>
      </c>
    </row>
    <row r="48" spans="1:8" x14ac:dyDescent="0.25">
      <c r="A48" s="18">
        <f t="shared" si="1"/>
        <v>45614</v>
      </c>
      <c r="B48" s="18">
        <f t="shared" si="4"/>
        <v>45615</v>
      </c>
      <c r="C48" s="18">
        <f t="shared" si="4"/>
        <v>45616</v>
      </c>
      <c r="D48" s="18">
        <f t="shared" si="4"/>
        <v>45617</v>
      </c>
      <c r="E48" s="18">
        <f t="shared" si="4"/>
        <v>45618</v>
      </c>
      <c r="F48" s="18">
        <f t="shared" si="4"/>
        <v>45619</v>
      </c>
      <c r="G48" s="18">
        <f t="shared" si="4"/>
        <v>45620</v>
      </c>
      <c r="H48" s="11" t="str">
        <f t="shared" si="2"/>
        <v>KW47 Nov-24</v>
      </c>
    </row>
    <row r="49" spans="1:8" x14ac:dyDescent="0.25">
      <c r="A49" s="18">
        <f t="shared" si="1"/>
        <v>45621</v>
      </c>
      <c r="B49" s="18">
        <f t="shared" si="4"/>
        <v>45622</v>
      </c>
      <c r="C49" s="18">
        <f t="shared" si="4"/>
        <v>45623</v>
      </c>
      <c r="D49" s="18">
        <f t="shared" si="4"/>
        <v>45624</v>
      </c>
      <c r="E49" s="18">
        <f t="shared" si="4"/>
        <v>45625</v>
      </c>
      <c r="F49" s="18">
        <f t="shared" si="4"/>
        <v>45626</v>
      </c>
      <c r="G49" s="18">
        <f t="shared" si="4"/>
        <v>45627</v>
      </c>
      <c r="H49" s="11" t="str">
        <f t="shared" si="2"/>
        <v>KW48 Nov-24</v>
      </c>
    </row>
    <row r="50" spans="1:8" x14ac:dyDescent="0.25">
      <c r="A50" s="18">
        <f t="shared" si="1"/>
        <v>45628</v>
      </c>
      <c r="B50" s="18">
        <f t="shared" si="4"/>
        <v>45629</v>
      </c>
      <c r="C50" s="18">
        <f t="shared" si="4"/>
        <v>45630</v>
      </c>
      <c r="D50" s="18">
        <f t="shared" si="4"/>
        <v>45631</v>
      </c>
      <c r="E50" s="18">
        <f t="shared" si="4"/>
        <v>45632</v>
      </c>
      <c r="F50" s="18">
        <f t="shared" si="4"/>
        <v>45633</v>
      </c>
      <c r="G50" s="18">
        <f t="shared" si="4"/>
        <v>45634</v>
      </c>
      <c r="H50" s="11" t="str">
        <f t="shared" si="2"/>
        <v>KW49 Dec-24</v>
      </c>
    </row>
    <row r="51" spans="1:8" x14ac:dyDescent="0.25">
      <c r="A51" s="18">
        <f t="shared" si="1"/>
        <v>45635</v>
      </c>
      <c r="B51" s="18">
        <f t="shared" si="4"/>
        <v>45636</v>
      </c>
      <c r="C51" s="18">
        <f t="shared" si="4"/>
        <v>45637</v>
      </c>
      <c r="D51" s="18">
        <f t="shared" si="4"/>
        <v>45638</v>
      </c>
      <c r="E51" s="18">
        <f t="shared" si="4"/>
        <v>45639</v>
      </c>
      <c r="F51" s="18">
        <f t="shared" si="4"/>
        <v>45640</v>
      </c>
      <c r="G51" s="18">
        <f t="shared" si="4"/>
        <v>45641</v>
      </c>
      <c r="H51" s="11" t="str">
        <f t="shared" si="2"/>
        <v>KW50 Dec-24</v>
      </c>
    </row>
    <row r="52" spans="1:8" x14ac:dyDescent="0.25">
      <c r="A52" s="18">
        <f t="shared" si="1"/>
        <v>45642</v>
      </c>
      <c r="B52" s="18">
        <f t="shared" si="4"/>
        <v>45643</v>
      </c>
      <c r="C52" s="18">
        <f t="shared" si="4"/>
        <v>45644</v>
      </c>
      <c r="D52" s="18">
        <f t="shared" si="4"/>
        <v>45645</v>
      </c>
      <c r="E52" s="18">
        <f t="shared" si="4"/>
        <v>45646</v>
      </c>
      <c r="F52" s="18">
        <f t="shared" si="4"/>
        <v>45647</v>
      </c>
      <c r="G52" s="18">
        <f t="shared" si="4"/>
        <v>45648</v>
      </c>
      <c r="H52" s="11" t="str">
        <f t="shared" si="2"/>
        <v>KW51 Dec-24</v>
      </c>
    </row>
    <row r="53" spans="1:8" x14ac:dyDescent="0.25">
      <c r="A53" s="18">
        <f t="shared" si="1"/>
        <v>45649</v>
      </c>
      <c r="B53" s="18">
        <f t="shared" si="4"/>
        <v>45650</v>
      </c>
      <c r="C53" s="18">
        <f t="shared" si="4"/>
        <v>45651</v>
      </c>
      <c r="D53" s="18">
        <f t="shared" si="4"/>
        <v>45652</v>
      </c>
      <c r="E53" s="18">
        <f t="shared" si="4"/>
        <v>45653</v>
      </c>
      <c r="F53" s="18">
        <f t="shared" si="4"/>
        <v>45654</v>
      </c>
      <c r="G53" s="18">
        <f t="shared" si="4"/>
        <v>45655</v>
      </c>
      <c r="H53" s="11" t="str">
        <f t="shared" si="2"/>
        <v>KW52 Dec-24</v>
      </c>
    </row>
    <row r="54" spans="1:8" x14ac:dyDescent="0.25">
      <c r="A54" s="18"/>
      <c r="B54" s="18"/>
      <c r="C54" s="18"/>
      <c r="D54" s="18"/>
      <c r="E54" s="18"/>
      <c r="F54" s="18"/>
      <c r="G54" s="18"/>
    </row>
    <row r="55" spans="1:8" x14ac:dyDescent="0.25">
      <c r="A55" s="18"/>
      <c r="B55" s="18"/>
      <c r="C55" s="18"/>
      <c r="D55" s="18"/>
      <c r="E55" s="18"/>
      <c r="F55" s="18"/>
      <c r="G55" s="18"/>
    </row>
    <row r="56" spans="1:8" x14ac:dyDescent="0.25">
      <c r="A56" s="18"/>
      <c r="B56" s="18"/>
      <c r="C56" s="18"/>
      <c r="D56" s="18"/>
      <c r="E56" s="18"/>
      <c r="F56" s="18"/>
      <c r="G56" s="18"/>
    </row>
    <row r="57" spans="1:8" x14ac:dyDescent="0.25">
      <c r="A57" s="18"/>
      <c r="B57" s="18"/>
      <c r="C57" s="18"/>
      <c r="D57" s="18"/>
      <c r="E57" s="18"/>
      <c r="F57" s="18"/>
      <c r="G57" s="18"/>
    </row>
    <row r="58" spans="1:8" x14ac:dyDescent="0.25">
      <c r="A58" s="18"/>
      <c r="B58" s="18"/>
      <c r="C58" s="18"/>
      <c r="D58" s="18"/>
      <c r="E58" s="18"/>
      <c r="F58" s="18"/>
      <c r="G58" s="18"/>
    </row>
    <row r="59" spans="1:8" x14ac:dyDescent="0.25">
      <c r="A59" s="18"/>
      <c r="B59" s="18"/>
      <c r="C59" s="18"/>
      <c r="D59" s="18"/>
      <c r="E59" s="18"/>
      <c r="F59" s="18"/>
      <c r="G59" s="18"/>
    </row>
    <row r="60" spans="1:8" x14ac:dyDescent="0.25">
      <c r="A60" s="18"/>
      <c r="B60" s="18"/>
      <c r="C60" s="18"/>
      <c r="D60" s="18"/>
      <c r="E60" s="18"/>
      <c r="F60" s="18"/>
      <c r="G60" s="18"/>
    </row>
    <row r="61" spans="1:8" x14ac:dyDescent="0.25">
      <c r="A61" s="18"/>
      <c r="B61" s="18"/>
      <c r="C61" s="18"/>
      <c r="D61" s="18"/>
      <c r="E61" s="18"/>
      <c r="F61" s="18"/>
      <c r="G61" s="18"/>
    </row>
    <row r="62" spans="1:8" x14ac:dyDescent="0.25">
      <c r="A62" s="18"/>
      <c r="B62" s="18"/>
      <c r="C62" s="18"/>
      <c r="D62" s="18"/>
      <c r="E62" s="18"/>
      <c r="F62" s="18"/>
      <c r="G62" s="18"/>
    </row>
    <row r="63" spans="1:8" x14ac:dyDescent="0.25">
      <c r="A63" s="18"/>
      <c r="B63" s="18"/>
      <c r="C63" s="18"/>
      <c r="D63" s="18"/>
      <c r="E63" s="18"/>
      <c r="F63" s="18"/>
      <c r="G63" s="18"/>
    </row>
    <row r="64" spans="1:8" x14ac:dyDescent="0.25">
      <c r="A64" s="18"/>
      <c r="B64" s="18"/>
      <c r="C64" s="18"/>
      <c r="D64" s="18"/>
      <c r="E64" s="18"/>
      <c r="F64" s="18"/>
      <c r="G64" s="18"/>
    </row>
  </sheetData>
  <conditionalFormatting sqref="A2:G54">
    <cfRule type="expression" dxfId="21" priority="17">
      <formula>AND(COUNTIF($P$2:$P$20,A2),A2&lt;&gt;0)</formula>
    </cfRule>
    <cfRule type="expression" dxfId="20" priority="18">
      <formula>WEEKDAY(A2,2)&gt;=6</formula>
    </cfRule>
    <cfRule type="cellIs" dxfId="19" priority="19" operator="equal">
      <formula>TODAY()</formula>
    </cfRule>
    <cfRule type="expression" dxfId="18" priority="20">
      <formula>COUNTIFS($J$2:$J$38,"&lt;="&amp;A2,$K$2:$K$38,"&gt;=" &amp; A2)&gt;0</formula>
    </cfRule>
    <cfRule type="expression" dxfId="17" priority="21">
      <formula>MOD(MONTH(A2),2)=0</formula>
    </cfRule>
  </conditionalFormatting>
  <conditionalFormatting sqref="H2:H53">
    <cfRule type="expression" dxfId="16" priority="3">
      <formula>AND($A2&lt;=TODAY(),$G2&gt;=TODAY())</formula>
    </cfRule>
  </conditionalFormatting>
  <conditionalFormatting sqref="L2:L38">
    <cfRule type="expression" dxfId="15" priority="1">
      <formula>SUMPRODUCT(($P$2:$P$4&lt;=K2)*($P$2:$P$4&gt;=J2)*1)&gt;0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4EB3-7DBB-4A0C-A851-D9D9205F1E88}">
  <sheetPr codeName="Sheet9"/>
  <dimension ref="A1:R64"/>
  <sheetViews>
    <sheetView showGridLines="0" workbookViewId="0"/>
  </sheetViews>
  <sheetFormatPr defaultRowHeight="15" x14ac:dyDescent="0.25"/>
  <cols>
    <col min="1" max="7" width="3.5703125" style="20" customWidth="1"/>
    <col min="8" max="8" width="11.85546875" bestFit="1" customWidth="1"/>
    <col min="9" max="9" width="5.5703125" customWidth="1"/>
    <col min="10" max="11" width="15.42578125" bestFit="1" customWidth="1"/>
    <col min="12" max="12" width="11.85546875" bestFit="1" customWidth="1"/>
    <col min="13" max="13" width="5.5703125" customWidth="1"/>
    <col min="14" max="14" width="16.5703125" bestFit="1" customWidth="1"/>
    <col min="15" max="15" width="5.5703125" customWidth="1"/>
    <col min="16" max="16" width="15.42578125" bestFit="1" customWidth="1"/>
    <col min="17" max="17" width="5.5703125" customWidth="1"/>
  </cols>
  <sheetData>
    <row r="1" spans="1:18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0" t="s">
        <v>13</v>
      </c>
      <c r="J1" s="9" t="s">
        <v>7</v>
      </c>
      <c r="K1" s="9" t="s">
        <v>23</v>
      </c>
      <c r="L1" s="9" t="s">
        <v>8</v>
      </c>
      <c r="N1" s="9" t="s">
        <v>19</v>
      </c>
      <c r="P1" s="9" t="s">
        <v>10</v>
      </c>
      <c r="R1" s="9" t="s">
        <v>14</v>
      </c>
    </row>
    <row r="2" spans="1:18" x14ac:dyDescent="0.25">
      <c r="A2" s="18">
        <f>DATE(N11,1,-2)-WEEKDAY(DATE(N11,1,3))+7</f>
        <v>45656</v>
      </c>
      <c r="B2" s="18">
        <f>A2+1</f>
        <v>45657</v>
      </c>
      <c r="C2" s="18">
        <f t="shared" ref="C2:G3" si="0">B2+1</f>
        <v>45658</v>
      </c>
      <c r="D2" s="18">
        <f t="shared" si="0"/>
        <v>45659</v>
      </c>
      <c r="E2" s="18">
        <f t="shared" si="0"/>
        <v>45660</v>
      </c>
      <c r="F2" s="18">
        <f t="shared" si="0"/>
        <v>45661</v>
      </c>
      <c r="G2" s="18">
        <f t="shared" si="0"/>
        <v>45662</v>
      </c>
      <c r="H2" s="11" t="str">
        <f>"KW"&amp;TEXT(_xlfn.ISOWEEKNUM($D2),"00") &amp;" " &amp; PROPER(TEXT(D2,"mmm-yy"))</f>
        <v>KW01 Jan-25</v>
      </c>
      <c r="J2" s="12">
        <v>45679</v>
      </c>
      <c r="K2" s="12">
        <v>45679</v>
      </c>
      <c r="L2" cm="1">
        <f t="array" aca="1" ref="L2" ca="1">IF(J2=0,"",SUMPRODUCT((WEEKDAY(ROW(INDIRECT(J2&amp;":"&amp;K2)),2)&lt;=5)*1)-SUMPRODUCT(($P$2:$P$11&lt;=K2)*($P$2:$P$11&gt;=J2)*1))</f>
        <v>1</v>
      </c>
      <c r="N2">
        <f ca="1">SUM(L2:L48)</f>
        <v>29</v>
      </c>
      <c r="O2" s="3"/>
      <c r="P2" s="14">
        <f>DATE(N11,1,1)</f>
        <v>45658</v>
      </c>
      <c r="R2" t="s">
        <v>20</v>
      </c>
    </row>
    <row r="3" spans="1:18" x14ac:dyDescent="0.25">
      <c r="A3" s="18">
        <f t="shared" ref="A3:A53" si="1">G2+1</f>
        <v>45663</v>
      </c>
      <c r="B3" s="18">
        <f>A3+1</f>
        <v>45664</v>
      </c>
      <c r="C3" s="18">
        <f t="shared" si="0"/>
        <v>45665</v>
      </c>
      <c r="D3" s="18">
        <f t="shared" si="0"/>
        <v>45666</v>
      </c>
      <c r="E3" s="18">
        <f t="shared" si="0"/>
        <v>45667</v>
      </c>
      <c r="F3" s="18">
        <f t="shared" si="0"/>
        <v>45668</v>
      </c>
      <c r="G3" s="18">
        <f t="shared" si="0"/>
        <v>45669</v>
      </c>
      <c r="H3" s="11" t="str">
        <f t="shared" ref="H3:H54" si="2">"KW"&amp;TEXT(_xlfn.ISOWEEKNUM($D3),"00") &amp;" " &amp; PROPER(TEXT(D3,"mmm-yy"))</f>
        <v>KW02 Jan-25</v>
      </c>
      <c r="J3" s="12">
        <v>45712</v>
      </c>
      <c r="K3" s="12">
        <v>45712</v>
      </c>
      <c r="L3" cm="1">
        <f t="array" aca="1" ref="L3" ca="1">IF(J3=0,"",SUMPRODUCT((WEEKDAY(ROW(INDIRECT(J3&amp;":"&amp;K3)),2)&lt;=5)*1)-SUMPRODUCT(($P$2:$P$11&lt;=K3)*($P$2:$P$11&gt;=J3)*1))</f>
        <v>1</v>
      </c>
      <c r="O3" s="4"/>
      <c r="P3" s="15">
        <f>DOLLAR(("4/"&amp;N11)/7+MOD(19*MOD(N11,19)-7,30)*14%,)*7-6+1</f>
        <v>45768</v>
      </c>
      <c r="R3" t="s">
        <v>21</v>
      </c>
    </row>
    <row r="4" spans="1:18" x14ac:dyDescent="0.25">
      <c r="A4" s="18">
        <f t="shared" si="1"/>
        <v>45670</v>
      </c>
      <c r="B4" s="18">
        <f t="shared" ref="B4:G19" si="3">A4+1</f>
        <v>45671</v>
      </c>
      <c r="C4" s="18">
        <f t="shared" si="3"/>
        <v>45672</v>
      </c>
      <c r="D4" s="18">
        <f t="shared" si="3"/>
        <v>45673</v>
      </c>
      <c r="E4" s="18">
        <f t="shared" si="3"/>
        <v>45674</v>
      </c>
      <c r="F4" s="18">
        <f t="shared" si="3"/>
        <v>45675</v>
      </c>
      <c r="G4" s="18">
        <f t="shared" si="3"/>
        <v>45676</v>
      </c>
      <c r="H4" s="11" t="str">
        <f t="shared" si="2"/>
        <v>KW03 Jan-25</v>
      </c>
      <c r="J4" s="12">
        <v>45735</v>
      </c>
      <c r="K4" s="12">
        <v>45735</v>
      </c>
      <c r="L4" cm="1">
        <f t="array" aca="1" ref="L4" ca="1">IF(J4=0,"",SUMPRODUCT((WEEKDAY(ROW(INDIRECT(J4&amp;":"&amp;K4)),2)&lt;=5)*1)-SUMPRODUCT(($P$2:$P$11&lt;=K4)*($P$2:$P$11&gt;=J4)*1))</f>
        <v>1</v>
      </c>
      <c r="N4" s="9" t="s">
        <v>11</v>
      </c>
      <c r="O4" s="4"/>
      <c r="P4" s="15">
        <f>DATE(N11,5,1)</f>
        <v>45778</v>
      </c>
      <c r="R4" t="s">
        <v>22</v>
      </c>
    </row>
    <row r="5" spans="1:18" x14ac:dyDescent="0.25">
      <c r="A5" s="18">
        <f t="shared" si="1"/>
        <v>45677</v>
      </c>
      <c r="B5" s="18">
        <f t="shared" si="3"/>
        <v>45678</v>
      </c>
      <c r="C5" s="18">
        <f t="shared" si="3"/>
        <v>45679</v>
      </c>
      <c r="D5" s="18">
        <f t="shared" si="3"/>
        <v>45680</v>
      </c>
      <c r="E5" s="18">
        <f t="shared" si="3"/>
        <v>45681</v>
      </c>
      <c r="F5" s="18">
        <f t="shared" si="3"/>
        <v>45682</v>
      </c>
      <c r="G5" s="18">
        <f t="shared" si="3"/>
        <v>45683</v>
      </c>
      <c r="H5" s="11" t="str">
        <f t="shared" si="2"/>
        <v>KW04 Jan-25</v>
      </c>
      <c r="J5" s="12">
        <v>45740</v>
      </c>
      <c r="K5" s="12">
        <v>45740</v>
      </c>
      <c r="L5" cm="1">
        <f t="array" aca="1" ref="L5" ca="1">IF(J5=0,"",SUMPRODUCT((WEEKDAY(ROW(INDIRECT(J5&amp;":"&amp;K5)),2)&lt;=5)*1)-SUMPRODUCT(($P$2:$P$11&lt;=K5)*($P$2:$P$11&gt;=J5)*1))</f>
        <v>1</v>
      </c>
      <c r="N5">
        <v>34</v>
      </c>
      <c r="O5" s="4"/>
      <c r="P5" s="15">
        <f>P3+38</f>
        <v>45806</v>
      </c>
    </row>
    <row r="6" spans="1:18" x14ac:dyDescent="0.25">
      <c r="A6" s="18">
        <f t="shared" si="1"/>
        <v>45684</v>
      </c>
      <c r="B6" s="18">
        <f t="shared" si="3"/>
        <v>45685</v>
      </c>
      <c r="C6" s="18">
        <f t="shared" si="3"/>
        <v>45686</v>
      </c>
      <c r="D6" s="18">
        <f t="shared" si="3"/>
        <v>45687</v>
      </c>
      <c r="E6" s="18">
        <f t="shared" si="3"/>
        <v>45688</v>
      </c>
      <c r="F6" s="18">
        <f t="shared" si="3"/>
        <v>45689</v>
      </c>
      <c r="G6" s="18">
        <f t="shared" si="3"/>
        <v>45690</v>
      </c>
      <c r="H6" s="11" t="str">
        <f t="shared" si="2"/>
        <v>KW05 Jan-25</v>
      </c>
      <c r="J6" s="12">
        <v>45747</v>
      </c>
      <c r="K6" s="12">
        <v>45747</v>
      </c>
      <c r="L6" cm="1">
        <f t="array" aca="1" ref="L6" ca="1">IF(J6=0,"",SUMPRODUCT((WEEKDAY(ROW(INDIRECT(J6&amp;":"&amp;K6)),2)&lt;=5)*1)-SUMPRODUCT(($P$2:$P$11&lt;=K6)*($P$2:$P$11&gt;=J6)*1))</f>
        <v>1</v>
      </c>
      <c r="O6" s="4"/>
      <c r="P6" s="15">
        <f>P3+49</f>
        <v>45817</v>
      </c>
    </row>
    <row r="7" spans="1:18" x14ac:dyDescent="0.25">
      <c r="A7" s="18">
        <f t="shared" si="1"/>
        <v>45691</v>
      </c>
      <c r="B7" s="18">
        <f t="shared" si="3"/>
        <v>45692</v>
      </c>
      <c r="C7" s="18">
        <f t="shared" si="3"/>
        <v>45693</v>
      </c>
      <c r="D7" s="18">
        <f t="shared" si="3"/>
        <v>45694</v>
      </c>
      <c r="E7" s="18">
        <f t="shared" si="3"/>
        <v>45695</v>
      </c>
      <c r="F7" s="18">
        <f t="shared" si="3"/>
        <v>45696</v>
      </c>
      <c r="G7" s="18">
        <f t="shared" si="3"/>
        <v>45697</v>
      </c>
      <c r="H7" s="11" t="str">
        <f t="shared" si="2"/>
        <v>KW06 Feb-25</v>
      </c>
      <c r="J7" s="12">
        <v>45770</v>
      </c>
      <c r="K7" s="12">
        <v>45770</v>
      </c>
      <c r="L7">
        <v>0.5</v>
      </c>
      <c r="N7" s="9" t="s">
        <v>12</v>
      </c>
      <c r="O7" s="4"/>
      <c r="P7" s="15">
        <f>DATE(N11,7,21)</f>
        <v>45859</v>
      </c>
    </row>
    <row r="8" spans="1:18" x14ac:dyDescent="0.25">
      <c r="A8" s="18">
        <f t="shared" si="1"/>
        <v>45698</v>
      </c>
      <c r="B8" s="18">
        <f t="shared" si="3"/>
        <v>45699</v>
      </c>
      <c r="C8" s="18">
        <f t="shared" si="3"/>
        <v>45700</v>
      </c>
      <c r="D8" s="18">
        <f t="shared" si="3"/>
        <v>45701</v>
      </c>
      <c r="E8" s="18">
        <f t="shared" si="3"/>
        <v>45702</v>
      </c>
      <c r="F8" s="18">
        <f t="shared" si="3"/>
        <v>45703</v>
      </c>
      <c r="G8" s="18">
        <f t="shared" si="3"/>
        <v>45704</v>
      </c>
      <c r="H8" s="11" t="str">
        <f t="shared" si="2"/>
        <v>KW07 Feb-25</v>
      </c>
      <c r="J8" s="12">
        <v>45804</v>
      </c>
      <c r="K8" s="12">
        <v>45804</v>
      </c>
      <c r="L8" cm="1">
        <f t="array" aca="1" ref="L8" ca="1">IF(J8=0,"",SUMPRODUCT((WEEKDAY(ROW(INDIRECT(J8&amp;":"&amp;K8)),2)&lt;=5)*1)-SUMPRODUCT(($P$2:$P$11&lt;=K8)*($P$2:$P$11&gt;=J8)*1))</f>
        <v>1</v>
      </c>
      <c r="N8">
        <f ca="1">N5-N2</f>
        <v>5</v>
      </c>
      <c r="O8" s="4"/>
      <c r="P8" s="15">
        <f>DATE(N11,8,15)</f>
        <v>45884</v>
      </c>
    </row>
    <row r="9" spans="1:18" x14ac:dyDescent="0.25">
      <c r="A9" s="18">
        <f t="shared" si="1"/>
        <v>45705</v>
      </c>
      <c r="B9" s="18">
        <f t="shared" si="3"/>
        <v>45706</v>
      </c>
      <c r="C9" s="18">
        <f t="shared" si="3"/>
        <v>45707</v>
      </c>
      <c r="D9" s="18">
        <f t="shared" si="3"/>
        <v>45708</v>
      </c>
      <c r="E9" s="18">
        <f t="shared" si="3"/>
        <v>45709</v>
      </c>
      <c r="F9" s="18">
        <f t="shared" si="3"/>
        <v>45710</v>
      </c>
      <c r="G9" s="18">
        <f t="shared" si="3"/>
        <v>45711</v>
      </c>
      <c r="H9" s="11" t="str">
        <f t="shared" si="2"/>
        <v>KW08 Feb-25</v>
      </c>
      <c r="J9" s="12">
        <v>45827</v>
      </c>
      <c r="K9" s="12">
        <v>45828</v>
      </c>
      <c r="L9" cm="1">
        <f t="array" aca="1" ref="L9" ca="1">IF(J9=0,"",SUMPRODUCT((WEEKDAY(ROW(INDIRECT(J9&amp;":"&amp;K9)),2)&lt;=5)*1)-SUMPRODUCT(($P$2:$P$11&lt;=K9)*($P$2:$P$11&gt;=J9)*1))</f>
        <v>2</v>
      </c>
      <c r="O9" s="4"/>
      <c r="P9" s="15">
        <f>DATE(N11,11,1)</f>
        <v>45962</v>
      </c>
    </row>
    <row r="10" spans="1:18" x14ac:dyDescent="0.25">
      <c r="A10" s="18">
        <f t="shared" si="1"/>
        <v>45712</v>
      </c>
      <c r="B10" s="18">
        <f t="shared" si="3"/>
        <v>45713</v>
      </c>
      <c r="C10" s="18">
        <f t="shared" si="3"/>
        <v>45714</v>
      </c>
      <c r="D10" s="18">
        <f t="shared" si="3"/>
        <v>45715</v>
      </c>
      <c r="E10" s="18">
        <f t="shared" si="3"/>
        <v>45716</v>
      </c>
      <c r="F10" s="18">
        <f t="shared" si="3"/>
        <v>45717</v>
      </c>
      <c r="G10" s="18">
        <f t="shared" si="3"/>
        <v>45718</v>
      </c>
      <c r="H10" s="11" t="str">
        <f t="shared" si="2"/>
        <v>KW09 Feb-25</v>
      </c>
      <c r="J10" s="12">
        <v>45841</v>
      </c>
      <c r="K10" s="12">
        <v>45841</v>
      </c>
      <c r="L10" cm="1">
        <f t="array" aca="1" ref="L10" ca="1">IF(J10=0,"",SUMPRODUCT((WEEKDAY(ROW(INDIRECT(J10&amp;":"&amp;K10)),2)&lt;=5)*1)-SUMPRODUCT(($P$2:$P$11&lt;=K10)*($P$2:$P$11&gt;=J10)*1))</f>
        <v>1</v>
      </c>
      <c r="M10" s="1"/>
      <c r="N10" s="9" t="s">
        <v>18</v>
      </c>
      <c r="O10" s="4"/>
      <c r="P10" s="15">
        <f>DATE(N11,11,11)</f>
        <v>45972</v>
      </c>
    </row>
    <row r="11" spans="1:18" x14ac:dyDescent="0.25">
      <c r="A11" s="18">
        <f t="shared" si="1"/>
        <v>45719</v>
      </c>
      <c r="B11" s="18">
        <f t="shared" si="3"/>
        <v>45720</v>
      </c>
      <c r="C11" s="18">
        <f t="shared" si="3"/>
        <v>45721</v>
      </c>
      <c r="D11" s="18">
        <f t="shared" si="3"/>
        <v>45722</v>
      </c>
      <c r="E11" s="18">
        <f t="shared" si="3"/>
        <v>45723</v>
      </c>
      <c r="F11" s="18">
        <f t="shared" si="3"/>
        <v>45724</v>
      </c>
      <c r="G11" s="18">
        <f t="shared" si="3"/>
        <v>45725</v>
      </c>
      <c r="H11" s="11" t="str">
        <f t="shared" si="2"/>
        <v>KW10 Mar-25</v>
      </c>
      <c r="J11" s="12">
        <v>45862</v>
      </c>
      <c r="K11" s="12">
        <v>45862</v>
      </c>
      <c r="L11" cm="1">
        <f t="array" aca="1" ref="L11" ca="1">IF(J11=0,"",SUMPRODUCT((WEEKDAY(ROW(INDIRECT(J11&amp;":"&amp;K11)),2)&lt;=5)*1)-SUMPRODUCT(($P$2:$P$11&lt;=K11)*($P$2:$P$11&gt;=J11)*1))</f>
        <v>1</v>
      </c>
      <c r="N11">
        <v>2025</v>
      </c>
      <c r="O11" s="4"/>
      <c r="P11" s="15">
        <f>DATE(N11,12,25)</f>
        <v>46016</v>
      </c>
    </row>
    <row r="12" spans="1:18" x14ac:dyDescent="0.25">
      <c r="A12" s="18">
        <f t="shared" si="1"/>
        <v>45726</v>
      </c>
      <c r="B12" s="18">
        <f t="shared" si="3"/>
        <v>45727</v>
      </c>
      <c r="C12" s="18">
        <f t="shared" si="3"/>
        <v>45728</v>
      </c>
      <c r="D12" s="18">
        <f t="shared" si="3"/>
        <v>45729</v>
      </c>
      <c r="E12" s="18">
        <f t="shared" si="3"/>
        <v>45730</v>
      </c>
      <c r="F12" s="18">
        <f t="shared" si="3"/>
        <v>45731</v>
      </c>
      <c r="G12" s="18">
        <f t="shared" si="3"/>
        <v>45732</v>
      </c>
      <c r="H12" s="11" t="str">
        <f t="shared" si="2"/>
        <v>KW11 Mar-25</v>
      </c>
      <c r="J12" s="12">
        <v>45852</v>
      </c>
      <c r="K12" s="12">
        <v>45852</v>
      </c>
      <c r="L12" cm="1">
        <f t="array" aca="1" ref="L12" ca="1">IF(J12=0,"",SUMPRODUCT((WEEKDAY(ROW(INDIRECT(J12&amp;":"&amp;K12)),2)&lt;=5)*1)-SUMPRODUCT(($P$2:$P$11&lt;=K12)*($P$2:$P$11&gt;=J12)*1))</f>
        <v>1</v>
      </c>
      <c r="O12" s="4"/>
      <c r="P12" s="4"/>
    </row>
    <row r="13" spans="1:18" x14ac:dyDescent="0.25">
      <c r="A13" s="18">
        <f t="shared" si="1"/>
        <v>45733</v>
      </c>
      <c r="B13" s="18">
        <f t="shared" si="3"/>
        <v>45734</v>
      </c>
      <c r="C13" s="18">
        <f t="shared" si="3"/>
        <v>45735</v>
      </c>
      <c r="D13" s="18">
        <f t="shared" si="3"/>
        <v>45736</v>
      </c>
      <c r="E13" s="18">
        <f t="shared" si="3"/>
        <v>45737</v>
      </c>
      <c r="F13" s="18">
        <f t="shared" si="3"/>
        <v>45738</v>
      </c>
      <c r="G13" s="18">
        <f t="shared" si="3"/>
        <v>45739</v>
      </c>
      <c r="H13" s="11" t="str">
        <f t="shared" si="2"/>
        <v>KW12 Mar-25</v>
      </c>
      <c r="J13" s="12">
        <v>45888</v>
      </c>
      <c r="K13" s="12">
        <v>45888</v>
      </c>
      <c r="L13" cm="1">
        <f t="array" aca="1" ref="L13" ca="1">IF(J13=0,"",SUMPRODUCT((WEEKDAY(ROW(INDIRECT(J13&amp;":"&amp;K13)),2)&lt;=5)*1)-SUMPRODUCT(($P$2:$P$11&lt;=K13)*($P$2:$P$11&gt;=J13)*1))</f>
        <v>1</v>
      </c>
      <c r="O13" s="4"/>
      <c r="P13" s="5"/>
    </row>
    <row r="14" spans="1:18" x14ac:dyDescent="0.25">
      <c r="A14" s="18">
        <f t="shared" si="1"/>
        <v>45740</v>
      </c>
      <c r="B14" s="18">
        <f t="shared" si="3"/>
        <v>45741</v>
      </c>
      <c r="C14" s="18">
        <f t="shared" si="3"/>
        <v>45742</v>
      </c>
      <c r="D14" s="18">
        <f t="shared" si="3"/>
        <v>45743</v>
      </c>
      <c r="E14" s="18">
        <f t="shared" si="3"/>
        <v>45744</v>
      </c>
      <c r="F14" s="18">
        <f t="shared" si="3"/>
        <v>45745</v>
      </c>
      <c r="G14" s="18">
        <f t="shared" si="3"/>
        <v>45746</v>
      </c>
      <c r="H14" s="11" t="str">
        <f t="shared" si="2"/>
        <v>KW13 Mar-25</v>
      </c>
      <c r="J14" s="12">
        <v>45903</v>
      </c>
      <c r="K14" s="12">
        <v>45903</v>
      </c>
      <c r="L14" cm="1">
        <f t="array" aca="1" ref="L14" ca="1">IF(J14=0,"",SUMPRODUCT((WEEKDAY(ROW(INDIRECT(J14&amp;":"&amp;K14)),2)&lt;=5)*1)-SUMPRODUCT(($P$2:$P$11&lt;=K14)*($P$2:$P$11&gt;=J14)*1))</f>
        <v>1</v>
      </c>
      <c r="O14" s="4"/>
      <c r="P14" s="5"/>
    </row>
    <row r="15" spans="1:18" x14ac:dyDescent="0.25">
      <c r="A15" s="18">
        <f t="shared" si="1"/>
        <v>45747</v>
      </c>
      <c r="B15" s="18">
        <f t="shared" si="3"/>
        <v>45748</v>
      </c>
      <c r="C15" s="18">
        <f t="shared" si="3"/>
        <v>45749</v>
      </c>
      <c r="D15" s="18">
        <f t="shared" si="3"/>
        <v>45750</v>
      </c>
      <c r="E15" s="18">
        <f t="shared" si="3"/>
        <v>45751</v>
      </c>
      <c r="F15" s="18">
        <f t="shared" si="3"/>
        <v>45752</v>
      </c>
      <c r="G15" s="18">
        <f t="shared" si="3"/>
        <v>45753</v>
      </c>
      <c r="H15" s="11" t="str">
        <f t="shared" si="2"/>
        <v>KW14 Apr-25</v>
      </c>
      <c r="J15" s="12">
        <v>45950</v>
      </c>
      <c r="K15" s="12">
        <f>J15</f>
        <v>45950</v>
      </c>
      <c r="L15" cm="1">
        <f t="array" aca="1" ref="L15" ca="1">IF(J15=0,"",SUMPRODUCT((WEEKDAY(ROW(INDIRECT(J15&amp;":"&amp;K15)),2)&lt;=5)*1)-SUMPRODUCT(($P$2:$P$11&lt;=K15)*($P$2:$P$11&gt;=J15)*1))</f>
        <v>1</v>
      </c>
      <c r="O15" s="4"/>
      <c r="P15" s="5"/>
    </row>
    <row r="16" spans="1:18" x14ac:dyDescent="0.25">
      <c r="A16" s="18">
        <f t="shared" si="1"/>
        <v>45754</v>
      </c>
      <c r="B16" s="18">
        <f t="shared" si="3"/>
        <v>45755</v>
      </c>
      <c r="C16" s="18">
        <f t="shared" si="3"/>
        <v>45756</v>
      </c>
      <c r="D16" s="18">
        <f t="shared" si="3"/>
        <v>45757</v>
      </c>
      <c r="E16" s="18">
        <f t="shared" si="3"/>
        <v>45758</v>
      </c>
      <c r="F16" s="18">
        <f t="shared" si="3"/>
        <v>45759</v>
      </c>
      <c r="G16" s="18">
        <f t="shared" si="3"/>
        <v>45760</v>
      </c>
      <c r="H16" s="11" t="str">
        <f t="shared" si="2"/>
        <v>KW15 Apr-25</v>
      </c>
      <c r="J16" s="12">
        <f>J15+7</f>
        <v>45957</v>
      </c>
      <c r="K16" s="12">
        <f>K15+7</f>
        <v>45957</v>
      </c>
      <c r="L16" cm="1">
        <f t="array" aca="1" ref="L16" ca="1">IF(J16=0,"",SUMPRODUCT((WEEKDAY(ROW(INDIRECT(J16&amp;":"&amp;K16)),2)&lt;=5)*1)-SUMPRODUCT(($P$2:$P$11&lt;=K16)*($P$2:$P$11&gt;=J16)*1))</f>
        <v>1</v>
      </c>
      <c r="P16" s="5"/>
    </row>
    <row r="17" spans="1:16" x14ac:dyDescent="0.25">
      <c r="A17" s="18">
        <f t="shared" si="1"/>
        <v>45761</v>
      </c>
      <c r="B17" s="18">
        <f t="shared" si="3"/>
        <v>45762</v>
      </c>
      <c r="C17" s="18">
        <f t="shared" si="3"/>
        <v>45763</v>
      </c>
      <c r="D17" s="18">
        <f t="shared" si="3"/>
        <v>45764</v>
      </c>
      <c r="E17" s="18">
        <f t="shared" si="3"/>
        <v>45765</v>
      </c>
      <c r="F17" s="18">
        <f t="shared" si="3"/>
        <v>45766</v>
      </c>
      <c r="G17" s="18">
        <f t="shared" si="3"/>
        <v>45767</v>
      </c>
      <c r="H17" s="11" t="str">
        <f t="shared" si="2"/>
        <v>KW16 Apr-25</v>
      </c>
      <c r="J17" s="12">
        <f t="shared" ref="J17:J24" si="4">J16+7</f>
        <v>45964</v>
      </c>
      <c r="K17" s="12">
        <f t="shared" ref="K17:K24" si="5">K16+7</f>
        <v>45964</v>
      </c>
      <c r="L17" cm="1">
        <f t="array" aca="1" ref="L17" ca="1">IF(J17=0,"",SUMPRODUCT((WEEKDAY(ROW(INDIRECT(J17&amp;":"&amp;K17)),2)&lt;=5)*1)-SUMPRODUCT(($P$2:$P$11&lt;=K17)*($P$2:$P$11&gt;=J17)*1))</f>
        <v>1</v>
      </c>
      <c r="O17" s="4"/>
      <c r="P17" s="4"/>
    </row>
    <row r="18" spans="1:16" x14ac:dyDescent="0.25">
      <c r="A18" s="18">
        <f t="shared" si="1"/>
        <v>45768</v>
      </c>
      <c r="B18" s="18">
        <f t="shared" si="3"/>
        <v>45769</v>
      </c>
      <c r="C18" s="18">
        <f t="shared" si="3"/>
        <v>45770</v>
      </c>
      <c r="D18" s="18">
        <f t="shared" si="3"/>
        <v>45771</v>
      </c>
      <c r="E18" s="18">
        <f t="shared" si="3"/>
        <v>45772</v>
      </c>
      <c r="F18" s="18">
        <f t="shared" si="3"/>
        <v>45773</v>
      </c>
      <c r="G18" s="18">
        <f t="shared" si="3"/>
        <v>45774</v>
      </c>
      <c r="H18" s="11" t="str">
        <f t="shared" si="2"/>
        <v>KW17 Apr-25</v>
      </c>
      <c r="J18" s="12">
        <f t="shared" si="4"/>
        <v>45971</v>
      </c>
      <c r="K18" s="12">
        <f t="shared" si="5"/>
        <v>45971</v>
      </c>
      <c r="L18" cm="1">
        <f t="array" aca="1" ref="L18" ca="1">IF(J18=0,"",SUMPRODUCT((WEEKDAY(ROW(INDIRECT(J18&amp;":"&amp;K18)),2)&lt;=5)*1)-SUMPRODUCT(($P$2:$P$11&lt;=K18)*($P$2:$P$11&gt;=J18)*1))</f>
        <v>1</v>
      </c>
      <c r="O18" s="4"/>
      <c r="P18" s="5"/>
    </row>
    <row r="19" spans="1:16" x14ac:dyDescent="0.25">
      <c r="A19" s="18">
        <f t="shared" si="1"/>
        <v>45775</v>
      </c>
      <c r="B19" s="18">
        <f t="shared" si="3"/>
        <v>45776</v>
      </c>
      <c r="C19" s="18">
        <f t="shared" si="3"/>
        <v>45777</v>
      </c>
      <c r="D19" s="18">
        <f t="shared" si="3"/>
        <v>45778</v>
      </c>
      <c r="E19" s="18">
        <f t="shared" si="3"/>
        <v>45779</v>
      </c>
      <c r="F19" s="18">
        <f t="shared" si="3"/>
        <v>45780</v>
      </c>
      <c r="G19" s="18">
        <f t="shared" si="3"/>
        <v>45781</v>
      </c>
      <c r="H19" s="11" t="str">
        <f t="shared" si="2"/>
        <v>KW18 May-25</v>
      </c>
      <c r="J19" s="12">
        <f t="shared" si="4"/>
        <v>45978</v>
      </c>
      <c r="K19" s="12">
        <f t="shared" si="5"/>
        <v>45978</v>
      </c>
      <c r="L19" cm="1">
        <f t="array" aca="1" ref="L19" ca="1">IF(J19=0,"",SUMPRODUCT((WEEKDAY(ROW(INDIRECT(J19&amp;":"&amp;K19)),2)&lt;=5)*1)-SUMPRODUCT(($P$2:$P$11&lt;=K19)*($P$2:$P$11&gt;=J19)*1))</f>
        <v>1</v>
      </c>
      <c r="O19" s="4"/>
      <c r="P19" s="5"/>
    </row>
    <row r="20" spans="1:16" x14ac:dyDescent="0.25">
      <c r="A20" s="18">
        <f t="shared" si="1"/>
        <v>45782</v>
      </c>
      <c r="B20" s="18">
        <f t="shared" ref="B20:G53" si="6">A20+1</f>
        <v>45783</v>
      </c>
      <c r="C20" s="18">
        <f t="shared" si="6"/>
        <v>45784</v>
      </c>
      <c r="D20" s="18">
        <f t="shared" si="6"/>
        <v>45785</v>
      </c>
      <c r="E20" s="18">
        <f t="shared" si="6"/>
        <v>45786</v>
      </c>
      <c r="F20" s="18">
        <f t="shared" si="6"/>
        <v>45787</v>
      </c>
      <c r="G20" s="18">
        <f t="shared" si="6"/>
        <v>45788</v>
      </c>
      <c r="H20" s="11" t="str">
        <f t="shared" si="2"/>
        <v>KW19 May-25</v>
      </c>
      <c r="J20" s="12">
        <f t="shared" si="4"/>
        <v>45985</v>
      </c>
      <c r="K20" s="12">
        <f t="shared" si="5"/>
        <v>45985</v>
      </c>
      <c r="L20" cm="1">
        <f t="array" aca="1" ref="L20" ca="1">IF(J20=0,"",SUMPRODUCT((WEEKDAY(ROW(INDIRECT(J20&amp;":"&amp;K20)),2)&lt;=5)*1)-SUMPRODUCT(($P$2:$P$11&lt;=K20)*($P$2:$P$11&gt;=J20)*1))</f>
        <v>1</v>
      </c>
      <c r="O20" s="4"/>
      <c r="P20" s="5"/>
    </row>
    <row r="21" spans="1:16" x14ac:dyDescent="0.25">
      <c r="A21" s="18">
        <f t="shared" si="1"/>
        <v>45789</v>
      </c>
      <c r="B21" s="18">
        <f t="shared" si="6"/>
        <v>45790</v>
      </c>
      <c r="C21" s="18">
        <f t="shared" si="6"/>
        <v>45791</v>
      </c>
      <c r="D21" s="18">
        <f t="shared" si="6"/>
        <v>45792</v>
      </c>
      <c r="E21" s="18">
        <f t="shared" si="6"/>
        <v>45793</v>
      </c>
      <c r="F21" s="18">
        <f t="shared" si="6"/>
        <v>45794</v>
      </c>
      <c r="G21" s="18">
        <f t="shared" si="6"/>
        <v>45795</v>
      </c>
      <c r="H21" s="11" t="str">
        <f t="shared" si="2"/>
        <v>KW20 May-25</v>
      </c>
      <c r="J21" s="12">
        <f t="shared" si="4"/>
        <v>45992</v>
      </c>
      <c r="K21" s="12">
        <f t="shared" si="5"/>
        <v>45992</v>
      </c>
      <c r="L21" cm="1">
        <f t="array" aca="1" ref="L21" ca="1">IF(J21=0,"",SUMPRODUCT((WEEKDAY(ROW(INDIRECT(J21&amp;":"&amp;K21)),2)&lt;=5)*1)-SUMPRODUCT(($P$2:$P$11&lt;=K21)*($P$2:$P$11&gt;=J21)*1))</f>
        <v>1</v>
      </c>
    </row>
    <row r="22" spans="1:16" x14ac:dyDescent="0.25">
      <c r="A22" s="19">
        <f t="shared" si="1"/>
        <v>45796</v>
      </c>
      <c r="B22" s="19">
        <f t="shared" si="6"/>
        <v>45797</v>
      </c>
      <c r="C22" s="19">
        <f t="shared" si="6"/>
        <v>45798</v>
      </c>
      <c r="D22" s="19">
        <f t="shared" si="6"/>
        <v>45799</v>
      </c>
      <c r="E22" s="19">
        <f t="shared" si="6"/>
        <v>45800</v>
      </c>
      <c r="F22" s="19">
        <f t="shared" si="6"/>
        <v>45801</v>
      </c>
      <c r="G22" s="18">
        <f t="shared" si="6"/>
        <v>45802</v>
      </c>
      <c r="H22" s="11" t="str">
        <f t="shared" si="2"/>
        <v>KW21 May-25</v>
      </c>
      <c r="J22" s="12">
        <f t="shared" si="4"/>
        <v>45999</v>
      </c>
      <c r="K22" s="12">
        <f t="shared" si="5"/>
        <v>45999</v>
      </c>
      <c r="L22" cm="1">
        <f t="array" aca="1" ref="L22" ca="1">IF(J22=0,"",SUMPRODUCT((WEEKDAY(ROW(INDIRECT(J22&amp;":"&amp;K22)),2)&lt;=5)*1)-SUMPRODUCT(($P$2:$P$11&lt;=K22)*($P$2:$P$11&gt;=J22)*1))</f>
        <v>1</v>
      </c>
    </row>
    <row r="23" spans="1:16" x14ac:dyDescent="0.25">
      <c r="A23" s="19">
        <f t="shared" si="1"/>
        <v>45803</v>
      </c>
      <c r="B23" s="19">
        <f t="shared" si="6"/>
        <v>45804</v>
      </c>
      <c r="C23" s="19">
        <f t="shared" si="6"/>
        <v>45805</v>
      </c>
      <c r="D23" s="19">
        <f t="shared" si="6"/>
        <v>45806</v>
      </c>
      <c r="E23" s="19">
        <f t="shared" si="6"/>
        <v>45807</v>
      </c>
      <c r="F23" s="19">
        <f t="shared" si="6"/>
        <v>45808</v>
      </c>
      <c r="G23" s="18">
        <f t="shared" si="6"/>
        <v>45809</v>
      </c>
      <c r="H23" s="11" t="str">
        <f t="shared" si="2"/>
        <v>KW22 May-25</v>
      </c>
      <c r="J23" s="12">
        <f t="shared" si="4"/>
        <v>46006</v>
      </c>
      <c r="K23" s="12">
        <f t="shared" si="5"/>
        <v>46006</v>
      </c>
      <c r="L23" cm="1">
        <f t="array" aca="1" ref="L23" ca="1">IF(J23=0,"",SUMPRODUCT((WEEKDAY(ROW(INDIRECT(J23&amp;":"&amp;K23)),2)&lt;=5)*1)-SUMPRODUCT(($P$2:$P$11&lt;=K23)*($P$2:$P$11&gt;=J23)*1))</f>
        <v>1</v>
      </c>
    </row>
    <row r="24" spans="1:16" x14ac:dyDescent="0.25">
      <c r="A24" s="19">
        <f t="shared" si="1"/>
        <v>45810</v>
      </c>
      <c r="B24" s="19">
        <f t="shared" si="6"/>
        <v>45811</v>
      </c>
      <c r="C24" s="19">
        <f t="shared" si="6"/>
        <v>45812</v>
      </c>
      <c r="D24" s="19">
        <f t="shared" si="6"/>
        <v>45813</v>
      </c>
      <c r="E24" s="19">
        <f t="shared" si="6"/>
        <v>45814</v>
      </c>
      <c r="F24" s="19">
        <f t="shared" si="6"/>
        <v>45815</v>
      </c>
      <c r="G24" s="18">
        <f t="shared" si="6"/>
        <v>45816</v>
      </c>
      <c r="H24" s="11" t="str">
        <f t="shared" si="2"/>
        <v>KW23 Jun-25</v>
      </c>
      <c r="J24" s="12">
        <f t="shared" si="4"/>
        <v>46013</v>
      </c>
      <c r="K24" s="12">
        <f t="shared" si="5"/>
        <v>46013</v>
      </c>
      <c r="L24" cm="1">
        <f t="array" aca="1" ref="L24" ca="1">IF(J24=0,"",SUMPRODUCT((WEEKDAY(ROW(INDIRECT(J24&amp;":"&amp;K24)),2)&lt;=5)*1)-SUMPRODUCT(($P$2:$P$11&lt;=K24)*($P$2:$P$11&gt;=J24)*1))</f>
        <v>1</v>
      </c>
    </row>
    <row r="25" spans="1:16" x14ac:dyDescent="0.25">
      <c r="A25" s="19">
        <f t="shared" si="1"/>
        <v>45817</v>
      </c>
      <c r="B25" s="19">
        <f t="shared" si="6"/>
        <v>45818</v>
      </c>
      <c r="C25" s="19">
        <f t="shared" si="6"/>
        <v>45819</v>
      </c>
      <c r="D25" s="19">
        <f t="shared" si="6"/>
        <v>45820</v>
      </c>
      <c r="E25" s="19">
        <f t="shared" si="6"/>
        <v>45821</v>
      </c>
      <c r="F25" s="19">
        <f t="shared" si="6"/>
        <v>45822</v>
      </c>
      <c r="G25" s="18">
        <f t="shared" si="6"/>
        <v>45823</v>
      </c>
      <c r="H25" s="11" t="str">
        <f t="shared" si="2"/>
        <v>KW24 Jun-25</v>
      </c>
      <c r="J25" s="12">
        <f t="shared" ref="J25" si="7">J24+7</f>
        <v>46020</v>
      </c>
      <c r="K25" s="12">
        <v>46022</v>
      </c>
      <c r="L25" cm="1">
        <f t="array" aca="1" ref="L25" ca="1">IF(J25=0,"",SUMPRODUCT((WEEKDAY(ROW(INDIRECT(J25&amp;":"&amp;K25)),2)&lt;=5)*1)-SUMPRODUCT(($P$2:$P$11&lt;=K25)*($P$2:$P$11&gt;=J25)*1))</f>
        <v>3</v>
      </c>
    </row>
    <row r="26" spans="1:16" x14ac:dyDescent="0.25">
      <c r="A26" s="19">
        <f t="shared" si="1"/>
        <v>45824</v>
      </c>
      <c r="B26" s="19">
        <f t="shared" si="6"/>
        <v>45825</v>
      </c>
      <c r="C26" s="19">
        <f t="shared" si="6"/>
        <v>45826</v>
      </c>
      <c r="D26" s="19">
        <f t="shared" si="6"/>
        <v>45827</v>
      </c>
      <c r="E26" s="19">
        <f t="shared" si="6"/>
        <v>45828</v>
      </c>
      <c r="F26" s="19">
        <f t="shared" si="6"/>
        <v>45829</v>
      </c>
      <c r="G26" s="18">
        <f t="shared" si="6"/>
        <v>45830</v>
      </c>
      <c r="H26" s="11" t="str">
        <f t="shared" si="2"/>
        <v>KW25 Jun-25</v>
      </c>
      <c r="J26" s="12">
        <v>45944</v>
      </c>
      <c r="K26" s="12">
        <v>45944</v>
      </c>
      <c r="L26" cm="1">
        <f t="array" aca="1" ref="L26" ca="1">IF(J26=0,"",SUMPRODUCT((WEEKDAY(ROW(INDIRECT(J26&amp;":"&amp;K26)),2)&lt;=5)*1)-SUMPRODUCT(($P$2:$P$11&lt;=K26)*($P$2:$P$11&gt;=J26)*1))</f>
        <v>1</v>
      </c>
    </row>
    <row r="27" spans="1:16" x14ac:dyDescent="0.25">
      <c r="A27" s="19">
        <f t="shared" si="1"/>
        <v>45831</v>
      </c>
      <c r="B27" s="19">
        <f t="shared" si="6"/>
        <v>45832</v>
      </c>
      <c r="C27" s="19">
        <f t="shared" si="6"/>
        <v>45833</v>
      </c>
      <c r="D27" s="19">
        <f t="shared" si="6"/>
        <v>45834</v>
      </c>
      <c r="E27" s="19">
        <f t="shared" si="6"/>
        <v>45835</v>
      </c>
      <c r="F27" s="19">
        <f t="shared" si="6"/>
        <v>45836</v>
      </c>
      <c r="G27" s="18">
        <f t="shared" si="6"/>
        <v>45837</v>
      </c>
      <c r="H27" s="11" t="str">
        <f t="shared" si="2"/>
        <v>KW26 Jun-25</v>
      </c>
      <c r="J27" s="12">
        <v>46009</v>
      </c>
      <c r="K27" s="12">
        <v>46009</v>
      </c>
      <c r="L27" cm="1">
        <f t="array" aca="1" ref="L27" ca="1">IF(J27=0,"",SUMPRODUCT((WEEKDAY(ROW(INDIRECT(J27&amp;":"&amp;K27)),2)&lt;=5)*1)-SUMPRODUCT(($P$2:$P$11&lt;=K27)*($P$2:$P$11&gt;=J27)*1))</f>
        <v>1</v>
      </c>
    </row>
    <row r="28" spans="1:16" x14ac:dyDescent="0.25">
      <c r="A28" s="19">
        <f t="shared" si="1"/>
        <v>45838</v>
      </c>
      <c r="B28" s="19">
        <f t="shared" si="6"/>
        <v>45839</v>
      </c>
      <c r="C28" s="19">
        <f t="shared" si="6"/>
        <v>45840</v>
      </c>
      <c r="D28" s="19">
        <f t="shared" si="6"/>
        <v>45841</v>
      </c>
      <c r="E28" s="19">
        <f t="shared" si="6"/>
        <v>45842</v>
      </c>
      <c r="F28" s="19">
        <f t="shared" si="6"/>
        <v>45843</v>
      </c>
      <c r="G28" s="18">
        <f t="shared" si="6"/>
        <v>45844</v>
      </c>
      <c r="H28" s="11" t="str">
        <f t="shared" si="2"/>
        <v>KW27 Jul-25</v>
      </c>
      <c r="J28" s="12">
        <v>46015</v>
      </c>
      <c r="K28" s="12">
        <v>46015</v>
      </c>
      <c r="L28">
        <v>0.5</v>
      </c>
    </row>
    <row r="29" spans="1:16" x14ac:dyDescent="0.25">
      <c r="A29" s="19">
        <f t="shared" si="1"/>
        <v>45845</v>
      </c>
      <c r="B29" s="19">
        <f t="shared" si="6"/>
        <v>45846</v>
      </c>
      <c r="C29" s="19">
        <f t="shared" si="6"/>
        <v>45847</v>
      </c>
      <c r="D29" s="19">
        <f t="shared" si="6"/>
        <v>45848</v>
      </c>
      <c r="E29" s="19">
        <f t="shared" si="6"/>
        <v>45849</v>
      </c>
      <c r="F29" s="19">
        <f t="shared" si="6"/>
        <v>45850</v>
      </c>
      <c r="G29" s="18">
        <f t="shared" si="6"/>
        <v>45851</v>
      </c>
      <c r="H29" s="11" t="str">
        <f t="shared" si="2"/>
        <v>KW28 Jul-25</v>
      </c>
    </row>
    <row r="30" spans="1:16" x14ac:dyDescent="0.25">
      <c r="A30" s="19">
        <f t="shared" si="1"/>
        <v>45852</v>
      </c>
      <c r="B30" s="19">
        <f t="shared" si="6"/>
        <v>45853</v>
      </c>
      <c r="C30" s="19">
        <f t="shared" si="6"/>
        <v>45854</v>
      </c>
      <c r="D30" s="19">
        <f t="shared" si="6"/>
        <v>45855</v>
      </c>
      <c r="E30" s="19">
        <f t="shared" si="6"/>
        <v>45856</v>
      </c>
      <c r="F30" s="19">
        <f t="shared" si="6"/>
        <v>45857</v>
      </c>
      <c r="G30" s="18">
        <f t="shared" si="6"/>
        <v>45858</v>
      </c>
      <c r="H30" s="11" t="str">
        <f t="shared" si="2"/>
        <v>KW29 Jul-25</v>
      </c>
    </row>
    <row r="31" spans="1:16" x14ac:dyDescent="0.25">
      <c r="A31" s="19">
        <f t="shared" si="1"/>
        <v>45859</v>
      </c>
      <c r="B31" s="19">
        <f t="shared" si="6"/>
        <v>45860</v>
      </c>
      <c r="C31" s="19">
        <f t="shared" si="6"/>
        <v>45861</v>
      </c>
      <c r="D31" s="19">
        <f t="shared" si="6"/>
        <v>45862</v>
      </c>
      <c r="E31" s="19">
        <f t="shared" si="6"/>
        <v>45863</v>
      </c>
      <c r="F31" s="19">
        <f t="shared" si="6"/>
        <v>45864</v>
      </c>
      <c r="G31" s="18">
        <f t="shared" si="6"/>
        <v>45865</v>
      </c>
      <c r="H31" s="11" t="str">
        <f t="shared" si="2"/>
        <v>KW30 Jul-25</v>
      </c>
    </row>
    <row r="32" spans="1:16" x14ac:dyDescent="0.25">
      <c r="A32" s="19">
        <f t="shared" si="1"/>
        <v>45866</v>
      </c>
      <c r="B32" s="19">
        <f t="shared" si="6"/>
        <v>45867</v>
      </c>
      <c r="C32" s="19">
        <f t="shared" si="6"/>
        <v>45868</v>
      </c>
      <c r="D32" s="19">
        <f t="shared" si="6"/>
        <v>45869</v>
      </c>
      <c r="E32" s="19">
        <f t="shared" si="6"/>
        <v>45870</v>
      </c>
      <c r="F32" s="19">
        <f t="shared" si="6"/>
        <v>45871</v>
      </c>
      <c r="G32" s="18">
        <f t="shared" si="6"/>
        <v>45872</v>
      </c>
      <c r="H32" s="11" t="str">
        <f t="shared" si="2"/>
        <v>KW31 Jul-25</v>
      </c>
    </row>
    <row r="33" spans="1:8" x14ac:dyDescent="0.25">
      <c r="A33" s="19">
        <f t="shared" si="1"/>
        <v>45873</v>
      </c>
      <c r="B33" s="19">
        <f t="shared" si="6"/>
        <v>45874</v>
      </c>
      <c r="C33" s="19">
        <f t="shared" si="6"/>
        <v>45875</v>
      </c>
      <c r="D33" s="19">
        <f t="shared" si="6"/>
        <v>45876</v>
      </c>
      <c r="E33" s="19">
        <f t="shared" si="6"/>
        <v>45877</v>
      </c>
      <c r="F33" s="19">
        <f t="shared" si="6"/>
        <v>45878</v>
      </c>
      <c r="G33" s="18">
        <f t="shared" si="6"/>
        <v>45879</v>
      </c>
      <c r="H33" s="11" t="str">
        <f t="shared" si="2"/>
        <v>KW32 Aug-25</v>
      </c>
    </row>
    <row r="34" spans="1:8" x14ac:dyDescent="0.25">
      <c r="A34" s="19">
        <f t="shared" si="1"/>
        <v>45880</v>
      </c>
      <c r="B34" s="19">
        <f t="shared" si="6"/>
        <v>45881</v>
      </c>
      <c r="C34" s="19">
        <f t="shared" si="6"/>
        <v>45882</v>
      </c>
      <c r="D34" s="19">
        <f t="shared" si="6"/>
        <v>45883</v>
      </c>
      <c r="E34" s="19">
        <f t="shared" si="6"/>
        <v>45884</v>
      </c>
      <c r="F34" s="19">
        <f t="shared" si="6"/>
        <v>45885</v>
      </c>
      <c r="G34" s="18">
        <f t="shared" si="6"/>
        <v>45886</v>
      </c>
      <c r="H34" s="11" t="str">
        <f t="shared" si="2"/>
        <v>KW33 Aug-25</v>
      </c>
    </row>
    <row r="35" spans="1:8" x14ac:dyDescent="0.25">
      <c r="A35" s="19">
        <f t="shared" si="1"/>
        <v>45887</v>
      </c>
      <c r="B35" s="19">
        <f t="shared" si="6"/>
        <v>45888</v>
      </c>
      <c r="C35" s="19">
        <f t="shared" si="6"/>
        <v>45889</v>
      </c>
      <c r="D35" s="19">
        <f t="shared" si="6"/>
        <v>45890</v>
      </c>
      <c r="E35" s="19">
        <f t="shared" si="6"/>
        <v>45891</v>
      </c>
      <c r="F35" s="19">
        <f t="shared" si="6"/>
        <v>45892</v>
      </c>
      <c r="G35" s="18">
        <f t="shared" si="6"/>
        <v>45893</v>
      </c>
      <c r="H35" s="11" t="str">
        <f t="shared" si="2"/>
        <v>KW34 Aug-25</v>
      </c>
    </row>
    <row r="36" spans="1:8" x14ac:dyDescent="0.25">
      <c r="A36" s="19">
        <f t="shared" si="1"/>
        <v>45894</v>
      </c>
      <c r="B36" s="19">
        <f t="shared" si="6"/>
        <v>45895</v>
      </c>
      <c r="C36" s="19">
        <f t="shared" si="6"/>
        <v>45896</v>
      </c>
      <c r="D36" s="19">
        <f t="shared" si="6"/>
        <v>45897</v>
      </c>
      <c r="E36" s="19">
        <f t="shared" si="6"/>
        <v>45898</v>
      </c>
      <c r="F36" s="19">
        <f t="shared" si="6"/>
        <v>45899</v>
      </c>
      <c r="G36" s="18">
        <f t="shared" si="6"/>
        <v>45900</v>
      </c>
      <c r="H36" s="11" t="str">
        <f t="shared" si="2"/>
        <v>KW35 Aug-25</v>
      </c>
    </row>
    <row r="37" spans="1:8" x14ac:dyDescent="0.25">
      <c r="A37" s="19">
        <f t="shared" si="1"/>
        <v>45901</v>
      </c>
      <c r="B37" s="19">
        <f t="shared" si="6"/>
        <v>45902</v>
      </c>
      <c r="C37" s="19">
        <f t="shared" si="6"/>
        <v>45903</v>
      </c>
      <c r="D37" s="19">
        <f t="shared" si="6"/>
        <v>45904</v>
      </c>
      <c r="E37" s="19">
        <f t="shared" si="6"/>
        <v>45905</v>
      </c>
      <c r="F37" s="19">
        <f t="shared" si="6"/>
        <v>45906</v>
      </c>
      <c r="G37" s="18">
        <f t="shared" si="6"/>
        <v>45907</v>
      </c>
      <c r="H37" s="11" t="str">
        <f t="shared" si="2"/>
        <v>KW36 Sept-25</v>
      </c>
    </row>
    <row r="38" spans="1:8" x14ac:dyDescent="0.25">
      <c r="A38" s="19">
        <f t="shared" si="1"/>
        <v>45908</v>
      </c>
      <c r="B38" s="19">
        <f t="shared" si="6"/>
        <v>45909</v>
      </c>
      <c r="C38" s="19">
        <f t="shared" si="6"/>
        <v>45910</v>
      </c>
      <c r="D38" s="19">
        <f t="shared" si="6"/>
        <v>45911</v>
      </c>
      <c r="E38" s="19">
        <f t="shared" si="6"/>
        <v>45912</v>
      </c>
      <c r="F38" s="19">
        <f t="shared" si="6"/>
        <v>45913</v>
      </c>
      <c r="G38" s="18">
        <f t="shared" si="6"/>
        <v>45914</v>
      </c>
      <c r="H38" s="11" t="str">
        <f t="shared" si="2"/>
        <v>KW37 Sept-25</v>
      </c>
    </row>
    <row r="39" spans="1:8" x14ac:dyDescent="0.25">
      <c r="A39" s="19">
        <f t="shared" si="1"/>
        <v>45915</v>
      </c>
      <c r="B39" s="19">
        <f t="shared" si="6"/>
        <v>45916</v>
      </c>
      <c r="C39" s="19">
        <f t="shared" si="6"/>
        <v>45917</v>
      </c>
      <c r="D39" s="19">
        <f t="shared" si="6"/>
        <v>45918</v>
      </c>
      <c r="E39" s="19">
        <f t="shared" si="6"/>
        <v>45919</v>
      </c>
      <c r="F39" s="19">
        <f t="shared" si="6"/>
        <v>45920</v>
      </c>
      <c r="G39" s="18">
        <f t="shared" si="6"/>
        <v>45921</v>
      </c>
      <c r="H39" s="11" t="str">
        <f t="shared" si="2"/>
        <v>KW38 Sept-25</v>
      </c>
    </row>
    <row r="40" spans="1:8" x14ac:dyDescent="0.25">
      <c r="A40" s="19">
        <f t="shared" si="1"/>
        <v>45922</v>
      </c>
      <c r="B40" s="19">
        <f t="shared" si="6"/>
        <v>45923</v>
      </c>
      <c r="C40" s="19">
        <f t="shared" si="6"/>
        <v>45924</v>
      </c>
      <c r="D40" s="19">
        <f t="shared" si="6"/>
        <v>45925</v>
      </c>
      <c r="E40" s="19">
        <f t="shared" si="6"/>
        <v>45926</v>
      </c>
      <c r="F40" s="19">
        <f t="shared" si="6"/>
        <v>45927</v>
      </c>
      <c r="G40" s="18">
        <f t="shared" si="6"/>
        <v>45928</v>
      </c>
      <c r="H40" s="11" t="str">
        <f t="shared" si="2"/>
        <v>KW39 Sept-25</v>
      </c>
    </row>
    <row r="41" spans="1:8" x14ac:dyDescent="0.25">
      <c r="A41" s="19">
        <f t="shared" si="1"/>
        <v>45929</v>
      </c>
      <c r="B41" s="19">
        <f t="shared" si="6"/>
        <v>45930</v>
      </c>
      <c r="C41" s="19">
        <f t="shared" si="6"/>
        <v>45931</v>
      </c>
      <c r="D41" s="19">
        <f t="shared" si="6"/>
        <v>45932</v>
      </c>
      <c r="E41" s="19">
        <f t="shared" si="6"/>
        <v>45933</v>
      </c>
      <c r="F41" s="19">
        <f t="shared" si="6"/>
        <v>45934</v>
      </c>
      <c r="G41" s="18">
        <f t="shared" si="6"/>
        <v>45935</v>
      </c>
      <c r="H41" s="11" t="str">
        <f t="shared" si="2"/>
        <v>KW40 Oct-25</v>
      </c>
    </row>
    <row r="42" spans="1:8" x14ac:dyDescent="0.25">
      <c r="A42" s="19">
        <f t="shared" si="1"/>
        <v>45936</v>
      </c>
      <c r="B42" s="19">
        <f t="shared" si="6"/>
        <v>45937</v>
      </c>
      <c r="C42" s="19">
        <f t="shared" si="6"/>
        <v>45938</v>
      </c>
      <c r="D42" s="19">
        <f t="shared" si="6"/>
        <v>45939</v>
      </c>
      <c r="E42" s="19">
        <f t="shared" si="6"/>
        <v>45940</v>
      </c>
      <c r="F42" s="19">
        <f t="shared" si="6"/>
        <v>45941</v>
      </c>
      <c r="G42" s="18">
        <f t="shared" si="6"/>
        <v>45942</v>
      </c>
      <c r="H42" s="11" t="str">
        <f t="shared" si="2"/>
        <v>KW41 Oct-25</v>
      </c>
    </row>
    <row r="43" spans="1:8" x14ac:dyDescent="0.25">
      <c r="A43" s="19">
        <f t="shared" si="1"/>
        <v>45943</v>
      </c>
      <c r="B43" s="19">
        <f t="shared" si="6"/>
        <v>45944</v>
      </c>
      <c r="C43" s="19">
        <f t="shared" si="6"/>
        <v>45945</v>
      </c>
      <c r="D43" s="19">
        <f t="shared" si="6"/>
        <v>45946</v>
      </c>
      <c r="E43" s="19">
        <f t="shared" si="6"/>
        <v>45947</v>
      </c>
      <c r="F43" s="19">
        <f t="shared" si="6"/>
        <v>45948</v>
      </c>
      <c r="G43" s="18">
        <f t="shared" si="6"/>
        <v>45949</v>
      </c>
      <c r="H43" s="11" t="str">
        <f t="shared" si="2"/>
        <v>KW42 Oct-25</v>
      </c>
    </row>
    <row r="44" spans="1:8" x14ac:dyDescent="0.25">
      <c r="A44" s="19">
        <f t="shared" si="1"/>
        <v>45950</v>
      </c>
      <c r="B44" s="19">
        <f t="shared" si="6"/>
        <v>45951</v>
      </c>
      <c r="C44" s="19">
        <f t="shared" si="6"/>
        <v>45952</v>
      </c>
      <c r="D44" s="19">
        <f t="shared" si="6"/>
        <v>45953</v>
      </c>
      <c r="E44" s="19">
        <f t="shared" si="6"/>
        <v>45954</v>
      </c>
      <c r="F44" s="19">
        <f t="shared" si="6"/>
        <v>45955</v>
      </c>
      <c r="G44" s="18">
        <f t="shared" si="6"/>
        <v>45956</v>
      </c>
      <c r="H44" s="11" t="str">
        <f t="shared" si="2"/>
        <v>KW43 Oct-25</v>
      </c>
    </row>
    <row r="45" spans="1:8" x14ac:dyDescent="0.25">
      <c r="A45" s="18">
        <f t="shared" si="1"/>
        <v>45957</v>
      </c>
      <c r="B45" s="18">
        <f t="shared" si="6"/>
        <v>45958</v>
      </c>
      <c r="C45" s="18">
        <f t="shared" si="6"/>
        <v>45959</v>
      </c>
      <c r="D45" s="18">
        <f t="shared" si="6"/>
        <v>45960</v>
      </c>
      <c r="E45" s="18">
        <f t="shared" si="6"/>
        <v>45961</v>
      </c>
      <c r="F45" s="18">
        <f t="shared" si="6"/>
        <v>45962</v>
      </c>
      <c r="G45" s="18">
        <f t="shared" si="6"/>
        <v>45963</v>
      </c>
      <c r="H45" s="11" t="str">
        <f t="shared" si="2"/>
        <v>KW44 Oct-25</v>
      </c>
    </row>
    <row r="46" spans="1:8" x14ac:dyDescent="0.25">
      <c r="A46" s="18">
        <f t="shared" si="1"/>
        <v>45964</v>
      </c>
      <c r="B46" s="18">
        <f t="shared" si="6"/>
        <v>45965</v>
      </c>
      <c r="C46" s="18">
        <f t="shared" si="6"/>
        <v>45966</v>
      </c>
      <c r="D46" s="18">
        <f t="shared" si="6"/>
        <v>45967</v>
      </c>
      <c r="E46" s="18">
        <f t="shared" si="6"/>
        <v>45968</v>
      </c>
      <c r="F46" s="18">
        <f t="shared" si="6"/>
        <v>45969</v>
      </c>
      <c r="G46" s="18">
        <f t="shared" si="6"/>
        <v>45970</v>
      </c>
      <c r="H46" s="11" t="str">
        <f t="shared" si="2"/>
        <v>KW45 Nov-25</v>
      </c>
    </row>
    <row r="47" spans="1:8" x14ac:dyDescent="0.25">
      <c r="A47" s="18">
        <f t="shared" si="1"/>
        <v>45971</v>
      </c>
      <c r="B47" s="18">
        <f t="shared" si="6"/>
        <v>45972</v>
      </c>
      <c r="C47" s="18">
        <f t="shared" si="6"/>
        <v>45973</v>
      </c>
      <c r="D47" s="18">
        <f t="shared" si="6"/>
        <v>45974</v>
      </c>
      <c r="E47" s="18">
        <f t="shared" si="6"/>
        <v>45975</v>
      </c>
      <c r="F47" s="18">
        <f t="shared" si="6"/>
        <v>45976</v>
      </c>
      <c r="G47" s="18">
        <f t="shared" si="6"/>
        <v>45977</v>
      </c>
      <c r="H47" s="11" t="str">
        <f t="shared" si="2"/>
        <v>KW46 Nov-25</v>
      </c>
    </row>
    <row r="48" spans="1:8" x14ac:dyDescent="0.25">
      <c r="A48" s="18">
        <f t="shared" si="1"/>
        <v>45978</v>
      </c>
      <c r="B48" s="18">
        <f t="shared" si="6"/>
        <v>45979</v>
      </c>
      <c r="C48" s="18">
        <f t="shared" si="6"/>
        <v>45980</v>
      </c>
      <c r="D48" s="18">
        <f t="shared" si="6"/>
        <v>45981</v>
      </c>
      <c r="E48" s="18">
        <f t="shared" si="6"/>
        <v>45982</v>
      </c>
      <c r="F48" s="18">
        <f t="shared" si="6"/>
        <v>45983</v>
      </c>
      <c r="G48" s="18">
        <f t="shared" si="6"/>
        <v>45984</v>
      </c>
      <c r="H48" s="11" t="str">
        <f t="shared" si="2"/>
        <v>KW47 Nov-25</v>
      </c>
    </row>
    <row r="49" spans="1:8" x14ac:dyDescent="0.25">
      <c r="A49" s="18">
        <f t="shared" si="1"/>
        <v>45985</v>
      </c>
      <c r="B49" s="18">
        <f t="shared" si="6"/>
        <v>45986</v>
      </c>
      <c r="C49" s="18">
        <f t="shared" si="6"/>
        <v>45987</v>
      </c>
      <c r="D49" s="18">
        <f t="shared" si="6"/>
        <v>45988</v>
      </c>
      <c r="E49" s="18">
        <f t="shared" si="6"/>
        <v>45989</v>
      </c>
      <c r="F49" s="18">
        <f t="shared" si="6"/>
        <v>45990</v>
      </c>
      <c r="G49" s="18">
        <f t="shared" si="6"/>
        <v>45991</v>
      </c>
      <c r="H49" s="11" t="str">
        <f t="shared" si="2"/>
        <v>KW48 Nov-25</v>
      </c>
    </row>
    <row r="50" spans="1:8" x14ac:dyDescent="0.25">
      <c r="A50" s="18">
        <f t="shared" si="1"/>
        <v>45992</v>
      </c>
      <c r="B50" s="18">
        <f t="shared" si="6"/>
        <v>45993</v>
      </c>
      <c r="C50" s="18">
        <f t="shared" si="6"/>
        <v>45994</v>
      </c>
      <c r="D50" s="18">
        <f t="shared" si="6"/>
        <v>45995</v>
      </c>
      <c r="E50" s="18">
        <f t="shared" si="6"/>
        <v>45996</v>
      </c>
      <c r="F50" s="18">
        <f t="shared" si="6"/>
        <v>45997</v>
      </c>
      <c r="G50" s="18">
        <f t="shared" si="6"/>
        <v>45998</v>
      </c>
      <c r="H50" s="11" t="str">
        <f t="shared" si="2"/>
        <v>KW49 Dec-25</v>
      </c>
    </row>
    <row r="51" spans="1:8" x14ac:dyDescent="0.25">
      <c r="A51" s="18">
        <f t="shared" si="1"/>
        <v>45999</v>
      </c>
      <c r="B51" s="18">
        <f t="shared" si="6"/>
        <v>46000</v>
      </c>
      <c r="C51" s="18">
        <f t="shared" si="6"/>
        <v>46001</v>
      </c>
      <c r="D51" s="18">
        <f t="shared" si="6"/>
        <v>46002</v>
      </c>
      <c r="E51" s="18">
        <f t="shared" si="6"/>
        <v>46003</v>
      </c>
      <c r="F51" s="18">
        <f t="shared" si="6"/>
        <v>46004</v>
      </c>
      <c r="G51" s="18">
        <f t="shared" si="6"/>
        <v>46005</v>
      </c>
      <c r="H51" s="11" t="str">
        <f t="shared" si="2"/>
        <v>KW50 Dec-25</v>
      </c>
    </row>
    <row r="52" spans="1:8" x14ac:dyDescent="0.25">
      <c r="A52" s="18">
        <f t="shared" si="1"/>
        <v>46006</v>
      </c>
      <c r="B52" s="18">
        <f t="shared" si="6"/>
        <v>46007</v>
      </c>
      <c r="C52" s="18">
        <f t="shared" si="6"/>
        <v>46008</v>
      </c>
      <c r="D52" s="18">
        <f t="shared" si="6"/>
        <v>46009</v>
      </c>
      <c r="E52" s="18">
        <f t="shared" si="6"/>
        <v>46010</v>
      </c>
      <c r="F52" s="18">
        <f t="shared" si="6"/>
        <v>46011</v>
      </c>
      <c r="G52" s="18">
        <f t="shared" si="6"/>
        <v>46012</v>
      </c>
      <c r="H52" s="11" t="str">
        <f t="shared" si="2"/>
        <v>KW51 Dec-25</v>
      </c>
    </row>
    <row r="53" spans="1:8" x14ac:dyDescent="0.25">
      <c r="A53" s="18">
        <f t="shared" si="1"/>
        <v>46013</v>
      </c>
      <c r="B53" s="18">
        <f t="shared" si="6"/>
        <v>46014</v>
      </c>
      <c r="C53" s="18">
        <f t="shared" si="6"/>
        <v>46015</v>
      </c>
      <c r="D53" s="18">
        <f t="shared" si="6"/>
        <v>46016</v>
      </c>
      <c r="E53" s="18">
        <f t="shared" si="6"/>
        <v>46017</v>
      </c>
      <c r="F53" s="18">
        <f t="shared" si="6"/>
        <v>46018</v>
      </c>
      <c r="G53" s="18">
        <f t="shared" si="6"/>
        <v>46019</v>
      </c>
      <c r="H53" s="11" t="str">
        <f t="shared" si="2"/>
        <v>KW52 Dec-25</v>
      </c>
    </row>
    <row r="54" spans="1:8" x14ac:dyDescent="0.25">
      <c r="A54" s="18">
        <f t="shared" ref="A54" si="8">G53+1</f>
        <v>46020</v>
      </c>
      <c r="B54" s="18">
        <f t="shared" ref="B54" si="9">A54+1</f>
        <v>46021</v>
      </c>
      <c r="C54" s="18">
        <f t="shared" ref="C54" si="10">B54+1</f>
        <v>46022</v>
      </c>
      <c r="D54" s="18">
        <f t="shared" ref="D54" si="11">C54+1</f>
        <v>46023</v>
      </c>
      <c r="E54" s="18">
        <f t="shared" ref="E54" si="12">D54+1</f>
        <v>46024</v>
      </c>
      <c r="F54" s="18">
        <f t="shared" ref="F54" si="13">E54+1</f>
        <v>46025</v>
      </c>
      <c r="G54" s="18">
        <f t="shared" ref="G54" si="14">F54+1</f>
        <v>46026</v>
      </c>
      <c r="H54" s="11" t="str">
        <f t="shared" si="2"/>
        <v>KW01 Jan-26</v>
      </c>
    </row>
    <row r="55" spans="1:8" x14ac:dyDescent="0.25">
      <c r="A55" s="18"/>
      <c r="B55" s="18"/>
      <c r="C55" s="18"/>
      <c r="D55" s="18"/>
      <c r="E55" s="18"/>
      <c r="F55" s="18"/>
      <c r="G55" s="18"/>
      <c r="H55" s="11"/>
    </row>
    <row r="56" spans="1:8" x14ac:dyDescent="0.25">
      <c r="A56" s="18"/>
      <c r="B56" s="18"/>
      <c r="C56" s="18"/>
      <c r="D56" s="18"/>
      <c r="E56" s="18"/>
      <c r="F56" s="18"/>
      <c r="G56" s="18"/>
    </row>
    <row r="57" spans="1:8" x14ac:dyDescent="0.25">
      <c r="A57" s="18"/>
      <c r="B57" s="18"/>
      <c r="C57" s="18"/>
      <c r="D57" s="18"/>
      <c r="E57" s="18"/>
      <c r="F57" s="18"/>
      <c r="G57" s="18"/>
    </row>
    <row r="58" spans="1:8" x14ac:dyDescent="0.25">
      <c r="A58" s="18"/>
      <c r="B58" s="18"/>
      <c r="C58" s="18"/>
      <c r="D58" s="18"/>
      <c r="E58" s="18"/>
      <c r="F58" s="18"/>
      <c r="G58" s="18"/>
    </row>
    <row r="59" spans="1:8" x14ac:dyDescent="0.25">
      <c r="A59" s="18"/>
      <c r="B59" s="18"/>
      <c r="C59" s="18"/>
      <c r="D59" s="18"/>
      <c r="E59" s="18"/>
      <c r="F59" s="18"/>
      <c r="G59" s="18"/>
    </row>
    <row r="60" spans="1:8" x14ac:dyDescent="0.25">
      <c r="A60" s="18"/>
      <c r="B60" s="18"/>
      <c r="C60" s="18"/>
      <c r="D60" s="18"/>
      <c r="E60" s="18"/>
      <c r="F60" s="18"/>
      <c r="G60" s="18"/>
    </row>
    <row r="61" spans="1:8" x14ac:dyDescent="0.25">
      <c r="A61" s="18"/>
      <c r="B61" s="18"/>
      <c r="C61" s="18"/>
      <c r="D61" s="18"/>
      <c r="E61" s="18"/>
      <c r="F61" s="18"/>
      <c r="G61" s="18"/>
    </row>
    <row r="62" spans="1:8" x14ac:dyDescent="0.25">
      <c r="A62" s="18"/>
      <c r="B62" s="18"/>
      <c r="C62" s="18"/>
      <c r="D62" s="18"/>
      <c r="E62" s="18"/>
      <c r="F62" s="18"/>
      <c r="G62" s="18"/>
    </row>
    <row r="63" spans="1:8" x14ac:dyDescent="0.25">
      <c r="A63" s="18"/>
      <c r="B63" s="18"/>
      <c r="C63" s="18"/>
      <c r="D63" s="18"/>
      <c r="E63" s="18"/>
      <c r="F63" s="18"/>
      <c r="G63" s="18"/>
    </row>
    <row r="64" spans="1:8" x14ac:dyDescent="0.25">
      <c r="A64" s="18"/>
      <c r="B64" s="18"/>
      <c r="C64" s="18"/>
      <c r="D64" s="18"/>
      <c r="E64" s="18"/>
      <c r="F64" s="18"/>
      <c r="G64" s="18"/>
    </row>
  </sheetData>
  <conditionalFormatting sqref="A2:G55">
    <cfRule type="expression" dxfId="14" priority="3">
      <formula>AND(COUNTIF($P$2:$P$20,A2),A2&lt;&gt;0)</formula>
    </cfRule>
    <cfRule type="expression" dxfId="13" priority="4">
      <formula>WEEKDAY(A2,2)&gt;=6</formula>
    </cfRule>
    <cfRule type="cellIs" dxfId="12" priority="5" operator="equal">
      <formula>TODAY()</formula>
    </cfRule>
    <cfRule type="expression" dxfId="11" priority="6">
      <formula>COUNTIFS($J$2:$J$38,"&lt;="&amp;A2,$K$2:$K$38,"&gt;=" &amp; A2)&gt;0</formula>
    </cfRule>
    <cfRule type="expression" dxfId="10" priority="7">
      <formula>MOD(MONTH(A2),2)=0</formula>
    </cfRule>
  </conditionalFormatting>
  <conditionalFormatting sqref="H2:H55">
    <cfRule type="expression" dxfId="9" priority="2">
      <formula>AND($A2&lt;=TODAY(),$G2&gt;=TODAY())</formula>
    </cfRule>
  </conditionalFormatting>
  <conditionalFormatting sqref="L2:L38">
    <cfRule type="expression" dxfId="8" priority="1">
      <formula>SUMPRODUCT(($P$2:$P$4&lt;=K2)*($P$2:$P$4&gt;=J2)*1)&gt;0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6DDA-B428-41CC-9BBA-E388F42A401E}">
  <sheetPr codeName="Sheet10"/>
  <dimension ref="A1:R64"/>
  <sheetViews>
    <sheetView showGridLines="0" tabSelected="1" zoomScaleNormal="100" workbookViewId="0"/>
  </sheetViews>
  <sheetFormatPr defaultRowHeight="15" x14ac:dyDescent="0.25"/>
  <cols>
    <col min="1" max="7" width="3.5703125" style="20" customWidth="1"/>
    <col min="8" max="8" width="11.85546875" bestFit="1" customWidth="1"/>
    <col min="9" max="9" width="5.5703125" customWidth="1"/>
    <col min="10" max="11" width="15.42578125" bestFit="1" customWidth="1"/>
    <col min="12" max="12" width="10.85546875" bestFit="1" customWidth="1"/>
    <col min="13" max="13" width="5.5703125" customWidth="1"/>
    <col min="14" max="14" width="15.5703125" bestFit="1" customWidth="1"/>
    <col min="15" max="15" width="5.5703125" customWidth="1"/>
    <col min="16" max="16" width="15.42578125" bestFit="1" customWidth="1"/>
    <col min="17" max="17" width="5.5703125" customWidth="1"/>
  </cols>
  <sheetData>
    <row r="1" spans="1:18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0" t="s">
        <v>13</v>
      </c>
      <c r="J1" s="9" t="s">
        <v>7</v>
      </c>
      <c r="K1" s="9" t="s">
        <v>23</v>
      </c>
      <c r="L1" s="9" t="s">
        <v>8</v>
      </c>
      <c r="N1" s="9" t="s">
        <v>19</v>
      </c>
      <c r="P1" s="9" t="s">
        <v>10</v>
      </c>
      <c r="R1" s="9" t="s">
        <v>14</v>
      </c>
    </row>
    <row r="2" spans="1:18" x14ac:dyDescent="0.25">
      <c r="A2" s="18">
        <f>DATE(N11,1,-2)-WEEKDAY(DATE(N11,1,3))+7</f>
        <v>46020</v>
      </c>
      <c r="B2" s="18">
        <f>A2+1</f>
        <v>46021</v>
      </c>
      <c r="C2" s="18">
        <f t="shared" ref="C2:G3" si="0">B2+1</f>
        <v>46022</v>
      </c>
      <c r="D2" s="18">
        <f t="shared" si="0"/>
        <v>46023</v>
      </c>
      <c r="E2" s="18">
        <f t="shared" si="0"/>
        <v>46024</v>
      </c>
      <c r="F2" s="18">
        <f t="shared" si="0"/>
        <v>46025</v>
      </c>
      <c r="G2" s="18">
        <f t="shared" si="0"/>
        <v>46026</v>
      </c>
      <c r="H2" s="11" t="str">
        <f>"KW"&amp;TEXT(_xlfn.ISOWEEKNUM($D2),"00") &amp;" " &amp; PROPER(TEXT(D2,"mmm-yy"))</f>
        <v>KW01 Jan-26</v>
      </c>
      <c r="J2" s="12">
        <v>46034</v>
      </c>
      <c r="K2" s="12">
        <v>46034</v>
      </c>
      <c r="L2" cm="1">
        <f t="array" aca="1" ref="L2" ca="1">IF(J2=0,"",SUMPRODUCT((WEEKDAY(ROW(INDIRECT(J2&amp;":"&amp;K2)),2)&lt;=5)*1)-SUMPRODUCT(($P$2:$P$11&lt;=K2)*($P$2:$P$11&gt;=J2)*1))</f>
        <v>1</v>
      </c>
      <c r="N2">
        <f ca="1">SUM(L2:L48)</f>
        <v>11.5</v>
      </c>
      <c r="O2" s="3"/>
      <c r="P2" s="14">
        <f>DATE(N11,1,1)</f>
        <v>46023</v>
      </c>
      <c r="R2" t="s">
        <v>20</v>
      </c>
    </row>
    <row r="3" spans="1:18" x14ac:dyDescent="0.25">
      <c r="A3" s="18">
        <f t="shared" ref="A3:A54" si="1">G2+1</f>
        <v>46027</v>
      </c>
      <c r="B3" s="18">
        <f>A3+1</f>
        <v>46028</v>
      </c>
      <c r="C3" s="18">
        <f t="shared" si="0"/>
        <v>46029</v>
      </c>
      <c r="D3" s="18">
        <f t="shared" si="0"/>
        <v>46030</v>
      </c>
      <c r="E3" s="18">
        <f t="shared" si="0"/>
        <v>46031</v>
      </c>
      <c r="F3" s="18">
        <f t="shared" si="0"/>
        <v>46032</v>
      </c>
      <c r="G3" s="18">
        <f t="shared" si="0"/>
        <v>46033</v>
      </c>
      <c r="H3" s="11" t="str">
        <f t="shared" ref="H3:H54" si="2">"KW"&amp;TEXT(_xlfn.ISOWEEKNUM($D3),"00") &amp;" " &amp; PROPER(TEXT(D3,"mmm-yy"))</f>
        <v>KW02 Jan-26</v>
      </c>
      <c r="J3" s="12">
        <v>46049</v>
      </c>
      <c r="K3" s="12">
        <v>46049</v>
      </c>
      <c r="L3" cm="1">
        <f t="array" aca="1" ref="L3" ca="1">IF(J3=0,"",SUMPRODUCT((WEEKDAY(ROW(INDIRECT(J3&amp;":"&amp;K3)),2)&lt;=5)*1)-SUMPRODUCT(($P$2:$P$11&lt;=K3)*($P$2:$P$11&gt;=J3)*1))</f>
        <v>1</v>
      </c>
      <c r="O3" s="4"/>
      <c r="P3" s="15">
        <f>DATE(N11,3,22)+MOD(19*MOD(N11,19)+24,30)+MOD(2*MOD(N11,4)+4*MOD(N11,7)+6*MOD(19*MOD(N11,19)+24,30)+5,7)+1</f>
        <v>46118</v>
      </c>
      <c r="R3" t="s">
        <v>21</v>
      </c>
    </row>
    <row r="4" spans="1:18" x14ac:dyDescent="0.25">
      <c r="A4" s="18">
        <f t="shared" si="1"/>
        <v>46034</v>
      </c>
      <c r="B4" s="18">
        <f t="shared" ref="B4:G19" si="3">A4+1</f>
        <v>46035</v>
      </c>
      <c r="C4" s="18">
        <f t="shared" si="3"/>
        <v>46036</v>
      </c>
      <c r="D4" s="18">
        <f t="shared" si="3"/>
        <v>46037</v>
      </c>
      <c r="E4" s="18">
        <f t="shared" si="3"/>
        <v>46038</v>
      </c>
      <c r="F4" s="18">
        <f t="shared" si="3"/>
        <v>46039</v>
      </c>
      <c r="G4" s="18">
        <f t="shared" si="3"/>
        <v>46040</v>
      </c>
      <c r="H4" s="11" t="str">
        <f t="shared" si="2"/>
        <v>KW03 Jan-26</v>
      </c>
      <c r="J4" s="12">
        <v>46056</v>
      </c>
      <c r="K4" s="12">
        <v>46056</v>
      </c>
      <c r="L4" cm="1">
        <f t="array" aca="1" ref="L4" ca="1">IF(J4=0,"",SUMPRODUCT((WEEKDAY(ROW(INDIRECT(J4&amp;":"&amp;K4)),2)&lt;=5)*1)-SUMPRODUCT(($P$2:$P$11&lt;=K4)*($P$2:$P$11&gt;=J4)*1))</f>
        <v>1</v>
      </c>
      <c r="N4" s="9" t="s">
        <v>11</v>
      </c>
      <c r="O4" s="4"/>
      <c r="P4" s="15">
        <f>DATE(N11,5,1)</f>
        <v>46143</v>
      </c>
      <c r="R4" t="s">
        <v>22</v>
      </c>
    </row>
    <row r="5" spans="1:18" x14ac:dyDescent="0.25">
      <c r="A5" s="18">
        <f t="shared" si="1"/>
        <v>46041</v>
      </c>
      <c r="B5" s="18">
        <f t="shared" si="3"/>
        <v>46042</v>
      </c>
      <c r="C5" s="18">
        <f t="shared" si="3"/>
        <v>46043</v>
      </c>
      <c r="D5" s="18">
        <f t="shared" si="3"/>
        <v>46044</v>
      </c>
      <c r="E5" s="18">
        <f t="shared" si="3"/>
        <v>46045</v>
      </c>
      <c r="F5" s="18">
        <f t="shared" si="3"/>
        <v>46046</v>
      </c>
      <c r="G5" s="18">
        <f t="shared" si="3"/>
        <v>46047</v>
      </c>
      <c r="H5" s="11" t="str">
        <f t="shared" si="2"/>
        <v>KW04 Jan-26</v>
      </c>
      <c r="J5" s="12">
        <v>46064</v>
      </c>
      <c r="K5" s="12">
        <v>46064</v>
      </c>
      <c r="L5" cm="1">
        <f t="array" aca="1" ref="L5" ca="1">IF(J5=0,"",SUMPRODUCT((WEEKDAY(ROW(INDIRECT(J5&amp;":"&amp;K5)),2)&lt;=5)*1)-SUMPRODUCT(($P$2:$P$11&lt;=K5)*($P$2:$P$11&gt;=J5)*1))</f>
        <v>1</v>
      </c>
      <c r="N5">
        <v>35</v>
      </c>
      <c r="O5" s="4"/>
      <c r="P5" s="15">
        <f>P3+38</f>
        <v>46156</v>
      </c>
    </row>
    <row r="6" spans="1:18" x14ac:dyDescent="0.25">
      <c r="A6" s="18">
        <f t="shared" si="1"/>
        <v>46048</v>
      </c>
      <c r="B6" s="18">
        <f t="shared" si="3"/>
        <v>46049</v>
      </c>
      <c r="C6" s="18">
        <f t="shared" si="3"/>
        <v>46050</v>
      </c>
      <c r="D6" s="18">
        <f t="shared" si="3"/>
        <v>46051</v>
      </c>
      <c r="E6" s="18">
        <f t="shared" si="3"/>
        <v>46052</v>
      </c>
      <c r="F6" s="18">
        <f t="shared" si="3"/>
        <v>46053</v>
      </c>
      <c r="G6" s="18">
        <f t="shared" si="3"/>
        <v>46054</v>
      </c>
      <c r="H6" s="11" t="str">
        <f t="shared" si="2"/>
        <v>KW05 Jan-26</v>
      </c>
      <c r="J6" s="12">
        <v>46106</v>
      </c>
      <c r="K6" s="12">
        <v>46106</v>
      </c>
      <c r="L6" cm="1">
        <f t="array" aca="1" ref="L6" ca="1">IF(J6=0,"",SUMPRODUCT((WEEKDAY(ROW(INDIRECT(J6&amp;":"&amp;K6)),2)&lt;=5)*1)-SUMPRODUCT(($P$2:$P$11&lt;=K6)*($P$2:$P$11&gt;=J6)*1))</f>
        <v>1</v>
      </c>
      <c r="O6" s="4"/>
      <c r="P6" s="15">
        <f>P3+49</f>
        <v>46167</v>
      </c>
    </row>
    <row r="7" spans="1:18" x14ac:dyDescent="0.25">
      <c r="A7" s="18">
        <f t="shared" si="1"/>
        <v>46055</v>
      </c>
      <c r="B7" s="18">
        <f t="shared" si="3"/>
        <v>46056</v>
      </c>
      <c r="C7" s="18">
        <f t="shared" si="3"/>
        <v>46057</v>
      </c>
      <c r="D7" s="18">
        <f t="shared" si="3"/>
        <v>46058</v>
      </c>
      <c r="E7" s="18">
        <f t="shared" si="3"/>
        <v>46059</v>
      </c>
      <c r="F7" s="18">
        <f t="shared" si="3"/>
        <v>46060</v>
      </c>
      <c r="G7" s="18">
        <f t="shared" si="3"/>
        <v>46061</v>
      </c>
      <c r="H7" s="11" t="str">
        <f t="shared" si="2"/>
        <v>KW06 Feb-26</v>
      </c>
      <c r="J7" s="12">
        <v>46148</v>
      </c>
      <c r="K7" s="12">
        <v>46148</v>
      </c>
      <c r="L7" cm="1">
        <f t="array" aca="1" ref="L7" ca="1">IF(J7=0,"",SUMPRODUCT((WEEKDAY(ROW(INDIRECT(J7&amp;":"&amp;K7)),2)&lt;=5)*1)-SUMPRODUCT(($P$2:$P$11&lt;=K7)*($P$2:$P$11&gt;=J7)*1))</f>
        <v>1</v>
      </c>
      <c r="N7" s="9" t="s">
        <v>12</v>
      </c>
      <c r="O7" s="4"/>
      <c r="P7" s="15">
        <f>DATE(N11,7,21)</f>
        <v>46224</v>
      </c>
    </row>
    <row r="8" spans="1:18" x14ac:dyDescent="0.25">
      <c r="A8" s="18">
        <f t="shared" si="1"/>
        <v>46062</v>
      </c>
      <c r="B8" s="18">
        <f t="shared" si="3"/>
        <v>46063</v>
      </c>
      <c r="C8" s="18">
        <f t="shared" si="3"/>
        <v>46064</v>
      </c>
      <c r="D8" s="18">
        <f t="shared" si="3"/>
        <v>46065</v>
      </c>
      <c r="E8" s="18">
        <f t="shared" si="3"/>
        <v>46066</v>
      </c>
      <c r="F8" s="18">
        <f t="shared" si="3"/>
        <v>46067</v>
      </c>
      <c r="G8" s="18">
        <f t="shared" si="3"/>
        <v>46068</v>
      </c>
      <c r="H8" s="11" t="str">
        <f t="shared" si="2"/>
        <v>KW07 Feb-26</v>
      </c>
      <c r="J8" s="12">
        <v>46190</v>
      </c>
      <c r="K8" s="12">
        <v>46190</v>
      </c>
      <c r="L8">
        <v>0.5</v>
      </c>
      <c r="N8">
        <f ca="1">N5-N2</f>
        <v>23.5</v>
      </c>
      <c r="O8" s="4"/>
      <c r="P8" s="15">
        <f>DATE(N11,8,15)</f>
        <v>46249</v>
      </c>
    </row>
    <row r="9" spans="1:18" x14ac:dyDescent="0.25">
      <c r="A9" s="18">
        <f t="shared" si="1"/>
        <v>46069</v>
      </c>
      <c r="B9" s="18">
        <f t="shared" si="3"/>
        <v>46070</v>
      </c>
      <c r="C9" s="18">
        <f t="shared" si="3"/>
        <v>46071</v>
      </c>
      <c r="D9" s="18">
        <f t="shared" si="3"/>
        <v>46072</v>
      </c>
      <c r="E9" s="18">
        <f t="shared" si="3"/>
        <v>46073</v>
      </c>
      <c r="F9" s="18">
        <f t="shared" si="3"/>
        <v>46074</v>
      </c>
      <c r="G9" s="18">
        <f t="shared" si="3"/>
        <v>46075</v>
      </c>
      <c r="H9" s="11" t="str">
        <f t="shared" si="2"/>
        <v>KW08 Feb-26</v>
      </c>
      <c r="J9" s="12">
        <v>46197</v>
      </c>
      <c r="K9" s="12">
        <v>46197</v>
      </c>
      <c r="L9">
        <v>0.5</v>
      </c>
      <c r="O9" s="4"/>
      <c r="P9" s="15">
        <f>DATE(N11,11,1)</f>
        <v>46327</v>
      </c>
    </row>
    <row r="10" spans="1:18" x14ac:dyDescent="0.25">
      <c r="A10" s="18">
        <f t="shared" si="1"/>
        <v>46076</v>
      </c>
      <c r="B10" s="18">
        <f t="shared" si="3"/>
        <v>46077</v>
      </c>
      <c r="C10" s="18">
        <f t="shared" si="3"/>
        <v>46078</v>
      </c>
      <c r="D10" s="18">
        <f t="shared" si="3"/>
        <v>46079</v>
      </c>
      <c r="E10" s="18">
        <f t="shared" si="3"/>
        <v>46080</v>
      </c>
      <c r="F10" s="18">
        <f t="shared" si="3"/>
        <v>46081</v>
      </c>
      <c r="G10" s="18">
        <f t="shared" si="3"/>
        <v>46082</v>
      </c>
      <c r="H10" s="11" t="str">
        <f t="shared" si="2"/>
        <v>KW09 Feb-26</v>
      </c>
      <c r="J10" s="12">
        <v>46220</v>
      </c>
      <c r="K10" s="12">
        <v>46220</v>
      </c>
      <c r="L10">
        <v>0.5</v>
      </c>
      <c r="M10" s="1"/>
      <c r="N10" s="9" t="s">
        <v>18</v>
      </c>
      <c r="O10" s="4"/>
      <c r="P10" s="15">
        <f>DATE(N11,11,11)</f>
        <v>46337</v>
      </c>
    </row>
    <row r="11" spans="1:18" x14ac:dyDescent="0.25">
      <c r="A11" s="18">
        <f t="shared" si="1"/>
        <v>46083</v>
      </c>
      <c r="B11" s="18">
        <f t="shared" si="3"/>
        <v>46084</v>
      </c>
      <c r="C11" s="18">
        <f t="shared" si="3"/>
        <v>46085</v>
      </c>
      <c r="D11" s="18">
        <f t="shared" si="3"/>
        <v>46086</v>
      </c>
      <c r="E11" s="18">
        <f t="shared" si="3"/>
        <v>46087</v>
      </c>
      <c r="F11" s="18">
        <f t="shared" si="3"/>
        <v>46088</v>
      </c>
      <c r="G11" s="18">
        <f t="shared" si="3"/>
        <v>46089</v>
      </c>
      <c r="H11" s="11" t="str">
        <f t="shared" si="2"/>
        <v>KW10 Mar-26</v>
      </c>
      <c r="J11" s="12">
        <v>46238</v>
      </c>
      <c r="K11" s="12">
        <v>46238</v>
      </c>
      <c r="L11" cm="1">
        <f t="array" aca="1" ref="L11" ca="1">IF(J11=0,"",SUMPRODUCT((WEEKDAY(ROW(INDIRECT(J11&amp;":"&amp;K11)),2)&lt;=5)*1)-SUMPRODUCT(($P$2:$P$11&lt;=K11)*($P$2:$P$11&gt;=J11)*1))</f>
        <v>1</v>
      </c>
      <c r="N11">
        <v>2026</v>
      </c>
      <c r="O11" s="4"/>
      <c r="P11" s="15">
        <f>DATE(N11,12,25)</f>
        <v>46381</v>
      </c>
    </row>
    <row r="12" spans="1:18" x14ac:dyDescent="0.25">
      <c r="A12" s="18">
        <f t="shared" si="1"/>
        <v>46090</v>
      </c>
      <c r="B12" s="18">
        <f t="shared" si="3"/>
        <v>46091</v>
      </c>
      <c r="C12" s="18">
        <f t="shared" si="3"/>
        <v>46092</v>
      </c>
      <c r="D12" s="18">
        <f t="shared" si="3"/>
        <v>46093</v>
      </c>
      <c r="E12" s="18">
        <f t="shared" si="3"/>
        <v>46094</v>
      </c>
      <c r="F12" s="18">
        <f t="shared" si="3"/>
        <v>46095</v>
      </c>
      <c r="G12" s="18">
        <f t="shared" si="3"/>
        <v>46096</v>
      </c>
      <c r="H12" s="11" t="str">
        <f t="shared" si="2"/>
        <v>KW11 Mar-26</v>
      </c>
      <c r="J12" s="12">
        <v>46245</v>
      </c>
      <c r="K12" s="12">
        <v>46245</v>
      </c>
      <c r="L12" cm="1">
        <f t="array" aca="1" ref="L12" ca="1">IF(J12=0,"",SUMPRODUCT((WEEKDAY(ROW(INDIRECT(J12&amp;":"&amp;K12)),2)&lt;=5)*1)-SUMPRODUCT(($P$2:$P$11&lt;=K12)*($P$2:$P$11&gt;=J12)*1))</f>
        <v>1</v>
      </c>
      <c r="O12" s="4"/>
      <c r="P12" s="4"/>
    </row>
    <row r="13" spans="1:18" x14ac:dyDescent="0.25">
      <c r="A13" s="18">
        <f t="shared" si="1"/>
        <v>46097</v>
      </c>
      <c r="B13" s="18">
        <f t="shared" si="3"/>
        <v>46098</v>
      </c>
      <c r="C13" s="18">
        <f t="shared" si="3"/>
        <v>46099</v>
      </c>
      <c r="D13" s="18">
        <f t="shared" si="3"/>
        <v>46100</v>
      </c>
      <c r="E13" s="18">
        <f t="shared" si="3"/>
        <v>46101</v>
      </c>
      <c r="F13" s="18">
        <f t="shared" si="3"/>
        <v>46102</v>
      </c>
      <c r="G13" s="18">
        <f t="shared" si="3"/>
        <v>46103</v>
      </c>
      <c r="H13" s="11" t="str">
        <f t="shared" si="2"/>
        <v>KW12 Mar-26</v>
      </c>
      <c r="J13" s="12">
        <v>46251</v>
      </c>
      <c r="K13" s="12">
        <v>46251</v>
      </c>
      <c r="L13" cm="1">
        <f t="array" aca="1" ref="L13" ca="1">IF(J13=0,"",SUMPRODUCT((WEEKDAY(ROW(INDIRECT(J13&amp;":"&amp;K13)),2)&lt;=5)*1)-SUMPRODUCT(($P$2:$P$11&lt;=K13)*($P$2:$P$11&gt;=J13)*1))</f>
        <v>1</v>
      </c>
      <c r="O13" s="4"/>
      <c r="P13" s="5"/>
    </row>
    <row r="14" spans="1:18" x14ac:dyDescent="0.25">
      <c r="A14" s="18">
        <f t="shared" si="1"/>
        <v>46104</v>
      </c>
      <c r="B14" s="18">
        <f t="shared" si="3"/>
        <v>46105</v>
      </c>
      <c r="C14" s="18">
        <f t="shared" si="3"/>
        <v>46106</v>
      </c>
      <c r="D14" s="18">
        <f t="shared" si="3"/>
        <v>46107</v>
      </c>
      <c r="E14" s="18">
        <f t="shared" si="3"/>
        <v>46108</v>
      </c>
      <c r="F14" s="18">
        <f t="shared" si="3"/>
        <v>46109</v>
      </c>
      <c r="G14" s="18">
        <f t="shared" si="3"/>
        <v>46110</v>
      </c>
      <c r="H14" s="11" t="str">
        <f t="shared" si="2"/>
        <v>KW13 Mar-26</v>
      </c>
      <c r="J14" s="12">
        <v>46265</v>
      </c>
      <c r="K14" s="12">
        <v>46265</v>
      </c>
      <c r="L14" cm="1">
        <f t="array" aca="1" ref="L14" ca="1">IF(J14=0,"",SUMPRODUCT((WEEKDAY(ROW(INDIRECT(J14&amp;":"&amp;K14)),2)&lt;=5)*1)-SUMPRODUCT(($P$2:$P$11&lt;=K14)*($P$2:$P$11&gt;=J14)*1))</f>
        <v>1</v>
      </c>
      <c r="O14" s="4"/>
      <c r="P14" s="5"/>
    </row>
    <row r="15" spans="1:18" x14ac:dyDescent="0.25">
      <c r="A15" s="18">
        <f t="shared" si="1"/>
        <v>46111</v>
      </c>
      <c r="B15" s="18">
        <f t="shared" si="3"/>
        <v>46112</v>
      </c>
      <c r="C15" s="18">
        <f t="shared" si="3"/>
        <v>46113</v>
      </c>
      <c r="D15" s="18">
        <f t="shared" si="3"/>
        <v>46114</v>
      </c>
      <c r="E15" s="18">
        <f t="shared" si="3"/>
        <v>46115</v>
      </c>
      <c r="F15" s="18">
        <f t="shared" si="3"/>
        <v>46116</v>
      </c>
      <c r="G15" s="18">
        <f t="shared" si="3"/>
        <v>46117</v>
      </c>
      <c r="H15" s="11" t="str">
        <f t="shared" si="2"/>
        <v>KW14 Apr-26</v>
      </c>
      <c r="J15" s="12"/>
      <c r="K15" s="12"/>
      <c r="L15" t="str" cm="1">
        <f t="array" aca="1" ref="L15" ca="1">IF(J15=0,"",SUMPRODUCT((WEEKDAY(ROW(INDIRECT(J15&amp;":"&amp;K15)),2)&lt;=5)*1)-SUMPRODUCT(($P$2:$P$11&lt;=K15)*($P$2:$P$11&gt;=J15)*1))</f>
        <v/>
      </c>
      <c r="O15" s="4"/>
      <c r="P15" s="5"/>
    </row>
    <row r="16" spans="1:18" x14ac:dyDescent="0.25">
      <c r="A16" s="18">
        <f t="shared" si="1"/>
        <v>46118</v>
      </c>
      <c r="B16" s="18">
        <f t="shared" si="3"/>
        <v>46119</v>
      </c>
      <c r="C16" s="18">
        <f t="shared" si="3"/>
        <v>46120</v>
      </c>
      <c r="D16" s="18">
        <f t="shared" si="3"/>
        <v>46121</v>
      </c>
      <c r="E16" s="18">
        <f t="shared" si="3"/>
        <v>46122</v>
      </c>
      <c r="F16" s="18">
        <f t="shared" si="3"/>
        <v>46123</v>
      </c>
      <c r="G16" s="18">
        <f t="shared" si="3"/>
        <v>46124</v>
      </c>
      <c r="H16" s="11" t="str">
        <f t="shared" si="2"/>
        <v>KW15 Apr-26</v>
      </c>
      <c r="J16" s="12"/>
      <c r="K16" s="12"/>
      <c r="L16" t="str" cm="1">
        <f t="array" aca="1" ref="L16" ca="1">IF(J16=0,"",SUMPRODUCT((WEEKDAY(ROW(INDIRECT(J16&amp;":"&amp;K16)),2)&lt;=5)*1)-SUMPRODUCT(($P$2:$P$11&lt;=K16)*($P$2:$P$11&gt;=J16)*1))</f>
        <v/>
      </c>
      <c r="P16" s="5"/>
    </row>
    <row r="17" spans="1:16" x14ac:dyDescent="0.25">
      <c r="A17" s="18">
        <f t="shared" si="1"/>
        <v>46125</v>
      </c>
      <c r="B17" s="18">
        <f t="shared" si="3"/>
        <v>46126</v>
      </c>
      <c r="C17" s="18">
        <f t="shared" si="3"/>
        <v>46127</v>
      </c>
      <c r="D17" s="18">
        <f t="shared" si="3"/>
        <v>46128</v>
      </c>
      <c r="E17" s="18">
        <f t="shared" si="3"/>
        <v>46129</v>
      </c>
      <c r="F17" s="18">
        <f t="shared" si="3"/>
        <v>46130</v>
      </c>
      <c r="G17" s="18">
        <f t="shared" si="3"/>
        <v>46131</v>
      </c>
      <c r="H17" s="11" t="str">
        <f t="shared" si="2"/>
        <v>KW16 Apr-26</v>
      </c>
      <c r="J17" s="12"/>
      <c r="K17" s="12"/>
      <c r="L17" t="str" cm="1">
        <f t="array" aca="1" ref="L17" ca="1">IF(J17=0,"",SUMPRODUCT((WEEKDAY(ROW(INDIRECT(J17&amp;":"&amp;K17)),2)&lt;=5)*1)-SUMPRODUCT(($P$2:$P$11&lt;=K17)*($P$2:$P$11&gt;=J17)*1))</f>
        <v/>
      </c>
      <c r="O17" s="4"/>
      <c r="P17" s="4"/>
    </row>
    <row r="18" spans="1:16" x14ac:dyDescent="0.25">
      <c r="A18" s="18">
        <f t="shared" si="1"/>
        <v>46132</v>
      </c>
      <c r="B18" s="18">
        <f t="shared" si="3"/>
        <v>46133</v>
      </c>
      <c r="C18" s="18">
        <f t="shared" si="3"/>
        <v>46134</v>
      </c>
      <c r="D18" s="18">
        <f t="shared" si="3"/>
        <v>46135</v>
      </c>
      <c r="E18" s="18">
        <f t="shared" si="3"/>
        <v>46136</v>
      </c>
      <c r="F18" s="18">
        <f t="shared" si="3"/>
        <v>46137</v>
      </c>
      <c r="G18" s="18">
        <f t="shared" si="3"/>
        <v>46138</v>
      </c>
      <c r="H18" s="11" t="str">
        <f t="shared" si="2"/>
        <v>KW17 Apr-26</v>
      </c>
      <c r="J18" s="12"/>
      <c r="K18" s="12"/>
      <c r="L18" t="str" cm="1">
        <f t="array" aca="1" ref="L18" ca="1">IF(J18=0,"",SUMPRODUCT((WEEKDAY(ROW(INDIRECT(J18&amp;":"&amp;K18)),2)&lt;=5)*1)-SUMPRODUCT(($P$2:$P$11&lt;=K18)*($P$2:$P$11&gt;=J18)*1))</f>
        <v/>
      </c>
      <c r="O18" s="4"/>
      <c r="P18" s="5"/>
    </row>
    <row r="19" spans="1:16" x14ac:dyDescent="0.25">
      <c r="A19" s="18">
        <f t="shared" si="1"/>
        <v>46139</v>
      </c>
      <c r="B19" s="18">
        <f t="shared" si="3"/>
        <v>46140</v>
      </c>
      <c r="C19" s="18">
        <f t="shared" si="3"/>
        <v>46141</v>
      </c>
      <c r="D19" s="18">
        <f t="shared" si="3"/>
        <v>46142</v>
      </c>
      <c r="E19" s="18">
        <f t="shared" si="3"/>
        <v>46143</v>
      </c>
      <c r="F19" s="18">
        <f t="shared" si="3"/>
        <v>46144</v>
      </c>
      <c r="G19" s="18">
        <f t="shared" si="3"/>
        <v>46145</v>
      </c>
      <c r="H19" s="11" t="str">
        <f t="shared" si="2"/>
        <v>KW18 Apr-26</v>
      </c>
      <c r="J19" s="12"/>
      <c r="K19" s="12"/>
      <c r="L19" t="str" cm="1">
        <f t="array" aca="1" ref="L19" ca="1">IF(J19=0,"",SUMPRODUCT((WEEKDAY(ROW(INDIRECT(J19&amp;":"&amp;K19)),2)&lt;=5)*1)-SUMPRODUCT(($P$2:$P$11&lt;=K19)*($P$2:$P$11&gt;=J19)*1))</f>
        <v/>
      </c>
      <c r="O19" s="4"/>
      <c r="P19" s="15"/>
    </row>
    <row r="20" spans="1:16" x14ac:dyDescent="0.25">
      <c r="A20" s="18">
        <f t="shared" si="1"/>
        <v>46146</v>
      </c>
      <c r="B20" s="18">
        <f t="shared" ref="B20:G53" si="4">A20+1</f>
        <v>46147</v>
      </c>
      <c r="C20" s="18">
        <f t="shared" si="4"/>
        <v>46148</v>
      </c>
      <c r="D20" s="18">
        <f t="shared" si="4"/>
        <v>46149</v>
      </c>
      <c r="E20" s="18">
        <f t="shared" si="4"/>
        <v>46150</v>
      </c>
      <c r="F20" s="18">
        <f t="shared" si="4"/>
        <v>46151</v>
      </c>
      <c r="G20" s="18">
        <f t="shared" si="4"/>
        <v>46152</v>
      </c>
      <c r="H20" s="11" t="str">
        <f t="shared" si="2"/>
        <v>KW19 May-26</v>
      </c>
      <c r="J20" s="12"/>
      <c r="K20" s="12"/>
      <c r="L20" t="str" cm="1">
        <f t="array" aca="1" ref="L20" ca="1">IF(J20=0,"",SUMPRODUCT((WEEKDAY(ROW(INDIRECT(J20&amp;":"&amp;K20)),2)&lt;=5)*1)-SUMPRODUCT(($P$2:$P$11&lt;=K20)*($P$2:$P$11&gt;=J20)*1))</f>
        <v/>
      </c>
      <c r="O20" s="4"/>
      <c r="P20" s="5"/>
    </row>
    <row r="21" spans="1:16" x14ac:dyDescent="0.25">
      <c r="A21" s="18">
        <f t="shared" si="1"/>
        <v>46153</v>
      </c>
      <c r="B21" s="18">
        <f t="shared" si="4"/>
        <v>46154</v>
      </c>
      <c r="C21" s="18">
        <f t="shared" si="4"/>
        <v>46155</v>
      </c>
      <c r="D21" s="18">
        <f t="shared" si="4"/>
        <v>46156</v>
      </c>
      <c r="E21" s="18">
        <f t="shared" si="4"/>
        <v>46157</v>
      </c>
      <c r="F21" s="18">
        <f t="shared" si="4"/>
        <v>46158</v>
      </c>
      <c r="G21" s="18">
        <f t="shared" si="4"/>
        <v>46159</v>
      </c>
      <c r="H21" s="11" t="str">
        <f t="shared" si="2"/>
        <v>KW20 May-26</v>
      </c>
      <c r="J21" s="12"/>
      <c r="K21" s="12"/>
      <c r="L21" t="str" cm="1">
        <f t="array" aca="1" ref="L21" ca="1">IF(J21=0,"",SUMPRODUCT((WEEKDAY(ROW(INDIRECT(J21&amp;":"&amp;K21)),2)&lt;=5)*1)-SUMPRODUCT(($P$2:$P$11&lt;=K21)*($P$2:$P$11&gt;=J21)*1))</f>
        <v/>
      </c>
    </row>
    <row r="22" spans="1:16" x14ac:dyDescent="0.25">
      <c r="A22" s="19">
        <f t="shared" si="1"/>
        <v>46160</v>
      </c>
      <c r="B22" s="19">
        <f t="shared" si="4"/>
        <v>46161</v>
      </c>
      <c r="C22" s="19">
        <f t="shared" si="4"/>
        <v>46162</v>
      </c>
      <c r="D22" s="19">
        <f t="shared" si="4"/>
        <v>46163</v>
      </c>
      <c r="E22" s="19">
        <f t="shared" si="4"/>
        <v>46164</v>
      </c>
      <c r="F22" s="19">
        <f t="shared" si="4"/>
        <v>46165</v>
      </c>
      <c r="G22" s="18">
        <f t="shared" si="4"/>
        <v>46166</v>
      </c>
      <c r="H22" s="11" t="str">
        <f t="shared" si="2"/>
        <v>KW21 May-26</v>
      </c>
      <c r="J22" s="12"/>
      <c r="K22" s="12"/>
      <c r="L22" t="str" cm="1">
        <f t="array" aca="1" ref="L22" ca="1">IF(J22=0,"",SUMPRODUCT((WEEKDAY(ROW(INDIRECT(J22&amp;":"&amp;K22)),2)&lt;=5)*1)-SUMPRODUCT(($P$2:$P$11&lt;=K22)*($P$2:$P$11&gt;=J22)*1))</f>
        <v/>
      </c>
    </row>
    <row r="23" spans="1:16" x14ac:dyDescent="0.25">
      <c r="A23" s="19">
        <f t="shared" si="1"/>
        <v>46167</v>
      </c>
      <c r="B23" s="19">
        <f t="shared" si="4"/>
        <v>46168</v>
      </c>
      <c r="C23" s="19">
        <f t="shared" si="4"/>
        <v>46169</v>
      </c>
      <c r="D23" s="19">
        <f t="shared" si="4"/>
        <v>46170</v>
      </c>
      <c r="E23" s="19">
        <f t="shared" si="4"/>
        <v>46171</v>
      </c>
      <c r="F23" s="19">
        <f t="shared" si="4"/>
        <v>46172</v>
      </c>
      <c r="G23" s="18">
        <f t="shared" si="4"/>
        <v>46173</v>
      </c>
      <c r="H23" s="11" t="str">
        <f t="shared" si="2"/>
        <v>KW22 May-26</v>
      </c>
      <c r="J23" s="12"/>
      <c r="K23" s="12"/>
      <c r="L23" t="str" cm="1">
        <f t="array" aca="1" ref="L23" ca="1">IF(J23=0,"",SUMPRODUCT((WEEKDAY(ROW(INDIRECT(J23&amp;":"&amp;K23)),2)&lt;=5)*1)-SUMPRODUCT(($P$2:$P$11&lt;=K23)*($P$2:$P$11&gt;=J23)*1))</f>
        <v/>
      </c>
    </row>
    <row r="24" spans="1:16" x14ac:dyDescent="0.25">
      <c r="A24" s="19">
        <f t="shared" si="1"/>
        <v>46174</v>
      </c>
      <c r="B24" s="19">
        <f t="shared" si="4"/>
        <v>46175</v>
      </c>
      <c r="C24" s="19">
        <f t="shared" si="4"/>
        <v>46176</v>
      </c>
      <c r="D24" s="19">
        <f t="shared" si="4"/>
        <v>46177</v>
      </c>
      <c r="E24" s="19">
        <f t="shared" si="4"/>
        <v>46178</v>
      </c>
      <c r="F24" s="19">
        <f t="shared" si="4"/>
        <v>46179</v>
      </c>
      <c r="G24" s="18">
        <f t="shared" si="4"/>
        <v>46180</v>
      </c>
      <c r="H24" s="11" t="str">
        <f t="shared" si="2"/>
        <v>KW23 Jun-26</v>
      </c>
      <c r="J24" s="12"/>
      <c r="K24" s="12"/>
      <c r="L24" t="str" cm="1">
        <f t="array" aca="1" ref="L24" ca="1">IF(J24=0,"",SUMPRODUCT((WEEKDAY(ROW(INDIRECT(J24&amp;":"&amp;K24)),2)&lt;=5)*1)-SUMPRODUCT(($P$2:$P$11&lt;=K24)*($P$2:$P$11&gt;=J24)*1))</f>
        <v/>
      </c>
    </row>
    <row r="25" spans="1:16" x14ac:dyDescent="0.25">
      <c r="A25" s="19">
        <f t="shared" si="1"/>
        <v>46181</v>
      </c>
      <c r="B25" s="19">
        <f t="shared" si="4"/>
        <v>46182</v>
      </c>
      <c r="C25" s="19">
        <f t="shared" si="4"/>
        <v>46183</v>
      </c>
      <c r="D25" s="19">
        <f t="shared" si="4"/>
        <v>46184</v>
      </c>
      <c r="E25" s="19">
        <f t="shared" si="4"/>
        <v>46185</v>
      </c>
      <c r="F25" s="19">
        <f t="shared" si="4"/>
        <v>46186</v>
      </c>
      <c r="G25" s="18">
        <f t="shared" si="4"/>
        <v>46187</v>
      </c>
      <c r="H25" s="11" t="str">
        <f t="shared" si="2"/>
        <v>KW24 Jun-26</v>
      </c>
      <c r="J25" s="12"/>
      <c r="K25" s="12"/>
      <c r="L25" t="str" cm="1">
        <f t="array" aca="1" ref="L25" ca="1">IF(J25=0,"",SUMPRODUCT((WEEKDAY(ROW(INDIRECT(J25&amp;":"&amp;K25)),2)&lt;=5)*1)-SUMPRODUCT(($P$2:$P$11&lt;=K25)*($P$2:$P$11&gt;=J25)*1))</f>
        <v/>
      </c>
    </row>
    <row r="26" spans="1:16" x14ac:dyDescent="0.25">
      <c r="A26" s="19">
        <f t="shared" si="1"/>
        <v>46188</v>
      </c>
      <c r="B26" s="19">
        <f t="shared" si="4"/>
        <v>46189</v>
      </c>
      <c r="C26" s="19">
        <f t="shared" si="4"/>
        <v>46190</v>
      </c>
      <c r="D26" s="19">
        <f t="shared" si="4"/>
        <v>46191</v>
      </c>
      <c r="E26" s="19">
        <f t="shared" si="4"/>
        <v>46192</v>
      </c>
      <c r="F26" s="19">
        <f t="shared" si="4"/>
        <v>46193</v>
      </c>
      <c r="G26" s="18">
        <f t="shared" si="4"/>
        <v>46194</v>
      </c>
      <c r="H26" s="11" t="str">
        <f t="shared" si="2"/>
        <v>KW25 Jun-26</v>
      </c>
      <c r="J26" s="12"/>
      <c r="K26" s="12"/>
      <c r="L26" t="str" cm="1">
        <f t="array" aca="1" ref="L26" ca="1">IF(J26=0,"",SUMPRODUCT((WEEKDAY(ROW(INDIRECT(J26&amp;":"&amp;K26)),2)&lt;=5)*1)-SUMPRODUCT(($P$2:$P$11&lt;=K26)*($P$2:$P$11&gt;=J26)*1))</f>
        <v/>
      </c>
    </row>
    <row r="27" spans="1:16" x14ac:dyDescent="0.25">
      <c r="A27" s="19">
        <f t="shared" si="1"/>
        <v>46195</v>
      </c>
      <c r="B27" s="19">
        <f t="shared" si="4"/>
        <v>46196</v>
      </c>
      <c r="C27" s="19">
        <f t="shared" si="4"/>
        <v>46197</v>
      </c>
      <c r="D27" s="19">
        <f t="shared" si="4"/>
        <v>46198</v>
      </c>
      <c r="E27" s="19">
        <f t="shared" si="4"/>
        <v>46199</v>
      </c>
      <c r="F27" s="19">
        <f t="shared" si="4"/>
        <v>46200</v>
      </c>
      <c r="G27" s="18">
        <f t="shared" si="4"/>
        <v>46201</v>
      </c>
      <c r="H27" s="11" t="str">
        <f t="shared" si="2"/>
        <v>KW26 Jun-26</v>
      </c>
      <c r="J27" s="12"/>
      <c r="K27" s="12"/>
      <c r="L27" t="str" cm="1">
        <f t="array" aca="1" ref="L27" ca="1">IF(J27=0,"",SUMPRODUCT((WEEKDAY(ROW(INDIRECT(J27&amp;":"&amp;K27)),2)&lt;=5)*1)-SUMPRODUCT(($P$2:$P$11&lt;=K27)*($P$2:$P$11&gt;=J27)*1))</f>
        <v/>
      </c>
    </row>
    <row r="28" spans="1:16" x14ac:dyDescent="0.25">
      <c r="A28" s="19">
        <f t="shared" si="1"/>
        <v>46202</v>
      </c>
      <c r="B28" s="19">
        <f t="shared" si="4"/>
        <v>46203</v>
      </c>
      <c r="C28" s="19">
        <f t="shared" si="4"/>
        <v>46204</v>
      </c>
      <c r="D28" s="19">
        <f t="shared" si="4"/>
        <v>46205</v>
      </c>
      <c r="E28" s="19">
        <f t="shared" si="4"/>
        <v>46206</v>
      </c>
      <c r="F28" s="19">
        <f t="shared" si="4"/>
        <v>46207</v>
      </c>
      <c r="G28" s="18">
        <f t="shared" si="4"/>
        <v>46208</v>
      </c>
      <c r="H28" s="11" t="str">
        <f t="shared" si="2"/>
        <v>KW27 Jul-26</v>
      </c>
      <c r="J28" s="12"/>
      <c r="K28" s="12"/>
      <c r="L28" t="str" cm="1">
        <f t="array" aca="1" ref="L28" ca="1">IF(J28=0,"",SUMPRODUCT((WEEKDAY(ROW(INDIRECT(J28&amp;":"&amp;K28)),2)&lt;=5)*1)-SUMPRODUCT(($P$2:$P$11&lt;=K28)*($P$2:$P$11&gt;=J28)*1))</f>
        <v/>
      </c>
    </row>
    <row r="29" spans="1:16" x14ac:dyDescent="0.25">
      <c r="A29" s="19">
        <f t="shared" si="1"/>
        <v>46209</v>
      </c>
      <c r="B29" s="19">
        <f t="shared" si="4"/>
        <v>46210</v>
      </c>
      <c r="C29" s="19">
        <f t="shared" si="4"/>
        <v>46211</v>
      </c>
      <c r="D29" s="19">
        <f t="shared" si="4"/>
        <v>46212</v>
      </c>
      <c r="E29" s="19">
        <f t="shared" si="4"/>
        <v>46213</v>
      </c>
      <c r="F29" s="19">
        <f t="shared" si="4"/>
        <v>46214</v>
      </c>
      <c r="G29" s="18">
        <f t="shared" si="4"/>
        <v>46215</v>
      </c>
      <c r="H29" s="11" t="str">
        <f t="shared" si="2"/>
        <v>KW28 Jul-26</v>
      </c>
    </row>
    <row r="30" spans="1:16" x14ac:dyDescent="0.25">
      <c r="A30" s="19">
        <f t="shared" si="1"/>
        <v>46216</v>
      </c>
      <c r="B30" s="19">
        <f t="shared" si="4"/>
        <v>46217</v>
      </c>
      <c r="C30" s="19">
        <f t="shared" si="4"/>
        <v>46218</v>
      </c>
      <c r="D30" s="19">
        <f t="shared" si="4"/>
        <v>46219</v>
      </c>
      <c r="E30" s="19">
        <f t="shared" si="4"/>
        <v>46220</v>
      </c>
      <c r="F30" s="19">
        <f t="shared" si="4"/>
        <v>46221</v>
      </c>
      <c r="G30" s="18">
        <f t="shared" si="4"/>
        <v>46222</v>
      </c>
      <c r="H30" s="11" t="str">
        <f t="shared" si="2"/>
        <v>KW29 Jul-26</v>
      </c>
    </row>
    <row r="31" spans="1:16" x14ac:dyDescent="0.25">
      <c r="A31" s="19">
        <f t="shared" si="1"/>
        <v>46223</v>
      </c>
      <c r="B31" s="19">
        <f t="shared" si="4"/>
        <v>46224</v>
      </c>
      <c r="C31" s="19">
        <f t="shared" si="4"/>
        <v>46225</v>
      </c>
      <c r="D31" s="19">
        <f t="shared" si="4"/>
        <v>46226</v>
      </c>
      <c r="E31" s="19">
        <f t="shared" si="4"/>
        <v>46227</v>
      </c>
      <c r="F31" s="19">
        <f t="shared" si="4"/>
        <v>46228</v>
      </c>
      <c r="G31" s="18">
        <f t="shared" si="4"/>
        <v>46229</v>
      </c>
      <c r="H31" s="11" t="str">
        <f t="shared" si="2"/>
        <v>KW30 Jul-26</v>
      </c>
    </row>
    <row r="32" spans="1:16" x14ac:dyDescent="0.25">
      <c r="A32" s="19">
        <f t="shared" si="1"/>
        <v>46230</v>
      </c>
      <c r="B32" s="19">
        <f t="shared" si="4"/>
        <v>46231</v>
      </c>
      <c r="C32" s="19">
        <f t="shared" si="4"/>
        <v>46232</v>
      </c>
      <c r="D32" s="19">
        <f t="shared" si="4"/>
        <v>46233</v>
      </c>
      <c r="E32" s="19">
        <f t="shared" si="4"/>
        <v>46234</v>
      </c>
      <c r="F32" s="19">
        <f t="shared" si="4"/>
        <v>46235</v>
      </c>
      <c r="G32" s="18">
        <f t="shared" si="4"/>
        <v>46236</v>
      </c>
      <c r="H32" s="11" t="str">
        <f t="shared" si="2"/>
        <v>KW31 Jul-26</v>
      </c>
    </row>
    <row r="33" spans="1:8" x14ac:dyDescent="0.25">
      <c r="A33" s="19">
        <f t="shared" si="1"/>
        <v>46237</v>
      </c>
      <c r="B33" s="19">
        <f t="shared" si="4"/>
        <v>46238</v>
      </c>
      <c r="C33" s="19">
        <f t="shared" si="4"/>
        <v>46239</v>
      </c>
      <c r="D33" s="19">
        <f t="shared" si="4"/>
        <v>46240</v>
      </c>
      <c r="E33" s="19">
        <f t="shared" si="4"/>
        <v>46241</v>
      </c>
      <c r="F33" s="19">
        <f t="shared" si="4"/>
        <v>46242</v>
      </c>
      <c r="G33" s="18">
        <f t="shared" si="4"/>
        <v>46243</v>
      </c>
      <c r="H33" s="11" t="str">
        <f t="shared" si="2"/>
        <v>KW32 Aug-26</v>
      </c>
    </row>
    <row r="34" spans="1:8" x14ac:dyDescent="0.25">
      <c r="A34" s="19">
        <f t="shared" si="1"/>
        <v>46244</v>
      </c>
      <c r="B34" s="19">
        <f t="shared" si="4"/>
        <v>46245</v>
      </c>
      <c r="C34" s="19">
        <f t="shared" si="4"/>
        <v>46246</v>
      </c>
      <c r="D34" s="19">
        <f t="shared" si="4"/>
        <v>46247</v>
      </c>
      <c r="E34" s="19">
        <f t="shared" si="4"/>
        <v>46248</v>
      </c>
      <c r="F34" s="19">
        <f t="shared" si="4"/>
        <v>46249</v>
      </c>
      <c r="G34" s="18">
        <f t="shared" si="4"/>
        <v>46250</v>
      </c>
      <c r="H34" s="11" t="str">
        <f t="shared" si="2"/>
        <v>KW33 Aug-26</v>
      </c>
    </row>
    <row r="35" spans="1:8" x14ac:dyDescent="0.25">
      <c r="A35" s="19">
        <f t="shared" si="1"/>
        <v>46251</v>
      </c>
      <c r="B35" s="19">
        <f t="shared" si="4"/>
        <v>46252</v>
      </c>
      <c r="C35" s="19">
        <f t="shared" si="4"/>
        <v>46253</v>
      </c>
      <c r="D35" s="19">
        <f t="shared" si="4"/>
        <v>46254</v>
      </c>
      <c r="E35" s="19">
        <f t="shared" si="4"/>
        <v>46255</v>
      </c>
      <c r="F35" s="19">
        <f t="shared" si="4"/>
        <v>46256</v>
      </c>
      <c r="G35" s="18">
        <f t="shared" si="4"/>
        <v>46257</v>
      </c>
      <c r="H35" s="11" t="str">
        <f t="shared" si="2"/>
        <v>KW34 Aug-26</v>
      </c>
    </row>
    <row r="36" spans="1:8" x14ac:dyDescent="0.25">
      <c r="A36" s="19">
        <f t="shared" si="1"/>
        <v>46258</v>
      </c>
      <c r="B36" s="19">
        <f t="shared" si="4"/>
        <v>46259</v>
      </c>
      <c r="C36" s="19">
        <f t="shared" si="4"/>
        <v>46260</v>
      </c>
      <c r="D36" s="19">
        <f t="shared" si="4"/>
        <v>46261</v>
      </c>
      <c r="E36" s="19">
        <f t="shared" si="4"/>
        <v>46262</v>
      </c>
      <c r="F36" s="19">
        <f t="shared" si="4"/>
        <v>46263</v>
      </c>
      <c r="G36" s="18">
        <f t="shared" si="4"/>
        <v>46264</v>
      </c>
      <c r="H36" s="11" t="str">
        <f t="shared" si="2"/>
        <v>KW35 Aug-26</v>
      </c>
    </row>
    <row r="37" spans="1:8" x14ac:dyDescent="0.25">
      <c r="A37" s="19">
        <f t="shared" si="1"/>
        <v>46265</v>
      </c>
      <c r="B37" s="19">
        <f t="shared" si="4"/>
        <v>46266</v>
      </c>
      <c r="C37" s="19">
        <f t="shared" si="4"/>
        <v>46267</v>
      </c>
      <c r="D37" s="19">
        <f t="shared" si="4"/>
        <v>46268</v>
      </c>
      <c r="E37" s="19">
        <f t="shared" si="4"/>
        <v>46269</v>
      </c>
      <c r="F37" s="19">
        <f t="shared" si="4"/>
        <v>46270</v>
      </c>
      <c r="G37" s="18">
        <f t="shared" si="4"/>
        <v>46271</v>
      </c>
      <c r="H37" s="11" t="str">
        <f t="shared" si="2"/>
        <v>KW36 Sept-26</v>
      </c>
    </row>
    <row r="38" spans="1:8" x14ac:dyDescent="0.25">
      <c r="A38" s="19">
        <f t="shared" si="1"/>
        <v>46272</v>
      </c>
      <c r="B38" s="19">
        <f t="shared" si="4"/>
        <v>46273</v>
      </c>
      <c r="C38" s="19">
        <f t="shared" si="4"/>
        <v>46274</v>
      </c>
      <c r="D38" s="19">
        <f t="shared" si="4"/>
        <v>46275</v>
      </c>
      <c r="E38" s="19">
        <f t="shared" si="4"/>
        <v>46276</v>
      </c>
      <c r="F38" s="19">
        <f t="shared" si="4"/>
        <v>46277</v>
      </c>
      <c r="G38" s="18">
        <f t="shared" si="4"/>
        <v>46278</v>
      </c>
      <c r="H38" s="11" t="str">
        <f t="shared" si="2"/>
        <v>KW37 Sept-26</v>
      </c>
    </row>
    <row r="39" spans="1:8" x14ac:dyDescent="0.25">
      <c r="A39" s="19">
        <f t="shared" si="1"/>
        <v>46279</v>
      </c>
      <c r="B39" s="19">
        <f t="shared" si="4"/>
        <v>46280</v>
      </c>
      <c r="C39" s="19">
        <f t="shared" si="4"/>
        <v>46281</v>
      </c>
      <c r="D39" s="19">
        <f t="shared" si="4"/>
        <v>46282</v>
      </c>
      <c r="E39" s="19">
        <f t="shared" si="4"/>
        <v>46283</v>
      </c>
      <c r="F39" s="19">
        <f t="shared" si="4"/>
        <v>46284</v>
      </c>
      <c r="G39" s="18">
        <f t="shared" si="4"/>
        <v>46285</v>
      </c>
      <c r="H39" s="11" t="str">
        <f t="shared" si="2"/>
        <v>KW38 Sept-26</v>
      </c>
    </row>
    <row r="40" spans="1:8" x14ac:dyDescent="0.25">
      <c r="A40" s="19">
        <f t="shared" si="1"/>
        <v>46286</v>
      </c>
      <c r="B40" s="19">
        <f t="shared" si="4"/>
        <v>46287</v>
      </c>
      <c r="C40" s="19">
        <f t="shared" si="4"/>
        <v>46288</v>
      </c>
      <c r="D40" s="19">
        <f t="shared" si="4"/>
        <v>46289</v>
      </c>
      <c r="E40" s="19">
        <f t="shared" si="4"/>
        <v>46290</v>
      </c>
      <c r="F40" s="19">
        <f t="shared" si="4"/>
        <v>46291</v>
      </c>
      <c r="G40" s="18">
        <f t="shared" si="4"/>
        <v>46292</v>
      </c>
      <c r="H40" s="11" t="str">
        <f t="shared" si="2"/>
        <v>KW39 Sept-26</v>
      </c>
    </row>
    <row r="41" spans="1:8" x14ac:dyDescent="0.25">
      <c r="A41" s="19">
        <f t="shared" si="1"/>
        <v>46293</v>
      </c>
      <c r="B41" s="19">
        <f t="shared" si="4"/>
        <v>46294</v>
      </c>
      <c r="C41" s="19">
        <f t="shared" si="4"/>
        <v>46295</v>
      </c>
      <c r="D41" s="19">
        <f t="shared" si="4"/>
        <v>46296</v>
      </c>
      <c r="E41" s="19">
        <f t="shared" si="4"/>
        <v>46297</v>
      </c>
      <c r="F41" s="19">
        <f t="shared" si="4"/>
        <v>46298</v>
      </c>
      <c r="G41" s="18">
        <f t="shared" si="4"/>
        <v>46299</v>
      </c>
      <c r="H41" s="11" t="str">
        <f t="shared" si="2"/>
        <v>KW40 Oct-26</v>
      </c>
    </row>
    <row r="42" spans="1:8" x14ac:dyDescent="0.25">
      <c r="A42" s="19">
        <f t="shared" si="1"/>
        <v>46300</v>
      </c>
      <c r="B42" s="19">
        <f t="shared" si="4"/>
        <v>46301</v>
      </c>
      <c r="C42" s="19">
        <f t="shared" si="4"/>
        <v>46302</v>
      </c>
      <c r="D42" s="19">
        <f t="shared" si="4"/>
        <v>46303</v>
      </c>
      <c r="E42" s="19">
        <f t="shared" si="4"/>
        <v>46304</v>
      </c>
      <c r="F42" s="19">
        <f t="shared" si="4"/>
        <v>46305</v>
      </c>
      <c r="G42" s="18">
        <f t="shared" si="4"/>
        <v>46306</v>
      </c>
      <c r="H42" s="11" t="str">
        <f t="shared" si="2"/>
        <v>KW41 Oct-26</v>
      </c>
    </row>
    <row r="43" spans="1:8" x14ac:dyDescent="0.25">
      <c r="A43" s="19">
        <f t="shared" si="1"/>
        <v>46307</v>
      </c>
      <c r="B43" s="19">
        <f t="shared" si="4"/>
        <v>46308</v>
      </c>
      <c r="C43" s="19">
        <f t="shared" si="4"/>
        <v>46309</v>
      </c>
      <c r="D43" s="19">
        <f t="shared" si="4"/>
        <v>46310</v>
      </c>
      <c r="E43" s="19">
        <f t="shared" si="4"/>
        <v>46311</v>
      </c>
      <c r="F43" s="19">
        <f t="shared" si="4"/>
        <v>46312</v>
      </c>
      <c r="G43" s="18">
        <f t="shared" si="4"/>
        <v>46313</v>
      </c>
      <c r="H43" s="11" t="str">
        <f t="shared" si="2"/>
        <v>KW42 Oct-26</v>
      </c>
    </row>
    <row r="44" spans="1:8" x14ac:dyDescent="0.25">
      <c r="A44" s="19">
        <f t="shared" si="1"/>
        <v>46314</v>
      </c>
      <c r="B44" s="19">
        <f t="shared" si="4"/>
        <v>46315</v>
      </c>
      <c r="C44" s="19">
        <f t="shared" si="4"/>
        <v>46316</v>
      </c>
      <c r="D44" s="19">
        <f t="shared" si="4"/>
        <v>46317</v>
      </c>
      <c r="E44" s="19">
        <f t="shared" si="4"/>
        <v>46318</v>
      </c>
      <c r="F44" s="19">
        <f t="shared" si="4"/>
        <v>46319</v>
      </c>
      <c r="G44" s="18">
        <f t="shared" si="4"/>
        <v>46320</v>
      </c>
      <c r="H44" s="11" t="str">
        <f t="shared" si="2"/>
        <v>KW43 Oct-26</v>
      </c>
    </row>
    <row r="45" spans="1:8" x14ac:dyDescent="0.25">
      <c r="A45" s="18">
        <f t="shared" si="1"/>
        <v>46321</v>
      </c>
      <c r="B45" s="18">
        <f t="shared" si="4"/>
        <v>46322</v>
      </c>
      <c r="C45" s="18">
        <f t="shared" si="4"/>
        <v>46323</v>
      </c>
      <c r="D45" s="18">
        <f t="shared" si="4"/>
        <v>46324</v>
      </c>
      <c r="E45" s="18">
        <f t="shared" si="4"/>
        <v>46325</v>
      </c>
      <c r="F45" s="18">
        <f t="shared" si="4"/>
        <v>46326</v>
      </c>
      <c r="G45" s="18">
        <f t="shared" si="4"/>
        <v>46327</v>
      </c>
      <c r="H45" s="11" t="str">
        <f t="shared" si="2"/>
        <v>KW44 Oct-26</v>
      </c>
    </row>
    <row r="46" spans="1:8" x14ac:dyDescent="0.25">
      <c r="A46" s="18">
        <f t="shared" si="1"/>
        <v>46328</v>
      </c>
      <c r="B46" s="18">
        <f t="shared" si="4"/>
        <v>46329</v>
      </c>
      <c r="C46" s="18">
        <f t="shared" si="4"/>
        <v>46330</v>
      </c>
      <c r="D46" s="18">
        <f t="shared" si="4"/>
        <v>46331</v>
      </c>
      <c r="E46" s="18">
        <f t="shared" si="4"/>
        <v>46332</v>
      </c>
      <c r="F46" s="18">
        <f t="shared" si="4"/>
        <v>46333</v>
      </c>
      <c r="G46" s="18">
        <f t="shared" si="4"/>
        <v>46334</v>
      </c>
      <c r="H46" s="11" t="str">
        <f t="shared" si="2"/>
        <v>KW45 Nov-26</v>
      </c>
    </row>
    <row r="47" spans="1:8" x14ac:dyDescent="0.25">
      <c r="A47" s="18">
        <f t="shared" si="1"/>
        <v>46335</v>
      </c>
      <c r="B47" s="18">
        <f t="shared" si="4"/>
        <v>46336</v>
      </c>
      <c r="C47" s="18">
        <f t="shared" si="4"/>
        <v>46337</v>
      </c>
      <c r="D47" s="18">
        <f t="shared" si="4"/>
        <v>46338</v>
      </c>
      <c r="E47" s="18">
        <f t="shared" si="4"/>
        <v>46339</v>
      </c>
      <c r="F47" s="18">
        <f t="shared" si="4"/>
        <v>46340</v>
      </c>
      <c r="G47" s="18">
        <f t="shared" si="4"/>
        <v>46341</v>
      </c>
      <c r="H47" s="11" t="str">
        <f t="shared" si="2"/>
        <v>KW46 Nov-26</v>
      </c>
    </row>
    <row r="48" spans="1:8" x14ac:dyDescent="0.25">
      <c r="A48" s="18">
        <f t="shared" si="1"/>
        <v>46342</v>
      </c>
      <c r="B48" s="18">
        <f t="shared" si="4"/>
        <v>46343</v>
      </c>
      <c r="C48" s="18">
        <f t="shared" si="4"/>
        <v>46344</v>
      </c>
      <c r="D48" s="18">
        <f t="shared" si="4"/>
        <v>46345</v>
      </c>
      <c r="E48" s="18">
        <f t="shared" si="4"/>
        <v>46346</v>
      </c>
      <c r="F48" s="18">
        <f t="shared" si="4"/>
        <v>46347</v>
      </c>
      <c r="G48" s="18">
        <f t="shared" si="4"/>
        <v>46348</v>
      </c>
      <c r="H48" s="11" t="str">
        <f t="shared" si="2"/>
        <v>KW47 Nov-26</v>
      </c>
    </row>
    <row r="49" spans="1:8" x14ac:dyDescent="0.25">
      <c r="A49" s="18">
        <f t="shared" si="1"/>
        <v>46349</v>
      </c>
      <c r="B49" s="18">
        <f t="shared" si="4"/>
        <v>46350</v>
      </c>
      <c r="C49" s="18">
        <f t="shared" si="4"/>
        <v>46351</v>
      </c>
      <c r="D49" s="18">
        <f t="shared" si="4"/>
        <v>46352</v>
      </c>
      <c r="E49" s="18">
        <f t="shared" si="4"/>
        <v>46353</v>
      </c>
      <c r="F49" s="18">
        <f t="shared" si="4"/>
        <v>46354</v>
      </c>
      <c r="G49" s="18">
        <f t="shared" si="4"/>
        <v>46355</v>
      </c>
      <c r="H49" s="11" t="str">
        <f t="shared" si="2"/>
        <v>KW48 Nov-26</v>
      </c>
    </row>
    <row r="50" spans="1:8" x14ac:dyDescent="0.25">
      <c r="A50" s="18">
        <f t="shared" si="1"/>
        <v>46356</v>
      </c>
      <c r="B50" s="18">
        <f t="shared" si="4"/>
        <v>46357</v>
      </c>
      <c r="C50" s="18">
        <f t="shared" si="4"/>
        <v>46358</v>
      </c>
      <c r="D50" s="18">
        <f t="shared" si="4"/>
        <v>46359</v>
      </c>
      <c r="E50" s="18">
        <f t="shared" si="4"/>
        <v>46360</v>
      </c>
      <c r="F50" s="18">
        <f t="shared" si="4"/>
        <v>46361</v>
      </c>
      <c r="G50" s="18">
        <f t="shared" si="4"/>
        <v>46362</v>
      </c>
      <c r="H50" s="11" t="str">
        <f t="shared" si="2"/>
        <v>KW49 Dec-26</v>
      </c>
    </row>
    <row r="51" spans="1:8" x14ac:dyDescent="0.25">
      <c r="A51" s="18">
        <f t="shared" si="1"/>
        <v>46363</v>
      </c>
      <c r="B51" s="18">
        <f t="shared" si="4"/>
        <v>46364</v>
      </c>
      <c r="C51" s="18">
        <f t="shared" si="4"/>
        <v>46365</v>
      </c>
      <c r="D51" s="18">
        <f t="shared" si="4"/>
        <v>46366</v>
      </c>
      <c r="E51" s="18">
        <f t="shared" si="4"/>
        <v>46367</v>
      </c>
      <c r="F51" s="18">
        <f t="shared" si="4"/>
        <v>46368</v>
      </c>
      <c r="G51" s="18">
        <f t="shared" si="4"/>
        <v>46369</v>
      </c>
      <c r="H51" s="11" t="str">
        <f t="shared" si="2"/>
        <v>KW50 Dec-26</v>
      </c>
    </row>
    <row r="52" spans="1:8" x14ac:dyDescent="0.25">
      <c r="A52" s="18">
        <f t="shared" si="1"/>
        <v>46370</v>
      </c>
      <c r="B52" s="18">
        <f t="shared" si="4"/>
        <v>46371</v>
      </c>
      <c r="C52" s="18">
        <f t="shared" si="4"/>
        <v>46372</v>
      </c>
      <c r="D52" s="18">
        <f t="shared" si="4"/>
        <v>46373</v>
      </c>
      <c r="E52" s="18">
        <f t="shared" si="4"/>
        <v>46374</v>
      </c>
      <c r="F52" s="18">
        <f t="shared" si="4"/>
        <v>46375</v>
      </c>
      <c r="G52" s="18">
        <f t="shared" si="4"/>
        <v>46376</v>
      </c>
      <c r="H52" s="11" t="str">
        <f t="shared" si="2"/>
        <v>KW51 Dec-26</v>
      </c>
    </row>
    <row r="53" spans="1:8" x14ac:dyDescent="0.25">
      <c r="A53" s="18">
        <f t="shared" si="1"/>
        <v>46377</v>
      </c>
      <c r="B53" s="18">
        <f t="shared" si="4"/>
        <v>46378</v>
      </c>
      <c r="C53" s="18">
        <f t="shared" si="4"/>
        <v>46379</v>
      </c>
      <c r="D53" s="18">
        <f t="shared" si="4"/>
        <v>46380</v>
      </c>
      <c r="E53" s="18">
        <f t="shared" si="4"/>
        <v>46381</v>
      </c>
      <c r="F53" s="18">
        <f t="shared" si="4"/>
        <v>46382</v>
      </c>
      <c r="G53" s="18">
        <f t="shared" si="4"/>
        <v>46383</v>
      </c>
      <c r="H53" s="11" t="str">
        <f t="shared" si="2"/>
        <v>KW52 Dec-26</v>
      </c>
    </row>
    <row r="54" spans="1:8" x14ac:dyDescent="0.25">
      <c r="A54" s="18">
        <f t="shared" si="1"/>
        <v>46384</v>
      </c>
      <c r="B54" s="18">
        <f t="shared" ref="B54:G54" si="5">A54+1</f>
        <v>46385</v>
      </c>
      <c r="C54" s="18">
        <f t="shared" si="5"/>
        <v>46386</v>
      </c>
      <c r="D54" s="18">
        <f t="shared" si="5"/>
        <v>46387</v>
      </c>
      <c r="E54" s="18">
        <f t="shared" si="5"/>
        <v>46388</v>
      </c>
      <c r="F54" s="18">
        <f t="shared" si="5"/>
        <v>46389</v>
      </c>
      <c r="G54" s="18">
        <f t="shared" si="5"/>
        <v>46390</v>
      </c>
      <c r="H54" s="11" t="str">
        <f t="shared" si="2"/>
        <v>KW53 Dec-26</v>
      </c>
    </row>
    <row r="55" spans="1:8" x14ac:dyDescent="0.25">
      <c r="A55" s="18"/>
      <c r="B55" s="18"/>
      <c r="C55" s="18"/>
      <c r="D55" s="18"/>
      <c r="E55" s="18"/>
      <c r="F55" s="18"/>
      <c r="G55" s="18"/>
      <c r="H55" s="11"/>
    </row>
    <row r="56" spans="1:8" x14ac:dyDescent="0.25">
      <c r="A56" s="18"/>
      <c r="B56" s="18"/>
      <c r="C56" s="18"/>
      <c r="D56" s="18"/>
      <c r="E56" s="18"/>
      <c r="F56" s="18"/>
      <c r="G56" s="18"/>
    </row>
    <row r="57" spans="1:8" x14ac:dyDescent="0.25">
      <c r="A57" s="18"/>
      <c r="B57" s="18"/>
      <c r="C57" s="18"/>
      <c r="D57" s="18"/>
      <c r="E57" s="18"/>
      <c r="F57" s="18"/>
      <c r="G57" s="18"/>
    </row>
    <row r="58" spans="1:8" x14ac:dyDescent="0.25">
      <c r="A58" s="18"/>
      <c r="B58" s="18"/>
      <c r="C58" s="18"/>
      <c r="D58" s="18"/>
      <c r="E58" s="18"/>
      <c r="F58" s="18"/>
      <c r="G58" s="18"/>
    </row>
    <row r="59" spans="1:8" x14ac:dyDescent="0.25">
      <c r="A59" s="18"/>
      <c r="B59" s="18"/>
      <c r="C59" s="18"/>
      <c r="D59" s="18"/>
      <c r="E59" s="18"/>
      <c r="F59" s="18"/>
      <c r="G59" s="18"/>
    </row>
    <row r="60" spans="1:8" x14ac:dyDescent="0.25">
      <c r="A60" s="18"/>
      <c r="B60" s="18"/>
      <c r="C60" s="18"/>
      <c r="D60" s="18"/>
      <c r="E60" s="18"/>
      <c r="F60" s="18"/>
      <c r="G60" s="18"/>
    </row>
    <row r="61" spans="1:8" x14ac:dyDescent="0.25">
      <c r="A61" s="18"/>
      <c r="B61" s="18"/>
      <c r="C61" s="18"/>
      <c r="D61" s="18"/>
      <c r="E61" s="18"/>
      <c r="F61" s="18"/>
      <c r="G61" s="18"/>
    </row>
    <row r="62" spans="1:8" x14ac:dyDescent="0.25">
      <c r="A62" s="18"/>
      <c r="B62" s="18"/>
      <c r="C62" s="18"/>
      <c r="D62" s="18"/>
      <c r="E62" s="18"/>
      <c r="F62" s="18"/>
      <c r="G62" s="18"/>
    </row>
    <row r="63" spans="1:8" x14ac:dyDescent="0.25">
      <c r="A63" s="18"/>
      <c r="B63" s="18"/>
      <c r="C63" s="18"/>
      <c r="D63" s="18"/>
      <c r="E63" s="18"/>
      <c r="F63" s="18"/>
      <c r="G63" s="18"/>
    </row>
    <row r="64" spans="1:8" x14ac:dyDescent="0.25">
      <c r="A64" s="18"/>
      <c r="B64" s="18"/>
      <c r="C64" s="18"/>
      <c r="D64" s="18"/>
      <c r="E64" s="18"/>
      <c r="F64" s="18"/>
      <c r="G64" s="18"/>
    </row>
  </sheetData>
  <conditionalFormatting sqref="A2:G55">
    <cfRule type="expression" dxfId="7" priority="1">
      <formula>COUNTIFS($J$2:$J$38,"&lt;="&amp;A2,$K$2:$K$38,"&gt;=" &amp; A2,$L$2:$L$38,"&gt;="&amp;1)&gt;0</formula>
    </cfRule>
    <cfRule type="expression" dxfId="6" priority="4">
      <formula>AND(COUNTIF($P$2:$P$20,A2),A2&lt;&gt;0)</formula>
    </cfRule>
    <cfRule type="expression" dxfId="5" priority="5">
      <formula>WEEKDAY(A2,2)&gt;=6</formula>
    </cfRule>
    <cfRule type="cellIs" dxfId="4" priority="6" operator="equal">
      <formula>TODAY()</formula>
    </cfRule>
    <cfRule type="expression" dxfId="3" priority="7">
      <formula>COUNTIFS($J$2:$J$38,"&lt;="&amp;A2,$K$2:$K$38,"&gt;=" &amp; A2,$L$2:$L$38,0.5)&gt;0</formula>
    </cfRule>
    <cfRule type="expression" dxfId="2" priority="8">
      <formula>MOD(MONTH(A2),2)=0</formula>
    </cfRule>
  </conditionalFormatting>
  <conditionalFormatting sqref="H2:H55">
    <cfRule type="expression" dxfId="1" priority="3">
      <formula>AND($A2&lt;=TODAY(),$G2&gt;=TODAY())</formula>
    </cfRule>
  </conditionalFormatting>
  <conditionalFormatting sqref="L2:L38">
    <cfRule type="expression" dxfId="0" priority="2">
      <formula>SUMPRODUCT(($P$2:$P$4&lt;=K2)*($P$2:$P$4&gt;=J2)*1)&gt;0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Verlof 2019</vt:lpstr>
      <vt:lpstr>Verlof 2020</vt:lpstr>
      <vt:lpstr>Verlof 2021</vt:lpstr>
      <vt:lpstr>Verlof 2022</vt:lpstr>
      <vt:lpstr>Verlof 2023</vt:lpstr>
      <vt:lpstr>Verlof 2024</vt:lpstr>
      <vt:lpstr>Verlof 2025</vt:lpstr>
      <vt:lpstr>Verlof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2026-09-27T15:56:18Z</dcterms:created>
  <dcterms:modified xsi:type="dcterms:W3CDTF">2026-09-29T19:48:08Z</dcterms:modified>
</cp:coreProperties>
</file>