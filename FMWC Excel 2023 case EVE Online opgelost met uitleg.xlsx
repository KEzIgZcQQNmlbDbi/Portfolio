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jamie\Documents\Excel+PowerBI+Fabric\FMWC\"/>
    </mc:Choice>
  </mc:AlternateContent>
  <xr:revisionPtr revIDLastSave="0" documentId="13_ncr:1_{EC369A82-3BDE-4246-999B-0DC951730994}" xr6:coauthVersionLast="47" xr6:coauthVersionMax="47" xr10:uidLastSave="{00000000-0000-0000-0000-000000000000}"/>
  <bookViews>
    <workbookView xWindow="-120" yWindow="-120" windowWidth="29040" windowHeight="15720" tabRatio="917" xr2:uid="{114A3ACC-2F61-4F50-A5CF-63A86B2334B2}"/>
  </bookViews>
  <sheets>
    <sheet name="Case" sheetId="96" r:id="rId1"/>
    <sheet name="Bonus 2" sheetId="99" r:id="rId2"/>
    <sheet name="Bonus 3" sheetId="100" r:id="rId3"/>
    <sheet name="Bonus 4" sheetId="106" r:id="rId4"/>
    <sheet name="Bonus 5" sheetId="102" r:id="rId5"/>
    <sheet name="vraag 3" sheetId="97" r:id="rId6"/>
    <sheet name="vraag 4" sheetId="98" r:id="rId7"/>
    <sheet name="vraag 5" sheetId="101" r:id="rId8"/>
    <sheet name="vraag 6" sheetId="107" r:id="rId9"/>
    <sheet name="vraag 7" sheetId="104" r:id="rId10"/>
    <sheet name="Answers" sheetId="75" r:id="rId11"/>
    <sheet name="Add-In Output" sheetId="86" r:id="rId12"/>
    <sheet name="Asteroid Field Map (Levels 4-6)" sheetId="84" r:id="rId13"/>
  </sheets>
  <definedNames>
    <definedName name="_xlnm._FilterDatabase" localSheetId="2" hidden="1">'Bonus 3'!$A$8:$J$217</definedName>
    <definedName name="_xlnm._FilterDatabase" localSheetId="4" hidden="1">'Bonus 5'!$P$70:$AI$95</definedName>
    <definedName name="_xlnm._FilterDatabase" localSheetId="8" hidden="1">'vraag 6'!$P$70:$AI$95</definedName>
    <definedName name="col_rng" localSheetId="8">'vraag 6'!$A$85:$I$85</definedName>
    <definedName name="col_rng">'Bonus 5'!$A$85:$I$85</definedName>
    <definedName name="give_cell_in_grid" localSheetId="8">_xlfn.LAMBDA(_xlpm.find_cell,_xlfn.LET(_xlpm.col_find_cell,LEFT(_xlpm.find_cell,1),_xlpm.row_find_cell,VALUE(SUBSTITUTE(_xlpm.find_cell,_xlpm.col_find_cell,"")),INDEX('vraag 6'!grid,MATCH(_xlpm.row_find_cell,'vraag 6'!row_rng,0),MATCH(_xlpm.col_find_cell,'vraag 6'!col_rng,0))))</definedName>
    <definedName name="give_cell_in_grid">_xlfn.LAMBDA(_xlpm.find_cell,_xlfn.LET(_xlpm.col_find_cell,LEFT(_xlpm.find_cell,1),_xlpm.row_find_cell,VALUE(SUBSTITUTE(_xlpm.find_cell,_xlpm.col_find_cell,"")),INDEX(grid,MATCH(_xlpm.row_find_cell,row_rng,0),MATCH(_xlpm.col_find_cell,col_rng,0))))</definedName>
    <definedName name="give_node" localSheetId="8">_xlfn.LAMBDA(_xlpm.x,_xlfn._xlws.FILTER('vraag 6'!$A$91:$A$224,NOT(ISERROR(FIND(_xlpm.x,'vraag 6'!$B$91:$B$224)))))</definedName>
    <definedName name="give_node">_xlfn.LAMBDA(_xlpm.x,_xlfn._xlws.FILTER('Bonus 5'!$A$91:$A$223,NOT(ISERROR(FIND(_xlpm.x,'Bonus 5'!$B$91:$B$224)))))</definedName>
    <definedName name="give_path" localSheetId="8">_xlfn.LAMBDA(_xlpm.start_cell,_xlpm.end_cell,_xlpm.path,_xlfn.LET(_xlpm.temp_node,'vraag 6'!give_node(_xlpm.end_cell),IF(_xlpm.start_cell=_xlpm.end_cell,_xlpm.path,IF(LEN(_xlpm.path)=0,'vraag 6'!give_path(_xlpm.start_cell,_xlpm.temp_node,_xlpm.temp_node),'vraag 6'!give_path(_xlpm.start_cell,_xlpm.temp_node,_xlpm.temp_node&amp;","&amp;_xlpm.path)))))</definedName>
    <definedName name="give_path">_xlfn.LAMBDA(_xlpm.start_cell,_xlpm.end_cell,_xlpm.path,_xlfn.LET(_xlpm.temp_node,give_node(_xlpm.end_cell),IF(_xlpm.start_cell=_xlpm.end_cell,_xlpm.path,IF(LEN(_xlpm.path)=0,give_path(_xlpm.start_cell,_xlpm.temp_node,_xlpm.temp_node),'vraag 6'!give_path(_xlpm.start_cell,_xlpm.temp_node,_xlpm.temp_node&amp;","&amp;_xlpm.path)))))</definedName>
    <definedName name="graph.breadth_first_search" localSheetId="8" xml:space="preserve"> _xlfn.LAMBDA(_xlpm.queue,_xlpm.end,_xlop.visited,_xlop.iteration,     _xlfn.LET(         _xlpm._iteration, IFOMITTED(_xlpm.iteration, 1, _xlpm.iteration + 1),         _xlpm._node, INDEX(_xlfn.TAKE(_xlpm.queue, 1), 1, 1),         _xlpm._visited, IFOMITTED(_xlpm.visited, _xlfn.HSTACK(_xlpm._node, "None")),         _xlpm._is_undiscovered, _xlfn.LAMBDA(_xlpm.node, ISERROR(_xlfn.XMATCH(_xlpm.node, _xlfn.TAKE(_xlpm._visited, , 1)))),         _xlpm._neighbors, [0]!graph.get_neighbors(_xlpm._node),         _xlpm._end_is_neighbor, NOT(ISERROR(_xlfn.XMATCH(_xlpm.end, _xlpm._neighbors))),         _xlpm._newqueue,          IF(             OR(ISERROR(_xlfn.DROP(_xlpm.queue, 1))),             _xlpm._neighbors,             _xlfn.REDUCE(                 _xlfn.DROP(_xlpm.queue, 1),                 _xlpm._neighbors,                 _xlfn.LAMBDA(_xlpm.a,_xlpm.b, IF(_xlpm._is_undiscovered(_xlpm.b), _xlfn.VSTACK(_xlpm.a, _xlpm.b), _xlpm.a))             )         ),                   _xlpm._newvisited, _xlfn.REDUCE(             _xlpm._visited,             _xlpm._neighbors,             _xlfn.LAMBDA(_xlpm.a,_xlpm.b, IF(_xlpm._is_undiscovered(_xlpm.b), _xlfn.VSTACK(_xlpm.a, _xlfn.HSTACK(_xlpm.b, _xlpm._node)), _xlpm.a))         ),         _xlpm._result, IF(             OR(_xlpm._node = _xlpm.end, _xlpm._end_is_neighbor),             _xlfn.VSTACK(_xlpm._visited, _xlfn.HSTACK(_xlpm.end, _xlpm._node)),             'vraag 6'!graph.breadth_first_search(_xlpm._newqueue, _xlpm.end, _xlpm._newvisited, _xlpm._iteration)         ),         _xlpm._result     ) )</definedName>
    <definedName name="graph.breadth_first_search" xml:space="preserve"> _xlfn.LAMBDA(_xlpm.queue,_xlpm.end,_xlop.visited,_xlop.iteration,     _xlfn.LET(         _xlpm._iteration, IFOMITTED(_xlpm.iteration, 1, _xlpm.iteration + 1),         _xlpm._node, INDEX(_xlfn.TAKE(_xlpm.queue, 1), 1, 1),         _xlpm._visited, IFOMITTED(_xlpm.visited, _xlfn.HSTACK(_xlpm._node, "None")),         _xlpm._is_undiscovered, _xlfn.LAMBDA(_xlpm.node, ISERROR(_xlfn.XMATCH(_xlpm.node, _xlfn.TAKE(_xlpm._visited, , 1)))),         _xlpm._neighbors, graph.get_neighbors(_xlpm._node),         _xlpm._end_is_neighbor, NOT(ISERROR(_xlfn.XMATCH(_xlpm.end, _xlpm._neighbors))),         _xlpm._newqueue,          IF(             OR(ISERROR(_xlfn.DROP(_xlpm.queue, 1))),             _xlpm._neighbors,             _xlfn.REDUCE(                 _xlfn.DROP(_xlpm.queue, 1),                 _xlpm._neighbors,                 _xlfn.LAMBDA(_xlpm.a,_xlpm.b, IF(_xlpm._is_undiscovered(_xlpm.b), _xlfn.VSTACK(_xlpm.a, _xlpm.b), _xlpm.a))             )         ),                   _xlpm._newvisited, _xlfn.REDUCE(             _xlpm._visited,             _xlpm._neighbors,             _xlfn.LAMBDA(_xlpm.a,_xlpm.b, IF(_xlpm._is_undiscovered(_xlpm.b), _xlfn.VSTACK(_xlpm.a, _xlfn.HSTACK(_xlpm.b, _xlpm._node)), _xlpm.a))         ),         _xlpm._result, IF(             OR(_xlpm._node = _xlpm.end, _xlpm._end_is_neighbor),             _xlfn.VSTACK(_xlpm._visited, _xlfn.HSTACK(_xlpm.end, _xlpm._node)),             graph.breadth_first_search(_xlpm._newqueue, _xlpm.end, _xlpm._newvisited, _xlpm._iteration)         ),         _xlpm._result     ) )</definedName>
    <definedName name="graph.data" localSheetId="8">'vraag 6'!$A$91:$B$224</definedName>
    <definedName name="graph.data">'Bonus 5'!$A$91:$B$224</definedName>
    <definedName name="graph.get_neighbors" xml:space="preserve"> _xlfn.LAMBDA(_xlpm.data,     _xlfn.LAMBDA(_xlpm.node,         _xlfn.LET(             _xlpm._neighbors, INDEX(_xlfn._xlws.FILTER(_xlfn.TAKE(_xlpm.data, , -1), _xlfn.TAKE(_xlpm.data, , 1) = _xlpm.node), 1, 1),             _xlfn.TEXTSPLIT(_xlpm._neighbors, , "; ")         )     ) )</definedName>
    <definedName name="grid" localSheetId="8">'vraag 6'!$A$69:$I$83</definedName>
    <definedName name="grid">'Bonus 5'!$A$69:$I$83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ow_rng" localSheetId="8">'vraag 6'!$K$69:$K$83</definedName>
    <definedName name="row_rng">'Bonus 5'!$K$69:$K$83</definedName>
  </definedNames>
  <calcPr calcId="191028" calcMode="autoNoTable"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6" i="96" l="1"/>
  <c r="E55" i="96"/>
  <c r="E54" i="96"/>
  <c r="E53" i="96"/>
  <c r="D91" i="102"/>
  <c r="AB13" i="98"/>
  <c r="N12" i="98"/>
  <c r="O12" i="98" s="1"/>
  <c r="N14" i="98"/>
  <c r="O14" i="98" s="1"/>
  <c r="N15" i="98"/>
  <c r="O15" i="98" s="1"/>
  <c r="N16" i="98"/>
  <c r="O16" i="98" s="1"/>
  <c r="N17" i="98"/>
  <c r="O17" i="98" s="1"/>
  <c r="N18" i="98"/>
  <c r="O18" i="98" s="1"/>
  <c r="N19" i="98"/>
  <c r="O19" i="98" s="1"/>
  <c r="N20" i="98"/>
  <c r="O20" i="98" s="1"/>
  <c r="N21" i="98"/>
  <c r="O21" i="98" s="1"/>
  <c r="N22" i="98"/>
  <c r="O22" i="98" s="1"/>
  <c r="N23" i="98"/>
  <c r="O23" i="98" s="1"/>
  <c r="N24" i="98"/>
  <c r="O24" i="98" s="1"/>
  <c r="N25" i="98"/>
  <c r="O25" i="98" s="1"/>
  <c r="N26" i="98"/>
  <c r="O26" i="98" s="1"/>
  <c r="N27" i="98"/>
  <c r="O27" i="98" s="1"/>
  <c r="N28" i="98"/>
  <c r="O28" i="98" s="1"/>
  <c r="N29" i="98"/>
  <c r="O29" i="98" s="1"/>
  <c r="N30" i="98"/>
  <c r="O30" i="98"/>
  <c r="N31" i="98"/>
  <c r="O31" i="98" s="1"/>
  <c r="N32" i="98"/>
  <c r="O32" i="98" s="1"/>
  <c r="N33" i="98"/>
  <c r="O33" i="98" s="1"/>
  <c r="A93" i="107"/>
  <c r="A94" i="107" s="1"/>
  <c r="A95" i="107" s="1"/>
  <c r="A96" i="107" s="1"/>
  <c r="A97" i="107" s="1"/>
  <c r="A98" i="107" s="1"/>
  <c r="A99" i="107" s="1"/>
  <c r="A100" i="107" s="1"/>
  <c r="A101" i="107" s="1"/>
  <c r="A102" i="107" s="1"/>
  <c r="A103" i="107" s="1"/>
  <c r="A104" i="107" s="1"/>
  <c r="A105" i="107" s="1"/>
  <c r="A106" i="107" s="1"/>
  <c r="A107" i="107" s="1"/>
  <c r="A108" i="107" s="1"/>
  <c r="A109" i="107" s="1"/>
  <c r="A110" i="107" s="1"/>
  <c r="A111" i="107" s="1"/>
  <c r="I83" i="107"/>
  <c r="H83" i="107"/>
  <c r="G83" i="107"/>
  <c r="F83" i="107"/>
  <c r="E83" i="107"/>
  <c r="D83" i="107"/>
  <c r="C83" i="107"/>
  <c r="B83" i="107"/>
  <c r="A83" i="107"/>
  <c r="I82" i="107"/>
  <c r="H82" i="107"/>
  <c r="G82" i="107"/>
  <c r="F82" i="107"/>
  <c r="E82" i="107"/>
  <c r="D82" i="107"/>
  <c r="C82" i="107"/>
  <c r="B82" i="107"/>
  <c r="A82" i="107"/>
  <c r="I81" i="107"/>
  <c r="H81" i="107"/>
  <c r="G81" i="107"/>
  <c r="F81" i="107"/>
  <c r="E81" i="107"/>
  <c r="D81" i="107"/>
  <c r="C81" i="107"/>
  <c r="B81" i="107"/>
  <c r="A81" i="107"/>
  <c r="I80" i="107"/>
  <c r="H80" i="107"/>
  <c r="G80" i="107"/>
  <c r="F80" i="107"/>
  <c r="E80" i="107"/>
  <c r="D80" i="107"/>
  <c r="C80" i="107"/>
  <c r="B80" i="107"/>
  <c r="A80" i="107"/>
  <c r="I79" i="107"/>
  <c r="H79" i="107"/>
  <c r="G79" i="107"/>
  <c r="F79" i="107"/>
  <c r="E79" i="107"/>
  <c r="D79" i="107"/>
  <c r="C79" i="107"/>
  <c r="B79" i="107"/>
  <c r="A79" i="107"/>
  <c r="I78" i="107"/>
  <c r="H78" i="107"/>
  <c r="G78" i="107"/>
  <c r="F78" i="107"/>
  <c r="E78" i="107"/>
  <c r="D78" i="107"/>
  <c r="C78" i="107"/>
  <c r="B78" i="107"/>
  <c r="A78" i="107"/>
  <c r="I77" i="107"/>
  <c r="H77" i="107"/>
  <c r="G77" i="107"/>
  <c r="F77" i="107"/>
  <c r="E77" i="107"/>
  <c r="D77" i="107"/>
  <c r="C77" i="107"/>
  <c r="B77" i="107"/>
  <c r="A77" i="107"/>
  <c r="I76" i="107"/>
  <c r="H76" i="107"/>
  <c r="G76" i="107"/>
  <c r="F76" i="107"/>
  <c r="E76" i="107"/>
  <c r="D76" i="107"/>
  <c r="C76" i="107"/>
  <c r="B76" i="107"/>
  <c r="A76" i="107"/>
  <c r="I75" i="107"/>
  <c r="H75" i="107"/>
  <c r="G75" i="107"/>
  <c r="F75" i="107"/>
  <c r="E75" i="107"/>
  <c r="D75" i="107"/>
  <c r="C75" i="107"/>
  <c r="B75" i="107"/>
  <c r="A75" i="107"/>
  <c r="I74" i="107"/>
  <c r="H74" i="107"/>
  <c r="G74" i="107"/>
  <c r="F74" i="107"/>
  <c r="E74" i="107"/>
  <c r="D74" i="107"/>
  <c r="C74" i="107"/>
  <c r="B74" i="107"/>
  <c r="A74" i="107"/>
  <c r="I73" i="107"/>
  <c r="H73" i="107"/>
  <c r="G73" i="107"/>
  <c r="F73" i="107"/>
  <c r="E73" i="107"/>
  <c r="D73" i="107"/>
  <c r="C73" i="107"/>
  <c r="B73" i="107"/>
  <c r="A73" i="107"/>
  <c r="I72" i="107"/>
  <c r="H72" i="107"/>
  <c r="G72" i="107"/>
  <c r="F72" i="107"/>
  <c r="E72" i="107"/>
  <c r="D72" i="107"/>
  <c r="C72" i="107"/>
  <c r="B72" i="107"/>
  <c r="A72" i="107"/>
  <c r="AJ71" i="107"/>
  <c r="I71" i="107"/>
  <c r="H71" i="107"/>
  <c r="G71" i="107"/>
  <c r="F71" i="107"/>
  <c r="E71" i="107"/>
  <c r="D71" i="107"/>
  <c r="C71" i="107"/>
  <c r="B71" i="107"/>
  <c r="A71" i="107"/>
  <c r="I70" i="107"/>
  <c r="H70" i="107"/>
  <c r="G70" i="107"/>
  <c r="F70" i="107"/>
  <c r="E70" i="107"/>
  <c r="D70" i="107"/>
  <c r="C70" i="107"/>
  <c r="B70" i="107"/>
  <c r="A70" i="107"/>
  <c r="I69" i="107"/>
  <c r="H69" i="107"/>
  <c r="G69" i="107"/>
  <c r="F69" i="107"/>
  <c r="E69" i="107"/>
  <c r="D69" i="107"/>
  <c r="C69" i="107"/>
  <c r="B69" i="107"/>
  <c r="A69" i="107"/>
  <c r="Q67" i="107"/>
  <c r="R67" i="107" s="1"/>
  <c r="Q66" i="107"/>
  <c r="R66" i="107" s="1"/>
  <c r="Q65" i="107"/>
  <c r="R65" i="107" s="1"/>
  <c r="Q64" i="107"/>
  <c r="R64" i="107" s="1"/>
  <c r="S64" i="107" s="1"/>
  <c r="T64" i="107" s="1"/>
  <c r="Q63" i="107"/>
  <c r="R63" i="107" s="1"/>
  <c r="Q62" i="107"/>
  <c r="R62" i="107" s="1"/>
  <c r="Q61" i="107"/>
  <c r="R61" i="107" s="1"/>
  <c r="S61" i="107" s="1"/>
  <c r="T61" i="107" s="1"/>
  <c r="AC61" i="107" s="1"/>
  <c r="Q60" i="107"/>
  <c r="R60" i="107" s="1"/>
  <c r="U60" i="107" s="1"/>
  <c r="Q59" i="107"/>
  <c r="R59" i="107" s="1"/>
  <c r="U59" i="107" s="1"/>
  <c r="Q58" i="107"/>
  <c r="R58" i="107" s="1"/>
  <c r="Q57" i="107"/>
  <c r="R57" i="107" s="1"/>
  <c r="Q56" i="107"/>
  <c r="R56" i="107" s="1"/>
  <c r="S56" i="107" s="1"/>
  <c r="T56" i="107" s="1"/>
  <c r="D56" i="107"/>
  <c r="C56" i="107"/>
  <c r="B56" i="107"/>
  <c r="A56" i="107"/>
  <c r="Q55" i="107"/>
  <c r="R55" i="107" s="1"/>
  <c r="U55" i="107" s="1"/>
  <c r="Q54" i="107"/>
  <c r="R54" i="107" s="1"/>
  <c r="Q53" i="107"/>
  <c r="R53" i="107" s="1"/>
  <c r="Q52" i="107"/>
  <c r="R52" i="107" s="1"/>
  <c r="S52" i="107" s="1"/>
  <c r="T52" i="107" s="1"/>
  <c r="AB52" i="107" s="1"/>
  <c r="Q51" i="107"/>
  <c r="R51" i="107" s="1"/>
  <c r="Q50" i="107"/>
  <c r="R50" i="107" s="1"/>
  <c r="Q49" i="107"/>
  <c r="R49" i="107" s="1"/>
  <c r="S49" i="107" s="1"/>
  <c r="T49" i="107" s="1"/>
  <c r="AB49" i="107" s="1"/>
  <c r="Q48" i="107"/>
  <c r="R48" i="107" s="1"/>
  <c r="Q47" i="107"/>
  <c r="R47" i="107" s="1"/>
  <c r="Q46" i="107"/>
  <c r="R46" i="107" s="1"/>
  <c r="Q45" i="107"/>
  <c r="R45" i="107" s="1"/>
  <c r="U45" i="107" s="1"/>
  <c r="Q44" i="107"/>
  <c r="R44" i="107" s="1"/>
  <c r="T39" i="107"/>
  <c r="S39" i="107"/>
  <c r="R39" i="107"/>
  <c r="Q39" i="107"/>
  <c r="P39" i="107"/>
  <c r="O39" i="107"/>
  <c r="N39" i="107"/>
  <c r="M39" i="107"/>
  <c r="L39" i="107"/>
  <c r="T38" i="107"/>
  <c r="S38" i="107"/>
  <c r="R38" i="107"/>
  <c r="Q38" i="107"/>
  <c r="P38" i="107"/>
  <c r="O38" i="107"/>
  <c r="N38" i="107"/>
  <c r="M38" i="107"/>
  <c r="L38" i="107"/>
  <c r="T37" i="107"/>
  <c r="S37" i="107"/>
  <c r="R37" i="107"/>
  <c r="Q37" i="107"/>
  <c r="P37" i="107"/>
  <c r="O37" i="107"/>
  <c r="N37" i="107"/>
  <c r="M37" i="107"/>
  <c r="L37" i="107"/>
  <c r="T36" i="107"/>
  <c r="S36" i="107"/>
  <c r="R36" i="107"/>
  <c r="Q36" i="107"/>
  <c r="P36" i="107"/>
  <c r="O36" i="107"/>
  <c r="N36" i="107"/>
  <c r="M36" i="107"/>
  <c r="L36" i="107"/>
  <c r="T35" i="107"/>
  <c r="S35" i="107"/>
  <c r="R35" i="107"/>
  <c r="Q35" i="107"/>
  <c r="P35" i="107"/>
  <c r="O35" i="107"/>
  <c r="N35" i="107"/>
  <c r="M35" i="107"/>
  <c r="L35" i="107"/>
  <c r="T34" i="107"/>
  <c r="S34" i="107"/>
  <c r="R34" i="107"/>
  <c r="Q34" i="107"/>
  <c r="P34" i="107"/>
  <c r="O34" i="107"/>
  <c r="N34" i="107"/>
  <c r="M34" i="107"/>
  <c r="L34" i="107"/>
  <c r="T33" i="107"/>
  <c r="S33" i="107"/>
  <c r="R33" i="107"/>
  <c r="Q33" i="107"/>
  <c r="P33" i="107"/>
  <c r="O33" i="107"/>
  <c r="N33" i="107"/>
  <c r="M33" i="107"/>
  <c r="L33" i="107"/>
  <c r="T32" i="107"/>
  <c r="S32" i="107"/>
  <c r="R32" i="107"/>
  <c r="Q32" i="107"/>
  <c r="P32" i="107"/>
  <c r="O32" i="107"/>
  <c r="N32" i="107"/>
  <c r="M32" i="107"/>
  <c r="L32" i="107"/>
  <c r="U32" i="107" s="1"/>
  <c r="T31" i="107"/>
  <c r="S31" i="107"/>
  <c r="R31" i="107"/>
  <c r="Q31" i="107"/>
  <c r="P31" i="107"/>
  <c r="O31" i="107"/>
  <c r="N31" i="107"/>
  <c r="M31" i="107"/>
  <c r="L31" i="107"/>
  <c r="T30" i="107"/>
  <c r="S30" i="107"/>
  <c r="R30" i="107"/>
  <c r="Q30" i="107"/>
  <c r="P30" i="107"/>
  <c r="O30" i="107"/>
  <c r="N30" i="107"/>
  <c r="M30" i="107"/>
  <c r="L30" i="107"/>
  <c r="T29" i="107"/>
  <c r="S29" i="107"/>
  <c r="R29" i="107"/>
  <c r="Q29" i="107"/>
  <c r="P29" i="107"/>
  <c r="O29" i="107"/>
  <c r="N29" i="107"/>
  <c r="M29" i="107"/>
  <c r="L29" i="107"/>
  <c r="T28" i="107"/>
  <c r="S28" i="107"/>
  <c r="R28" i="107"/>
  <c r="Q28" i="107"/>
  <c r="P28" i="107"/>
  <c r="O28" i="107"/>
  <c r="N28" i="107"/>
  <c r="M28" i="107"/>
  <c r="L28" i="107"/>
  <c r="T27" i="107"/>
  <c r="S27" i="107"/>
  <c r="R27" i="107"/>
  <c r="Q27" i="107"/>
  <c r="P27" i="107"/>
  <c r="O27" i="107"/>
  <c r="N27" i="107"/>
  <c r="M27" i="107"/>
  <c r="L27" i="107"/>
  <c r="T26" i="107"/>
  <c r="S26" i="107"/>
  <c r="R26" i="107"/>
  <c r="Q26" i="107"/>
  <c r="P26" i="107"/>
  <c r="O26" i="107"/>
  <c r="N26" i="107"/>
  <c r="M26" i="107"/>
  <c r="L26" i="107"/>
  <c r="T25" i="107"/>
  <c r="S25" i="107"/>
  <c r="R25" i="107"/>
  <c r="Q25" i="107"/>
  <c r="P25" i="107"/>
  <c r="O25" i="107"/>
  <c r="N25" i="107"/>
  <c r="M25" i="107"/>
  <c r="L25" i="107"/>
  <c r="AJ71" i="102"/>
  <c r="A92" i="102"/>
  <c r="A93" i="102" s="1"/>
  <c r="A94" i="102" s="1"/>
  <c r="A95" i="102" s="1"/>
  <c r="A96" i="102" s="1"/>
  <c r="A97" i="102" s="1"/>
  <c r="A98" i="102" s="1"/>
  <c r="A99" i="102" s="1"/>
  <c r="A100" i="102" s="1"/>
  <c r="A101" i="102" s="1"/>
  <c r="A102" i="102" s="1"/>
  <c r="A103" i="102" s="1"/>
  <c r="A104" i="102" s="1"/>
  <c r="A105" i="102" s="1"/>
  <c r="A106" i="102" s="1"/>
  <c r="A107" i="102" s="1"/>
  <c r="A108" i="102" s="1"/>
  <c r="A109" i="102" s="1"/>
  <c r="A110" i="102" s="1"/>
  <c r="I216" i="100"/>
  <c r="I215" i="100"/>
  <c r="I214" i="100"/>
  <c r="I213" i="100"/>
  <c r="I212" i="100"/>
  <c r="I211" i="100"/>
  <c r="I210" i="100"/>
  <c r="I209" i="100"/>
  <c r="I208" i="100"/>
  <c r="I207" i="100"/>
  <c r="I206" i="100"/>
  <c r="I205" i="100"/>
  <c r="I204" i="100"/>
  <c r="I203" i="100"/>
  <c r="I202" i="100"/>
  <c r="I201" i="100"/>
  <c r="I200" i="100"/>
  <c r="I199" i="100"/>
  <c r="I198" i="100"/>
  <c r="I197" i="100"/>
  <c r="I196" i="100"/>
  <c r="I195" i="100"/>
  <c r="I194" i="100"/>
  <c r="I193" i="100"/>
  <c r="I192" i="100"/>
  <c r="I191" i="100"/>
  <c r="I190" i="100"/>
  <c r="I189" i="100"/>
  <c r="I188" i="100"/>
  <c r="I187" i="100"/>
  <c r="I186" i="100"/>
  <c r="I185" i="100"/>
  <c r="I184" i="100"/>
  <c r="I183" i="100"/>
  <c r="I182" i="100"/>
  <c r="I181" i="100"/>
  <c r="I180" i="100"/>
  <c r="I179" i="100"/>
  <c r="I178" i="100"/>
  <c r="I177" i="100"/>
  <c r="I176" i="100"/>
  <c r="I175" i="100"/>
  <c r="I174" i="100"/>
  <c r="I173" i="100"/>
  <c r="I172" i="100"/>
  <c r="I171" i="100"/>
  <c r="I170" i="100"/>
  <c r="I169" i="100"/>
  <c r="I168" i="100"/>
  <c r="I167" i="100"/>
  <c r="I166" i="100"/>
  <c r="I165" i="100"/>
  <c r="I164" i="100"/>
  <c r="I163" i="100"/>
  <c r="I162" i="100"/>
  <c r="I161" i="100"/>
  <c r="I160" i="100"/>
  <c r="I159" i="100"/>
  <c r="I158" i="100"/>
  <c r="I157" i="100"/>
  <c r="I156" i="100"/>
  <c r="I155" i="100"/>
  <c r="I154" i="100"/>
  <c r="I153" i="100"/>
  <c r="I152" i="100"/>
  <c r="I151" i="100"/>
  <c r="I150" i="100"/>
  <c r="I149" i="100"/>
  <c r="I148" i="100"/>
  <c r="I147" i="100"/>
  <c r="I146" i="100"/>
  <c r="I145" i="100"/>
  <c r="I144" i="100"/>
  <c r="I143" i="100"/>
  <c r="I142" i="100"/>
  <c r="I141" i="100"/>
  <c r="I140" i="100"/>
  <c r="I139" i="100"/>
  <c r="I138" i="100"/>
  <c r="I137" i="100"/>
  <c r="I136" i="100"/>
  <c r="I135" i="100"/>
  <c r="I134" i="100"/>
  <c r="I133" i="100"/>
  <c r="I132" i="100"/>
  <c r="I131" i="100"/>
  <c r="I130" i="100"/>
  <c r="I129" i="100"/>
  <c r="I128" i="100"/>
  <c r="I127" i="100"/>
  <c r="I126" i="100"/>
  <c r="I125" i="100"/>
  <c r="I124" i="100"/>
  <c r="I123" i="100"/>
  <c r="I122" i="100"/>
  <c r="I121" i="100"/>
  <c r="I120" i="100"/>
  <c r="I119" i="100"/>
  <c r="I118" i="100"/>
  <c r="I117" i="100"/>
  <c r="I116" i="100"/>
  <c r="I115" i="100"/>
  <c r="I114" i="100"/>
  <c r="I113" i="100"/>
  <c r="I112" i="100"/>
  <c r="I111" i="100"/>
  <c r="I110" i="100"/>
  <c r="I109" i="100"/>
  <c r="I108" i="100"/>
  <c r="I107" i="100"/>
  <c r="I106" i="100"/>
  <c r="I105" i="100"/>
  <c r="I104" i="100"/>
  <c r="I103" i="100"/>
  <c r="I102" i="100"/>
  <c r="I101" i="100"/>
  <c r="I100" i="100"/>
  <c r="I99" i="100"/>
  <c r="I98" i="100"/>
  <c r="I97" i="100"/>
  <c r="I96" i="100"/>
  <c r="I95" i="100"/>
  <c r="I94" i="100"/>
  <c r="I93" i="100"/>
  <c r="I92" i="100"/>
  <c r="I91" i="100"/>
  <c r="I90" i="100"/>
  <c r="I89" i="100"/>
  <c r="I88" i="100"/>
  <c r="I87" i="100"/>
  <c r="I86" i="100"/>
  <c r="I85" i="100"/>
  <c r="I84" i="100"/>
  <c r="I83" i="100"/>
  <c r="I82" i="100"/>
  <c r="I81" i="100"/>
  <c r="I80" i="100"/>
  <c r="I79" i="100"/>
  <c r="I78" i="100"/>
  <c r="I77" i="100"/>
  <c r="I76" i="100"/>
  <c r="I75" i="100"/>
  <c r="I74" i="100"/>
  <c r="I73" i="100"/>
  <c r="I72" i="100"/>
  <c r="I71" i="100"/>
  <c r="I70" i="100"/>
  <c r="I69" i="100"/>
  <c r="I68" i="100"/>
  <c r="I67" i="100"/>
  <c r="I66" i="100"/>
  <c r="I65" i="100"/>
  <c r="I64" i="100"/>
  <c r="I63" i="100"/>
  <c r="I62" i="100"/>
  <c r="I61" i="100"/>
  <c r="I60" i="100"/>
  <c r="I59" i="100"/>
  <c r="I58" i="100"/>
  <c r="I57" i="100"/>
  <c r="I56" i="100"/>
  <c r="I55" i="100"/>
  <c r="I54" i="100"/>
  <c r="I53" i="100"/>
  <c r="I52" i="100"/>
  <c r="I51" i="100"/>
  <c r="I50" i="100"/>
  <c r="I49" i="100"/>
  <c r="I48" i="100"/>
  <c r="I47" i="100"/>
  <c r="I46" i="100"/>
  <c r="I45" i="100"/>
  <c r="I44" i="100"/>
  <c r="I43" i="100"/>
  <c r="I42" i="100"/>
  <c r="I41" i="100"/>
  <c r="I40" i="100"/>
  <c r="I39" i="100"/>
  <c r="I38" i="100"/>
  <c r="I37" i="100"/>
  <c r="I36" i="100"/>
  <c r="I35" i="100"/>
  <c r="I34" i="100"/>
  <c r="I33" i="100"/>
  <c r="I32" i="100"/>
  <c r="I31" i="100"/>
  <c r="I30" i="100"/>
  <c r="I29" i="100"/>
  <c r="I28" i="100"/>
  <c r="I27" i="100"/>
  <c r="I26" i="100"/>
  <c r="I25" i="100"/>
  <c r="I24" i="100"/>
  <c r="I23" i="100"/>
  <c r="I22" i="100"/>
  <c r="I21" i="100"/>
  <c r="I20" i="100"/>
  <c r="I19" i="100"/>
  <c r="I18" i="100"/>
  <c r="I17" i="100"/>
  <c r="I16" i="100"/>
  <c r="I15" i="100"/>
  <c r="I14" i="100"/>
  <c r="I13" i="100"/>
  <c r="I12" i="100"/>
  <c r="I11" i="100"/>
  <c r="I10" i="100"/>
  <c r="I9" i="100"/>
  <c r="J9" i="100" s="1"/>
  <c r="I217" i="100"/>
  <c r="J217" i="100" s="1"/>
  <c r="R58" i="104"/>
  <c r="R59" i="104" s="1"/>
  <c r="R60" i="104" s="1"/>
  <c r="R61" i="104" s="1"/>
  <c r="R62" i="104" s="1"/>
  <c r="R63" i="104" s="1"/>
  <c r="R64" i="104" s="1"/>
  <c r="R65" i="104" s="1"/>
  <c r="R66" i="104" s="1"/>
  <c r="R67" i="104" s="1"/>
  <c r="R68" i="104" s="1"/>
  <c r="R69" i="104" s="1"/>
  <c r="R70" i="104" s="1"/>
  <c r="R71" i="104" s="1"/>
  <c r="R72" i="104" s="1"/>
  <c r="R73" i="104" s="1"/>
  <c r="R74" i="104" s="1"/>
  <c r="R75" i="104" s="1"/>
  <c r="R76" i="104" s="1"/>
  <c r="R77" i="104" s="1"/>
  <c r="R78" i="104" s="1"/>
  <c r="R79" i="104" s="1"/>
  <c r="R80" i="104" s="1"/>
  <c r="R81" i="104" s="1"/>
  <c r="R82" i="104" s="1"/>
  <c r="R83" i="104" s="1"/>
  <c r="R84" i="104" s="1"/>
  <c r="R85" i="104" s="1"/>
  <c r="R86" i="104" s="1"/>
  <c r="C38" i="104"/>
  <c r="H38" i="104" s="1"/>
  <c r="C39" i="104"/>
  <c r="E39" i="104" s="1"/>
  <c r="C40" i="104"/>
  <c r="H40" i="104" s="1"/>
  <c r="C41" i="104"/>
  <c r="C42" i="104"/>
  <c r="H42" i="104" s="1"/>
  <c r="C43" i="104"/>
  <c r="E43" i="104" s="1"/>
  <c r="C44" i="104"/>
  <c r="H44" i="104" s="1"/>
  <c r="C45" i="104"/>
  <c r="E45" i="104" s="1"/>
  <c r="C46" i="104"/>
  <c r="H46" i="104" s="1"/>
  <c r="C47" i="104"/>
  <c r="E47" i="104" s="1"/>
  <c r="C48" i="104"/>
  <c r="C49" i="104"/>
  <c r="C50" i="104"/>
  <c r="H50" i="104" s="1"/>
  <c r="C51" i="104"/>
  <c r="E51" i="104" s="1"/>
  <c r="C52" i="104"/>
  <c r="H52" i="104" s="1"/>
  <c r="C53" i="104"/>
  <c r="E53" i="104" s="1"/>
  <c r="C54" i="104"/>
  <c r="H54" i="104" s="1"/>
  <c r="C55" i="104"/>
  <c r="E55" i="104" s="1"/>
  <c r="C56" i="104"/>
  <c r="H56" i="104" s="1"/>
  <c r="C57" i="104"/>
  <c r="C58" i="104"/>
  <c r="H58" i="104" s="1"/>
  <c r="C59" i="104"/>
  <c r="E59" i="104" s="1"/>
  <c r="C60" i="104"/>
  <c r="H60" i="104" s="1"/>
  <c r="C61" i="104"/>
  <c r="E61" i="104" s="1"/>
  <c r="C62" i="104"/>
  <c r="H62" i="104" s="1"/>
  <c r="C63" i="104"/>
  <c r="E63" i="104" s="1"/>
  <c r="C64" i="104"/>
  <c r="H64" i="104" s="1"/>
  <c r="C65" i="104"/>
  <c r="C66" i="104"/>
  <c r="H66" i="104" s="1"/>
  <c r="C67" i="104"/>
  <c r="E67" i="104" s="1"/>
  <c r="C68" i="104"/>
  <c r="H68" i="104" s="1"/>
  <c r="C69" i="104"/>
  <c r="E69" i="104" s="1"/>
  <c r="C70" i="104"/>
  <c r="H70" i="104" s="1"/>
  <c r="C71" i="104"/>
  <c r="E71" i="104" s="1"/>
  <c r="C72" i="104"/>
  <c r="H72" i="104" s="1"/>
  <c r="C73" i="104"/>
  <c r="C74" i="104"/>
  <c r="H74" i="104" s="1"/>
  <c r="C75" i="104"/>
  <c r="E75" i="104" s="1"/>
  <c r="C76" i="104"/>
  <c r="H76" i="104" s="1"/>
  <c r="C77" i="104"/>
  <c r="E77" i="104" s="1"/>
  <c r="C78" i="104"/>
  <c r="H78" i="104" s="1"/>
  <c r="C79" i="104"/>
  <c r="E79" i="104" s="1"/>
  <c r="C80" i="104"/>
  <c r="H80" i="104" s="1"/>
  <c r="C81" i="104"/>
  <c r="C82" i="104"/>
  <c r="H82" i="104" s="1"/>
  <c r="C83" i="104"/>
  <c r="E83" i="104" s="1"/>
  <c r="C84" i="104"/>
  <c r="C85" i="104"/>
  <c r="E85" i="104" s="1"/>
  <c r="C86" i="104"/>
  <c r="H86" i="104" s="1"/>
  <c r="C37" i="104"/>
  <c r="F37" i="104" s="1"/>
  <c r="B38" i="104"/>
  <c r="B39" i="104"/>
  <c r="B40" i="104"/>
  <c r="B41" i="104"/>
  <c r="B42" i="104"/>
  <c r="B43" i="104"/>
  <c r="B44" i="104"/>
  <c r="B45" i="104"/>
  <c r="B46" i="104"/>
  <c r="B47" i="104"/>
  <c r="B48" i="104"/>
  <c r="B49" i="104"/>
  <c r="B50" i="104"/>
  <c r="B51" i="104"/>
  <c r="B52" i="104"/>
  <c r="B53" i="104"/>
  <c r="B54" i="104"/>
  <c r="B55" i="104"/>
  <c r="B56" i="104"/>
  <c r="B57" i="104"/>
  <c r="B58" i="104"/>
  <c r="B59" i="104"/>
  <c r="B60" i="104"/>
  <c r="B61" i="104"/>
  <c r="B62" i="104"/>
  <c r="B63" i="104"/>
  <c r="B64" i="104"/>
  <c r="B65" i="104"/>
  <c r="B66" i="104"/>
  <c r="B67" i="104"/>
  <c r="B68" i="104"/>
  <c r="B69" i="104"/>
  <c r="B70" i="104"/>
  <c r="B71" i="104"/>
  <c r="B72" i="104"/>
  <c r="B73" i="104"/>
  <c r="B74" i="104"/>
  <c r="B75" i="104"/>
  <c r="B76" i="104"/>
  <c r="B77" i="104"/>
  <c r="B78" i="104"/>
  <c r="B79" i="104"/>
  <c r="B80" i="104"/>
  <c r="B81" i="104"/>
  <c r="B82" i="104"/>
  <c r="B83" i="104"/>
  <c r="B84" i="104"/>
  <c r="B85" i="104"/>
  <c r="B86" i="104"/>
  <c r="B37" i="104"/>
  <c r="E16" i="104"/>
  <c r="F16" i="104"/>
  <c r="G16" i="104"/>
  <c r="D16" i="104"/>
  <c r="C56" i="102"/>
  <c r="A56" i="102"/>
  <c r="B69" i="102"/>
  <c r="C69" i="102"/>
  <c r="D69" i="102"/>
  <c r="E69" i="102"/>
  <c r="F69" i="102"/>
  <c r="G69" i="102"/>
  <c r="H69" i="102"/>
  <c r="I69" i="102"/>
  <c r="B70" i="102"/>
  <c r="C70" i="102"/>
  <c r="D70" i="102"/>
  <c r="E70" i="102"/>
  <c r="F70" i="102"/>
  <c r="G70" i="102"/>
  <c r="H70" i="102"/>
  <c r="I70" i="102"/>
  <c r="B71" i="102"/>
  <c r="C71" i="102"/>
  <c r="D71" i="102"/>
  <c r="E71" i="102"/>
  <c r="F71" i="102"/>
  <c r="G71" i="102"/>
  <c r="H71" i="102"/>
  <c r="I71" i="102"/>
  <c r="B72" i="102"/>
  <c r="C72" i="102"/>
  <c r="D72" i="102"/>
  <c r="E72" i="102"/>
  <c r="F72" i="102"/>
  <c r="G72" i="102"/>
  <c r="H72" i="102"/>
  <c r="I72" i="102"/>
  <c r="B73" i="102"/>
  <c r="C73" i="102"/>
  <c r="D73" i="102"/>
  <c r="E73" i="102"/>
  <c r="F73" i="102"/>
  <c r="G73" i="102"/>
  <c r="H73" i="102"/>
  <c r="I73" i="102"/>
  <c r="B74" i="102"/>
  <c r="C74" i="102"/>
  <c r="D74" i="102"/>
  <c r="E74" i="102"/>
  <c r="F74" i="102"/>
  <c r="G74" i="102"/>
  <c r="H74" i="102"/>
  <c r="I74" i="102"/>
  <c r="B75" i="102"/>
  <c r="C75" i="102"/>
  <c r="D75" i="102"/>
  <c r="E75" i="102"/>
  <c r="F75" i="102"/>
  <c r="G75" i="102"/>
  <c r="H75" i="102"/>
  <c r="I75" i="102"/>
  <c r="B76" i="102"/>
  <c r="C76" i="102"/>
  <c r="D76" i="102"/>
  <c r="E76" i="102"/>
  <c r="F76" i="102"/>
  <c r="G76" i="102"/>
  <c r="H76" i="102"/>
  <c r="I76" i="102"/>
  <c r="B77" i="102"/>
  <c r="C77" i="102"/>
  <c r="D77" i="102"/>
  <c r="E77" i="102"/>
  <c r="F77" i="102"/>
  <c r="G77" i="102"/>
  <c r="H77" i="102"/>
  <c r="I77" i="102"/>
  <c r="B78" i="102"/>
  <c r="C78" i="102"/>
  <c r="D78" i="102"/>
  <c r="E78" i="102"/>
  <c r="F78" i="102"/>
  <c r="G78" i="102"/>
  <c r="H78" i="102"/>
  <c r="I78" i="102"/>
  <c r="B79" i="102"/>
  <c r="C79" i="102"/>
  <c r="D79" i="102"/>
  <c r="E79" i="102"/>
  <c r="F79" i="102"/>
  <c r="G79" i="102"/>
  <c r="H79" i="102"/>
  <c r="I79" i="102"/>
  <c r="B80" i="102"/>
  <c r="C80" i="102"/>
  <c r="D80" i="102"/>
  <c r="E80" i="102"/>
  <c r="F80" i="102"/>
  <c r="G80" i="102"/>
  <c r="H80" i="102"/>
  <c r="I80" i="102"/>
  <c r="B81" i="102"/>
  <c r="C81" i="102"/>
  <c r="D81" i="102"/>
  <c r="E81" i="102"/>
  <c r="F81" i="102"/>
  <c r="G81" i="102"/>
  <c r="H81" i="102"/>
  <c r="I81" i="102"/>
  <c r="B82" i="102"/>
  <c r="C82" i="102"/>
  <c r="D82" i="102"/>
  <c r="E82" i="102"/>
  <c r="F82" i="102"/>
  <c r="G82" i="102"/>
  <c r="H82" i="102"/>
  <c r="I82" i="102"/>
  <c r="B83" i="102"/>
  <c r="C83" i="102"/>
  <c r="D83" i="102"/>
  <c r="E83" i="102"/>
  <c r="F83" i="102"/>
  <c r="G83" i="102"/>
  <c r="H83" i="102"/>
  <c r="I83" i="102"/>
  <c r="A70" i="102"/>
  <c r="A71" i="102"/>
  <c r="A72" i="102"/>
  <c r="A73" i="102"/>
  <c r="A74" i="102"/>
  <c r="A75" i="102"/>
  <c r="A76" i="102"/>
  <c r="A77" i="102"/>
  <c r="A78" i="102"/>
  <c r="A79" i="102"/>
  <c r="A80" i="102"/>
  <c r="A81" i="102"/>
  <c r="A82" i="102"/>
  <c r="A83" i="102"/>
  <c r="A69" i="102"/>
  <c r="B56" i="102"/>
  <c r="D56" i="102"/>
  <c r="Q44" i="102"/>
  <c r="R44" i="102" s="1"/>
  <c r="Q45" i="102"/>
  <c r="R45" i="102" s="1"/>
  <c r="S45" i="102" s="1"/>
  <c r="T45" i="102" s="1"/>
  <c r="AD45" i="102" s="1"/>
  <c r="Q46" i="102"/>
  <c r="R46" i="102" s="1"/>
  <c r="S46" i="102" s="1"/>
  <c r="T46" i="102" s="1"/>
  <c r="AC46" i="102" s="1"/>
  <c r="Q47" i="102"/>
  <c r="R47" i="102" s="1"/>
  <c r="S47" i="102" s="1"/>
  <c r="T47" i="102" s="1"/>
  <c r="AB47" i="102" s="1"/>
  <c r="Q48" i="102"/>
  <c r="R48" i="102" s="1"/>
  <c r="S48" i="102" s="1"/>
  <c r="T48" i="102" s="1"/>
  <c r="Q49" i="102"/>
  <c r="R49" i="102" s="1"/>
  <c r="S49" i="102" s="1"/>
  <c r="T49" i="102" s="1"/>
  <c r="Z49" i="102" s="1"/>
  <c r="Q50" i="102"/>
  <c r="R50" i="102" s="1"/>
  <c r="S50" i="102" s="1"/>
  <c r="T50" i="102" s="1"/>
  <c r="Q51" i="102"/>
  <c r="R51" i="102" s="1"/>
  <c r="S51" i="102" s="1"/>
  <c r="T51" i="102" s="1"/>
  <c r="AC51" i="102" s="1"/>
  <c r="Q52" i="102"/>
  <c r="R52" i="102" s="1"/>
  <c r="S52" i="102" s="1"/>
  <c r="T52" i="102" s="1"/>
  <c r="AB52" i="102" s="1"/>
  <c r="Q53" i="102"/>
  <c r="R53" i="102" s="1"/>
  <c r="Q54" i="102"/>
  <c r="R54" i="102" s="1"/>
  <c r="S54" i="102" s="1"/>
  <c r="T54" i="102" s="1"/>
  <c r="AA54" i="102" s="1"/>
  <c r="Q55" i="102"/>
  <c r="R55" i="102" s="1"/>
  <c r="S55" i="102" s="1"/>
  <c r="T55" i="102" s="1"/>
  <c r="Z55" i="102" s="1"/>
  <c r="Q56" i="102"/>
  <c r="R56" i="102" s="1"/>
  <c r="S56" i="102" s="1"/>
  <c r="T56" i="102" s="1"/>
  <c r="Q57" i="102"/>
  <c r="R57" i="102" s="1"/>
  <c r="S57" i="102" s="1"/>
  <c r="T57" i="102" s="1"/>
  <c r="AB57" i="102" s="1"/>
  <c r="Q58" i="102"/>
  <c r="R58" i="102" s="1"/>
  <c r="Q59" i="102"/>
  <c r="R59" i="102" s="1"/>
  <c r="S59" i="102" s="1"/>
  <c r="T59" i="102" s="1"/>
  <c r="Q60" i="102"/>
  <c r="R60" i="102" s="1"/>
  <c r="S60" i="102" s="1"/>
  <c r="T60" i="102" s="1"/>
  <c r="AA60" i="102" s="1"/>
  <c r="Q61" i="102"/>
  <c r="R61" i="102" s="1"/>
  <c r="S61" i="102" s="1"/>
  <c r="T61" i="102" s="1"/>
  <c r="Z61" i="102" s="1"/>
  <c r="Q62" i="102"/>
  <c r="R62" i="102" s="1"/>
  <c r="S62" i="102" s="1"/>
  <c r="T62" i="102" s="1"/>
  <c r="AD62" i="102" s="1"/>
  <c r="Q63" i="102"/>
  <c r="R63" i="102" s="1"/>
  <c r="S63" i="102" s="1"/>
  <c r="T63" i="102" s="1"/>
  <c r="Q64" i="102"/>
  <c r="R64" i="102" s="1"/>
  <c r="Q65" i="102"/>
  <c r="R65" i="102" s="1"/>
  <c r="S65" i="102" s="1"/>
  <c r="T65" i="102" s="1"/>
  <c r="Q66" i="102"/>
  <c r="R66" i="102" s="1"/>
  <c r="S66" i="102" s="1"/>
  <c r="T66" i="102" s="1"/>
  <c r="AA66" i="102" s="1"/>
  <c r="Q67" i="102"/>
  <c r="R67" i="102" s="1"/>
  <c r="S67" i="102" s="1"/>
  <c r="T67" i="102" s="1"/>
  <c r="Z67" i="102" s="1"/>
  <c r="L26" i="102"/>
  <c r="M26" i="102"/>
  <c r="N26" i="102"/>
  <c r="O26" i="102"/>
  <c r="P26" i="102"/>
  <c r="Q26" i="102"/>
  <c r="R26" i="102"/>
  <c r="S26" i="102"/>
  <c r="T26" i="102"/>
  <c r="L27" i="102"/>
  <c r="M27" i="102"/>
  <c r="N27" i="102"/>
  <c r="O27" i="102"/>
  <c r="P27" i="102"/>
  <c r="Q27" i="102"/>
  <c r="R27" i="102"/>
  <c r="S27" i="102"/>
  <c r="T27" i="102"/>
  <c r="L28" i="102"/>
  <c r="M28" i="102"/>
  <c r="N28" i="102"/>
  <c r="O28" i="102"/>
  <c r="P28" i="102"/>
  <c r="Q28" i="102"/>
  <c r="R28" i="102"/>
  <c r="S28" i="102"/>
  <c r="T28" i="102"/>
  <c r="L29" i="102"/>
  <c r="M29" i="102"/>
  <c r="N29" i="102"/>
  <c r="O29" i="102"/>
  <c r="P29" i="102"/>
  <c r="Q29" i="102"/>
  <c r="R29" i="102"/>
  <c r="S29" i="102"/>
  <c r="T29" i="102"/>
  <c r="L30" i="102"/>
  <c r="M30" i="102"/>
  <c r="N30" i="102"/>
  <c r="O30" i="102"/>
  <c r="P30" i="102"/>
  <c r="Q30" i="102"/>
  <c r="R30" i="102"/>
  <c r="S30" i="102"/>
  <c r="T30" i="102"/>
  <c r="L31" i="102"/>
  <c r="M31" i="102"/>
  <c r="N31" i="102"/>
  <c r="O31" i="102"/>
  <c r="P31" i="102"/>
  <c r="Q31" i="102"/>
  <c r="R31" i="102"/>
  <c r="S31" i="102"/>
  <c r="T31" i="102"/>
  <c r="L32" i="102"/>
  <c r="M32" i="102"/>
  <c r="N32" i="102"/>
  <c r="O32" i="102"/>
  <c r="P32" i="102"/>
  <c r="Q32" i="102"/>
  <c r="R32" i="102"/>
  <c r="S32" i="102"/>
  <c r="T32" i="102"/>
  <c r="L33" i="102"/>
  <c r="M33" i="102"/>
  <c r="N33" i="102"/>
  <c r="O33" i="102"/>
  <c r="P33" i="102"/>
  <c r="Q33" i="102"/>
  <c r="R33" i="102"/>
  <c r="S33" i="102"/>
  <c r="T33" i="102"/>
  <c r="L34" i="102"/>
  <c r="M34" i="102"/>
  <c r="N34" i="102"/>
  <c r="O34" i="102"/>
  <c r="P34" i="102"/>
  <c r="Q34" i="102"/>
  <c r="R34" i="102"/>
  <c r="S34" i="102"/>
  <c r="T34" i="102"/>
  <c r="L35" i="102"/>
  <c r="M35" i="102"/>
  <c r="N35" i="102"/>
  <c r="O35" i="102"/>
  <c r="P35" i="102"/>
  <c r="Q35" i="102"/>
  <c r="R35" i="102"/>
  <c r="S35" i="102"/>
  <c r="T35" i="102"/>
  <c r="L36" i="102"/>
  <c r="M36" i="102"/>
  <c r="N36" i="102"/>
  <c r="O36" i="102"/>
  <c r="P36" i="102"/>
  <c r="Q36" i="102"/>
  <c r="R36" i="102"/>
  <c r="S36" i="102"/>
  <c r="T36" i="102"/>
  <c r="L37" i="102"/>
  <c r="M37" i="102"/>
  <c r="N37" i="102"/>
  <c r="O37" i="102"/>
  <c r="P37" i="102"/>
  <c r="Q37" i="102"/>
  <c r="R37" i="102"/>
  <c r="S37" i="102"/>
  <c r="T37" i="102"/>
  <c r="L38" i="102"/>
  <c r="M38" i="102"/>
  <c r="N38" i="102"/>
  <c r="O38" i="102"/>
  <c r="P38" i="102"/>
  <c r="Q38" i="102"/>
  <c r="R38" i="102"/>
  <c r="S38" i="102"/>
  <c r="T38" i="102"/>
  <c r="L39" i="102"/>
  <c r="M39" i="102"/>
  <c r="N39" i="102"/>
  <c r="O39" i="102"/>
  <c r="P39" i="102"/>
  <c r="Q39" i="102"/>
  <c r="R39" i="102"/>
  <c r="S39" i="102"/>
  <c r="T39" i="102"/>
  <c r="T25" i="102"/>
  <c r="R25" i="102"/>
  <c r="S25" i="102"/>
  <c r="M25" i="102"/>
  <c r="N25" i="102"/>
  <c r="O25" i="102"/>
  <c r="P25" i="102"/>
  <c r="Q25" i="102"/>
  <c r="L25" i="102"/>
  <c r="R9" i="98"/>
  <c r="H84" i="104" l="1"/>
  <c r="G84" i="104"/>
  <c r="H48" i="104"/>
  <c r="E48" i="104"/>
  <c r="U25" i="107"/>
  <c r="U26" i="107"/>
  <c r="U27" i="107"/>
  <c r="U30" i="107"/>
  <c r="U31" i="107"/>
  <c r="U34" i="107"/>
  <c r="U37" i="107"/>
  <c r="U38" i="107"/>
  <c r="U44" i="107"/>
  <c r="S44" i="107"/>
  <c r="T44" i="107" s="1"/>
  <c r="S46" i="107"/>
  <c r="T46" i="107" s="1"/>
  <c r="AC46" i="107" s="1"/>
  <c r="U46" i="107"/>
  <c r="U67" i="107"/>
  <c r="S67" i="107"/>
  <c r="T67" i="107" s="1"/>
  <c r="AA67" i="107" s="1"/>
  <c r="M69" i="102"/>
  <c r="AA64" i="107"/>
  <c r="Z64" i="107"/>
  <c r="AF64" i="107"/>
  <c r="AE64" i="107"/>
  <c r="AD64" i="107"/>
  <c r="V64" i="107"/>
  <c r="W64" i="107" s="1"/>
  <c r="AC64" i="107"/>
  <c r="AB64" i="107"/>
  <c r="AA56" i="107"/>
  <c r="Z56" i="107"/>
  <c r="AF56" i="107"/>
  <c r="AE56" i="107"/>
  <c r="AD56" i="107"/>
  <c r="V56" i="107"/>
  <c r="W56" i="107" s="1"/>
  <c r="AC56" i="107"/>
  <c r="AB56" i="107"/>
  <c r="U48" i="107"/>
  <c r="S48" i="107"/>
  <c r="T48" i="107" s="1"/>
  <c r="M69" i="107"/>
  <c r="U63" i="107"/>
  <c r="S63" i="107"/>
  <c r="T63" i="107" s="1"/>
  <c r="U53" i="107"/>
  <c r="S53" i="107"/>
  <c r="T53" i="107" s="1"/>
  <c r="AB61" i="107"/>
  <c r="AA61" i="107"/>
  <c r="Z61" i="107"/>
  <c r="AF61" i="107"/>
  <c r="AE61" i="107"/>
  <c r="AD61" i="107"/>
  <c r="V61" i="107"/>
  <c r="W61" i="107" s="1"/>
  <c r="U33" i="107"/>
  <c r="U39" i="107"/>
  <c r="AB46" i="107"/>
  <c r="AA46" i="107"/>
  <c r="Z46" i="107"/>
  <c r="AF46" i="107"/>
  <c r="AE46" i="107"/>
  <c r="AD46" i="107"/>
  <c r="V46" i="107"/>
  <c r="W46" i="107" s="1"/>
  <c r="X46" i="107" s="1"/>
  <c r="Y46" i="107" s="1"/>
  <c r="U51" i="107"/>
  <c r="S51" i="107"/>
  <c r="T51" i="107" s="1"/>
  <c r="S59" i="107"/>
  <c r="T59" i="107" s="1"/>
  <c r="U61" i="107"/>
  <c r="U66" i="107"/>
  <c r="S66" i="107"/>
  <c r="T66" i="107" s="1"/>
  <c r="U28" i="107"/>
  <c r="Z44" i="107"/>
  <c r="AF44" i="107"/>
  <c r="AE44" i="107"/>
  <c r="AD44" i="107"/>
  <c r="V44" i="107"/>
  <c r="W44" i="107" s="1"/>
  <c r="X44" i="107" s="1"/>
  <c r="Y44" i="107" s="1"/>
  <c r="AC44" i="107"/>
  <c r="AB44" i="107"/>
  <c r="AA44" i="107"/>
  <c r="U54" i="107"/>
  <c r="S54" i="107"/>
  <c r="T54" i="107" s="1"/>
  <c r="U29" i="107"/>
  <c r="U35" i="107"/>
  <c r="U36" i="107"/>
  <c r="U62" i="107"/>
  <c r="S62" i="107"/>
  <c r="T62" i="107" s="1"/>
  <c r="U57" i="107"/>
  <c r="S57" i="107"/>
  <c r="T57" i="107" s="1"/>
  <c r="U47" i="107"/>
  <c r="S47" i="107"/>
  <c r="T47" i="107" s="1"/>
  <c r="AA49" i="107"/>
  <c r="Z49" i="107"/>
  <c r="AF49" i="107"/>
  <c r="AE49" i="107"/>
  <c r="AD49" i="107"/>
  <c r="V49" i="107"/>
  <c r="W49" i="107" s="1"/>
  <c r="AC49" i="107"/>
  <c r="U58" i="107"/>
  <c r="S58" i="107"/>
  <c r="T58" i="107" s="1"/>
  <c r="Z67" i="107"/>
  <c r="AF67" i="107"/>
  <c r="AE67" i="107"/>
  <c r="AD67" i="107"/>
  <c r="V67" i="107"/>
  <c r="W67" i="107" s="1"/>
  <c r="X67" i="107" s="1"/>
  <c r="Y67" i="107" s="1"/>
  <c r="AC67" i="107"/>
  <c r="AB67" i="107"/>
  <c r="AA52" i="107"/>
  <c r="Z52" i="107"/>
  <c r="AF52" i="107"/>
  <c r="AE52" i="107"/>
  <c r="AD52" i="107"/>
  <c r="V52" i="107"/>
  <c r="W52" i="107" s="1"/>
  <c r="AC52" i="107"/>
  <c r="U65" i="107"/>
  <c r="S65" i="107"/>
  <c r="T65" i="107" s="1"/>
  <c r="U50" i="107"/>
  <c r="S50" i="107"/>
  <c r="T50" i="107" s="1"/>
  <c r="S55" i="107"/>
  <c r="T55" i="107" s="1"/>
  <c r="U49" i="107"/>
  <c r="X49" i="107" s="1"/>
  <c r="Y49" i="107" s="1"/>
  <c r="U52" i="107"/>
  <c r="X52" i="107" s="1"/>
  <c r="Y52" i="107" s="1"/>
  <c r="U56" i="107"/>
  <c r="U64" i="107"/>
  <c r="S45" i="107"/>
  <c r="T45" i="107" s="1"/>
  <c r="S60" i="107"/>
  <c r="T60" i="107" s="1"/>
  <c r="J10" i="100"/>
  <c r="J18" i="100"/>
  <c r="J26" i="100"/>
  <c r="J34" i="100"/>
  <c r="J42" i="100"/>
  <c r="J50" i="100"/>
  <c r="J58" i="100"/>
  <c r="J66" i="100"/>
  <c r="J74" i="100"/>
  <c r="J82" i="100"/>
  <c r="J90" i="100"/>
  <c r="J98" i="100"/>
  <c r="J106" i="100"/>
  <c r="J114" i="100"/>
  <c r="J122" i="100"/>
  <c r="J130" i="100"/>
  <c r="J138" i="100"/>
  <c r="J146" i="100"/>
  <c r="J154" i="100"/>
  <c r="J162" i="100"/>
  <c r="J170" i="100"/>
  <c r="J178" i="100"/>
  <c r="J186" i="100"/>
  <c r="J194" i="100"/>
  <c r="J202" i="100"/>
  <c r="J210" i="100"/>
  <c r="J216" i="100"/>
  <c r="J11" i="100"/>
  <c r="J19" i="100"/>
  <c r="J27" i="100"/>
  <c r="J35" i="100"/>
  <c r="J43" i="100"/>
  <c r="J51" i="100"/>
  <c r="J59" i="100"/>
  <c r="J67" i="100"/>
  <c r="J75" i="100"/>
  <c r="J83" i="100"/>
  <c r="J91" i="100"/>
  <c r="J99" i="100"/>
  <c r="J107" i="100"/>
  <c r="J115" i="100"/>
  <c r="J123" i="100"/>
  <c r="J131" i="100"/>
  <c r="J139" i="100"/>
  <c r="J147" i="100"/>
  <c r="J155" i="100"/>
  <c r="J163" i="100"/>
  <c r="J171" i="100"/>
  <c r="J179" i="100"/>
  <c r="J187" i="100"/>
  <c r="J195" i="100"/>
  <c r="J203" i="100"/>
  <c r="J211" i="100"/>
  <c r="J12" i="100"/>
  <c r="J20" i="100"/>
  <c r="J28" i="100"/>
  <c r="J36" i="100"/>
  <c r="J44" i="100"/>
  <c r="J52" i="100"/>
  <c r="J60" i="100"/>
  <c r="J68" i="100"/>
  <c r="J76" i="100"/>
  <c r="J84" i="100"/>
  <c r="J92" i="100"/>
  <c r="J100" i="100"/>
  <c r="J108" i="100"/>
  <c r="J116" i="100"/>
  <c r="J124" i="100"/>
  <c r="J132" i="100"/>
  <c r="J140" i="100"/>
  <c r="J148" i="100"/>
  <c r="J156" i="100"/>
  <c r="J164" i="100"/>
  <c r="J172" i="100"/>
  <c r="J180" i="100"/>
  <c r="J188" i="100"/>
  <c r="J196" i="100"/>
  <c r="J204" i="100"/>
  <c r="J212" i="100"/>
  <c r="J13" i="100"/>
  <c r="J21" i="100"/>
  <c r="J29" i="100"/>
  <c r="J37" i="100"/>
  <c r="J45" i="100"/>
  <c r="J53" i="100"/>
  <c r="J61" i="100"/>
  <c r="J69" i="100"/>
  <c r="J77" i="100"/>
  <c r="J85" i="100"/>
  <c r="J93" i="100"/>
  <c r="J101" i="100"/>
  <c r="J109" i="100"/>
  <c r="J117" i="100"/>
  <c r="J125" i="100"/>
  <c r="J133" i="100"/>
  <c r="J141" i="100"/>
  <c r="J149" i="100"/>
  <c r="J157" i="100"/>
  <c r="J165" i="100"/>
  <c r="J173" i="100"/>
  <c r="J181" i="100"/>
  <c r="J189" i="100"/>
  <c r="J197" i="100"/>
  <c r="J205" i="100"/>
  <c r="J213" i="100"/>
  <c r="J14" i="100"/>
  <c r="J22" i="100"/>
  <c r="J30" i="100"/>
  <c r="J38" i="100"/>
  <c r="J46" i="100"/>
  <c r="J54" i="100"/>
  <c r="J62" i="100"/>
  <c r="J70" i="100"/>
  <c r="J78" i="100"/>
  <c r="J86" i="100"/>
  <c r="J94" i="100"/>
  <c r="J102" i="100"/>
  <c r="J110" i="100"/>
  <c r="J118" i="100"/>
  <c r="J126" i="100"/>
  <c r="J134" i="100"/>
  <c r="J142" i="100"/>
  <c r="J150" i="100"/>
  <c r="J158" i="100"/>
  <c r="J166" i="100"/>
  <c r="J174" i="100"/>
  <c r="J182" i="100"/>
  <c r="J190" i="100"/>
  <c r="J198" i="100"/>
  <c r="J206" i="100"/>
  <c r="J214" i="100"/>
  <c r="J15" i="100"/>
  <c r="J23" i="100"/>
  <c r="J31" i="100"/>
  <c r="J39" i="100"/>
  <c r="J47" i="100"/>
  <c r="J55" i="100"/>
  <c r="J63" i="100"/>
  <c r="J71" i="100"/>
  <c r="J79" i="100"/>
  <c r="J87" i="100"/>
  <c r="J95" i="100"/>
  <c r="J103" i="100"/>
  <c r="J111" i="100"/>
  <c r="J119" i="100"/>
  <c r="J127" i="100"/>
  <c r="J135" i="100"/>
  <c r="J143" i="100"/>
  <c r="J151" i="100"/>
  <c r="J159" i="100"/>
  <c r="J167" i="100"/>
  <c r="J175" i="100"/>
  <c r="J183" i="100"/>
  <c r="J191" i="100"/>
  <c r="J199" i="100"/>
  <c r="J207" i="100"/>
  <c r="J215" i="100"/>
  <c r="J17" i="100"/>
  <c r="J25" i="100"/>
  <c r="J33" i="100"/>
  <c r="J41" i="100"/>
  <c r="J49" i="100"/>
  <c r="J57" i="100"/>
  <c r="J65" i="100"/>
  <c r="J73" i="100"/>
  <c r="J81" i="100"/>
  <c r="J89" i="100"/>
  <c r="J97" i="100"/>
  <c r="J105" i="100"/>
  <c r="J113" i="100"/>
  <c r="J121" i="100"/>
  <c r="J129" i="100"/>
  <c r="J137" i="100"/>
  <c r="J145" i="100"/>
  <c r="J153" i="100"/>
  <c r="J161" i="100"/>
  <c r="J169" i="100"/>
  <c r="J177" i="100"/>
  <c r="J185" i="100"/>
  <c r="J193" i="100"/>
  <c r="J201" i="100"/>
  <c r="J209" i="100"/>
  <c r="J16" i="100"/>
  <c r="J24" i="100"/>
  <c r="J32" i="100"/>
  <c r="J40" i="100"/>
  <c r="J48" i="100"/>
  <c r="J56" i="100"/>
  <c r="J64" i="100"/>
  <c r="J72" i="100"/>
  <c r="J80" i="100"/>
  <c r="J88" i="100"/>
  <c r="J96" i="100"/>
  <c r="J104" i="100"/>
  <c r="J112" i="100"/>
  <c r="J120" i="100"/>
  <c r="J128" i="100"/>
  <c r="J136" i="100"/>
  <c r="J144" i="100"/>
  <c r="J152" i="100"/>
  <c r="J160" i="100"/>
  <c r="J168" i="100"/>
  <c r="J176" i="100"/>
  <c r="J184" i="100"/>
  <c r="J192" i="100"/>
  <c r="J200" i="100"/>
  <c r="J208" i="100"/>
  <c r="G72" i="104"/>
  <c r="G58" i="104"/>
  <c r="G82" i="104"/>
  <c r="E72" i="104"/>
  <c r="E58" i="104"/>
  <c r="G44" i="104"/>
  <c r="D80" i="104"/>
  <c r="E82" i="104"/>
  <c r="G68" i="104"/>
  <c r="G56" i="104"/>
  <c r="G42" i="104"/>
  <c r="D72" i="104"/>
  <c r="G80" i="104"/>
  <c r="K80" i="104" s="1"/>
  <c r="G66" i="104"/>
  <c r="E56" i="104"/>
  <c r="E42" i="104"/>
  <c r="K72" i="104"/>
  <c r="D64" i="104"/>
  <c r="E80" i="104"/>
  <c r="E66" i="104"/>
  <c r="G52" i="104"/>
  <c r="G40" i="104"/>
  <c r="D56" i="104"/>
  <c r="G76" i="104"/>
  <c r="G64" i="104"/>
  <c r="K64" i="104" s="1"/>
  <c r="G50" i="104"/>
  <c r="E40" i="104"/>
  <c r="D81" i="104"/>
  <c r="D73" i="104"/>
  <c r="D65" i="104"/>
  <c r="D57" i="104"/>
  <c r="D49" i="104"/>
  <c r="D41" i="104"/>
  <c r="D48" i="104"/>
  <c r="I48" i="104" s="1"/>
  <c r="G74" i="104"/>
  <c r="E64" i="104"/>
  <c r="E50" i="104"/>
  <c r="D40" i="104"/>
  <c r="L40" i="104" s="1"/>
  <c r="E74" i="104"/>
  <c r="G60" i="104"/>
  <c r="G48" i="104"/>
  <c r="K48" i="104" s="1"/>
  <c r="L80" i="104"/>
  <c r="L72" i="104"/>
  <c r="L64" i="104"/>
  <c r="L56" i="104"/>
  <c r="G70" i="104"/>
  <c r="G46" i="104"/>
  <c r="G38" i="104"/>
  <c r="G54" i="104"/>
  <c r="D37" i="104"/>
  <c r="J37" i="104" s="1"/>
  <c r="D79" i="104"/>
  <c r="I79" i="104" s="1"/>
  <c r="D71" i="104"/>
  <c r="I71" i="104" s="1"/>
  <c r="D63" i="104"/>
  <c r="I63" i="104" s="1"/>
  <c r="D55" i="104"/>
  <c r="I55" i="104" s="1"/>
  <c r="D47" i="104"/>
  <c r="I47" i="104" s="1"/>
  <c r="D39" i="104"/>
  <c r="I39" i="104" s="1"/>
  <c r="F86" i="104"/>
  <c r="F84" i="104"/>
  <c r="F82" i="104"/>
  <c r="F80" i="104"/>
  <c r="J80" i="104" s="1"/>
  <c r="F78" i="104"/>
  <c r="F76" i="104"/>
  <c r="F74" i="104"/>
  <c r="F72" i="104"/>
  <c r="J72" i="104" s="1"/>
  <c r="F70" i="104"/>
  <c r="F68" i="104"/>
  <c r="F66" i="104"/>
  <c r="F64" i="104"/>
  <c r="J64" i="104" s="1"/>
  <c r="F62" i="104"/>
  <c r="F60" i="104"/>
  <c r="F58" i="104"/>
  <c r="F56" i="104"/>
  <c r="J56" i="104" s="1"/>
  <c r="F54" i="104"/>
  <c r="F52" i="104"/>
  <c r="F50" i="104"/>
  <c r="F48" i="104"/>
  <c r="J48" i="104" s="1"/>
  <c r="F46" i="104"/>
  <c r="F44" i="104"/>
  <c r="F42" i="104"/>
  <c r="F40" i="104"/>
  <c r="J40" i="104" s="1"/>
  <c r="F38" i="104"/>
  <c r="D86" i="104"/>
  <c r="L86" i="104" s="1"/>
  <c r="E76" i="104"/>
  <c r="E52" i="104"/>
  <c r="D85" i="104"/>
  <c r="I85" i="104" s="1"/>
  <c r="D77" i="104"/>
  <c r="I77" i="104" s="1"/>
  <c r="D69" i="104"/>
  <c r="D61" i="104"/>
  <c r="I61" i="104" s="1"/>
  <c r="D53" i="104"/>
  <c r="D45" i="104"/>
  <c r="I45" i="104" s="1"/>
  <c r="E37" i="104"/>
  <c r="I37" i="104" s="1"/>
  <c r="H85" i="104"/>
  <c r="H83" i="104"/>
  <c r="H81" i="104"/>
  <c r="H79" i="104"/>
  <c r="L79" i="104" s="1"/>
  <c r="H77" i="104"/>
  <c r="L77" i="104" s="1"/>
  <c r="H75" i="104"/>
  <c r="H73" i="104"/>
  <c r="H71" i="104"/>
  <c r="L71" i="104" s="1"/>
  <c r="H69" i="104"/>
  <c r="H67" i="104"/>
  <c r="H65" i="104"/>
  <c r="H63" i="104"/>
  <c r="L63" i="104" s="1"/>
  <c r="H61" i="104"/>
  <c r="L61" i="104" s="1"/>
  <c r="H59" i="104"/>
  <c r="H57" i="104"/>
  <c r="H55" i="104"/>
  <c r="L55" i="104" s="1"/>
  <c r="H53" i="104"/>
  <c r="H51" i="104"/>
  <c r="H49" i="104"/>
  <c r="L49" i="104" s="1"/>
  <c r="H47" i="104"/>
  <c r="H45" i="104"/>
  <c r="L45" i="104" s="1"/>
  <c r="H43" i="104"/>
  <c r="H41" i="104"/>
  <c r="H39" i="104"/>
  <c r="L39" i="104" s="1"/>
  <c r="L85" i="104"/>
  <c r="L81" i="104"/>
  <c r="L57" i="104"/>
  <c r="L41" i="104"/>
  <c r="D78" i="104"/>
  <c r="L78" i="104" s="1"/>
  <c r="D62" i="104"/>
  <c r="L62" i="104" s="1"/>
  <c r="D46" i="104"/>
  <c r="L46" i="104" s="1"/>
  <c r="D38" i="104"/>
  <c r="J38" i="104" s="1"/>
  <c r="E86" i="104"/>
  <c r="I86" i="104" s="1"/>
  <c r="E84" i="104"/>
  <c r="E62" i="104"/>
  <c r="E60" i="104"/>
  <c r="D84" i="104"/>
  <c r="L84" i="104" s="1"/>
  <c r="D76" i="104"/>
  <c r="L76" i="104" s="1"/>
  <c r="D68" i="104"/>
  <c r="K68" i="104" s="1"/>
  <c r="D60" i="104"/>
  <c r="L60" i="104" s="1"/>
  <c r="D52" i="104"/>
  <c r="J52" i="104" s="1"/>
  <c r="D44" i="104"/>
  <c r="L44" i="104" s="1"/>
  <c r="H37" i="104"/>
  <c r="L37" i="104" s="1"/>
  <c r="G85" i="104"/>
  <c r="G83" i="104"/>
  <c r="G81" i="104"/>
  <c r="K81" i="104" s="1"/>
  <c r="G79" i="104"/>
  <c r="K79" i="104" s="1"/>
  <c r="G77" i="104"/>
  <c r="K77" i="104" s="1"/>
  <c r="G75" i="104"/>
  <c r="G73" i="104"/>
  <c r="G71" i="104"/>
  <c r="K71" i="104" s="1"/>
  <c r="G69" i="104"/>
  <c r="K69" i="104" s="1"/>
  <c r="G67" i="104"/>
  <c r="G65" i="104"/>
  <c r="G63" i="104"/>
  <c r="G61" i="104"/>
  <c r="G59" i="104"/>
  <c r="G57" i="104"/>
  <c r="G55" i="104"/>
  <c r="K55" i="104" s="1"/>
  <c r="G53" i="104"/>
  <c r="K53" i="104" s="1"/>
  <c r="G51" i="104"/>
  <c r="G49" i="104"/>
  <c r="K49" i="104" s="1"/>
  <c r="G47" i="104"/>
  <c r="G45" i="104"/>
  <c r="G43" i="104"/>
  <c r="G41" i="104"/>
  <c r="G39" i="104"/>
  <c r="K39" i="104" s="1"/>
  <c r="K85" i="104"/>
  <c r="K63" i="104"/>
  <c r="K61" i="104"/>
  <c r="K45" i="104"/>
  <c r="K41" i="104"/>
  <c r="G78" i="104"/>
  <c r="K78" i="104" s="1"/>
  <c r="D83" i="104"/>
  <c r="D75" i="104"/>
  <c r="I75" i="104" s="1"/>
  <c r="D67" i="104"/>
  <c r="L67" i="104" s="1"/>
  <c r="D59" i="104"/>
  <c r="I59" i="104" s="1"/>
  <c r="D51" i="104"/>
  <c r="D43" i="104"/>
  <c r="K43" i="104" s="1"/>
  <c r="G37" i="104"/>
  <c r="K37" i="104" s="1"/>
  <c r="F85" i="104"/>
  <c r="J85" i="104" s="1"/>
  <c r="F83" i="104"/>
  <c r="J83" i="104" s="1"/>
  <c r="F81" i="104"/>
  <c r="F79" i="104"/>
  <c r="F77" i="104"/>
  <c r="F75" i="104"/>
  <c r="F73" i="104"/>
  <c r="J73" i="104" s="1"/>
  <c r="F71" i="104"/>
  <c r="J71" i="104" s="1"/>
  <c r="F69" i="104"/>
  <c r="F67" i="104"/>
  <c r="F65" i="104"/>
  <c r="J65" i="104" s="1"/>
  <c r="F63" i="104"/>
  <c r="J63" i="104" s="1"/>
  <c r="F61" i="104"/>
  <c r="F59" i="104"/>
  <c r="F57" i="104"/>
  <c r="J57" i="104" s="1"/>
  <c r="F55" i="104"/>
  <c r="J55" i="104" s="1"/>
  <c r="F53" i="104"/>
  <c r="J53" i="104" s="1"/>
  <c r="F51" i="104"/>
  <c r="J51" i="104" s="1"/>
  <c r="F49" i="104"/>
  <c r="J49" i="104" s="1"/>
  <c r="F47" i="104"/>
  <c r="F45" i="104"/>
  <c r="J45" i="104" s="1"/>
  <c r="F43" i="104"/>
  <c r="F41" i="104"/>
  <c r="J41" i="104" s="1"/>
  <c r="F39" i="104"/>
  <c r="J39" i="104" s="1"/>
  <c r="J81" i="104"/>
  <c r="J79" i="104"/>
  <c r="J77" i="104"/>
  <c r="J69" i="104"/>
  <c r="J61" i="104"/>
  <c r="J59" i="104"/>
  <c r="J43" i="104"/>
  <c r="G86" i="104"/>
  <c r="K86" i="104" s="1"/>
  <c r="G62" i="104"/>
  <c r="K62" i="104" s="1"/>
  <c r="D70" i="104"/>
  <c r="L70" i="104" s="1"/>
  <c r="D54" i="104"/>
  <c r="J54" i="104" s="1"/>
  <c r="E78" i="104"/>
  <c r="I78" i="104" s="1"/>
  <c r="E70" i="104"/>
  <c r="I70" i="104" s="1"/>
  <c r="E68" i="104"/>
  <c r="E54" i="104"/>
  <c r="E46" i="104"/>
  <c r="I46" i="104" s="1"/>
  <c r="E44" i="104"/>
  <c r="I44" i="104" s="1"/>
  <c r="E38" i="104"/>
  <c r="I52" i="104"/>
  <c r="D82" i="104"/>
  <c r="I82" i="104" s="1"/>
  <c r="D74" i="104"/>
  <c r="K74" i="104" s="1"/>
  <c r="D66" i="104"/>
  <c r="D58" i="104"/>
  <c r="I58" i="104" s="1"/>
  <c r="D50" i="104"/>
  <c r="J50" i="104" s="1"/>
  <c r="D42" i="104"/>
  <c r="L42" i="104" s="1"/>
  <c r="E81" i="104"/>
  <c r="I81" i="104" s="1"/>
  <c r="E73" i="104"/>
  <c r="I73" i="104" s="1"/>
  <c r="E65" i="104"/>
  <c r="I65" i="104" s="1"/>
  <c r="E57" i="104"/>
  <c r="I57" i="104" s="1"/>
  <c r="E49" i="104"/>
  <c r="I49" i="104" s="1"/>
  <c r="E41" i="104"/>
  <c r="I41" i="104" s="1"/>
  <c r="V59" i="102"/>
  <c r="W59" i="102" s="1"/>
  <c r="V63" i="102"/>
  <c r="W63" i="102" s="1"/>
  <c r="V56" i="102"/>
  <c r="W56" i="102" s="1"/>
  <c r="V50" i="102"/>
  <c r="W50" i="102" s="1"/>
  <c r="V48" i="102"/>
  <c r="W48" i="102" s="1"/>
  <c r="V65" i="102"/>
  <c r="W65" i="102" s="1"/>
  <c r="V66" i="102"/>
  <c r="W66" i="102" s="1"/>
  <c r="V60" i="102"/>
  <c r="W60" i="102" s="1"/>
  <c r="V54" i="102"/>
  <c r="W54" i="102" s="1"/>
  <c r="V47" i="102"/>
  <c r="W47" i="102" s="1"/>
  <c r="V52" i="102"/>
  <c r="W52" i="102" s="1"/>
  <c r="V46" i="102"/>
  <c r="W46" i="102" s="1"/>
  <c r="V57" i="102"/>
  <c r="W57" i="102" s="1"/>
  <c r="V51" i="102"/>
  <c r="W51" i="102" s="1"/>
  <c r="V45" i="102"/>
  <c r="W45" i="102" s="1"/>
  <c r="V62" i="102"/>
  <c r="W62" i="102" s="1"/>
  <c r="V67" i="102"/>
  <c r="W67" i="102" s="1"/>
  <c r="V61" i="102"/>
  <c r="W61" i="102" s="1"/>
  <c r="V55" i="102"/>
  <c r="W55" i="102" s="1"/>
  <c r="V49" i="102"/>
  <c r="W49" i="102" s="1"/>
  <c r="Z47" i="102"/>
  <c r="AF45" i="102"/>
  <c r="U62" i="102"/>
  <c r="AD49" i="102"/>
  <c r="AC67" i="102"/>
  <c r="AB66" i="102"/>
  <c r="AF60" i="102"/>
  <c r="AC57" i="102"/>
  <c r="AE54" i="102"/>
  <c r="U56" i="102"/>
  <c r="AB67" i="102"/>
  <c r="Z66" i="102"/>
  <c r="AE60" i="102"/>
  <c r="AE55" i="102"/>
  <c r="AD54" i="102"/>
  <c r="AC49" i="102"/>
  <c r="AF46" i="102"/>
  <c r="AE45" i="102"/>
  <c r="U50" i="102"/>
  <c r="AF66" i="102"/>
  <c r="AE61" i="102"/>
  <c r="AD60" i="102"/>
  <c r="AD55" i="102"/>
  <c r="AC54" i="102"/>
  <c r="AB49" i="102"/>
  <c r="AE46" i="102"/>
  <c r="AC45" i="102"/>
  <c r="AE66" i="102"/>
  <c r="AD61" i="102"/>
  <c r="AC60" i="102"/>
  <c r="AC55" i="102"/>
  <c r="AB54" i="102"/>
  <c r="AF47" i="102"/>
  <c r="AB46" i="102"/>
  <c r="AB45" i="102"/>
  <c r="AE67" i="102"/>
  <c r="AD66" i="102"/>
  <c r="AC61" i="102"/>
  <c r="AB60" i="102"/>
  <c r="AB55" i="102"/>
  <c r="Z54" i="102"/>
  <c r="AE47" i="102"/>
  <c r="AA46" i="102"/>
  <c r="AA45" i="102"/>
  <c r="AD67" i="102"/>
  <c r="AC66" i="102"/>
  <c r="AB61" i="102"/>
  <c r="Z60" i="102"/>
  <c r="AF54" i="102"/>
  <c r="AE49" i="102"/>
  <c r="AA47" i="102"/>
  <c r="Z46" i="102"/>
  <c r="Z45" i="102"/>
  <c r="AB59" i="102"/>
  <c r="AC59" i="102"/>
  <c r="AD59" i="102"/>
  <c r="AE59" i="102"/>
  <c r="AA59" i="102"/>
  <c r="AF59" i="102"/>
  <c r="Z59" i="102"/>
  <c r="AB65" i="102"/>
  <c r="AC65" i="102"/>
  <c r="AD65" i="102"/>
  <c r="AA48" i="102"/>
  <c r="AB48" i="102"/>
  <c r="AC48" i="102"/>
  <c r="AD48" i="102"/>
  <c r="AD63" i="102"/>
  <c r="AE63" i="102"/>
  <c r="Z63" i="102"/>
  <c r="AF63" i="102"/>
  <c r="AE56" i="102"/>
  <c r="Z56" i="102"/>
  <c r="AF56" i="102"/>
  <c r="AA56" i="102"/>
  <c r="AB56" i="102"/>
  <c r="AE50" i="102"/>
  <c r="Z50" i="102"/>
  <c r="AF50" i="102"/>
  <c r="AA50" i="102"/>
  <c r="AB50" i="102"/>
  <c r="AA65" i="102"/>
  <c r="AC63" i="102"/>
  <c r="AC56" i="102"/>
  <c r="AD50" i="102"/>
  <c r="AF48" i="102"/>
  <c r="Z65" i="102"/>
  <c r="AB63" i="102"/>
  <c r="AC50" i="102"/>
  <c r="AE48" i="102"/>
  <c r="S44" i="102"/>
  <c r="T44" i="102" s="1"/>
  <c r="V44" i="102" s="1"/>
  <c r="W44" i="102" s="1"/>
  <c r="U44" i="102"/>
  <c r="AA63" i="102"/>
  <c r="Z48" i="102"/>
  <c r="AC52" i="102"/>
  <c r="AD52" i="102"/>
  <c r="AE52" i="102"/>
  <c r="Z52" i="102"/>
  <c r="AF52" i="102"/>
  <c r="AA52" i="102"/>
  <c r="AE62" i="102"/>
  <c r="Z62" i="102"/>
  <c r="AF62" i="102"/>
  <c r="AA62" i="102"/>
  <c r="AF65" i="102"/>
  <c r="AC62" i="102"/>
  <c r="AD57" i="102"/>
  <c r="AE57" i="102"/>
  <c r="Z57" i="102"/>
  <c r="AF57" i="102"/>
  <c r="AA57" i="102"/>
  <c r="AD51" i="102"/>
  <c r="AE51" i="102"/>
  <c r="Z51" i="102"/>
  <c r="AF51" i="102"/>
  <c r="AA51" i="102"/>
  <c r="AE65" i="102"/>
  <c r="AB62" i="102"/>
  <c r="AD56" i="102"/>
  <c r="AB51" i="102"/>
  <c r="AD47" i="102"/>
  <c r="AA67" i="102"/>
  <c r="AA61" i="102"/>
  <c r="AA55" i="102"/>
  <c r="AA49" i="102"/>
  <c r="AC47" i="102"/>
  <c r="AD46" i="102"/>
  <c r="AF67" i="102"/>
  <c r="AF61" i="102"/>
  <c r="AF55" i="102"/>
  <c r="AF49" i="102"/>
  <c r="S53" i="102"/>
  <c r="T53" i="102" s="1"/>
  <c r="V53" i="102" s="1"/>
  <c r="W53" i="102" s="1"/>
  <c r="U53" i="102"/>
  <c r="S64" i="102"/>
  <c r="T64" i="102" s="1"/>
  <c r="V64" i="102" s="1"/>
  <c r="W64" i="102" s="1"/>
  <c r="U64" i="102"/>
  <c r="S58" i="102"/>
  <c r="T58" i="102" s="1"/>
  <c r="V58" i="102" s="1"/>
  <c r="W58" i="102" s="1"/>
  <c r="U58" i="102"/>
  <c r="U31" i="102"/>
  <c r="U67" i="102"/>
  <c r="U61" i="102"/>
  <c r="U55" i="102"/>
  <c r="U49" i="102"/>
  <c r="U39" i="102"/>
  <c r="U37" i="102"/>
  <c r="U33" i="102"/>
  <c r="U27" i="102"/>
  <c r="U66" i="102"/>
  <c r="U60" i="102"/>
  <c r="U54" i="102"/>
  <c r="U48" i="102"/>
  <c r="U25" i="102"/>
  <c r="U65" i="102"/>
  <c r="U59" i="102"/>
  <c r="U47" i="102"/>
  <c r="U36" i="102"/>
  <c r="U30" i="102"/>
  <c r="U52" i="102"/>
  <c r="U46" i="102"/>
  <c r="U38" i="102"/>
  <c r="U35" i="102"/>
  <c r="U34" i="102"/>
  <c r="U32" i="102"/>
  <c r="U29" i="102"/>
  <c r="U28" i="102"/>
  <c r="U26" i="102"/>
  <c r="U63" i="102"/>
  <c r="U57" i="102"/>
  <c r="U51" i="102"/>
  <c r="U45" i="102"/>
  <c r="C2" i="86"/>
  <c r="AD20" i="101"/>
  <c r="AD21" i="101" s="1"/>
  <c r="AD22" i="101" s="1"/>
  <c r="AD23" i="101" s="1"/>
  <c r="AD24" i="101" s="1"/>
  <c r="AD25" i="101" s="1"/>
  <c r="AD26" i="101" s="1"/>
  <c r="AD27" i="101" s="1"/>
  <c r="AD28" i="101" s="1"/>
  <c r="AD29" i="101" s="1"/>
  <c r="AD30" i="101" s="1"/>
  <c r="AD31" i="101" s="1"/>
  <c r="AD32" i="101" s="1"/>
  <c r="AD33" i="101" s="1"/>
  <c r="AD34" i="101" s="1"/>
  <c r="AD35" i="101" s="1"/>
  <c r="AD36" i="101" s="1"/>
  <c r="AD37" i="101" s="1"/>
  <c r="AD38" i="101" s="1"/>
  <c r="U12" i="101"/>
  <c r="V12" i="101"/>
  <c r="W12" i="101"/>
  <c r="X12" i="101"/>
  <c r="Y12" i="101"/>
  <c r="Z12" i="101"/>
  <c r="AA12" i="101"/>
  <c r="AB12" i="101"/>
  <c r="AC12" i="101"/>
  <c r="T12" i="101"/>
  <c r="P12" i="101"/>
  <c r="Q12" i="101"/>
  <c r="R12" i="101"/>
  <c r="O12" i="101"/>
  <c r="A12" i="101"/>
  <c r="I9" i="99"/>
  <c r="I10" i="99"/>
  <c r="I11" i="99"/>
  <c r="I12" i="99"/>
  <c r="I13" i="99"/>
  <c r="I14" i="99"/>
  <c r="I15" i="99"/>
  <c r="I16" i="99"/>
  <c r="I17" i="99"/>
  <c r="I18" i="99"/>
  <c r="I19" i="99"/>
  <c r="I20" i="99"/>
  <c r="I21" i="99"/>
  <c r="I22" i="99"/>
  <c r="I23" i="99"/>
  <c r="I24" i="99"/>
  <c r="I25" i="99"/>
  <c r="I26" i="99"/>
  <c r="I27" i="99"/>
  <c r="I28" i="99"/>
  <c r="I29" i="99"/>
  <c r="I30" i="99"/>
  <c r="I31" i="99"/>
  <c r="I32" i="99"/>
  <c r="I33" i="99"/>
  <c r="I34" i="99"/>
  <c r="I35" i="99"/>
  <c r="I36" i="99"/>
  <c r="I37" i="99"/>
  <c r="I38" i="99"/>
  <c r="I39" i="99"/>
  <c r="E52" i="96"/>
  <c r="F52" i="96" s="1"/>
  <c r="Q15" i="98"/>
  <c r="Q16" i="98"/>
  <c r="Q17" i="98"/>
  <c r="Q18" i="98"/>
  <c r="Q19" i="98"/>
  <c r="Q20" i="98"/>
  <c r="Q21" i="98"/>
  <c r="Q22" i="98"/>
  <c r="Q23" i="98"/>
  <c r="Q24" i="98"/>
  <c r="Q25" i="98"/>
  <c r="Q26" i="98"/>
  <c r="Q27" i="98"/>
  <c r="Q28" i="98"/>
  <c r="Q29" i="98"/>
  <c r="Q30" i="98"/>
  <c r="Q31" i="98"/>
  <c r="Q32" i="98"/>
  <c r="Q33" i="98"/>
  <c r="Q14" i="98"/>
  <c r="Q12" i="98"/>
  <c r="A11" i="98"/>
  <c r="O16" i="97"/>
  <c r="P16" i="97"/>
  <c r="Q16" i="97"/>
  <c r="R16" i="97"/>
  <c r="S16" i="97"/>
  <c r="O17" i="97"/>
  <c r="P17" i="97"/>
  <c r="Q17" i="97"/>
  <c r="R17" i="97"/>
  <c r="S17" i="97"/>
  <c r="O18" i="97"/>
  <c r="P18" i="97"/>
  <c r="Q18" i="97"/>
  <c r="R18" i="97"/>
  <c r="S18" i="97"/>
  <c r="O19" i="97"/>
  <c r="P19" i="97"/>
  <c r="Q19" i="97"/>
  <c r="R19" i="97"/>
  <c r="S19" i="97"/>
  <c r="O20" i="97"/>
  <c r="P20" i="97"/>
  <c r="Q20" i="97"/>
  <c r="R20" i="97"/>
  <c r="S20" i="97"/>
  <c r="O21" i="97"/>
  <c r="P21" i="97"/>
  <c r="Q21" i="97"/>
  <c r="R21" i="97"/>
  <c r="S21" i="97"/>
  <c r="O22" i="97"/>
  <c r="P22" i="97"/>
  <c r="Q22" i="97"/>
  <c r="R22" i="97"/>
  <c r="S22" i="97"/>
  <c r="O23" i="97"/>
  <c r="P23" i="97"/>
  <c r="Q23" i="97"/>
  <c r="R23" i="97"/>
  <c r="S23" i="97"/>
  <c r="O24" i="97"/>
  <c r="P24" i="97"/>
  <c r="Q24" i="97"/>
  <c r="R24" i="97"/>
  <c r="S24" i="97"/>
  <c r="O25" i="97"/>
  <c r="P25" i="97"/>
  <c r="Q25" i="97"/>
  <c r="R25" i="97"/>
  <c r="S25" i="97"/>
  <c r="O26" i="97"/>
  <c r="P26" i="97"/>
  <c r="Q26" i="97"/>
  <c r="R26" i="97"/>
  <c r="S26" i="97"/>
  <c r="O27" i="97"/>
  <c r="P27" i="97"/>
  <c r="Q27" i="97"/>
  <c r="R27" i="97"/>
  <c r="S27" i="97"/>
  <c r="O28" i="97"/>
  <c r="P28" i="97"/>
  <c r="Q28" i="97"/>
  <c r="R28" i="97"/>
  <c r="S28" i="97"/>
  <c r="O29" i="97"/>
  <c r="P29" i="97"/>
  <c r="Q29" i="97"/>
  <c r="R29" i="97"/>
  <c r="S29" i="97"/>
  <c r="O30" i="97"/>
  <c r="P30" i="97"/>
  <c r="Q30" i="97"/>
  <c r="R30" i="97"/>
  <c r="S30" i="97"/>
  <c r="O31" i="97"/>
  <c r="P31" i="97"/>
  <c r="Q31" i="97"/>
  <c r="R31" i="97"/>
  <c r="S31" i="97"/>
  <c r="O32" i="97"/>
  <c r="P32" i="97"/>
  <c r="Q32" i="97"/>
  <c r="R32" i="97"/>
  <c r="S32" i="97"/>
  <c r="O33" i="97"/>
  <c r="P33" i="97"/>
  <c r="Q33" i="97"/>
  <c r="R33" i="97"/>
  <c r="S33" i="97"/>
  <c r="O34" i="97"/>
  <c r="P34" i="97"/>
  <c r="Q34" i="97"/>
  <c r="R34" i="97"/>
  <c r="S34" i="97"/>
  <c r="S15" i="97"/>
  <c r="R15" i="97"/>
  <c r="Q15" i="97"/>
  <c r="P15" i="97"/>
  <c r="O15" i="97"/>
  <c r="P13" i="97"/>
  <c r="Q13" i="97"/>
  <c r="R13" i="97"/>
  <c r="S13" i="97"/>
  <c r="O13" i="97"/>
  <c r="U13" i="97"/>
  <c r="U16" i="97"/>
  <c r="U17" i="97"/>
  <c r="U18" i="97"/>
  <c r="U19" i="97"/>
  <c r="U20" i="97"/>
  <c r="U21" i="97"/>
  <c r="V21" i="97" s="1"/>
  <c r="U22" i="97"/>
  <c r="U23" i="97"/>
  <c r="U24" i="97"/>
  <c r="U25" i="97"/>
  <c r="U26" i="97"/>
  <c r="U27" i="97"/>
  <c r="U28" i="97"/>
  <c r="U29" i="97"/>
  <c r="U30" i="97"/>
  <c r="U31" i="97"/>
  <c r="U32" i="97"/>
  <c r="U33" i="97"/>
  <c r="U34" i="97"/>
  <c r="U15" i="97"/>
  <c r="U2" i="86"/>
  <c r="R2" i="86"/>
  <c r="O2" i="86"/>
  <c r="L2" i="86"/>
  <c r="I2" i="86"/>
  <c r="F2" i="86"/>
  <c r="R108" i="96"/>
  <c r="S108" i="96"/>
  <c r="T108" i="96"/>
  <c r="U108" i="96"/>
  <c r="V108" i="96"/>
  <c r="W108" i="96"/>
  <c r="X108" i="96"/>
  <c r="R109" i="96"/>
  <c r="S109" i="96"/>
  <c r="T109" i="96"/>
  <c r="U109" i="96"/>
  <c r="V109" i="96"/>
  <c r="W109" i="96"/>
  <c r="X109" i="96"/>
  <c r="R110" i="96"/>
  <c r="S110" i="96"/>
  <c r="T110" i="96"/>
  <c r="U110" i="96"/>
  <c r="V110" i="96"/>
  <c r="W110" i="96"/>
  <c r="X110" i="96"/>
  <c r="R111" i="96"/>
  <c r="S111" i="96"/>
  <c r="T111" i="96"/>
  <c r="U111" i="96"/>
  <c r="V111" i="96"/>
  <c r="W111" i="96"/>
  <c r="X111" i="96"/>
  <c r="R112" i="96"/>
  <c r="S112" i="96"/>
  <c r="T112" i="96"/>
  <c r="U112" i="96"/>
  <c r="V112" i="96"/>
  <c r="W112" i="96"/>
  <c r="X112" i="96"/>
  <c r="Y112" i="96"/>
  <c r="E112" i="96" s="1"/>
  <c r="F112" i="96" s="1"/>
  <c r="R113" i="96"/>
  <c r="S113" i="96"/>
  <c r="T113" i="96"/>
  <c r="U113" i="96"/>
  <c r="V113" i="96"/>
  <c r="W113" i="96"/>
  <c r="X113" i="96"/>
  <c r="R114" i="96"/>
  <c r="S114" i="96"/>
  <c r="T114" i="96"/>
  <c r="U114" i="96"/>
  <c r="V114" i="96"/>
  <c r="W114" i="96"/>
  <c r="X114" i="96"/>
  <c r="R115" i="96"/>
  <c r="S115" i="96"/>
  <c r="T115" i="96"/>
  <c r="U115" i="96"/>
  <c r="V115" i="96"/>
  <c r="W115" i="96"/>
  <c r="X115" i="96"/>
  <c r="R116" i="96"/>
  <c r="S116" i="96"/>
  <c r="T116" i="96"/>
  <c r="U116" i="96"/>
  <c r="V116" i="96"/>
  <c r="W116" i="96"/>
  <c r="X116" i="96"/>
  <c r="R117" i="96"/>
  <c r="S117" i="96"/>
  <c r="T117" i="96"/>
  <c r="U117" i="96"/>
  <c r="V117" i="96"/>
  <c r="W117" i="96"/>
  <c r="X117" i="96"/>
  <c r="R118" i="96"/>
  <c r="S118" i="96"/>
  <c r="T118" i="96"/>
  <c r="U118" i="96"/>
  <c r="V118" i="96"/>
  <c r="W118" i="96"/>
  <c r="X118" i="96"/>
  <c r="R119" i="96"/>
  <c r="S119" i="96"/>
  <c r="T119" i="96"/>
  <c r="U119" i="96"/>
  <c r="V119" i="96"/>
  <c r="W119" i="96"/>
  <c r="X119" i="96"/>
  <c r="R120" i="96"/>
  <c r="S120" i="96"/>
  <c r="T120" i="96"/>
  <c r="U120" i="96"/>
  <c r="V120" i="96"/>
  <c r="W120" i="96"/>
  <c r="X120" i="96"/>
  <c r="R121" i="96"/>
  <c r="S121" i="96"/>
  <c r="T121" i="96"/>
  <c r="U121" i="96"/>
  <c r="V121" i="96"/>
  <c r="W121" i="96"/>
  <c r="X121" i="96"/>
  <c r="Y121" i="96"/>
  <c r="E121" i="96" s="1"/>
  <c r="F121" i="96" s="1"/>
  <c r="R122" i="96"/>
  <c r="S122" i="96"/>
  <c r="T122" i="96"/>
  <c r="U122" i="96"/>
  <c r="V122" i="96"/>
  <c r="W122" i="96"/>
  <c r="X122" i="96"/>
  <c r="R123" i="96"/>
  <c r="S123" i="96"/>
  <c r="T123" i="96"/>
  <c r="U123" i="96"/>
  <c r="V123" i="96"/>
  <c r="W123" i="96"/>
  <c r="X123" i="96"/>
  <c r="R124" i="96"/>
  <c r="S124" i="96"/>
  <c r="T124" i="96"/>
  <c r="U124" i="96"/>
  <c r="V124" i="96"/>
  <c r="W124" i="96"/>
  <c r="X124" i="96"/>
  <c r="R125" i="96"/>
  <c r="S125" i="96"/>
  <c r="T125" i="96"/>
  <c r="U125" i="96"/>
  <c r="V125" i="96"/>
  <c r="W125" i="96"/>
  <c r="X125" i="96"/>
  <c r="R126" i="96"/>
  <c r="S126" i="96"/>
  <c r="T126" i="96"/>
  <c r="U126" i="96"/>
  <c r="V126" i="96"/>
  <c r="W126" i="96"/>
  <c r="X126" i="96"/>
  <c r="X107" i="96"/>
  <c r="W107" i="96"/>
  <c r="V107" i="96"/>
  <c r="U107" i="96"/>
  <c r="T107" i="96"/>
  <c r="S107" i="96"/>
  <c r="R107" i="96"/>
  <c r="S105" i="96"/>
  <c r="T105" i="96"/>
  <c r="U105" i="96"/>
  <c r="V105" i="96"/>
  <c r="W105" i="96"/>
  <c r="X105" i="96"/>
  <c r="R105" i="96"/>
  <c r="E75" i="96"/>
  <c r="E76" i="96"/>
  <c r="E77" i="96"/>
  <c r="F77" i="96" s="1"/>
  <c r="E78" i="96"/>
  <c r="E79" i="96"/>
  <c r="F79" i="96" s="1"/>
  <c r="E80" i="96"/>
  <c r="F80" i="96" s="1"/>
  <c r="E81" i="96"/>
  <c r="E82" i="96"/>
  <c r="E83" i="96"/>
  <c r="E84" i="96"/>
  <c r="E85" i="96"/>
  <c r="F85" i="96" s="1"/>
  <c r="E86" i="96"/>
  <c r="F86" i="96" s="1"/>
  <c r="E87" i="96"/>
  <c r="E88" i="96"/>
  <c r="E89" i="96"/>
  <c r="E90" i="96"/>
  <c r="E91" i="96"/>
  <c r="F91" i="96" s="1"/>
  <c r="E92" i="96"/>
  <c r="F92" i="96" s="1"/>
  <c r="E93" i="96"/>
  <c r="E74" i="96"/>
  <c r="F74" i="96" s="1"/>
  <c r="F327" i="96"/>
  <c r="F326" i="96"/>
  <c r="F325" i="96"/>
  <c r="F324" i="96"/>
  <c r="F323" i="96"/>
  <c r="F322" i="96"/>
  <c r="F321" i="96"/>
  <c r="F320" i="96"/>
  <c r="F319" i="96"/>
  <c r="F318" i="96"/>
  <c r="F317" i="96"/>
  <c r="F316" i="96"/>
  <c r="F315" i="96"/>
  <c r="F314" i="96"/>
  <c r="F313" i="96"/>
  <c r="F312" i="96"/>
  <c r="F311" i="96"/>
  <c r="F310" i="96"/>
  <c r="F309" i="96"/>
  <c r="F308" i="96"/>
  <c r="F307" i="96"/>
  <c r="F306" i="96"/>
  <c r="F305" i="96"/>
  <c r="F304" i="96"/>
  <c r="F303" i="96"/>
  <c r="F302" i="96"/>
  <c r="F301" i="96"/>
  <c r="F300" i="96"/>
  <c r="F299" i="96"/>
  <c r="F298" i="96"/>
  <c r="F296" i="96"/>
  <c r="F278" i="96"/>
  <c r="F277" i="96"/>
  <c r="F276" i="96"/>
  <c r="F275" i="96"/>
  <c r="F274" i="96"/>
  <c r="F273" i="96"/>
  <c r="F272" i="96"/>
  <c r="F271" i="96"/>
  <c r="F270" i="96"/>
  <c r="F269" i="96"/>
  <c r="F268" i="96"/>
  <c r="F267" i="96"/>
  <c r="F266" i="96"/>
  <c r="F265" i="96"/>
  <c r="F264" i="96"/>
  <c r="F263" i="96"/>
  <c r="F262" i="96"/>
  <c r="F261" i="96"/>
  <c r="F260" i="96"/>
  <c r="F259" i="96"/>
  <c r="F257" i="96"/>
  <c r="F234" i="96"/>
  <c r="F233" i="96"/>
  <c r="F232" i="96"/>
  <c r="F231" i="96"/>
  <c r="F230" i="96"/>
  <c r="F229" i="96"/>
  <c r="F228" i="96"/>
  <c r="F227" i="96"/>
  <c r="F226" i="96"/>
  <c r="F225" i="96"/>
  <c r="F224" i="96"/>
  <c r="F223" i="96"/>
  <c r="F222" i="96"/>
  <c r="F221" i="96"/>
  <c r="F220" i="96"/>
  <c r="F219" i="96"/>
  <c r="F218" i="96"/>
  <c r="F217" i="96"/>
  <c r="F216" i="96"/>
  <c r="F215" i="96"/>
  <c r="F213" i="96"/>
  <c r="F196" i="96"/>
  <c r="F195" i="96"/>
  <c r="F194" i="96"/>
  <c r="F193" i="96"/>
  <c r="F192" i="96"/>
  <c r="F191" i="96"/>
  <c r="F190" i="96"/>
  <c r="F189" i="96"/>
  <c r="F188" i="96"/>
  <c r="F187" i="96"/>
  <c r="F186" i="96"/>
  <c r="F185" i="96"/>
  <c r="F184" i="96"/>
  <c r="F183" i="96"/>
  <c r="F182" i="96"/>
  <c r="F181" i="96"/>
  <c r="F180" i="96"/>
  <c r="F179" i="96"/>
  <c r="F178" i="96"/>
  <c r="F177" i="96"/>
  <c r="F175" i="96"/>
  <c r="F141" i="96"/>
  <c r="F105" i="96"/>
  <c r="F93" i="96"/>
  <c r="F90" i="96"/>
  <c r="F89" i="96"/>
  <c r="F88" i="96"/>
  <c r="F87" i="96"/>
  <c r="F84" i="96"/>
  <c r="F83" i="96"/>
  <c r="F82" i="96"/>
  <c r="F81" i="96"/>
  <c r="F78" i="96"/>
  <c r="F76" i="96"/>
  <c r="F75" i="96"/>
  <c r="F72" i="96"/>
  <c r="F53" i="96"/>
  <c r="F54" i="96"/>
  <c r="F55" i="96"/>
  <c r="F56" i="96"/>
  <c r="B299" i="96"/>
  <c r="B300" i="96" s="1"/>
  <c r="B301" i="96" s="1"/>
  <c r="B302" i="96" s="1"/>
  <c r="B303" i="96" s="1"/>
  <c r="B304" i="96" s="1"/>
  <c r="B305" i="96" s="1"/>
  <c r="B306" i="96" s="1"/>
  <c r="B307" i="96" s="1"/>
  <c r="B308" i="96" s="1"/>
  <c r="B309" i="96" s="1"/>
  <c r="B310" i="96" s="1"/>
  <c r="B311" i="96" s="1"/>
  <c r="B312" i="96" s="1"/>
  <c r="B313" i="96" s="1"/>
  <c r="B314" i="96" s="1"/>
  <c r="B315" i="96" s="1"/>
  <c r="B316" i="96" s="1"/>
  <c r="B317" i="96" s="1"/>
  <c r="B318" i="96" s="1"/>
  <c r="B319" i="96" s="1"/>
  <c r="B320" i="96" s="1"/>
  <c r="B321" i="96" s="1"/>
  <c r="B322" i="96" s="1"/>
  <c r="B323" i="96" s="1"/>
  <c r="B324" i="96" s="1"/>
  <c r="B325" i="96" s="1"/>
  <c r="B326" i="96" s="1"/>
  <c r="B327" i="96" s="1"/>
  <c r="B260" i="96"/>
  <c r="B261" i="96" s="1"/>
  <c r="B262" i="96" s="1"/>
  <c r="B263" i="96" s="1"/>
  <c r="B264" i="96" s="1"/>
  <c r="B265" i="96" s="1"/>
  <c r="B266" i="96" s="1"/>
  <c r="B267" i="96" s="1"/>
  <c r="B268" i="96" s="1"/>
  <c r="B269" i="96" s="1"/>
  <c r="B270" i="96" s="1"/>
  <c r="B271" i="96" s="1"/>
  <c r="B272" i="96" s="1"/>
  <c r="B273" i="96" s="1"/>
  <c r="B274" i="96" s="1"/>
  <c r="B275" i="96" s="1"/>
  <c r="B276" i="96" s="1"/>
  <c r="B277" i="96" s="1"/>
  <c r="B278" i="96" s="1"/>
  <c r="B216" i="96"/>
  <c r="B217" i="96" s="1"/>
  <c r="B218" i="96" s="1"/>
  <c r="B219" i="96" s="1"/>
  <c r="B220" i="96" s="1"/>
  <c r="B221" i="96" s="1"/>
  <c r="B222" i="96" s="1"/>
  <c r="B223" i="96" s="1"/>
  <c r="B224" i="96" s="1"/>
  <c r="B225" i="96" s="1"/>
  <c r="B226" i="96" s="1"/>
  <c r="B227" i="96" s="1"/>
  <c r="B228" i="96" s="1"/>
  <c r="B229" i="96" s="1"/>
  <c r="B230" i="96" s="1"/>
  <c r="B231" i="96" s="1"/>
  <c r="B232" i="96" s="1"/>
  <c r="B233" i="96" s="1"/>
  <c r="B234" i="96" s="1"/>
  <c r="B178" i="96"/>
  <c r="B179" i="96" s="1"/>
  <c r="B180" i="96" s="1"/>
  <c r="B181" i="96" s="1"/>
  <c r="B182" i="96" s="1"/>
  <c r="B183" i="96" s="1"/>
  <c r="B184" i="96" s="1"/>
  <c r="B185" i="96" s="1"/>
  <c r="B186" i="96" s="1"/>
  <c r="B187" i="96" s="1"/>
  <c r="B188" i="96" s="1"/>
  <c r="B189" i="96" s="1"/>
  <c r="B190" i="96" s="1"/>
  <c r="B191" i="96" s="1"/>
  <c r="B192" i="96" s="1"/>
  <c r="B193" i="96" s="1"/>
  <c r="B194" i="96" s="1"/>
  <c r="B195" i="96" s="1"/>
  <c r="B196" i="96" s="1"/>
  <c r="B144" i="96"/>
  <c r="B145" i="96" s="1"/>
  <c r="B146" i="96" s="1"/>
  <c r="B147" i="96" s="1"/>
  <c r="B148" i="96" s="1"/>
  <c r="B149" i="96" s="1"/>
  <c r="B150" i="96" s="1"/>
  <c r="B151" i="96" s="1"/>
  <c r="B152" i="96" s="1"/>
  <c r="B153" i="96" s="1"/>
  <c r="B154" i="96" s="1"/>
  <c r="B155" i="96" s="1"/>
  <c r="B156" i="96" s="1"/>
  <c r="B157" i="96" s="1"/>
  <c r="B158" i="96" s="1"/>
  <c r="B159" i="96" s="1"/>
  <c r="B160" i="96" s="1"/>
  <c r="B161" i="96" s="1"/>
  <c r="B162" i="96" s="1"/>
  <c r="B108" i="96"/>
  <c r="B109" i="96" s="1"/>
  <c r="B110" i="96" s="1"/>
  <c r="B111" i="96" s="1"/>
  <c r="B112" i="96" s="1"/>
  <c r="B113" i="96" s="1"/>
  <c r="B114" i="96" s="1"/>
  <c r="B115" i="96" s="1"/>
  <c r="B116" i="96" s="1"/>
  <c r="B117" i="96" s="1"/>
  <c r="B118" i="96" s="1"/>
  <c r="B119" i="96" s="1"/>
  <c r="B120" i="96" s="1"/>
  <c r="B121" i="96" s="1"/>
  <c r="B122" i="96" s="1"/>
  <c r="B123" i="96" s="1"/>
  <c r="B124" i="96" s="1"/>
  <c r="B125" i="96" s="1"/>
  <c r="B126" i="96" s="1"/>
  <c r="B75" i="96"/>
  <c r="B76" i="96" s="1"/>
  <c r="B77" i="96" s="1"/>
  <c r="B78" i="96" s="1"/>
  <c r="B79" i="96" s="1"/>
  <c r="B80" i="96" s="1"/>
  <c r="B81" i="96" s="1"/>
  <c r="B82" i="96" s="1"/>
  <c r="B83" i="96" s="1"/>
  <c r="B84" i="96" s="1"/>
  <c r="B85" i="96" s="1"/>
  <c r="B86" i="96" s="1"/>
  <c r="B87" i="96" s="1"/>
  <c r="B88" i="96" s="1"/>
  <c r="B89" i="96" s="1"/>
  <c r="B90" i="96" s="1"/>
  <c r="B91" i="96" s="1"/>
  <c r="B92" i="96" s="1"/>
  <c r="B93" i="96" s="1"/>
  <c r="P15" i="98"/>
  <c r="P23" i="98"/>
  <c r="P14" i="98"/>
  <c r="P12" i="98"/>
  <c r="P27" i="98"/>
  <c r="P33" i="98"/>
  <c r="P32" i="98"/>
  <c r="P26" i="98"/>
  <c r="P29" i="98"/>
  <c r="P17" i="98"/>
  <c r="P16" i="98"/>
  <c r="P24" i="98"/>
  <c r="P25" i="98"/>
  <c r="P22" i="98"/>
  <c r="P19" i="98"/>
  <c r="P18" i="98"/>
  <c r="P20" i="98"/>
  <c r="P30" i="98"/>
  <c r="P28" i="98"/>
  <c r="P31" i="98"/>
  <c r="P21" i="98"/>
  <c r="G51" i="107" l="1"/>
  <c r="F51" i="107"/>
  <c r="E51" i="107"/>
  <c r="D51" i="107"/>
  <c r="C51" i="107"/>
  <c r="B51" i="107"/>
  <c r="A51" i="107"/>
  <c r="B12" i="106"/>
  <c r="C12" i="106"/>
  <c r="D12" i="106"/>
  <c r="E12" i="106"/>
  <c r="F12" i="106"/>
  <c r="G12" i="106"/>
  <c r="A12" i="106"/>
  <c r="K51" i="104"/>
  <c r="I60" i="104"/>
  <c r="J78" i="104"/>
  <c r="K57" i="104"/>
  <c r="L73" i="104"/>
  <c r="K56" i="104"/>
  <c r="M9" i="100"/>
  <c r="U40" i="107"/>
  <c r="U41" i="107" s="1" a="1"/>
  <c r="U41" i="107" s="1"/>
  <c r="S14" i="98"/>
  <c r="X14" i="98"/>
  <c r="R14" i="98"/>
  <c r="W14" i="98"/>
  <c r="U14" i="98"/>
  <c r="V14" i="98"/>
  <c r="T14" i="98"/>
  <c r="X33" i="98"/>
  <c r="R33" i="98"/>
  <c r="W33" i="98"/>
  <c r="V33" i="98"/>
  <c r="U33" i="98"/>
  <c r="T33" i="98"/>
  <c r="S33" i="98"/>
  <c r="X27" i="98"/>
  <c r="R27" i="98"/>
  <c r="W27" i="98"/>
  <c r="V27" i="98"/>
  <c r="U27" i="98"/>
  <c r="T27" i="98"/>
  <c r="S27" i="98"/>
  <c r="X21" i="98"/>
  <c r="R21" i="98"/>
  <c r="W21" i="98"/>
  <c r="V21" i="98"/>
  <c r="U21" i="98"/>
  <c r="T21" i="98"/>
  <c r="S21" i="98"/>
  <c r="X15" i="98"/>
  <c r="R15" i="98"/>
  <c r="W15" i="98"/>
  <c r="U15" i="98"/>
  <c r="V15" i="98"/>
  <c r="T15" i="98"/>
  <c r="S15" i="98"/>
  <c r="S32" i="98"/>
  <c r="X32" i="98"/>
  <c r="R32" i="98"/>
  <c r="W32" i="98"/>
  <c r="U32" i="98"/>
  <c r="V32" i="98"/>
  <c r="T32" i="98"/>
  <c r="S26" i="98"/>
  <c r="X26" i="98"/>
  <c r="R26" i="98"/>
  <c r="W26" i="98"/>
  <c r="V26" i="98"/>
  <c r="U26" i="98"/>
  <c r="T26" i="98"/>
  <c r="S20" i="98"/>
  <c r="X20" i="98"/>
  <c r="R20" i="98"/>
  <c r="Y20" i="98" s="1"/>
  <c r="Z20" i="98" s="1"/>
  <c r="AB20" i="98" s="1"/>
  <c r="W20" i="98"/>
  <c r="V20" i="98"/>
  <c r="U20" i="98"/>
  <c r="T20" i="98"/>
  <c r="W22" i="98"/>
  <c r="V22" i="98"/>
  <c r="U22" i="98"/>
  <c r="T22" i="98"/>
  <c r="S22" i="98"/>
  <c r="X22" i="98"/>
  <c r="R22" i="98"/>
  <c r="T31" i="98"/>
  <c r="S31" i="98"/>
  <c r="W31" i="98"/>
  <c r="X31" i="98"/>
  <c r="R31" i="98"/>
  <c r="V31" i="98"/>
  <c r="U31" i="98"/>
  <c r="T25" i="98"/>
  <c r="S25" i="98"/>
  <c r="X25" i="98"/>
  <c r="R25" i="98"/>
  <c r="W25" i="98"/>
  <c r="V25" i="98"/>
  <c r="U25" i="98"/>
  <c r="T19" i="98"/>
  <c r="S19" i="98"/>
  <c r="X19" i="98"/>
  <c r="R19" i="98"/>
  <c r="V19" i="98"/>
  <c r="W19" i="98"/>
  <c r="U19" i="98"/>
  <c r="W16" i="98"/>
  <c r="V16" i="98"/>
  <c r="U16" i="98"/>
  <c r="S16" i="98"/>
  <c r="T16" i="98"/>
  <c r="X16" i="98"/>
  <c r="R16" i="98"/>
  <c r="U30" i="98"/>
  <c r="T30" i="98"/>
  <c r="S30" i="98"/>
  <c r="X30" i="98"/>
  <c r="R30" i="98"/>
  <c r="W30" i="98"/>
  <c r="V30" i="98"/>
  <c r="U24" i="98"/>
  <c r="T24" i="98"/>
  <c r="S24" i="98"/>
  <c r="R24" i="98"/>
  <c r="Y24" i="98" s="1"/>
  <c r="Z24" i="98" s="1"/>
  <c r="AB24" i="98" s="1"/>
  <c r="W24" i="98"/>
  <c r="V24" i="98"/>
  <c r="X24" i="98"/>
  <c r="U18" i="98"/>
  <c r="T18" i="98"/>
  <c r="R18" i="98"/>
  <c r="S18" i="98"/>
  <c r="X18" i="98"/>
  <c r="W18" i="98"/>
  <c r="V18" i="98"/>
  <c r="W28" i="98"/>
  <c r="V28" i="98"/>
  <c r="U28" i="98"/>
  <c r="T28" i="98"/>
  <c r="S28" i="98"/>
  <c r="X28" i="98"/>
  <c r="R28" i="98"/>
  <c r="W12" i="98"/>
  <c r="X12" i="98"/>
  <c r="S12" i="98"/>
  <c r="R12" i="98"/>
  <c r="U12" i="98"/>
  <c r="V12" i="98"/>
  <c r="T12" i="98"/>
  <c r="V29" i="98"/>
  <c r="U29" i="98"/>
  <c r="T29" i="98"/>
  <c r="S29" i="98"/>
  <c r="X29" i="98"/>
  <c r="R29" i="98"/>
  <c r="W29" i="98"/>
  <c r="V23" i="98"/>
  <c r="U23" i="98"/>
  <c r="T23" i="98"/>
  <c r="S23" i="98"/>
  <c r="X23" i="98"/>
  <c r="R23" i="98"/>
  <c r="W23" i="98"/>
  <c r="V17" i="98"/>
  <c r="U17" i="98"/>
  <c r="T17" i="98"/>
  <c r="S17" i="98"/>
  <c r="X17" i="98"/>
  <c r="R17" i="98"/>
  <c r="W17" i="98"/>
  <c r="X61" i="107"/>
  <c r="Y61" i="107" s="1"/>
  <c r="X63" i="102"/>
  <c r="AE45" i="107"/>
  <c r="AD45" i="107"/>
  <c r="V45" i="107"/>
  <c r="W45" i="107" s="1"/>
  <c r="X45" i="107" s="1"/>
  <c r="Y45" i="107" s="1"/>
  <c r="AC45" i="107"/>
  <c r="AB45" i="107"/>
  <c r="AA45" i="107"/>
  <c r="Z45" i="107"/>
  <c r="AF45" i="107"/>
  <c r="AG52" i="107"/>
  <c r="AH52" i="107" s="1"/>
  <c r="AI52" i="107" s="1"/>
  <c r="AF62" i="107"/>
  <c r="AE62" i="107"/>
  <c r="AD62" i="107"/>
  <c r="V62" i="107"/>
  <c r="W62" i="107" s="1"/>
  <c r="X62" i="107" s="1"/>
  <c r="Y62" i="107" s="1"/>
  <c r="AC62" i="107"/>
  <c r="AB62" i="107"/>
  <c r="AA62" i="107"/>
  <c r="Z62" i="107"/>
  <c r="AG62" i="107" s="1"/>
  <c r="AG56" i="107"/>
  <c r="X56" i="107"/>
  <c r="Y56" i="107" s="1"/>
  <c r="AF47" i="107"/>
  <c r="AE47" i="107"/>
  <c r="AD47" i="107"/>
  <c r="V47" i="107"/>
  <c r="W47" i="107" s="1"/>
  <c r="X47" i="107" s="1"/>
  <c r="Y47" i="107" s="1"/>
  <c r="AC47" i="107"/>
  <c r="AB47" i="107"/>
  <c r="AA47" i="107"/>
  <c r="Z47" i="107"/>
  <c r="AD63" i="107"/>
  <c r="V63" i="107"/>
  <c r="W63" i="107" s="1"/>
  <c r="AC63" i="107"/>
  <c r="AB63" i="107"/>
  <c r="AA63" i="107"/>
  <c r="Z63" i="107"/>
  <c r="AF63" i="107"/>
  <c r="AE63" i="107"/>
  <c r="X63" i="107"/>
  <c r="Y63" i="107" s="1"/>
  <c r="AF57" i="107"/>
  <c r="AE57" i="107"/>
  <c r="AD57" i="107"/>
  <c r="V57" i="107"/>
  <c r="W57" i="107" s="1"/>
  <c r="X57" i="107" s="1"/>
  <c r="Y57" i="107" s="1"/>
  <c r="AC57" i="107"/>
  <c r="AB57" i="107"/>
  <c r="AA57" i="107"/>
  <c r="Z57" i="107"/>
  <c r="Z55" i="107"/>
  <c r="AF55" i="107"/>
  <c r="AE55" i="107"/>
  <c r="AD55" i="107"/>
  <c r="V55" i="107"/>
  <c r="W55" i="107" s="1"/>
  <c r="X55" i="107" s="1"/>
  <c r="Y55" i="107" s="1"/>
  <c r="AC55" i="107"/>
  <c r="AB55" i="107"/>
  <c r="AA55" i="107"/>
  <c r="AD51" i="107"/>
  <c r="V51" i="107"/>
  <c r="W51" i="107" s="1"/>
  <c r="AC51" i="107"/>
  <c r="AB51" i="107"/>
  <c r="AA51" i="107"/>
  <c r="Z51" i="107"/>
  <c r="AF51" i="107"/>
  <c r="AE51" i="107"/>
  <c r="AG61" i="107"/>
  <c r="AH61" i="107" s="1"/>
  <c r="AI61" i="107" s="1"/>
  <c r="Z59" i="107"/>
  <c r="AF59" i="107"/>
  <c r="AE59" i="107"/>
  <c r="AD59" i="107"/>
  <c r="V59" i="107"/>
  <c r="W59" i="107" s="1"/>
  <c r="X59" i="107" s="1"/>
  <c r="Y59" i="107" s="1"/>
  <c r="AC59" i="107"/>
  <c r="AB59" i="107"/>
  <c r="AA59" i="107"/>
  <c r="AF50" i="107"/>
  <c r="AE50" i="107"/>
  <c r="AD50" i="107"/>
  <c r="V50" i="107"/>
  <c r="W50" i="107" s="1"/>
  <c r="X50" i="107" s="1"/>
  <c r="Y50" i="107" s="1"/>
  <c r="AC50" i="107"/>
  <c r="AB50" i="107"/>
  <c r="AA50" i="107"/>
  <c r="Z50" i="107"/>
  <c r="AC54" i="107"/>
  <c r="AB54" i="107"/>
  <c r="AA54" i="107"/>
  <c r="Z54" i="107"/>
  <c r="AF54" i="107"/>
  <c r="AE54" i="107"/>
  <c r="AD54" i="107"/>
  <c r="V54" i="107"/>
  <c r="W54" i="107" s="1"/>
  <c r="X54" i="107" s="1"/>
  <c r="Y54" i="107" s="1"/>
  <c r="X51" i="107"/>
  <c r="Y51" i="107" s="1"/>
  <c r="AE60" i="107"/>
  <c r="AD60" i="107"/>
  <c r="V60" i="107"/>
  <c r="W60" i="107" s="1"/>
  <c r="X60" i="107" s="1"/>
  <c r="Y60" i="107" s="1"/>
  <c r="AC60" i="107"/>
  <c r="AB60" i="107"/>
  <c r="AA60" i="107"/>
  <c r="Z60" i="107"/>
  <c r="AF60" i="107"/>
  <c r="AD48" i="107"/>
  <c r="V48" i="107"/>
  <c r="W48" i="107" s="1"/>
  <c r="X48" i="107" s="1"/>
  <c r="Y48" i="107" s="1"/>
  <c r="AC48" i="107"/>
  <c r="AB48" i="107"/>
  <c r="AA48" i="107"/>
  <c r="Z48" i="107"/>
  <c r="AF48" i="107"/>
  <c r="AE48" i="107"/>
  <c r="AG67" i="107"/>
  <c r="AH67" i="107" s="1"/>
  <c r="AI67" i="107" s="1"/>
  <c r="AF65" i="107"/>
  <c r="AE65" i="107"/>
  <c r="AD65" i="107"/>
  <c r="V65" i="107"/>
  <c r="W65" i="107" s="1"/>
  <c r="AC65" i="107"/>
  <c r="AB65" i="107"/>
  <c r="AA65" i="107"/>
  <c r="Z65" i="107"/>
  <c r="AG65" i="107" s="1"/>
  <c r="AG49" i="107"/>
  <c r="AH49" i="107" s="1"/>
  <c r="AI49" i="107" s="1"/>
  <c r="AF53" i="107"/>
  <c r="AE53" i="107"/>
  <c r="AD53" i="107"/>
  <c r="V53" i="107"/>
  <c r="W53" i="107" s="1"/>
  <c r="X53" i="107" s="1"/>
  <c r="Y53" i="107" s="1"/>
  <c r="AC53" i="107"/>
  <c r="AB53" i="107"/>
  <c r="AA53" i="107"/>
  <c r="Z53" i="107"/>
  <c r="AG64" i="107"/>
  <c r="X64" i="107"/>
  <c r="Y64" i="107" s="1"/>
  <c r="X65" i="107"/>
  <c r="Y65" i="107" s="1"/>
  <c r="AC58" i="107"/>
  <c r="AB58" i="107"/>
  <c r="AA58" i="107"/>
  <c r="Z58" i="107"/>
  <c r="AF58" i="107"/>
  <c r="AE58" i="107"/>
  <c r="V58" i="107"/>
  <c r="W58" i="107" s="1"/>
  <c r="X58" i="107" s="1"/>
  <c r="Y58" i="107" s="1"/>
  <c r="AD58" i="107"/>
  <c r="AC66" i="107"/>
  <c r="AB66" i="107"/>
  <c r="AA66" i="107"/>
  <c r="Z66" i="107"/>
  <c r="AF66" i="107"/>
  <c r="AE66" i="107"/>
  <c r="AD66" i="107"/>
  <c r="V66" i="107"/>
  <c r="W66" i="107" s="1"/>
  <c r="X66" i="107" s="1"/>
  <c r="Y66" i="107" s="1"/>
  <c r="Y63" i="102"/>
  <c r="X56" i="102"/>
  <c r="X52" i="102"/>
  <c r="L51" i="104"/>
  <c r="K73" i="104"/>
  <c r="L65" i="104"/>
  <c r="K59" i="104"/>
  <c r="K75" i="104"/>
  <c r="I54" i="104"/>
  <c r="K66" i="104"/>
  <c r="I68" i="104"/>
  <c r="K65" i="104"/>
  <c r="I64" i="104"/>
  <c r="K67" i="104"/>
  <c r="L48" i="104"/>
  <c r="L69" i="104"/>
  <c r="J44" i="104"/>
  <c r="K44" i="104"/>
  <c r="L75" i="104"/>
  <c r="J42" i="104"/>
  <c r="J58" i="104"/>
  <c r="J74" i="104"/>
  <c r="J67" i="104"/>
  <c r="K83" i="104"/>
  <c r="J60" i="104"/>
  <c r="I56" i="104"/>
  <c r="J62" i="104"/>
  <c r="K40" i="104"/>
  <c r="I62" i="104"/>
  <c r="J68" i="104"/>
  <c r="I84" i="104"/>
  <c r="I76" i="104"/>
  <c r="J75" i="104"/>
  <c r="L66" i="104"/>
  <c r="I40" i="104"/>
  <c r="I80" i="104"/>
  <c r="I72" i="104"/>
  <c r="L53" i="104"/>
  <c r="L43" i="104"/>
  <c r="L59" i="104"/>
  <c r="J46" i="104"/>
  <c r="K50" i="104"/>
  <c r="K82" i="104"/>
  <c r="L50" i="104"/>
  <c r="L74" i="104"/>
  <c r="L82" i="104"/>
  <c r="I42" i="104"/>
  <c r="I50" i="104"/>
  <c r="K52" i="104"/>
  <c r="K84" i="104"/>
  <c r="I43" i="104"/>
  <c r="I51" i="104"/>
  <c r="L52" i="104"/>
  <c r="I53" i="104"/>
  <c r="L47" i="104"/>
  <c r="J66" i="104"/>
  <c r="J82" i="104"/>
  <c r="K58" i="104"/>
  <c r="K38" i="104"/>
  <c r="I67" i="104"/>
  <c r="L58" i="104"/>
  <c r="L68" i="104"/>
  <c r="I66" i="104"/>
  <c r="J84" i="104"/>
  <c r="K60" i="104"/>
  <c r="K46" i="104"/>
  <c r="L54" i="104"/>
  <c r="L38" i="104"/>
  <c r="I69" i="104"/>
  <c r="J47" i="104"/>
  <c r="L83" i="104"/>
  <c r="J70" i="104"/>
  <c r="J86" i="104"/>
  <c r="K70" i="104"/>
  <c r="I83" i="104"/>
  <c r="I74" i="104"/>
  <c r="J76" i="104"/>
  <c r="K76" i="104"/>
  <c r="I38" i="104"/>
  <c r="K47" i="104"/>
  <c r="K54" i="104"/>
  <c r="K42" i="104"/>
  <c r="X59" i="102"/>
  <c r="X61" i="102"/>
  <c r="X51" i="102"/>
  <c r="X65" i="102"/>
  <c r="X45" i="102"/>
  <c r="X57" i="102"/>
  <c r="X46" i="102"/>
  <c r="X48" i="102"/>
  <c r="X67" i="102"/>
  <c r="X50" i="102"/>
  <c r="X53" i="102"/>
  <c r="Y124" i="96"/>
  <c r="E124" i="96" s="1"/>
  <c r="F124" i="96" s="1"/>
  <c r="Y120" i="96"/>
  <c r="E120" i="96" s="1"/>
  <c r="F120" i="96" s="1"/>
  <c r="Y118" i="96"/>
  <c r="E118" i="96" s="1"/>
  <c r="F118" i="96" s="1"/>
  <c r="Y115" i="96"/>
  <c r="E115" i="96" s="1"/>
  <c r="F115" i="96" s="1"/>
  <c r="Y111" i="96"/>
  <c r="E111" i="96" s="1"/>
  <c r="F111" i="96" s="1"/>
  <c r="Y109" i="96"/>
  <c r="E109" i="96" s="1"/>
  <c r="F109" i="96" s="1"/>
  <c r="Z29" i="97"/>
  <c r="G12" i="101"/>
  <c r="F12" i="101"/>
  <c r="E12" i="101"/>
  <c r="D12" i="101"/>
  <c r="C12" i="101"/>
  <c r="B12" i="101"/>
  <c r="B11" i="98"/>
  <c r="C11" i="98"/>
  <c r="D11" i="98"/>
  <c r="E11" i="98"/>
  <c r="F11" i="98"/>
  <c r="G11" i="98"/>
  <c r="Y18" i="97"/>
  <c r="W34" i="97"/>
  <c r="AB33" i="97"/>
  <c r="W28" i="97"/>
  <c r="W27" i="97"/>
  <c r="W22" i="97"/>
  <c r="W16" i="97"/>
  <c r="V16" i="97"/>
  <c r="Z13" i="97"/>
  <c r="Y31" i="98"/>
  <c r="Z31" i="98" s="1"/>
  <c r="AB31" i="98" s="1"/>
  <c r="K9" i="99"/>
  <c r="G51" i="102"/>
  <c r="A51" i="102"/>
  <c r="F51" i="102"/>
  <c r="E51" i="102"/>
  <c r="D51" i="102"/>
  <c r="C51" i="102"/>
  <c r="B51" i="102"/>
  <c r="X58" i="102"/>
  <c r="X66" i="102"/>
  <c r="X55" i="102"/>
  <c r="X44" i="102"/>
  <c r="X54" i="102"/>
  <c r="X47" i="102"/>
  <c r="X60" i="102"/>
  <c r="X49" i="102"/>
  <c r="X64" i="102"/>
  <c r="X62" i="102"/>
  <c r="AC58" i="102"/>
  <c r="AD58" i="102"/>
  <c r="AE58" i="102"/>
  <c r="Z58" i="102"/>
  <c r="AF58" i="102"/>
  <c r="AA58" i="102"/>
  <c r="AB58" i="102"/>
  <c r="AC64" i="102"/>
  <c r="AD64" i="102"/>
  <c r="AE64" i="102"/>
  <c r="Z64" i="102"/>
  <c r="AA64" i="102"/>
  <c r="AB64" i="102"/>
  <c r="AF64" i="102"/>
  <c r="U40" i="102"/>
  <c r="U41" i="102" s="1" a="1"/>
  <c r="U41" i="102" s="1"/>
  <c r="AF44" i="102"/>
  <c r="AA44" i="102"/>
  <c r="Z44" i="102"/>
  <c r="AB44" i="102"/>
  <c r="AC44" i="102"/>
  <c r="AD44" i="102"/>
  <c r="AE44" i="102"/>
  <c r="AB53" i="102"/>
  <c r="AC53" i="102"/>
  <c r="AD53" i="102"/>
  <c r="AE53" i="102"/>
  <c r="AF53" i="102"/>
  <c r="Z53" i="102"/>
  <c r="AA53" i="102"/>
  <c r="M22" i="101" a="1"/>
  <c r="M22" i="101" s="1"/>
  <c r="Y122" i="96"/>
  <c r="E122" i="96" s="1"/>
  <c r="F122" i="96" s="1"/>
  <c r="Y113" i="96"/>
  <c r="E113" i="96" s="1"/>
  <c r="F113" i="96" s="1"/>
  <c r="Y126" i="96"/>
  <c r="E126" i="96" s="1"/>
  <c r="F126" i="96" s="1"/>
  <c r="Y117" i="96"/>
  <c r="E117" i="96" s="1"/>
  <c r="F117" i="96" s="1"/>
  <c r="Y108" i="96"/>
  <c r="E108" i="96" s="1"/>
  <c r="F108" i="96" s="1"/>
  <c r="Y107" i="96"/>
  <c r="E107" i="96" s="1"/>
  <c r="F107" i="96" s="1"/>
  <c r="Y125" i="96"/>
  <c r="E125" i="96" s="1"/>
  <c r="F125" i="96" s="1"/>
  <c r="Y116" i="96"/>
  <c r="E116" i="96" s="1"/>
  <c r="F116" i="96" s="1"/>
  <c r="Y119" i="96"/>
  <c r="E119" i="96" s="1"/>
  <c r="F119" i="96" s="1"/>
  <c r="Y110" i="96"/>
  <c r="E110" i="96" s="1"/>
  <c r="F110" i="96" s="1"/>
  <c r="Y105" i="96"/>
  <c r="Y123" i="96"/>
  <c r="E123" i="96" s="1"/>
  <c r="F123" i="96" s="1"/>
  <c r="Y114" i="96"/>
  <c r="E114" i="96" s="1"/>
  <c r="F114" i="96" s="1"/>
  <c r="P22" i="101"/>
  <c r="P37" i="104" l="1"/>
  <c r="AG58" i="107"/>
  <c r="AG48" i="107"/>
  <c r="AB47" i="101"/>
  <c r="AB48" i="101"/>
  <c r="AB49" i="101"/>
  <c r="AB46" i="101"/>
  <c r="Y28" i="98"/>
  <c r="Z28" i="98" s="1"/>
  <c r="AB28" i="98" s="1"/>
  <c r="Y29" i="98"/>
  <c r="Z29" i="98" s="1"/>
  <c r="AB29" i="98" s="1"/>
  <c r="Y30" i="98"/>
  <c r="Z30" i="98" s="1"/>
  <c r="AB30" i="98" s="1"/>
  <c r="Y33" i="98"/>
  <c r="Z33" i="98" s="1"/>
  <c r="AB33" i="98" s="1"/>
  <c r="Y14" i="98"/>
  <c r="Z14" i="98" s="1"/>
  <c r="AB14" i="98" s="1"/>
  <c r="Y26" i="98"/>
  <c r="Z26" i="98" s="1"/>
  <c r="AB26" i="98" s="1"/>
  <c r="Y18" i="98"/>
  <c r="Z18" i="98" s="1"/>
  <c r="AB18" i="98" s="1"/>
  <c r="Y25" i="98"/>
  <c r="Z25" i="98" s="1"/>
  <c r="AB25" i="98" s="1"/>
  <c r="Y15" i="98"/>
  <c r="Z15" i="98" s="1"/>
  <c r="AB15" i="98" s="1"/>
  <c r="Y19" i="98"/>
  <c r="Z19" i="98" s="1"/>
  <c r="AB19" i="98" s="1"/>
  <c r="Y21" i="98"/>
  <c r="Z21" i="98" s="1"/>
  <c r="AB21" i="98" s="1"/>
  <c r="Y22" i="98"/>
  <c r="Z22" i="98" s="1"/>
  <c r="AB22" i="98" s="1"/>
  <c r="Y27" i="98"/>
  <c r="Z27" i="98" s="1"/>
  <c r="AB27" i="98" s="1"/>
  <c r="Y17" i="98"/>
  <c r="Z17" i="98" s="1"/>
  <c r="AB17" i="98" s="1"/>
  <c r="Y23" i="98"/>
  <c r="Z23" i="98" s="1"/>
  <c r="AB23" i="98" s="1"/>
  <c r="Y32" i="98"/>
  <c r="Z32" i="98" s="1"/>
  <c r="AB32" i="98" s="1"/>
  <c r="Y12" i="98"/>
  <c r="Z12" i="98" s="1"/>
  <c r="AB12" i="98" s="1"/>
  <c r="AH65" i="107"/>
  <c r="AI65" i="107" s="1"/>
  <c r="AG54" i="107"/>
  <c r="AH54" i="107" s="1"/>
  <c r="AI54" i="107" s="1"/>
  <c r="AG51" i="107"/>
  <c r="AH51" i="107" s="1"/>
  <c r="AI51" i="107" s="1"/>
  <c r="AH58" i="107"/>
  <c r="AI58" i="107" s="1"/>
  <c r="AG47" i="107"/>
  <c r="AH47" i="107" s="1"/>
  <c r="AI47" i="107" s="1"/>
  <c r="AG59" i="107"/>
  <c r="AH59" i="107" s="1"/>
  <c r="AI59" i="107" s="1"/>
  <c r="AG63" i="107"/>
  <c r="AH63" i="107" s="1"/>
  <c r="AI63" i="107" s="1"/>
  <c r="AG60" i="107"/>
  <c r="AH60" i="107" s="1"/>
  <c r="AI60" i="107" s="1"/>
  <c r="AG50" i="107"/>
  <c r="AH50" i="107" s="1"/>
  <c r="AI50" i="107" s="1"/>
  <c r="AH56" i="107"/>
  <c r="AI56" i="107" s="1"/>
  <c r="AH62" i="107"/>
  <c r="AI62" i="107" s="1"/>
  <c r="AH48" i="107"/>
  <c r="AI48" i="107" s="1"/>
  <c r="AH64" i="107"/>
  <c r="AI64" i="107" s="1"/>
  <c r="AG55" i="107"/>
  <c r="AH55" i="107" s="1"/>
  <c r="AI55" i="107" s="1"/>
  <c r="AG66" i="107"/>
  <c r="AH66" i="107" s="1"/>
  <c r="AI66" i="107" s="1"/>
  <c r="AG53" i="107"/>
  <c r="AH53" i="107" s="1"/>
  <c r="AI53" i="107" s="1"/>
  <c r="AG57" i="107"/>
  <c r="AH57" i="107" s="1"/>
  <c r="AI57" i="107" s="1"/>
  <c r="AG45" i="107"/>
  <c r="AH45" i="107" s="1"/>
  <c r="AI45" i="107" s="1"/>
  <c r="Y54" i="102"/>
  <c r="Y55" i="102"/>
  <c r="Y45" i="102"/>
  <c r="Y62" i="102"/>
  <c r="Y66" i="102"/>
  <c r="Y65" i="102"/>
  <c r="Y44" i="102"/>
  <c r="Y57" i="102"/>
  <c r="Y64" i="102"/>
  <c r="Y58" i="102"/>
  <c r="Y53" i="102"/>
  <c r="Y51" i="102"/>
  <c r="Y46" i="102"/>
  <c r="Y49" i="102"/>
  <c r="Y50" i="102"/>
  <c r="Y61" i="102"/>
  <c r="Y60" i="102"/>
  <c r="Y67" i="102"/>
  <c r="Y59" i="102"/>
  <c r="Y52" i="102"/>
  <c r="Y47" i="102"/>
  <c r="Y48" i="102"/>
  <c r="Y56" i="102"/>
  <c r="O37" i="104"/>
  <c r="R37" i="104"/>
  <c r="Q37" i="104"/>
  <c r="Q41" i="104" s="1"/>
  <c r="R41" i="104"/>
  <c r="O41" i="104"/>
  <c r="P41" i="104"/>
  <c r="AG60" i="102"/>
  <c r="AH60" i="102" s="1"/>
  <c r="AG48" i="102"/>
  <c r="AH48" i="102" s="1"/>
  <c r="AG46" i="102"/>
  <c r="AG49" i="102"/>
  <c r="AH49" i="102" s="1"/>
  <c r="AG65" i="102"/>
  <c r="AH65" i="102" s="1"/>
  <c r="AG47" i="102"/>
  <c r="AH47" i="102" s="1"/>
  <c r="AG50" i="102"/>
  <c r="AH50" i="102" s="1"/>
  <c r="AG56" i="102"/>
  <c r="AH56" i="102" s="1"/>
  <c r="AG55" i="102"/>
  <c r="AG63" i="102"/>
  <c r="AG54" i="102"/>
  <c r="AH54" i="102" s="1"/>
  <c r="AG62" i="102"/>
  <c r="AH62" i="102" s="1"/>
  <c r="AG51" i="102"/>
  <c r="AG57" i="102"/>
  <c r="AH57" i="102" s="1"/>
  <c r="AG45" i="102"/>
  <c r="AH45" i="102" s="1"/>
  <c r="AG52" i="102"/>
  <c r="AH52" i="102" s="1"/>
  <c r="AG66" i="102"/>
  <c r="AG67" i="102"/>
  <c r="AH67" i="102" s="1"/>
  <c r="AG59" i="102"/>
  <c r="AH59" i="102" s="1"/>
  <c r="AG61" i="102"/>
  <c r="AH61" i="102" s="1"/>
  <c r="AG53" i="102"/>
  <c r="AH53" i="102" s="1"/>
  <c r="AG58" i="102"/>
  <c r="AH58" i="102" s="1"/>
  <c r="AG44" i="102"/>
  <c r="AH44" i="102" s="1"/>
  <c r="AG64" i="102"/>
  <c r="AH64" i="102" s="1"/>
  <c r="M23" i="101"/>
  <c r="M29" i="101"/>
  <c r="M26" i="101"/>
  <c r="N26" i="101" s="1"/>
  <c r="O26" i="101" s="1"/>
  <c r="Q26" i="101" s="1"/>
  <c r="M30" i="101"/>
  <c r="M25" i="101"/>
  <c r="N25" i="101" s="1"/>
  <c r="O25" i="101" s="1"/>
  <c r="Q25" i="101" s="1"/>
  <c r="X25" i="101" s="1"/>
  <c r="M28" i="101"/>
  <c r="N28" i="101" s="1"/>
  <c r="O28" i="101" s="1"/>
  <c r="Q28" i="101" s="1"/>
  <c r="M31" i="101"/>
  <c r="N31" i="101" s="1"/>
  <c r="O31" i="101" s="1"/>
  <c r="Q31" i="101" s="1"/>
  <c r="M27" i="101"/>
  <c r="N27" i="101" s="1"/>
  <c r="O27" i="101" s="1"/>
  <c r="Q27" i="101" s="1"/>
  <c r="M24" i="101"/>
  <c r="N24" i="101" s="1"/>
  <c r="O24" i="101" s="1"/>
  <c r="Q24" i="101" s="1"/>
  <c r="N22" i="101"/>
  <c r="O22" i="101" s="1"/>
  <c r="Q22" i="101" s="1"/>
  <c r="W13" i="97"/>
  <c r="AB13" i="97"/>
  <c r="V13" i="97"/>
  <c r="X13" i="97"/>
  <c r="AA13" i="97"/>
  <c r="Y13" i="97"/>
  <c r="X26" i="97"/>
  <c r="Z31" i="97"/>
  <c r="Y31" i="97"/>
  <c r="Y25" i="97"/>
  <c r="AA17" i="97"/>
  <c r="Y32" i="97"/>
  <c r="Y20" i="97"/>
  <c r="AA15" i="97"/>
  <c r="V33" i="97"/>
  <c r="AB28" i="97"/>
  <c r="AA22" i="97"/>
  <c r="Z18" i="97"/>
  <c r="Z25" i="97"/>
  <c r="Z19" i="97"/>
  <c r="AB34" i="97"/>
  <c r="AA28" i="97"/>
  <c r="Z24" i="97"/>
  <c r="V22" i="97"/>
  <c r="AA30" i="97"/>
  <c r="AA24" i="97"/>
  <c r="AA18" i="97"/>
  <c r="AA34" i="97"/>
  <c r="Z30" i="97"/>
  <c r="V28" i="97"/>
  <c r="Y24" i="97"/>
  <c r="AB21" i="97"/>
  <c r="W15" i="97"/>
  <c r="V29" i="97"/>
  <c r="V23" i="97"/>
  <c r="V17" i="97"/>
  <c r="V34" i="97"/>
  <c r="Y30" i="97"/>
  <c r="AB27" i="97"/>
  <c r="AA23" i="97"/>
  <c r="W21" i="97"/>
  <c r="Z17" i="97"/>
  <c r="AA29" i="97"/>
  <c r="Z23" i="97"/>
  <c r="AB16" i="97"/>
  <c r="X33" i="97"/>
  <c r="X27" i="97"/>
  <c r="X21" i="97"/>
  <c r="AB15" i="97"/>
  <c r="W33" i="97"/>
  <c r="V27" i="97"/>
  <c r="AB22" i="97"/>
  <c r="Y19" i="97"/>
  <c r="AA16" i="97"/>
  <c r="X32" i="97"/>
  <c r="W32" i="97"/>
  <c r="X31" i="97"/>
  <c r="W26" i="97"/>
  <c r="X25" i="97"/>
  <c r="W20" i="97"/>
  <c r="X19" i="97"/>
  <c r="Z15" i="97"/>
  <c r="Z34" i="97"/>
  <c r="AA33" i="97"/>
  <c r="AB32" i="97"/>
  <c r="V32" i="97"/>
  <c r="W31" i="97"/>
  <c r="X30" i="97"/>
  <c r="Y29" i="97"/>
  <c r="Z28" i="97"/>
  <c r="AA27" i="97"/>
  <c r="AB26" i="97"/>
  <c r="V26" i="97"/>
  <c r="W25" i="97"/>
  <c r="X24" i="97"/>
  <c r="Y23" i="97"/>
  <c r="Z22" i="97"/>
  <c r="AA21" i="97"/>
  <c r="AB20" i="97"/>
  <c r="V20" i="97"/>
  <c r="W19" i="97"/>
  <c r="X18" i="97"/>
  <c r="Y17" i="97"/>
  <c r="Z16" i="97"/>
  <c r="Y15" i="97"/>
  <c r="Y34" i="97"/>
  <c r="Z33" i="97"/>
  <c r="AA32" i="97"/>
  <c r="AB31" i="97"/>
  <c r="V31" i="97"/>
  <c r="W30" i="97"/>
  <c r="X29" i="97"/>
  <c r="Y28" i="97"/>
  <c r="Z27" i="97"/>
  <c r="AA26" i="97"/>
  <c r="AB25" i="97"/>
  <c r="V25" i="97"/>
  <c r="W24" i="97"/>
  <c r="X23" i="97"/>
  <c r="Y22" i="97"/>
  <c r="Z21" i="97"/>
  <c r="AA20" i="97"/>
  <c r="AB19" i="97"/>
  <c r="V19" i="97"/>
  <c r="W18" i="97"/>
  <c r="X17" i="97"/>
  <c r="Y16" i="97"/>
  <c r="X15" i="97"/>
  <c r="X34" i="97"/>
  <c r="Y33" i="97"/>
  <c r="Z32" i="97"/>
  <c r="AA31" i="97"/>
  <c r="AB30" i="97"/>
  <c r="V30" i="97"/>
  <c r="AH30" i="97" s="1"/>
  <c r="W29" i="97"/>
  <c r="X28" i="97"/>
  <c r="AD28" i="97" s="1"/>
  <c r="Y27" i="97"/>
  <c r="Z26" i="97"/>
  <c r="AA25" i="97"/>
  <c r="AB24" i="97"/>
  <c r="V24" i="97"/>
  <c r="W23" i="97"/>
  <c r="X22" i="97"/>
  <c r="Y21" i="97"/>
  <c r="Z20" i="97"/>
  <c r="AA19" i="97"/>
  <c r="AB18" i="97"/>
  <c r="V18" i="97"/>
  <c r="W17" i="97"/>
  <c r="X16" i="97"/>
  <c r="X20" i="97"/>
  <c r="V15" i="97"/>
  <c r="AE15" i="97" s="1"/>
  <c r="AB29" i="97"/>
  <c r="Y26" i="97"/>
  <c r="AB23" i="97"/>
  <c r="AB17" i="97"/>
  <c r="AD21" i="97"/>
  <c r="AH31" i="97"/>
  <c r="AG30" i="97"/>
  <c r="AG17" i="97"/>
  <c r="AD16" i="97"/>
  <c r="AG26" i="97"/>
  <c r="AF25" i="97"/>
  <c r="AD31" i="97"/>
  <c r="AF21" i="97"/>
  <c r="AD19" i="97"/>
  <c r="AE21" i="97"/>
  <c r="N294" i="75" a="1"/>
  <c r="N294" i="75" s="1"/>
  <c r="P29" i="101"/>
  <c r="P30" i="101"/>
  <c r="P25" i="101"/>
  <c r="P31" i="101"/>
  <c r="P26" i="101"/>
  <c r="P28" i="101"/>
  <c r="P23" i="101"/>
  <c r="P27" i="101"/>
  <c r="P24" i="101"/>
  <c r="X26" i="101" l="1"/>
  <c r="X27" i="101"/>
  <c r="X31" i="101"/>
  <c r="X28" i="101"/>
  <c r="X22" i="101"/>
  <c r="X24" i="101"/>
  <c r="AH55" i="102"/>
  <c r="AI55" i="102" s="1"/>
  <c r="AH63" i="102"/>
  <c r="AI63" i="102" s="1"/>
  <c r="AH46" i="102"/>
  <c r="AI46" i="102" s="1"/>
  <c r="AH66" i="102"/>
  <c r="AI66" i="102" s="1"/>
  <c r="AI59" i="102"/>
  <c r="AI67" i="102"/>
  <c r="AI53" i="102"/>
  <c r="AI65" i="102"/>
  <c r="AI54" i="102"/>
  <c r="AH51" i="102"/>
  <c r="AI51" i="102" s="1"/>
  <c r="AI61" i="102"/>
  <c r="AI62" i="102"/>
  <c r="AI49" i="102"/>
  <c r="AI48" i="102"/>
  <c r="AI60" i="102"/>
  <c r="AI64" i="102"/>
  <c r="AI52" i="102"/>
  <c r="AI56" i="102"/>
  <c r="AI44" i="102"/>
  <c r="AI45" i="102"/>
  <c r="AI50" i="102"/>
  <c r="AI58" i="102"/>
  <c r="AI57" i="102"/>
  <c r="AI47" i="102"/>
  <c r="O43" i="104"/>
  <c r="AE17" i="97"/>
  <c r="AF16" i="97"/>
  <c r="AF19" i="97"/>
  <c r="AG34" i="97"/>
  <c r="AH16" i="97"/>
  <c r="AH20" i="97"/>
  <c r="AE25" i="97"/>
  <c r="AF26" i="97"/>
  <c r="AE18" i="97"/>
  <c r="AG16" i="97"/>
  <c r="AG21" i="97"/>
  <c r="AH29" i="97"/>
  <c r="AE28" i="97"/>
  <c r="AD29" i="97"/>
  <c r="AH24" i="97"/>
  <c r="AD34" i="97"/>
  <c r="AH25" i="97"/>
  <c r="AD26" i="97"/>
  <c r="AG31" i="97"/>
  <c r="AH21" i="97"/>
  <c r="AJ21" i="97" s="1"/>
  <c r="E149" i="96" s="1"/>
  <c r="F149" i="96" s="1"/>
  <c r="AG22" i="97"/>
  <c r="AH18" i="97"/>
  <c r="AE30" i="97"/>
  <c r="AD24" i="97"/>
  <c r="AF31" i="97"/>
  <c r="AF32" i="97"/>
  <c r="AG32" i="97"/>
  <c r="AE26" i="97"/>
  <c r="N23" i="101"/>
  <c r="O23" i="101" s="1"/>
  <c r="Q23" i="101" s="1"/>
  <c r="X23" i="101" s="1"/>
  <c r="N29" i="101"/>
  <c r="O29" i="101" s="1"/>
  <c r="Q29" i="101" s="1"/>
  <c r="X29" i="101" s="1"/>
  <c r="N30" i="101"/>
  <c r="O30" i="101" s="1"/>
  <c r="Q30" i="101" s="1"/>
  <c r="X30" i="101" s="1"/>
  <c r="R26" i="101"/>
  <c r="S26" i="101" s="1"/>
  <c r="T26" i="101" s="1"/>
  <c r="R24" i="101"/>
  <c r="S24" i="101" s="1"/>
  <c r="T24" i="101" s="1"/>
  <c r="R31" i="101"/>
  <c r="S31" i="101" s="1"/>
  <c r="T31" i="101" s="1"/>
  <c r="R25" i="101"/>
  <c r="S25" i="101" s="1"/>
  <c r="T25" i="101" s="1"/>
  <c r="R27" i="101"/>
  <c r="S27" i="101" s="1"/>
  <c r="T27" i="101" s="1"/>
  <c r="R22" i="101"/>
  <c r="S22" i="101" s="1"/>
  <c r="T22" i="101" s="1"/>
  <c r="U22" i="101" s="1"/>
  <c r="R28" i="101"/>
  <c r="S28" i="101" s="1"/>
  <c r="T28" i="101" s="1"/>
  <c r="AD13" i="97"/>
  <c r="AH13" i="97"/>
  <c r="AE13" i="97"/>
  <c r="AF13" i="97"/>
  <c r="AG13" i="97"/>
  <c r="AF30" i="97"/>
  <c r="AD30" i="97"/>
  <c r="AE19" i="97"/>
  <c r="AE31" i="97"/>
  <c r="AJ31" i="97" s="1"/>
  <c r="E159" i="96" s="1"/>
  <c r="F159" i="96" s="1"/>
  <c r="AE16" i="97"/>
  <c r="AJ16" i="97" s="1"/>
  <c r="E144" i="96" s="1"/>
  <c r="F144" i="96" s="1"/>
  <c r="AH26" i="97"/>
  <c r="AD27" i="97"/>
  <c r="AG18" i="97"/>
  <c r="AD23" i="97"/>
  <c r="AE33" i="97"/>
  <c r="AD17" i="97"/>
  <c r="AH22" i="97"/>
  <c r="AF27" i="97"/>
  <c r="AD32" i="97"/>
  <c r="AD20" i="97"/>
  <c r="AD15" i="97"/>
  <c r="AE24" i="97"/>
  <c r="AG29" i="97"/>
  <c r="AH34" i="97"/>
  <c r="AH19" i="97"/>
  <c r="AG25" i="97"/>
  <c r="AF29" i="97"/>
  <c r="AG33" i="97"/>
  <c r="AH33" i="97"/>
  <c r="AF18" i="97"/>
  <c r="AE29" i="97"/>
  <c r="AF22" i="97"/>
  <c r="AE22" i="97"/>
  <c r="AH28" i="97"/>
  <c r="AH17" i="97"/>
  <c r="AD25" i="97"/>
  <c r="AE32" i="97"/>
  <c r="AD18" i="97"/>
  <c r="AJ18" i="97" s="1"/>
  <c r="E146" i="96" s="1"/>
  <c r="F146" i="96" s="1"/>
  <c r="AG20" i="97"/>
  <c r="AH27" i="97"/>
  <c r="AH15" i="97"/>
  <c r="AD22" i="97"/>
  <c r="AG23" i="97"/>
  <c r="AF23" i="97"/>
  <c r="AH32" i="97"/>
  <c r="AH23" i="97"/>
  <c r="AG27" i="97"/>
  <c r="AE23" i="97"/>
  <c r="AF28" i="97"/>
  <c r="AF17" i="97"/>
  <c r="AG24" i="97"/>
  <c r="AE34" i="97"/>
  <c r="AD33" i="97"/>
  <c r="AE20" i="97"/>
  <c r="AF20" i="97"/>
  <c r="AF24" i="97"/>
  <c r="AG15" i="97"/>
  <c r="AF15" i="97"/>
  <c r="AE27" i="97"/>
  <c r="AF33" i="97"/>
  <c r="AG28" i="97"/>
  <c r="AF34" i="97"/>
  <c r="AG19" i="97"/>
  <c r="AJ19" i="97" s="1"/>
  <c r="E147" i="96" s="1"/>
  <c r="F147" i="96" s="1"/>
  <c r="B299" i="75"/>
  <c r="B300" i="75" s="1"/>
  <c r="B301" i="75" s="1"/>
  <c r="B302" i="75" s="1"/>
  <c r="B303" i="75" s="1"/>
  <c r="B304" i="75" s="1"/>
  <c r="B305" i="75" s="1"/>
  <c r="B306" i="75" s="1"/>
  <c r="B307" i="75" s="1"/>
  <c r="B308" i="75" s="1"/>
  <c r="B309" i="75" s="1"/>
  <c r="B310" i="75" s="1"/>
  <c r="B311" i="75" s="1"/>
  <c r="B312" i="75" s="1"/>
  <c r="B313" i="75" s="1"/>
  <c r="B314" i="75" s="1"/>
  <c r="B315" i="75" s="1"/>
  <c r="B316" i="75" s="1"/>
  <c r="B317" i="75" s="1"/>
  <c r="B318" i="75" s="1"/>
  <c r="B319" i="75" s="1"/>
  <c r="B320" i="75" s="1"/>
  <c r="B321" i="75" s="1"/>
  <c r="B322" i="75" s="1"/>
  <c r="B323" i="75" s="1"/>
  <c r="B324" i="75" s="1"/>
  <c r="B325" i="75" s="1"/>
  <c r="B326" i="75" s="1"/>
  <c r="B327" i="75" s="1"/>
  <c r="P71" i="102" l="1" a="1"/>
  <c r="R47" i="104"/>
  <c r="R51" i="104" s="1"/>
  <c r="O47" i="104"/>
  <c r="O51" i="104" s="1"/>
  <c r="Q47" i="104"/>
  <c r="Q51" i="104" s="1"/>
  <c r="P47" i="104"/>
  <c r="P51" i="104" s="1"/>
  <c r="AJ17" i="97"/>
  <c r="E145" i="96" s="1"/>
  <c r="F145" i="96" s="1"/>
  <c r="AJ28" i="97"/>
  <c r="E156" i="96" s="1"/>
  <c r="F156" i="96" s="1"/>
  <c r="AJ32" i="97"/>
  <c r="E160" i="96" s="1"/>
  <c r="F160" i="96" s="1"/>
  <c r="AJ34" i="97"/>
  <c r="E162" i="96" s="1"/>
  <c r="F162" i="96" s="1"/>
  <c r="AJ30" i="97"/>
  <c r="E158" i="96" s="1"/>
  <c r="F158" i="96" s="1"/>
  <c r="AJ22" i="97"/>
  <c r="E150" i="96" s="1"/>
  <c r="F150" i="96" s="1"/>
  <c r="AJ25" i="97"/>
  <c r="E153" i="96" s="1"/>
  <c r="F153" i="96" s="1"/>
  <c r="AJ27" i="97"/>
  <c r="E155" i="96" s="1"/>
  <c r="F155" i="96" s="1"/>
  <c r="AJ33" i="97"/>
  <c r="E161" i="96" s="1"/>
  <c r="F161" i="96" s="1"/>
  <c r="AJ24" i="97"/>
  <c r="E152" i="96" s="1"/>
  <c r="F152" i="96" s="1"/>
  <c r="AJ29" i="97"/>
  <c r="E157" i="96" s="1"/>
  <c r="F157" i="96" s="1"/>
  <c r="AJ20" i="97"/>
  <c r="E148" i="96" s="1"/>
  <c r="F148" i="96" s="1"/>
  <c r="AJ23" i="97"/>
  <c r="E151" i="96" s="1"/>
  <c r="F151" i="96" s="1"/>
  <c r="AJ26" i="97"/>
  <c r="E154" i="96" s="1"/>
  <c r="F154" i="96" s="1"/>
  <c r="AJ15" i="97"/>
  <c r="E143" i="96" s="1"/>
  <c r="F143" i="96" s="1"/>
  <c r="V22" i="101"/>
  <c r="W22" i="101" s="1"/>
  <c r="Y22" i="101" s="1"/>
  <c r="U27" i="101"/>
  <c r="U25" i="101"/>
  <c r="U31" i="101"/>
  <c r="U24" i="101"/>
  <c r="U26" i="101"/>
  <c r="U28" i="101"/>
  <c r="R23" i="101"/>
  <c r="S23" i="101" s="1"/>
  <c r="T23" i="101" s="1"/>
  <c r="R29" i="101"/>
  <c r="S29" i="101" s="1"/>
  <c r="T29" i="101" s="1"/>
  <c r="R30" i="101"/>
  <c r="S30" i="101" s="1"/>
  <c r="T30" i="101" s="1"/>
  <c r="Q62" i="96" a="1"/>
  <c r="AJ13" i="97"/>
  <c r="B260" i="75"/>
  <c r="B261" i="75" s="1"/>
  <c r="B262" i="75" s="1"/>
  <c r="B263" i="75" s="1"/>
  <c r="B264" i="75" s="1"/>
  <c r="B265" i="75" s="1"/>
  <c r="B266" i="75" s="1"/>
  <c r="B267" i="75" s="1"/>
  <c r="B268" i="75" s="1"/>
  <c r="B269" i="75" s="1"/>
  <c r="B270" i="75" s="1"/>
  <c r="B271" i="75" s="1"/>
  <c r="B272" i="75" s="1"/>
  <c r="B273" i="75" s="1"/>
  <c r="B274" i="75" s="1"/>
  <c r="B275" i="75" s="1"/>
  <c r="B276" i="75" s="1"/>
  <c r="B277" i="75" s="1"/>
  <c r="B278" i="75" s="1"/>
  <c r="B216" i="75"/>
  <c r="B178" i="75"/>
  <c r="B179" i="75" s="1"/>
  <c r="B180" i="75" s="1"/>
  <c r="B181" i="75" s="1"/>
  <c r="B182" i="75" s="1"/>
  <c r="B183" i="75" s="1"/>
  <c r="B184" i="75" s="1"/>
  <c r="B185" i="75" s="1"/>
  <c r="B186" i="75" s="1"/>
  <c r="B187" i="75" s="1"/>
  <c r="B188" i="75" s="1"/>
  <c r="B189" i="75" s="1"/>
  <c r="B190" i="75" s="1"/>
  <c r="B191" i="75" s="1"/>
  <c r="B192" i="75" s="1"/>
  <c r="B193" i="75" s="1"/>
  <c r="B194" i="75" s="1"/>
  <c r="B195" i="75" s="1"/>
  <c r="B196" i="75" s="1"/>
  <c r="B144" i="75"/>
  <c r="B145" i="75" s="1"/>
  <c r="B108" i="75"/>
  <c r="B109" i="75" s="1"/>
  <c r="B110" i="75" s="1"/>
  <c r="B111" i="75" s="1"/>
  <c r="B112" i="75" s="1"/>
  <c r="B113" i="75" s="1"/>
  <c r="B114" i="75" s="1"/>
  <c r="B115" i="75" s="1"/>
  <c r="B116" i="75" s="1"/>
  <c r="B117" i="75" s="1"/>
  <c r="B118" i="75" s="1"/>
  <c r="B119" i="75" s="1"/>
  <c r="B120" i="75" s="1"/>
  <c r="B121" i="75" s="1"/>
  <c r="B122" i="75" s="1"/>
  <c r="B123" i="75" s="1"/>
  <c r="B124" i="75" s="1"/>
  <c r="B125" i="75" s="1"/>
  <c r="B126" i="75" s="1"/>
  <c r="B75" i="75"/>
  <c r="AJ80" i="102" l="1"/>
  <c r="AK80" i="102" s="1"/>
  <c r="AJ82" i="102"/>
  <c r="AK82" i="102" s="1"/>
  <c r="AJ94" i="102"/>
  <c r="AK94" i="102" s="1"/>
  <c r="AJ72" i="102"/>
  <c r="AK72" i="102" s="1"/>
  <c r="AJ74" i="102"/>
  <c r="AK74" i="102" s="1"/>
  <c r="AJ84" i="102"/>
  <c r="AK84" i="102" s="1"/>
  <c r="AJ76" i="102"/>
  <c r="AK76" i="102" s="1"/>
  <c r="AJ85" i="102"/>
  <c r="AK85" i="102" s="1"/>
  <c r="AJ77" i="102"/>
  <c r="AK77" i="102" s="1"/>
  <c r="AJ92" i="102"/>
  <c r="AK92" i="102" s="1"/>
  <c r="P71" i="102"/>
  <c r="AJ73" i="102"/>
  <c r="AK73" i="102" s="1"/>
  <c r="AK71" i="102"/>
  <c r="AJ87" i="102"/>
  <c r="AK87" i="102" s="1"/>
  <c r="AJ89" i="102"/>
  <c r="AK89" i="102" s="1"/>
  <c r="AJ79" i="102"/>
  <c r="AK79" i="102" s="1"/>
  <c r="AJ88" i="102"/>
  <c r="AK88" i="102" s="1"/>
  <c r="AJ90" i="102"/>
  <c r="AK90" i="102" s="1"/>
  <c r="AJ86" i="102"/>
  <c r="AK86" i="102" s="1"/>
  <c r="AJ81" i="102"/>
  <c r="AK81" i="102" s="1"/>
  <c r="AJ78" i="102"/>
  <c r="AK78" i="102" s="1"/>
  <c r="AJ91" i="102"/>
  <c r="AK91" i="102" s="1"/>
  <c r="AJ83" i="102"/>
  <c r="AK83" i="102" s="1"/>
  <c r="AJ93" i="102"/>
  <c r="AK93" i="102" s="1"/>
  <c r="AJ75" i="102"/>
  <c r="AK75" i="102" s="1"/>
  <c r="O53" i="104"/>
  <c r="O56" i="104" s="1"/>
  <c r="S55" i="104" s="1"/>
  <c r="Q62" i="96"/>
  <c r="U29" i="101"/>
  <c r="U23" i="101"/>
  <c r="U30" i="101"/>
  <c r="B76" i="75"/>
  <c r="B77" i="75" s="1"/>
  <c r="B78" i="75" s="1"/>
  <c r="B79" i="75" s="1"/>
  <c r="B80" i="75" s="1"/>
  <c r="B81" i="75" s="1"/>
  <c r="B82" i="75" s="1"/>
  <c r="B83" i="75" s="1"/>
  <c r="B84" i="75" s="1"/>
  <c r="B85" i="75" s="1"/>
  <c r="B86" i="75" s="1"/>
  <c r="B87" i="75" s="1"/>
  <c r="B88" i="75" s="1"/>
  <c r="B89" i="75" s="1"/>
  <c r="B90" i="75" s="1"/>
  <c r="B91" i="75" s="1"/>
  <c r="B92" i="75" s="1"/>
  <c r="B93" i="75" s="1"/>
  <c r="B217" i="75"/>
  <c r="B218" i="75" s="1"/>
  <c r="B146" i="75"/>
  <c r="B147" i="75" s="1"/>
  <c r="B148" i="75" s="1"/>
  <c r="B149" i="75" s="1"/>
  <c r="B150" i="75" s="1"/>
  <c r="B151" i="75" s="1"/>
  <c r="B152" i="75" s="1"/>
  <c r="B153" i="75" s="1"/>
  <c r="B154" i="75" s="1"/>
  <c r="B155" i="75" s="1"/>
  <c r="B156" i="75" s="1"/>
  <c r="B157" i="75" s="1"/>
  <c r="B158" i="75" s="1"/>
  <c r="B159" i="75" s="1"/>
  <c r="B160" i="75" s="1"/>
  <c r="B161" i="75" s="1"/>
  <c r="B162" i="75" s="1"/>
  <c r="AM71" i="102" l="1"/>
  <c r="B90" i="102" s="1"/>
  <c r="V30" i="101"/>
  <c r="V25" i="101"/>
  <c r="W25" i="101" s="1"/>
  <c r="Y25" i="101" s="1"/>
  <c r="V27" i="101"/>
  <c r="W27" i="101" s="1"/>
  <c r="Y27" i="101" s="1"/>
  <c r="V28" i="101"/>
  <c r="V31" i="101"/>
  <c r="V23" i="101"/>
  <c r="W23" i="101" s="1"/>
  <c r="Y23" i="101" s="1"/>
  <c r="V26" i="101"/>
  <c r="W26" i="101" s="1"/>
  <c r="Y26" i="101" s="1"/>
  <c r="V29" i="101"/>
  <c r="V24" i="101"/>
  <c r="W24" i="101" s="1"/>
  <c r="Y24" i="101" s="1"/>
  <c r="B219" i="75"/>
  <c r="W28" i="101" l="1"/>
  <c r="W29" i="101"/>
  <c r="Y29" i="101" s="1"/>
  <c r="W31" i="101"/>
  <c r="Y31" i="101" s="1"/>
  <c r="W30" i="101"/>
  <c r="Y30" i="101" s="1"/>
  <c r="B220" i="75"/>
  <c r="Y28" i="101" l="1"/>
  <c r="X18" i="101" s="1"/>
  <c r="AE17" i="101" s="1"/>
  <c r="B221" i="75"/>
  <c r="B222" i="75" l="1"/>
  <c r="B223" i="75" l="1"/>
  <c r="B224" i="75" l="1"/>
  <c r="B225" i="75" l="1"/>
  <c r="B226" i="75" l="1"/>
  <c r="B227" i="75" l="1"/>
  <c r="B228" i="75" l="1"/>
  <c r="B229" i="75" l="1"/>
  <c r="B230" i="75" l="1"/>
  <c r="B231" i="75" l="1"/>
  <c r="B232" i="75" l="1"/>
  <c r="B233" i="75" l="1"/>
  <c r="B234" i="75" l="1"/>
  <c r="Y16" i="98"/>
  <c r="Z16" i="98" s="1"/>
  <c r="AB16" i="98" s="1"/>
  <c r="O6" i="106"/>
  <c r="P6" i="106"/>
  <c r="O7" i="106"/>
  <c r="P7" i="106"/>
  <c r="O8" i="106"/>
  <c r="P8" i="106"/>
  <c r="O5" i="106"/>
  <c r="P5" i="106"/>
  <c r="R6" i="106"/>
  <c r="AG46" i="107"/>
  <c r="AG44" i="107"/>
  <c r="AH46" i="107"/>
  <c r="AI46" i="107"/>
  <c r="AH44" i="107"/>
  <c r="AI44" i="107"/>
  <c r="P71" i="107" a="1"/>
  <c r="AJ84" i="107"/>
  <c r="AK84" i="107"/>
  <c r="AL84" i="107"/>
  <c r="AM84" i="107" s="1" a="1"/>
  <c r="AM84" i="107" s="1"/>
  <c r="AN84" i="107" s="1"/>
  <c r="AP84" i="107" s="1"/>
  <c r="P71" i="107"/>
  <c r="AJ85" i="107"/>
  <c r="AK85" i="107"/>
  <c r="AL85" i="107"/>
  <c r="AM85" i="107" s="1" a="1"/>
  <c r="AM85" i="107" s="1"/>
  <c r="AN85" i="107" s="1"/>
  <c r="AP85" i="107" s="1"/>
  <c r="AJ86" i="107"/>
  <c r="AK86" i="107"/>
  <c r="AL86" i="107"/>
  <c r="AM86" i="107" s="1" a="1"/>
  <c r="AM86" i="107" s="1"/>
  <c r="AN86" i="107" s="1"/>
  <c r="AP86" i="107" s="1"/>
  <c r="AJ83" i="107"/>
  <c r="AK83" i="107"/>
  <c r="AO83" i="107"/>
  <c r="AJ87" i="107"/>
  <c r="AK87" i="107"/>
  <c r="AL87" i="107"/>
  <c r="AM87" i="107" s="1" a="1"/>
  <c r="AM87" i="107" s="1"/>
  <c r="AN87" i="107" s="1"/>
  <c r="AP87" i="107" s="1"/>
  <c r="AJ88" i="107"/>
  <c r="AK88" i="107"/>
  <c r="AL88" i="107"/>
  <c r="AM88" i="107" s="1" a="1"/>
  <c r="AM88" i="107" s="1"/>
  <c r="AN88" i="107" s="1"/>
  <c r="AP88" i="107" s="1"/>
  <c r="AJ90" i="107"/>
  <c r="AK90" i="107"/>
  <c r="AL90" i="107"/>
  <c r="AM90" i="107" s="1" a="1"/>
  <c r="AM90" i="107" s="1"/>
  <c r="AN90" i="107" s="1"/>
  <c r="AP90" i="107" s="1"/>
  <c r="AJ89" i="107"/>
  <c r="AK89" i="107"/>
  <c r="AL89" i="107"/>
  <c r="AM89" i="107" s="1" a="1"/>
  <c r="AM89" i="107" s="1"/>
  <c r="AN89" i="107" s="1"/>
  <c r="AP89" i="107" s="1"/>
  <c r="AJ91" i="107"/>
  <c r="AK91" i="107"/>
  <c r="AL91" i="107"/>
  <c r="AM91" i="107" s="1" a="1"/>
  <c r="AM91" i="107" s="1"/>
  <c r="AN91" i="107" s="1"/>
  <c r="AP91" i="107" s="1"/>
  <c r="AO87" i="107"/>
  <c r="AJ92" i="107"/>
  <c r="AK92" i="107"/>
  <c r="AL92" i="107"/>
  <c r="AM92" i="107" s="1" a="1"/>
  <c r="AM92" i="107" s="1"/>
  <c r="AN92" i="107" s="1"/>
  <c r="AP92" i="107" s="1"/>
  <c r="AO88" i="107"/>
  <c r="AJ94" i="107"/>
  <c r="AK94" i="107"/>
  <c r="AL94" i="107"/>
  <c r="AM94" i="107" s="1" a="1"/>
  <c r="AM94" i="107" s="1"/>
  <c r="AN94" i="107" s="1"/>
  <c r="AP94" i="107" s="1"/>
  <c r="AJ81" i="107"/>
  <c r="AK81" i="107"/>
  <c r="AL81" i="107"/>
  <c r="AM81" i="107" s="1" a="1"/>
  <c r="AM81" i="107" s="1"/>
  <c r="AN81" i="107" s="1"/>
  <c r="AP81" i="107" s="1"/>
  <c r="AJ93" i="107"/>
  <c r="AK93" i="107"/>
  <c r="AL93" i="107"/>
  <c r="AM93" i="107" s="1" a="1"/>
  <c r="AM93" i="107" s="1"/>
  <c r="AN93" i="107" s="1"/>
  <c r="AP93" i="107" s="1"/>
  <c r="AJ80" i="107"/>
  <c r="AK80" i="107"/>
  <c r="AL80" i="107"/>
  <c r="AM80" i="107" s="1" a="1"/>
  <c r="AM80" i="107" s="1"/>
  <c r="AN80" i="107" s="1"/>
  <c r="AP80" i="107" s="1"/>
  <c r="AJ76" i="107"/>
  <c r="AK76" i="107"/>
  <c r="AL76" i="107"/>
  <c r="AM76" i="107" s="1" a="1"/>
  <c r="AM76" i="107" s="1"/>
  <c r="AN76" i="107" s="1"/>
  <c r="AP76" i="107" s="1"/>
  <c r="AJ72" i="107"/>
  <c r="AK72" i="107"/>
  <c r="AL72" i="107"/>
  <c r="AM72" i="107" s="1" a="1"/>
  <c r="AM72" i="107" s="1"/>
  <c r="AN72" i="107" s="1"/>
  <c r="AP72" i="107" s="1"/>
  <c r="AJ79" i="107"/>
  <c r="AK79" i="107"/>
  <c r="AL79" i="107"/>
  <c r="AM79" i="107" s="1" a="1"/>
  <c r="AM79" i="107" s="1"/>
  <c r="AN79" i="107" s="1"/>
  <c r="AP79" i="107" s="1"/>
  <c r="AL83" i="107"/>
  <c r="AM83" i="107" s="1" a="1"/>
  <c r="AM83" i="107" s="1"/>
  <c r="AN83" i="107" s="1"/>
  <c r="AP83" i="107" s="1"/>
  <c r="AJ75" i="107"/>
  <c r="AK75" i="107"/>
  <c r="AL75" i="107"/>
  <c r="AM75" i="107" s="1" a="1"/>
  <c r="AM75" i="107" s="1"/>
  <c r="AN75" i="107" s="1"/>
  <c r="AP75" i="107" s="1"/>
  <c r="AJ82" i="107"/>
  <c r="AK82" i="107"/>
  <c r="AL82" i="107"/>
  <c r="AM82" i="107" s="1" a="1"/>
  <c r="AM82" i="107" s="1"/>
  <c r="AN82" i="107" s="1"/>
  <c r="AP82" i="107" s="1"/>
  <c r="AJ78" i="107"/>
  <c r="AK78" i="107"/>
  <c r="AL78" i="107"/>
  <c r="AM78" i="107" s="1" a="1"/>
  <c r="AM78" i="107" s="1"/>
  <c r="AN78" i="107" s="1"/>
  <c r="AP78" i="107" s="1"/>
  <c r="AJ74" i="107"/>
  <c r="AK74" i="107"/>
  <c r="AL74" i="107"/>
  <c r="AM74" i="107" s="1" a="1"/>
  <c r="AM74" i="107" s="1"/>
  <c r="AN74" i="107" s="1"/>
  <c r="AP74" i="107" s="1"/>
  <c r="AJ77" i="107"/>
  <c r="AK77" i="107"/>
  <c r="AL77" i="107"/>
  <c r="AM77" i="107" s="1" a="1"/>
  <c r="AM77" i="107" s="1"/>
  <c r="AN77" i="107" s="1"/>
  <c r="AP77" i="107" s="1"/>
  <c r="AJ73" i="107"/>
  <c r="AK73" i="107"/>
  <c r="AL73" i="107"/>
  <c r="AM73" i="107" s="1" a="1"/>
  <c r="AM73" i="107" s="1"/>
  <c r="AN73" i="107" s="1"/>
  <c r="AP73" i="107" s="1"/>
  <c r="AK71" i="107"/>
  <c r="AL71" i="107" s="1"/>
  <c r="AM71" i="107" s="1" a="1"/>
  <c r="AM71" i="107" s="1"/>
  <c r="AN71" i="107" s="1"/>
  <c r="AP71" i="107" s="1"/>
  <c r="AP68" i="107" s="1"/>
  <c r="B90" i="107" s="1"/>
  <c r="AO85" i="107"/>
  <c r="AO71" i="107"/>
  <c r="AO89" i="107"/>
  <c r="AO72" i="107"/>
  <c r="AO79" i="107"/>
  <c r="AO78" i="107"/>
  <c r="AO93" i="107"/>
  <c r="AO94" i="107"/>
  <c r="AO86" i="107"/>
  <c r="AO80" i="107"/>
  <c r="AO73" i="107"/>
  <c r="AO81" i="107"/>
  <c r="AO91" i="107"/>
  <c r="AO74" i="107"/>
  <c r="AO82" i="107"/>
  <c r="AO75" i="107"/>
  <c r="AO76" i="107"/>
  <c r="AO84" i="107"/>
  <c r="AO77" i="107"/>
  <c r="AO92" i="107"/>
  <c r="AO90" i="107"/>
  <c r="BK294" i="75"/>
  <c r="BJ294" i="75"/>
  <c r="BI294" i="75"/>
  <c r="BH294" i="75"/>
  <c r="BG294" i="75"/>
  <c r="BF294" i="75"/>
  <c r="BE294" i="75"/>
  <c r="BD294" i="75"/>
  <c r="BC294" i="75"/>
  <c r="BB294" i="75"/>
  <c r="BA294" i="75"/>
  <c r="AZ294" i="75"/>
  <c r="AY294" i="75"/>
  <c r="AX294" i="75"/>
  <c r="AW294" i="75"/>
  <c r="AV294" i="75"/>
  <c r="AU294" i="75"/>
  <c r="AT294" i="75"/>
  <c r="AS294" i="75"/>
  <c r="AR294" i="75"/>
  <c r="AQ294" i="75"/>
  <c r="AP294" i="75"/>
  <c r="AO294" i="75"/>
  <c r="AN294" i="75"/>
  <c r="AM294" i="75"/>
  <c r="AL294" i="75"/>
  <c r="AK294" i="75"/>
  <c r="AJ294" i="75"/>
  <c r="AI294" i="75"/>
  <c r="AH294" i="75"/>
  <c r="AG294" i="75"/>
  <c r="AF294" i="75"/>
  <c r="AE294" i="75"/>
  <c r="AD294" i="75"/>
  <c r="AC294" i="75"/>
  <c r="AB294" i="75"/>
  <c r="AA294" i="75"/>
  <c r="Z294" i="75"/>
  <c r="Y294" i="75"/>
  <c r="X294" i="75"/>
  <c r="W294" i="75"/>
  <c r="V294" i="75"/>
  <c r="U294" i="75"/>
  <c r="T294" i="75"/>
  <c r="S294" i="75"/>
  <c r="R294" i="75"/>
  <c r="Q294" i="75"/>
  <c r="P294" i="75"/>
  <c r="O294" i="75"/>
  <c r="AI94" i="107"/>
  <c r="AH94" i="107"/>
  <c r="AG94" i="107"/>
  <c r="AF94" i="107"/>
  <c r="AE94" i="107"/>
  <c r="AD94" i="107"/>
  <c r="AC94" i="107"/>
  <c r="AB94" i="107"/>
  <c r="AA94" i="107"/>
  <c r="Z94" i="107"/>
  <c r="Y94" i="107"/>
  <c r="X94" i="107"/>
  <c r="W94" i="107"/>
  <c r="V94" i="107"/>
  <c r="U94" i="107"/>
  <c r="T94" i="107"/>
  <c r="S94" i="107"/>
  <c r="R94" i="107"/>
  <c r="Q94" i="107"/>
  <c r="P94" i="107"/>
  <c r="AI93" i="107"/>
  <c r="AH93" i="107"/>
  <c r="AG93" i="107"/>
  <c r="AF93" i="107"/>
  <c r="AE93" i="107"/>
  <c r="AD93" i="107"/>
  <c r="AC93" i="107"/>
  <c r="AB93" i="107"/>
  <c r="AA93" i="107"/>
  <c r="Z93" i="107"/>
  <c r="Y93" i="107"/>
  <c r="X93" i="107"/>
  <c r="W93" i="107"/>
  <c r="V93" i="107"/>
  <c r="U93" i="107"/>
  <c r="T93" i="107"/>
  <c r="S93" i="107"/>
  <c r="R93" i="107"/>
  <c r="Q93" i="107"/>
  <c r="P93" i="107"/>
  <c r="AI92" i="107"/>
  <c r="AH92" i="107"/>
  <c r="AG92" i="107"/>
  <c r="AF92" i="107"/>
  <c r="AE92" i="107"/>
  <c r="AD92" i="107"/>
  <c r="AC92" i="107"/>
  <c r="AB92" i="107"/>
  <c r="AA92" i="107"/>
  <c r="Z92" i="107"/>
  <c r="Y92" i="107"/>
  <c r="X92" i="107"/>
  <c r="W92" i="107"/>
  <c r="V92" i="107"/>
  <c r="U92" i="107"/>
  <c r="T92" i="107"/>
  <c r="S92" i="107"/>
  <c r="R92" i="107"/>
  <c r="Q92" i="107"/>
  <c r="P92" i="107"/>
  <c r="AI91" i="107"/>
  <c r="AH91" i="107"/>
  <c r="AG91" i="107"/>
  <c r="AF91" i="107"/>
  <c r="AE91" i="107"/>
  <c r="AD91" i="107"/>
  <c r="AC91" i="107"/>
  <c r="AB91" i="107"/>
  <c r="AA91" i="107"/>
  <c r="Z91" i="107"/>
  <c r="Y91" i="107"/>
  <c r="X91" i="107"/>
  <c r="W91" i="107"/>
  <c r="V91" i="107"/>
  <c r="U91" i="107"/>
  <c r="T91" i="107"/>
  <c r="S91" i="107"/>
  <c r="R91" i="107"/>
  <c r="Q91" i="107"/>
  <c r="P91" i="107"/>
  <c r="AI90" i="107"/>
  <c r="AH90" i="107"/>
  <c r="AG90" i="107"/>
  <c r="AF90" i="107"/>
  <c r="AE90" i="107"/>
  <c r="AD90" i="107"/>
  <c r="AC90" i="107"/>
  <c r="AB90" i="107"/>
  <c r="AA90" i="107"/>
  <c r="Z90" i="107"/>
  <c r="Y90" i="107"/>
  <c r="X90" i="107"/>
  <c r="W90" i="107"/>
  <c r="V90" i="107"/>
  <c r="U90" i="107"/>
  <c r="T90" i="107"/>
  <c r="S90" i="107"/>
  <c r="R90" i="107"/>
  <c r="Q90" i="107"/>
  <c r="P90" i="107"/>
  <c r="AI89" i="107"/>
  <c r="AH89" i="107"/>
  <c r="AG89" i="107"/>
  <c r="AF89" i="107"/>
  <c r="AE89" i="107"/>
  <c r="AD89" i="107"/>
  <c r="AC89" i="107"/>
  <c r="AB89" i="107"/>
  <c r="AA89" i="107"/>
  <c r="Z89" i="107"/>
  <c r="Y89" i="107"/>
  <c r="X89" i="107"/>
  <c r="W89" i="107"/>
  <c r="V89" i="107"/>
  <c r="U89" i="107"/>
  <c r="T89" i="107"/>
  <c r="S89" i="107"/>
  <c r="R89" i="107"/>
  <c r="Q89" i="107"/>
  <c r="P89" i="107"/>
  <c r="AI88" i="107"/>
  <c r="AH88" i="107"/>
  <c r="AG88" i="107"/>
  <c r="AF88" i="107"/>
  <c r="AE88" i="107"/>
  <c r="AD88" i="107"/>
  <c r="AC88" i="107"/>
  <c r="AB88" i="107"/>
  <c r="AA88" i="107"/>
  <c r="Z88" i="107"/>
  <c r="Y88" i="107"/>
  <c r="X88" i="107"/>
  <c r="W88" i="107"/>
  <c r="V88" i="107"/>
  <c r="U88" i="107"/>
  <c r="T88" i="107"/>
  <c r="S88" i="107"/>
  <c r="R88" i="107"/>
  <c r="Q88" i="107"/>
  <c r="P88" i="107"/>
  <c r="AI87" i="107"/>
  <c r="AH87" i="107"/>
  <c r="AG87" i="107"/>
  <c r="AF87" i="107"/>
  <c r="AE87" i="107"/>
  <c r="AD87" i="107"/>
  <c r="AC87" i="107"/>
  <c r="AB87" i="107"/>
  <c r="AA87" i="107"/>
  <c r="Z87" i="107"/>
  <c r="Y87" i="107"/>
  <c r="X87" i="107"/>
  <c r="W87" i="107"/>
  <c r="V87" i="107"/>
  <c r="U87" i="107"/>
  <c r="T87" i="107"/>
  <c r="S87" i="107"/>
  <c r="R87" i="107"/>
  <c r="Q87" i="107"/>
  <c r="P87" i="107"/>
  <c r="AI86" i="107"/>
  <c r="AH86" i="107"/>
  <c r="AG86" i="107"/>
  <c r="AF86" i="107"/>
  <c r="AE86" i="107"/>
  <c r="AD86" i="107"/>
  <c r="AC86" i="107"/>
  <c r="AB86" i="107"/>
  <c r="AA86" i="107"/>
  <c r="Z86" i="107"/>
  <c r="Y86" i="107"/>
  <c r="X86" i="107"/>
  <c r="W86" i="107"/>
  <c r="V86" i="107"/>
  <c r="U86" i="107"/>
  <c r="T86" i="107"/>
  <c r="S86" i="107"/>
  <c r="R86" i="107"/>
  <c r="Q86" i="107"/>
  <c r="P86" i="107"/>
  <c r="AI85" i="107"/>
  <c r="AH85" i="107"/>
  <c r="AG85" i="107"/>
  <c r="AF85" i="107"/>
  <c r="AE85" i="107"/>
  <c r="AD85" i="107"/>
  <c r="AC85" i="107"/>
  <c r="AB85" i="107"/>
  <c r="AA85" i="107"/>
  <c r="Z85" i="107"/>
  <c r="Y85" i="107"/>
  <c r="X85" i="107"/>
  <c r="W85" i="107"/>
  <c r="V85" i="107"/>
  <c r="U85" i="107"/>
  <c r="T85" i="107"/>
  <c r="S85" i="107"/>
  <c r="R85" i="107"/>
  <c r="Q85" i="107"/>
  <c r="P85" i="107"/>
  <c r="AI84" i="107"/>
  <c r="AH84" i="107"/>
  <c r="AG84" i="107"/>
  <c r="AF84" i="107"/>
  <c r="AE84" i="107"/>
  <c r="AD84" i="107"/>
  <c r="AC84" i="107"/>
  <c r="AB84" i="107"/>
  <c r="AA84" i="107"/>
  <c r="Z84" i="107"/>
  <c r="Y84" i="107"/>
  <c r="X84" i="107"/>
  <c r="W84" i="107"/>
  <c r="V84" i="107"/>
  <c r="U84" i="107"/>
  <c r="T84" i="107"/>
  <c r="S84" i="107"/>
  <c r="R84" i="107"/>
  <c r="Q84" i="107"/>
  <c r="P84" i="107"/>
  <c r="AI83" i="107"/>
  <c r="AH83" i="107"/>
  <c r="AG83" i="107"/>
  <c r="AF83" i="107"/>
  <c r="AE83" i="107"/>
  <c r="AD83" i="107"/>
  <c r="AC83" i="107"/>
  <c r="AB83" i="107"/>
  <c r="AA83" i="107"/>
  <c r="Z83" i="107"/>
  <c r="Y83" i="107"/>
  <c r="X83" i="107"/>
  <c r="W83" i="107"/>
  <c r="V83" i="107"/>
  <c r="U83" i="107"/>
  <c r="T83" i="107"/>
  <c r="S83" i="107"/>
  <c r="R83" i="107"/>
  <c r="Q83" i="107"/>
  <c r="P83" i="107"/>
  <c r="AI82" i="107"/>
  <c r="AH82" i="107"/>
  <c r="AG82" i="107"/>
  <c r="AF82" i="107"/>
  <c r="AE82" i="107"/>
  <c r="AD82" i="107"/>
  <c r="AC82" i="107"/>
  <c r="AB82" i="107"/>
  <c r="AA82" i="107"/>
  <c r="Z82" i="107"/>
  <c r="Y82" i="107"/>
  <c r="X82" i="107"/>
  <c r="W82" i="107"/>
  <c r="V82" i="107"/>
  <c r="U82" i="107"/>
  <c r="T82" i="107"/>
  <c r="S82" i="107"/>
  <c r="R82" i="107"/>
  <c r="Q82" i="107"/>
  <c r="P82" i="107"/>
  <c r="AI81" i="107"/>
  <c r="AH81" i="107"/>
  <c r="AG81" i="107"/>
  <c r="AF81" i="107"/>
  <c r="AE81" i="107"/>
  <c r="AD81" i="107"/>
  <c r="AC81" i="107"/>
  <c r="AB81" i="107"/>
  <c r="AA81" i="107"/>
  <c r="Z81" i="107"/>
  <c r="Y81" i="107"/>
  <c r="X81" i="107"/>
  <c r="W81" i="107"/>
  <c r="V81" i="107"/>
  <c r="U81" i="107"/>
  <c r="T81" i="107"/>
  <c r="S81" i="107"/>
  <c r="R81" i="107"/>
  <c r="Q81" i="107"/>
  <c r="P81" i="107"/>
  <c r="AI80" i="107"/>
  <c r="AH80" i="107"/>
  <c r="AG80" i="107"/>
  <c r="AF80" i="107"/>
  <c r="AE80" i="107"/>
  <c r="AD80" i="107"/>
  <c r="AC80" i="107"/>
  <c r="AB80" i="107"/>
  <c r="AA80" i="107"/>
  <c r="Z80" i="107"/>
  <c r="Y80" i="107"/>
  <c r="X80" i="107"/>
  <c r="W80" i="107"/>
  <c r="V80" i="107"/>
  <c r="U80" i="107"/>
  <c r="T80" i="107"/>
  <c r="S80" i="107"/>
  <c r="R80" i="107"/>
  <c r="Q80" i="107"/>
  <c r="P80" i="107"/>
  <c r="AI79" i="107"/>
  <c r="AH79" i="107"/>
  <c r="AG79" i="107"/>
  <c r="AF79" i="107"/>
  <c r="AE79" i="107"/>
  <c r="AD79" i="107"/>
  <c r="AC79" i="107"/>
  <c r="AB79" i="107"/>
  <c r="AA79" i="107"/>
  <c r="Z79" i="107"/>
  <c r="Y79" i="107"/>
  <c r="X79" i="107"/>
  <c r="W79" i="107"/>
  <c r="V79" i="107"/>
  <c r="U79" i="107"/>
  <c r="T79" i="107"/>
  <c r="S79" i="107"/>
  <c r="R79" i="107"/>
  <c r="Q79" i="107"/>
  <c r="P79" i="107"/>
  <c r="AI78" i="107"/>
  <c r="AH78" i="107"/>
  <c r="AG78" i="107"/>
  <c r="AF78" i="107"/>
  <c r="AE78" i="107"/>
  <c r="AD78" i="107"/>
  <c r="AC78" i="107"/>
  <c r="AB78" i="107"/>
  <c r="AA78" i="107"/>
  <c r="Z78" i="107"/>
  <c r="Y78" i="107"/>
  <c r="X78" i="107"/>
  <c r="W78" i="107"/>
  <c r="V78" i="107"/>
  <c r="U78" i="107"/>
  <c r="T78" i="107"/>
  <c r="S78" i="107"/>
  <c r="R78" i="107"/>
  <c r="Q78" i="107"/>
  <c r="P78" i="107"/>
  <c r="AI77" i="107"/>
  <c r="AH77" i="107"/>
  <c r="AG77" i="107"/>
  <c r="AF77" i="107"/>
  <c r="AE77" i="107"/>
  <c r="AD77" i="107"/>
  <c r="AC77" i="107"/>
  <c r="AB77" i="107"/>
  <c r="AA77" i="107"/>
  <c r="Z77" i="107"/>
  <c r="Y77" i="107"/>
  <c r="X77" i="107"/>
  <c r="W77" i="107"/>
  <c r="V77" i="107"/>
  <c r="U77" i="107"/>
  <c r="T77" i="107"/>
  <c r="S77" i="107"/>
  <c r="R77" i="107"/>
  <c r="Q77" i="107"/>
  <c r="P77" i="107"/>
  <c r="AI76" i="107"/>
  <c r="AH76" i="107"/>
  <c r="AG76" i="107"/>
  <c r="AF76" i="107"/>
  <c r="AE76" i="107"/>
  <c r="AD76" i="107"/>
  <c r="AC76" i="107"/>
  <c r="AB76" i="107"/>
  <c r="AA76" i="107"/>
  <c r="Z76" i="107"/>
  <c r="Y76" i="107"/>
  <c r="X76" i="107"/>
  <c r="W76" i="107"/>
  <c r="V76" i="107"/>
  <c r="U76" i="107"/>
  <c r="T76" i="107"/>
  <c r="S76" i="107"/>
  <c r="R76" i="107"/>
  <c r="Q76" i="107"/>
  <c r="P76" i="107"/>
  <c r="AI75" i="107"/>
  <c r="AH75" i="107"/>
  <c r="AG75" i="107"/>
  <c r="AF75" i="107"/>
  <c r="AE75" i="107"/>
  <c r="AD75" i="107"/>
  <c r="AC75" i="107"/>
  <c r="AB75" i="107"/>
  <c r="AA75" i="107"/>
  <c r="Z75" i="107"/>
  <c r="Y75" i="107"/>
  <c r="X75" i="107"/>
  <c r="W75" i="107"/>
  <c r="V75" i="107"/>
  <c r="U75" i="107"/>
  <c r="T75" i="107"/>
  <c r="S75" i="107"/>
  <c r="R75" i="107"/>
  <c r="Q75" i="107"/>
  <c r="P75" i="107"/>
  <c r="AI74" i="107"/>
  <c r="AH74" i="107"/>
  <c r="AG74" i="107"/>
  <c r="AF74" i="107"/>
  <c r="AE74" i="107"/>
  <c r="AD74" i="107"/>
  <c r="AC74" i="107"/>
  <c r="AB74" i="107"/>
  <c r="AA74" i="107"/>
  <c r="Z74" i="107"/>
  <c r="Y74" i="107"/>
  <c r="X74" i="107"/>
  <c r="W74" i="107"/>
  <c r="V74" i="107"/>
  <c r="U74" i="107"/>
  <c r="T74" i="107"/>
  <c r="S74" i="107"/>
  <c r="R74" i="107"/>
  <c r="Q74" i="107"/>
  <c r="P74" i="107"/>
  <c r="AI73" i="107"/>
  <c r="AH73" i="107"/>
  <c r="AG73" i="107"/>
  <c r="AF73" i="107"/>
  <c r="AE73" i="107"/>
  <c r="AD73" i="107"/>
  <c r="AC73" i="107"/>
  <c r="AB73" i="107"/>
  <c r="AA73" i="107"/>
  <c r="Z73" i="107"/>
  <c r="Y73" i="107"/>
  <c r="X73" i="107"/>
  <c r="W73" i="107"/>
  <c r="V73" i="107"/>
  <c r="U73" i="107"/>
  <c r="T73" i="107"/>
  <c r="S73" i="107"/>
  <c r="R73" i="107"/>
  <c r="Q73" i="107"/>
  <c r="P73" i="107"/>
  <c r="AI72" i="107"/>
  <c r="AH72" i="107"/>
  <c r="AG72" i="107"/>
  <c r="AF72" i="107"/>
  <c r="AE72" i="107"/>
  <c r="AD72" i="107"/>
  <c r="AC72" i="107"/>
  <c r="AB72" i="107"/>
  <c r="AA72" i="107"/>
  <c r="Z72" i="107"/>
  <c r="Y72" i="107"/>
  <c r="X72" i="107"/>
  <c r="W72" i="107"/>
  <c r="V72" i="107"/>
  <c r="U72" i="107"/>
  <c r="T72" i="107"/>
  <c r="S72" i="107"/>
  <c r="R72" i="107"/>
  <c r="Q72" i="107"/>
  <c r="P72" i="107"/>
  <c r="AI71" i="107"/>
  <c r="AH71" i="107"/>
  <c r="AG71" i="107"/>
  <c r="AF71" i="107"/>
  <c r="AE71" i="107"/>
  <c r="AD71" i="107"/>
  <c r="AC71" i="107"/>
  <c r="AB71" i="107"/>
  <c r="AA71" i="107"/>
  <c r="Z71" i="107"/>
  <c r="Y71" i="107"/>
  <c r="X71" i="107"/>
  <c r="W71" i="107"/>
  <c r="V71" i="107"/>
  <c r="U71" i="107"/>
  <c r="T71" i="107"/>
  <c r="S71" i="107"/>
  <c r="R71" i="107"/>
  <c r="Q71" i="107"/>
  <c r="AR41" i="107"/>
  <c r="AQ41" i="107"/>
  <c r="AP41" i="107"/>
  <c r="AO41" i="107"/>
  <c r="AN41" i="107"/>
  <c r="AM41" i="107"/>
  <c r="AL41" i="107"/>
  <c r="AK41" i="107"/>
  <c r="AJ41" i="107"/>
  <c r="AI41" i="107"/>
  <c r="AH41" i="107"/>
  <c r="AG41" i="107"/>
  <c r="AF41" i="107"/>
  <c r="AE41" i="107"/>
  <c r="AD41" i="107"/>
  <c r="AC41" i="107"/>
  <c r="AB41" i="107"/>
  <c r="AA41" i="107"/>
  <c r="Z41" i="107"/>
  <c r="Y41" i="107"/>
  <c r="X41" i="107"/>
  <c r="W41" i="107"/>
  <c r="V41" i="107"/>
  <c r="AI94" i="102"/>
  <c r="AH94" i="102"/>
  <c r="AG94" i="102"/>
  <c r="AF94" i="102"/>
  <c r="AE94" i="102"/>
  <c r="AD94" i="102"/>
  <c r="AC94" i="102"/>
  <c r="AB94" i="102"/>
  <c r="AA94" i="102"/>
  <c r="Z94" i="102"/>
  <c r="Y94" i="102"/>
  <c r="X94" i="102"/>
  <c r="W94" i="102"/>
  <c r="V94" i="102"/>
  <c r="U94" i="102"/>
  <c r="T94" i="102"/>
  <c r="S94" i="102"/>
  <c r="R94" i="102"/>
  <c r="Q94" i="102"/>
  <c r="P94" i="102"/>
  <c r="AI93" i="102"/>
  <c r="AH93" i="102"/>
  <c r="AG93" i="102"/>
  <c r="AF93" i="102"/>
  <c r="AE93" i="102"/>
  <c r="AD93" i="102"/>
  <c r="AC93" i="102"/>
  <c r="AB93" i="102"/>
  <c r="AA93" i="102"/>
  <c r="Z93" i="102"/>
  <c r="Y93" i="102"/>
  <c r="X93" i="102"/>
  <c r="W93" i="102"/>
  <c r="V93" i="102"/>
  <c r="U93" i="102"/>
  <c r="T93" i="102"/>
  <c r="S93" i="102"/>
  <c r="R93" i="102"/>
  <c r="Q93" i="102"/>
  <c r="P93" i="102"/>
  <c r="AI92" i="102"/>
  <c r="AH92" i="102"/>
  <c r="AG92" i="102"/>
  <c r="AF92" i="102"/>
  <c r="AE92" i="102"/>
  <c r="AD92" i="102"/>
  <c r="AC92" i="102"/>
  <c r="AB92" i="102"/>
  <c r="AA92" i="102"/>
  <c r="Z92" i="102"/>
  <c r="Y92" i="102"/>
  <c r="X92" i="102"/>
  <c r="W92" i="102"/>
  <c r="V92" i="102"/>
  <c r="U92" i="102"/>
  <c r="T92" i="102"/>
  <c r="S92" i="102"/>
  <c r="R92" i="102"/>
  <c r="Q92" i="102"/>
  <c r="P92" i="102"/>
  <c r="AI91" i="102"/>
  <c r="AH91" i="102"/>
  <c r="AG91" i="102"/>
  <c r="AF91" i="102"/>
  <c r="AE91" i="102"/>
  <c r="AD91" i="102"/>
  <c r="AC91" i="102"/>
  <c r="AB91" i="102"/>
  <c r="AA91" i="102"/>
  <c r="Z91" i="102"/>
  <c r="Y91" i="102"/>
  <c r="X91" i="102"/>
  <c r="W91" i="102"/>
  <c r="V91" i="102"/>
  <c r="U91" i="102"/>
  <c r="T91" i="102"/>
  <c r="S91" i="102"/>
  <c r="R91" i="102"/>
  <c r="Q91" i="102"/>
  <c r="P91" i="102"/>
  <c r="AI90" i="102"/>
  <c r="AH90" i="102"/>
  <c r="AG90" i="102"/>
  <c r="AF90" i="102"/>
  <c r="AE90" i="102"/>
  <c r="AD90" i="102"/>
  <c r="AC90" i="102"/>
  <c r="AB90" i="102"/>
  <c r="AA90" i="102"/>
  <c r="Z90" i="102"/>
  <c r="Y90" i="102"/>
  <c r="X90" i="102"/>
  <c r="W90" i="102"/>
  <c r="V90" i="102"/>
  <c r="U90" i="102"/>
  <c r="T90" i="102"/>
  <c r="S90" i="102"/>
  <c r="R90" i="102"/>
  <c r="Q90" i="102"/>
  <c r="P90" i="102"/>
  <c r="AI89" i="102"/>
  <c r="AH89" i="102"/>
  <c r="AG89" i="102"/>
  <c r="AF89" i="102"/>
  <c r="AE89" i="102"/>
  <c r="AD89" i="102"/>
  <c r="AC89" i="102"/>
  <c r="AB89" i="102"/>
  <c r="AA89" i="102"/>
  <c r="Z89" i="102"/>
  <c r="Y89" i="102"/>
  <c r="X89" i="102"/>
  <c r="W89" i="102"/>
  <c r="V89" i="102"/>
  <c r="U89" i="102"/>
  <c r="T89" i="102"/>
  <c r="S89" i="102"/>
  <c r="R89" i="102"/>
  <c r="Q89" i="102"/>
  <c r="P89" i="102"/>
  <c r="AI88" i="102"/>
  <c r="AH88" i="102"/>
  <c r="AG88" i="102"/>
  <c r="AF88" i="102"/>
  <c r="AE88" i="102"/>
  <c r="AD88" i="102"/>
  <c r="AC88" i="102"/>
  <c r="AB88" i="102"/>
  <c r="AA88" i="102"/>
  <c r="Z88" i="102"/>
  <c r="Y88" i="102"/>
  <c r="X88" i="102"/>
  <c r="W88" i="102"/>
  <c r="V88" i="102"/>
  <c r="U88" i="102"/>
  <c r="T88" i="102"/>
  <c r="S88" i="102"/>
  <c r="R88" i="102"/>
  <c r="Q88" i="102"/>
  <c r="P88" i="102"/>
  <c r="AI87" i="102"/>
  <c r="AH87" i="102"/>
  <c r="AG87" i="102"/>
  <c r="AF87" i="102"/>
  <c r="AE87" i="102"/>
  <c r="AD87" i="102"/>
  <c r="AC87" i="102"/>
  <c r="AB87" i="102"/>
  <c r="AA87" i="102"/>
  <c r="Z87" i="102"/>
  <c r="Y87" i="102"/>
  <c r="X87" i="102"/>
  <c r="W87" i="102"/>
  <c r="V87" i="102"/>
  <c r="U87" i="102"/>
  <c r="T87" i="102"/>
  <c r="S87" i="102"/>
  <c r="R87" i="102"/>
  <c r="Q87" i="102"/>
  <c r="P87" i="102"/>
  <c r="AI86" i="102"/>
  <c r="AH86" i="102"/>
  <c r="AG86" i="102"/>
  <c r="AF86" i="102"/>
  <c r="AE86" i="102"/>
  <c r="AD86" i="102"/>
  <c r="AC86" i="102"/>
  <c r="AB86" i="102"/>
  <c r="AA86" i="102"/>
  <c r="Z86" i="102"/>
  <c r="Y86" i="102"/>
  <c r="X86" i="102"/>
  <c r="W86" i="102"/>
  <c r="V86" i="102"/>
  <c r="U86" i="102"/>
  <c r="T86" i="102"/>
  <c r="S86" i="102"/>
  <c r="R86" i="102"/>
  <c r="Q86" i="102"/>
  <c r="P86" i="102"/>
  <c r="AI85" i="102"/>
  <c r="AH85" i="102"/>
  <c r="AG85" i="102"/>
  <c r="AF85" i="102"/>
  <c r="AE85" i="102"/>
  <c r="AD85" i="102"/>
  <c r="AC85" i="102"/>
  <c r="AB85" i="102"/>
  <c r="AA85" i="102"/>
  <c r="Z85" i="102"/>
  <c r="Y85" i="102"/>
  <c r="X85" i="102"/>
  <c r="W85" i="102"/>
  <c r="V85" i="102"/>
  <c r="U85" i="102"/>
  <c r="T85" i="102"/>
  <c r="S85" i="102"/>
  <c r="R85" i="102"/>
  <c r="Q85" i="102"/>
  <c r="P85" i="102"/>
  <c r="AI84" i="102"/>
  <c r="AH84" i="102"/>
  <c r="AG84" i="102"/>
  <c r="AF84" i="102"/>
  <c r="AE84" i="102"/>
  <c r="AD84" i="102"/>
  <c r="AC84" i="102"/>
  <c r="AB84" i="102"/>
  <c r="AA84" i="102"/>
  <c r="Z84" i="102"/>
  <c r="Y84" i="102"/>
  <c r="X84" i="102"/>
  <c r="W84" i="102"/>
  <c r="V84" i="102"/>
  <c r="U84" i="102"/>
  <c r="T84" i="102"/>
  <c r="S84" i="102"/>
  <c r="R84" i="102"/>
  <c r="Q84" i="102"/>
  <c r="P84" i="102"/>
  <c r="AI83" i="102"/>
  <c r="AH83" i="102"/>
  <c r="AG83" i="102"/>
  <c r="AF83" i="102"/>
  <c r="AE83" i="102"/>
  <c r="AD83" i="102"/>
  <c r="AC83" i="102"/>
  <c r="AB83" i="102"/>
  <c r="AA83" i="102"/>
  <c r="Z83" i="102"/>
  <c r="Y83" i="102"/>
  <c r="X83" i="102"/>
  <c r="W83" i="102"/>
  <c r="V83" i="102"/>
  <c r="U83" i="102"/>
  <c r="T83" i="102"/>
  <c r="S83" i="102"/>
  <c r="R83" i="102"/>
  <c r="Q83" i="102"/>
  <c r="P83" i="102"/>
  <c r="AI82" i="102"/>
  <c r="AH82" i="102"/>
  <c r="AG82" i="102"/>
  <c r="AF82" i="102"/>
  <c r="AE82" i="102"/>
  <c r="AD82" i="102"/>
  <c r="AC82" i="102"/>
  <c r="AB82" i="102"/>
  <c r="AA82" i="102"/>
  <c r="Z82" i="102"/>
  <c r="Y82" i="102"/>
  <c r="X82" i="102"/>
  <c r="W82" i="102"/>
  <c r="V82" i="102"/>
  <c r="U82" i="102"/>
  <c r="T82" i="102"/>
  <c r="S82" i="102"/>
  <c r="R82" i="102"/>
  <c r="Q82" i="102"/>
  <c r="P82" i="102"/>
  <c r="AI81" i="102"/>
  <c r="AH81" i="102"/>
  <c r="AG81" i="102"/>
  <c r="AF81" i="102"/>
  <c r="AE81" i="102"/>
  <c r="AD81" i="102"/>
  <c r="AC81" i="102"/>
  <c r="AB81" i="102"/>
  <c r="AA81" i="102"/>
  <c r="Z81" i="102"/>
  <c r="Y81" i="102"/>
  <c r="X81" i="102"/>
  <c r="W81" i="102"/>
  <c r="V81" i="102"/>
  <c r="U81" i="102"/>
  <c r="T81" i="102"/>
  <c r="S81" i="102"/>
  <c r="R81" i="102"/>
  <c r="Q81" i="102"/>
  <c r="P81" i="102"/>
  <c r="AI80" i="102"/>
  <c r="AH80" i="102"/>
  <c r="AG80" i="102"/>
  <c r="AF80" i="102"/>
  <c r="AE80" i="102"/>
  <c r="AD80" i="102"/>
  <c r="AC80" i="102"/>
  <c r="AB80" i="102"/>
  <c r="AA80" i="102"/>
  <c r="Z80" i="102"/>
  <c r="Y80" i="102"/>
  <c r="X80" i="102"/>
  <c r="W80" i="102"/>
  <c r="V80" i="102"/>
  <c r="U80" i="102"/>
  <c r="T80" i="102"/>
  <c r="S80" i="102"/>
  <c r="R80" i="102"/>
  <c r="Q80" i="102"/>
  <c r="P80" i="102"/>
  <c r="AI79" i="102"/>
  <c r="AH79" i="102"/>
  <c r="AG79" i="102"/>
  <c r="AF79" i="102"/>
  <c r="AE79" i="102"/>
  <c r="AD79" i="102"/>
  <c r="AC79" i="102"/>
  <c r="AB79" i="102"/>
  <c r="AA79" i="102"/>
  <c r="Z79" i="102"/>
  <c r="Y79" i="102"/>
  <c r="X79" i="102"/>
  <c r="W79" i="102"/>
  <c r="V79" i="102"/>
  <c r="U79" i="102"/>
  <c r="T79" i="102"/>
  <c r="S79" i="102"/>
  <c r="R79" i="102"/>
  <c r="Q79" i="102"/>
  <c r="P79" i="102"/>
  <c r="AI78" i="102"/>
  <c r="AH78" i="102"/>
  <c r="AG78" i="102"/>
  <c r="AF78" i="102"/>
  <c r="AE78" i="102"/>
  <c r="AD78" i="102"/>
  <c r="AC78" i="102"/>
  <c r="AB78" i="102"/>
  <c r="AA78" i="102"/>
  <c r="Z78" i="102"/>
  <c r="Y78" i="102"/>
  <c r="X78" i="102"/>
  <c r="W78" i="102"/>
  <c r="V78" i="102"/>
  <c r="U78" i="102"/>
  <c r="T78" i="102"/>
  <c r="S78" i="102"/>
  <c r="R78" i="102"/>
  <c r="Q78" i="102"/>
  <c r="P78" i="102"/>
  <c r="AI77" i="102"/>
  <c r="AH77" i="102"/>
  <c r="AG77" i="102"/>
  <c r="AF77" i="102"/>
  <c r="AE77" i="102"/>
  <c r="AD77" i="102"/>
  <c r="AC77" i="102"/>
  <c r="AB77" i="102"/>
  <c r="AA77" i="102"/>
  <c r="Z77" i="102"/>
  <c r="Y77" i="102"/>
  <c r="X77" i="102"/>
  <c r="W77" i="102"/>
  <c r="V77" i="102"/>
  <c r="U77" i="102"/>
  <c r="T77" i="102"/>
  <c r="S77" i="102"/>
  <c r="R77" i="102"/>
  <c r="Q77" i="102"/>
  <c r="P77" i="102"/>
  <c r="AI76" i="102"/>
  <c r="AH76" i="102"/>
  <c r="AG76" i="102"/>
  <c r="AF76" i="102"/>
  <c r="AE76" i="102"/>
  <c r="AD76" i="102"/>
  <c r="AC76" i="102"/>
  <c r="AB76" i="102"/>
  <c r="AA76" i="102"/>
  <c r="Z76" i="102"/>
  <c r="Y76" i="102"/>
  <c r="X76" i="102"/>
  <c r="W76" i="102"/>
  <c r="V76" i="102"/>
  <c r="U76" i="102"/>
  <c r="T76" i="102"/>
  <c r="S76" i="102"/>
  <c r="R76" i="102"/>
  <c r="Q76" i="102"/>
  <c r="P76" i="102"/>
  <c r="AI75" i="102"/>
  <c r="AH75" i="102"/>
  <c r="AG75" i="102"/>
  <c r="AF75" i="102"/>
  <c r="AE75" i="102"/>
  <c r="AD75" i="102"/>
  <c r="AC75" i="102"/>
  <c r="AB75" i="102"/>
  <c r="AA75" i="102"/>
  <c r="Z75" i="102"/>
  <c r="Y75" i="102"/>
  <c r="X75" i="102"/>
  <c r="W75" i="102"/>
  <c r="V75" i="102"/>
  <c r="U75" i="102"/>
  <c r="T75" i="102"/>
  <c r="S75" i="102"/>
  <c r="R75" i="102"/>
  <c r="Q75" i="102"/>
  <c r="P75" i="102"/>
  <c r="AI74" i="102"/>
  <c r="AH74" i="102"/>
  <c r="AG74" i="102"/>
  <c r="AF74" i="102"/>
  <c r="AE74" i="102"/>
  <c r="AD74" i="102"/>
  <c r="AC74" i="102"/>
  <c r="AB74" i="102"/>
  <c r="AA74" i="102"/>
  <c r="Z74" i="102"/>
  <c r="Y74" i="102"/>
  <c r="X74" i="102"/>
  <c r="W74" i="102"/>
  <c r="V74" i="102"/>
  <c r="U74" i="102"/>
  <c r="T74" i="102"/>
  <c r="S74" i="102"/>
  <c r="R74" i="102"/>
  <c r="Q74" i="102"/>
  <c r="P74" i="102"/>
  <c r="AI73" i="102"/>
  <c r="AH73" i="102"/>
  <c r="AG73" i="102"/>
  <c r="AF73" i="102"/>
  <c r="AE73" i="102"/>
  <c r="AD73" i="102"/>
  <c r="AC73" i="102"/>
  <c r="AB73" i="102"/>
  <c r="AA73" i="102"/>
  <c r="Z73" i="102"/>
  <c r="Y73" i="102"/>
  <c r="X73" i="102"/>
  <c r="W73" i="102"/>
  <c r="V73" i="102"/>
  <c r="U73" i="102"/>
  <c r="T73" i="102"/>
  <c r="S73" i="102"/>
  <c r="R73" i="102"/>
  <c r="Q73" i="102"/>
  <c r="P73" i="102"/>
  <c r="AI72" i="102"/>
  <c r="AH72" i="102"/>
  <c r="AG72" i="102"/>
  <c r="AF72" i="102"/>
  <c r="AE72" i="102"/>
  <c r="AD72" i="102"/>
  <c r="AC72" i="102"/>
  <c r="AB72" i="102"/>
  <c r="AA72" i="102"/>
  <c r="Z72" i="102"/>
  <c r="Y72" i="102"/>
  <c r="X72" i="102"/>
  <c r="W72" i="102"/>
  <c r="V72" i="102"/>
  <c r="U72" i="102"/>
  <c r="T72" i="102"/>
  <c r="S72" i="102"/>
  <c r="R72" i="102"/>
  <c r="Q72" i="102"/>
  <c r="P72" i="102"/>
  <c r="AI71" i="102"/>
  <c r="AH71" i="102"/>
  <c r="AG71" i="102"/>
  <c r="AF71" i="102"/>
  <c r="AE71" i="102"/>
  <c r="AD71" i="102"/>
  <c r="AC71" i="102"/>
  <c r="AB71" i="102"/>
  <c r="AA71" i="102"/>
  <c r="Z71" i="102"/>
  <c r="Y71" i="102"/>
  <c r="X71" i="102"/>
  <c r="W71" i="102"/>
  <c r="V71" i="102"/>
  <c r="U71" i="102"/>
  <c r="T71" i="102"/>
  <c r="S71" i="102"/>
  <c r="R71" i="102"/>
  <c r="Q71" i="102"/>
  <c r="AR41" i="102"/>
  <c r="AQ41" i="102"/>
  <c r="AP41" i="102"/>
  <c r="AO41" i="102"/>
  <c r="AN41" i="102"/>
  <c r="AM41" i="102"/>
  <c r="AL41" i="102"/>
  <c r="AK41" i="102"/>
  <c r="AJ41" i="102"/>
  <c r="AI41" i="102"/>
  <c r="AH41" i="102"/>
  <c r="AG41" i="102"/>
  <c r="AF41" i="102"/>
  <c r="AE41" i="102"/>
  <c r="AD41" i="102"/>
  <c r="AC41" i="102"/>
  <c r="AB41" i="102"/>
  <c r="AA41" i="102"/>
  <c r="Z41" i="102"/>
  <c r="Y41" i="102"/>
  <c r="X41" i="102"/>
  <c r="W41" i="102"/>
  <c r="V41"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jamie</author>
    <author>tc={E23D0287-E154-4701-8D97-0F93B7D5E9F5}</author>
  </authors>
  <commentList>
    <comment ref="P32" authorId="0" shapeId="0" xr:uid="{54D70F61-650C-43CA-81E5-33DAFC234CDF}">
      <text>
        <r>
          <rPr>
            <b/>
            <sz val="9"/>
            <color indexed="81"/>
            <rFont val="Tahoma"/>
            <family val="2"/>
          </rPr>
          <t>jamie:</t>
        </r>
        <r>
          <rPr>
            <sz val="9"/>
            <color indexed="81"/>
            <rFont val="Tahoma"/>
            <family val="2"/>
          </rPr>
          <t xml:space="preserve">
Negeer de "R" voor de startpunt</t>
        </r>
      </text>
    </comment>
    <comment ref="AI43" authorId="1" shapeId="0" xr:uid="{E23D0287-E154-4701-8D97-0F93B7D5E9F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round it to 10 numbers after 0 otherwise the sort won't work correctly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jamie</author>
  </authors>
  <commentList>
    <comment ref="N2" authorId="0" shapeId="0" xr:uid="{1C7C3CDA-D6EC-407D-B1F4-DB4492D4AC27}">
      <text>
        <r>
          <rPr>
            <b/>
            <sz val="9"/>
            <color indexed="81"/>
            <rFont val="Tahoma"/>
            <charset val="1"/>
          </rPr>
          <t>jamie:</t>
        </r>
        <r>
          <rPr>
            <sz val="9"/>
            <color indexed="81"/>
            <rFont val="Tahoma"/>
            <charset val="1"/>
          </rPr>
          <t xml:space="preserve">
Ik werk liever met afkorting ipv volledige shipname, het bespaart ruimte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jamie</author>
  </authors>
  <commentList>
    <comment ref="P20" authorId="0" shapeId="0" xr:uid="{CAF95FF1-447E-4692-8917-54F5D36D608C}">
      <text>
        <r>
          <rPr>
            <b/>
            <sz val="9"/>
            <color indexed="81"/>
            <rFont val="Tahoma"/>
            <charset val="1"/>
          </rPr>
          <t>jamie:</t>
        </r>
        <r>
          <rPr>
            <sz val="9"/>
            <color indexed="81"/>
            <rFont val="Tahoma"/>
            <charset val="1"/>
          </rPr>
          <t xml:space="preserve">
Strikvraag, want er is niets op coord. I14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jamie</author>
    <author>tc={3A7BC294-833B-4C55-9518-0DDA56A2B697}</author>
  </authors>
  <commentList>
    <comment ref="P32" authorId="0" shapeId="0" xr:uid="{21E80A8D-4C1D-48B5-A507-1A54099DDF9B}">
      <text>
        <r>
          <rPr>
            <b/>
            <sz val="9"/>
            <color indexed="81"/>
            <rFont val="Tahoma"/>
            <family val="2"/>
          </rPr>
          <t>jamie:</t>
        </r>
        <r>
          <rPr>
            <sz val="9"/>
            <color indexed="81"/>
            <rFont val="Tahoma"/>
            <family val="2"/>
          </rPr>
          <t xml:space="preserve">
Negeer de "R" voor de startpunt</t>
        </r>
      </text>
    </comment>
    <comment ref="AI43" authorId="1" shapeId="0" xr:uid="{3A7BC294-833B-4C55-9518-0DDA56A2B69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round it to 10 numbers after 0 otherwise the sort won't work correctly</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<sst xmlns="http://schemas.openxmlformats.org/spreadsheetml/2006/main" count="3500" uniqueCount="335">
  <si>
    <t>Microsoft Excel World Championship 2023</t>
  </si>
  <si>
    <t>Eve Online</t>
  </si>
  <si>
    <t>Case Author</t>
  </si>
  <si>
    <t>Niels Terfehr</t>
  </si>
  <si>
    <t>Instructions</t>
  </si>
  <si>
    <r>
      <rPr>
        <b/>
        <sz val="12"/>
        <color theme="1"/>
        <rFont val="Calibri"/>
        <family val="2"/>
        <scheme val="minor"/>
      </rPr>
      <t xml:space="preserve">EVE Online
</t>
    </r>
    <r>
      <rPr>
        <sz val="12"/>
        <color theme="1"/>
        <rFont val="Calibri"/>
        <family val="2"/>
        <scheme val="minor"/>
      </rPr>
      <t xml:space="preserve">EVE Online is a community-driven spaceship game where players are free to choose their own path from countless options. Experience space exploration, immense battles and a thriving player-run economy in an ever-expanding sandbox. Participate in many in-game professions and activities, including war, politics, piracy, trading, and exploration, across 7,000 star systems with hundreds of thousands of other players. EVE is the first game ever to receive its own official Microsoft Excel Add-in.
</t>
    </r>
    <r>
      <rPr>
        <b/>
        <sz val="12"/>
        <color theme="1"/>
        <rFont val="Calibri"/>
        <family val="2"/>
        <scheme val="minor"/>
      </rPr>
      <t xml:space="preserve">Minerals and Ships
</t>
    </r>
    <r>
      <rPr>
        <sz val="12"/>
        <color theme="1"/>
        <rFont val="Calibri"/>
        <family val="2"/>
        <scheme val="minor"/>
      </rPr>
      <t xml:space="preserve">EVE Online players can mine or purchase various minerals that could later be used to manufacture ships. In this case study we will be using 5 spaceship types and 7 minerals. Different amounts of minerals are required to produce spaceships - the mode advanced the spaceship is, the more minerals will you require.
Another important aspect to consider is a developed economy inside the EVE Online game. The currency of the game is ISK (the Inter-Stellar Kredits). Mineral prices fluctuate on a daily basis. On the "Add-In Output" tab you will be able to find daily market prices for the minerals over the last 6 months.
</t>
    </r>
    <r>
      <rPr>
        <b/>
        <sz val="12"/>
        <color theme="1"/>
        <rFont val="Calibri"/>
        <family val="2"/>
        <scheme val="minor"/>
      </rPr>
      <t xml:space="preserve">Mining and Asteroids (Levels 4-7)
</t>
    </r>
    <r>
      <rPr>
        <sz val="12"/>
        <color theme="1"/>
        <rFont val="Calibri"/>
        <family val="2"/>
        <scheme val="minor"/>
      </rPr>
      <t xml:space="preserve">- This case study deals with 4 different types of asteroids (see their key data in the table below). These asteroids can be mined to obtain minerals.
- However, you need to retrieve ore that contains minerals and transport it with a barge to a processing site where the minerals can be extracted.
- The main challenge here is that ore is voluminous, while the amount of minerals it contains is small (think of analogy with extracting gold or diamonds - lot's of ore processed, very little diamonds extracted).
- Your Retriever mining barge has an ore hold of 27500 m³
- Each asteroid in the field holds X times 1000 units of ore, where X represents the number in the cell - e.g. Veldspar asteroid in cell C6 holds a total of 6,000 units of ore.
- The mining waste mechanic reduces the ore mined by 25% without skills. However, as a player's mining skills grow, this waste is possible to reduce. Each level of the mining skills reduces waste by 5% points. A player with the mining skill at level 5 incurs no waste. Note that mining skills of a player are different for each asteroid type.
</t>
    </r>
    <r>
      <rPr>
        <b/>
        <sz val="12"/>
        <color theme="1"/>
        <rFont val="Calibri"/>
        <family val="2"/>
        <scheme val="minor"/>
      </rPr>
      <t>NB!</t>
    </r>
    <r>
      <rPr>
        <sz val="12"/>
        <color theme="1"/>
        <rFont val="Calibri"/>
        <family val="2"/>
        <scheme val="minor"/>
      </rPr>
      <t xml:space="preserve"> Solving through levels one-by-one might be a good strategy as you will be gradually learning game concepts. Another strategy might be jumping directly to Level 4 and start with solving questions that relate to mining.</t>
    </r>
  </si>
  <si>
    <t>Main Spaceship Types</t>
  </si>
  <si>
    <t>Minerals Required to Produce (in Units)</t>
  </si>
  <si>
    <t>Ship</t>
  </si>
  <si>
    <t>Type</t>
  </si>
  <si>
    <t>Tritanium</t>
  </si>
  <si>
    <t>Pyerite</t>
  </si>
  <si>
    <t>Mexallon</t>
  </si>
  <si>
    <t>Isogen</t>
  </si>
  <si>
    <t>Nocxium</t>
  </si>
  <si>
    <t>Zydrine</t>
  </si>
  <si>
    <t>Megacyte</t>
  </si>
  <si>
    <t>Griffin</t>
  </si>
  <si>
    <t>Frigate</t>
  </si>
  <si>
    <t>Thrasher</t>
  </si>
  <si>
    <t>Destroyer</t>
  </si>
  <si>
    <t>Stabber</t>
  </si>
  <si>
    <t>Cruiser</t>
  </si>
  <si>
    <t>Drake</t>
  </si>
  <si>
    <t>Battlecruiser</t>
  </si>
  <si>
    <t>Megathron</t>
  </si>
  <si>
    <t>Battleship</t>
  </si>
  <si>
    <t>Main Asteroid Types</t>
  </si>
  <si>
    <t>Ore Unit Volume</t>
  </si>
  <si>
    <t>Minerals contained in 1 unit of Asteroid Ore</t>
  </si>
  <si>
    <t>Asteroid</t>
  </si>
  <si>
    <t>m3</t>
  </si>
  <si>
    <t>Veldspar</t>
  </si>
  <si>
    <t>Scordite</t>
  </si>
  <si>
    <t>Omber</t>
  </si>
  <si>
    <t>Kernite</t>
  </si>
  <si>
    <r>
      <t xml:space="preserve">Note: </t>
    </r>
    <r>
      <rPr>
        <sz val="11"/>
        <color theme="1"/>
        <rFont val="Roboto"/>
      </rPr>
      <t>the table above means that 400 units of Tritanium are contained in 0.1 cubic meter of Veldspar asteroid ore.</t>
    </r>
    <r>
      <rPr>
        <b/>
        <sz val="11"/>
        <color theme="1"/>
        <rFont val="Roboto"/>
      </rPr>
      <t xml:space="preserve"> </t>
    </r>
    <r>
      <rPr>
        <sz val="11"/>
        <color theme="1"/>
        <rFont val="Roboto"/>
      </rPr>
      <t>This also means that 1 cubic meter of Veldspar's ore will contain 4,000 units of Tritanium.</t>
    </r>
  </si>
  <si>
    <t>This also means that the Veldspar asteroid that is located in cell C6 on the Asteroid Field map (size 6) has 6,000 cubic meters of ore and, therefore, 24,000,000 units of Tritanium.</t>
  </si>
  <si>
    <t>Jamie: ignore the note above, it's wrong according to Diarmuid Early and the FMWC Team, see email to FMWV team 25/12/2023</t>
  </si>
  <si>
    <t>Bonus Questions</t>
  </si>
  <si>
    <t>To make the game more exciting, we have created 5 bonus questions for you. These questions can be answered at any time during the game. The points for the bonus questions will be only available to the first 5, 4, 3, 2 and 1 player respectively. I.e. only the first 5 players will be eligible for Bonus Q1, while Bonus Q5 will be available only to the first 1 player who gets the answer correctly.</t>
  </si>
  <si>
    <t>Game #</t>
  </si>
  <si>
    <t>Available to</t>
  </si>
  <si>
    <t>Points</t>
  </si>
  <si>
    <t>Answer</t>
  </si>
  <si>
    <t>Question</t>
  </si>
  <si>
    <t>Uitleg</t>
  </si>
  <si>
    <t>Bonus 1</t>
  </si>
  <si>
    <t>5 players</t>
  </si>
  <si>
    <t>How many m³ of Omber do you need to mine to have enough Pyerite and Isogen to produce a Megathron (assume no waste)? Provide your answers in m3, rounded to the nearest integer.</t>
  </si>
  <si>
    <t>Bereken aantal asteroid die gemined moeten worden per mineraltype en neem de max tussen de 2</t>
  </si>
  <si>
    <t>Bonus 2</t>
  </si>
  <si>
    <t>4 players</t>
  </si>
  <si>
    <t>What was the cheapest production cost of a Drake in the month of October 2023? Remember the 10% producer mark-up. Provide your answer in thousands of ISK, rounded to the nearest integer.</t>
  </si>
  <si>
    <t>Bonus 3</t>
  </si>
  <si>
    <t>3 players</t>
  </si>
  <si>
    <t>If you buy 1 Megathron ship on any date in the given date range (from May 1, 2023 till Nov 27, 2023) and then sell it for a profit, what is the maximum profit you could have retrospectively received? Provide your answer rounded to the nearest Million of ISK, do not round interim calculations. (Note, you need to buy first, then sell - short selling is not considered under the rules of this question).</t>
  </si>
  <si>
    <t>Bonus 4</t>
  </si>
  <si>
    <t>2 players</t>
  </si>
  <si>
    <t>Compare the value of the 4 asteroid types used in this case study (ISK per m³ of ore) on Nov 1st, 2023? What was the highest value in ISK/m3? Round your answer to the nearest integer.</t>
  </si>
  <si>
    <t>Bonus 5</t>
  </si>
  <si>
    <t>1 player</t>
  </si>
  <si>
    <t>What is the total remaining unmined amount of asteroid ore (in cubic meters) across all the games on Level 6 (games 101-120, excluding Example6)? Provide your answer rounded to the nearest cubic meter, do not round interim calculations.</t>
  </si>
  <si>
    <t>Zie sheet Bonus 5 voor uitleg</t>
  </si>
  <si>
    <t>Questions</t>
  </si>
  <si>
    <t>Level 1</t>
  </si>
  <si>
    <t>Very Easy</t>
  </si>
  <si>
    <t>Current Score</t>
  </si>
  <si>
    <t>The prices of the minerals can easily fluctuate by up to 50% within a short period of time due to in-game and out-of game events.</t>
  </si>
  <si>
    <t>In each of the questions below you are provided with a different price of Tritanium and a ship name to build.</t>
  </si>
  <si>
    <t>What is the cost of Tritanium that you will require to build the ship in each of the questions below?</t>
  </si>
  <si>
    <r>
      <t xml:space="preserve">Provide your answers in </t>
    </r>
    <r>
      <rPr>
        <b/>
        <sz val="11"/>
        <color theme="1"/>
        <rFont val="Roboto"/>
      </rPr>
      <t>thousands of ISK.</t>
    </r>
    <r>
      <rPr>
        <sz val="11"/>
        <color theme="1"/>
        <rFont val="Roboto"/>
      </rPr>
      <t xml:space="preserve"> Do not round your interim calculations. Round your answer to the nearest integer!</t>
    </r>
  </si>
  <si>
    <t>Price in ISK/Unit</t>
  </si>
  <si>
    <t>Question #</t>
  </si>
  <si>
    <t>Level</t>
  </si>
  <si>
    <t>Uitleg:</t>
  </si>
  <si>
    <t>Example1</t>
  </si>
  <si>
    <t>Level 2</t>
  </si>
  <si>
    <t>Easy</t>
  </si>
  <si>
    <t>What is the total market value for each of the ships below at the material prices provided?</t>
  </si>
  <si>
    <t>Remember that producers add a 10% markup to the raw material costs</t>
  </si>
  <si>
    <t>Bereken hoeveelheid per schip, sla het op per overeenkomstige materiaal en daarna sumproduct voor aantal materiaal * materiaal kost voor totale kost per ship</t>
  </si>
  <si>
    <r>
      <t xml:space="preserve">Provide your answers in </t>
    </r>
    <r>
      <rPr>
        <b/>
        <sz val="11"/>
        <color theme="1"/>
        <rFont val="Roboto"/>
      </rPr>
      <t>thousands of ISK</t>
    </r>
    <r>
      <rPr>
        <sz val="11"/>
        <color theme="1"/>
        <rFont val="Roboto"/>
      </rPr>
      <t>. Do not round your interim calculations. Round your answer to the nearest integer!</t>
    </r>
  </si>
  <si>
    <t>Example2</t>
  </si>
  <si>
    <t>Level 3</t>
  </si>
  <si>
    <t>Medium</t>
  </si>
  <si>
    <t>Now it's time to form your fleet. In each of the questions below you are provided with a different fleet layout.</t>
  </si>
  <si>
    <t>In Example3 your fleet has the following layout: 10 Drakes (Battlecruisers) on the Alpha wing, then 11 Stabbers (Cruisers) on Beta wing, then 12 Drakes, followed by 11 Stabbers and finished by 10 Drakes on the Epsilon wing.</t>
  </si>
  <si>
    <t>Additionally, you are also provided with the Add-In Output (see the corresponding tab) that contains historical data about actual prices for the minerals.</t>
  </si>
  <si>
    <t>What was the total market value of each fleet below on a given date?</t>
  </si>
  <si>
    <r>
      <t xml:space="preserve">Provide your answers in </t>
    </r>
    <r>
      <rPr>
        <b/>
        <sz val="11"/>
        <color theme="1"/>
        <rFont val="Roboto"/>
      </rPr>
      <t>millions of ISK</t>
    </r>
    <r>
      <rPr>
        <sz val="11"/>
        <color theme="1"/>
        <rFont val="Roboto"/>
      </rPr>
      <t>. Do not round your interim calculations. Round your answer to the nearest integer!</t>
    </r>
  </si>
  <si>
    <t>Fleet Composition</t>
  </si>
  <si>
    <t>Date</t>
  </si>
  <si>
    <t>Alpha</t>
  </si>
  <si>
    <t>Beta</t>
  </si>
  <si>
    <t>Gamma</t>
  </si>
  <si>
    <t>Delta</t>
  </si>
  <si>
    <t>Epsilon</t>
  </si>
  <si>
    <t>uitleg:</t>
  </si>
  <si>
    <t>Zie aparte sheet Vraag 3</t>
  </si>
  <si>
    <t>Example3</t>
  </si>
  <si>
    <t>Level 4</t>
  </si>
  <si>
    <t>You are provided a cell address of an asteroid in the Asteroid Field Map (see the corresponding tab).</t>
  </si>
  <si>
    <t>What is the total market value of minerals stored in each of these asteroids at the most recent market prices (November 27, 2023)? Ignore waste.</t>
  </si>
  <si>
    <t>In case there is no asteroid in a cell, provide 0 as your answer.</t>
  </si>
  <si>
    <t>Address</t>
  </si>
  <si>
    <t>Zie aparte sheet Vraag 4</t>
  </si>
  <si>
    <t>Example4</t>
  </si>
  <si>
    <t>C6</t>
  </si>
  <si>
    <t>I4</t>
  </si>
  <si>
    <t>F16</t>
  </si>
  <si>
    <t>E5</t>
  </si>
  <si>
    <t>E7</t>
  </si>
  <si>
    <t>H15</t>
  </si>
  <si>
    <t>H11</t>
  </si>
  <si>
    <t>I14</t>
  </si>
  <si>
    <t>E9</t>
  </si>
  <si>
    <t>H9</t>
  </si>
  <si>
    <t>C12</t>
  </si>
  <si>
    <t>C3</t>
  </si>
  <si>
    <t>D16</t>
  </si>
  <si>
    <t>G7</t>
  </si>
  <si>
    <t>C9</t>
  </si>
  <si>
    <t>F12</t>
  </si>
  <si>
    <t>I6</t>
  </si>
  <si>
    <t>F6</t>
  </si>
  <si>
    <t>I9</t>
  </si>
  <si>
    <t>G4</t>
  </si>
  <si>
    <t>G14</t>
  </si>
  <si>
    <t>Level 5</t>
  </si>
  <si>
    <t>Hard</t>
  </si>
  <si>
    <t>On Level 5 you are provided with a sequence of asteroids mined by a player on the asteroid map.</t>
  </si>
  <si>
    <t>Additionally, you are provided with the player's mining skill level for each type of asteroid.</t>
  </si>
  <si>
    <t>The player's mining barge starts mining the asteroids in the sequence provided until all the 10 asteroids are fully mined or until the barge is full.</t>
  </si>
  <si>
    <t>If the barge is almost full and can't take 100% or ore from an asteroid, it will take the ore up to the 27,500 cubic meter limit.</t>
  </si>
  <si>
    <t>Remember that the barge's capacity is 27,500 cubic meters of ore. One unit of ore varies from 0.1-1.2 cubic meter depending on an asteroid.</t>
  </si>
  <si>
    <t>What is the total market value of minerals that the barge will bring home for extraction at the most recent market prices (November 27, 2023)?</t>
  </si>
  <si>
    <t>Mining Skills</t>
  </si>
  <si>
    <t>Mining Sequence</t>
  </si>
  <si>
    <t>Example5</t>
  </si>
  <si>
    <t>D4</t>
  </si>
  <si>
    <t>I13</t>
  </si>
  <si>
    <t>I8</t>
  </si>
  <si>
    <t>D14</t>
  </si>
  <si>
    <t>D11</t>
  </si>
  <si>
    <t>I16</t>
  </si>
  <si>
    <t>Level 6</t>
  </si>
  <si>
    <t>On Level 6 the same players are trying to optimize their mining strategy.</t>
  </si>
  <si>
    <t>Travelling between the cells on the asteroid field costs 1million ISK per cell - as corporations tax you (based on distance for the purposes of this case study).</t>
  </si>
  <si>
    <t>Each player's barge is initially located in cell F10 on the asteroid field.</t>
  </si>
  <si>
    <t>Note that barges select the shortest possible route, but they can't travel through asteroids that were not mined yet.</t>
  </si>
  <si>
    <t>Assume that travelling to the home base after mining the final asteroid is free.</t>
  </si>
  <si>
    <t>Each player will rank the asteroids based on the value of minerals per m3 (ISK/m3).</t>
  </si>
  <si>
    <t>I.e. the player will select the asteroids in such a way, that they will get the most value of minerals and fill the least amount of m3 or ore.</t>
  </si>
  <si>
    <t>The player will select the next asteroid to mine based on the following rules: start mining with the most profitable and largest asteroids until the barge is full.</t>
  </si>
  <si>
    <t>1. Highest ISK/m3 value - note that this value will be the same for all asteroids of the same type.</t>
  </si>
  <si>
    <t>2. Largest size of an asteroid - to minimize transportation costs.</t>
  </si>
  <si>
    <t>3. Assume that the players will mine the asteroids according to these rules until the barge is full, even if in rare cases the last flight might be unprofitable.</t>
  </si>
  <si>
    <t>What is the total profit (market value of minerals less travel cost) that the barge will bring home for extraction at the most recent market prices (November 27, 2023)?</t>
  </si>
  <si>
    <t>Voor uitleg, zie sheet Vraag 6</t>
  </si>
  <si>
    <t>Example6</t>
  </si>
  <si>
    <t>Level 7</t>
  </si>
  <si>
    <t>On Level 7 you will need to combine your skills at mining and manufacturing.</t>
  </si>
  <si>
    <t>50 asteroids of various types have spawned in your home system.</t>
  </si>
  <si>
    <t>Your goal for each of the games is to calculate how many Griffins and Thrashers will you be able to manufacture out of the minerals mined from these asteroids.</t>
  </si>
  <si>
    <t>First, you use all the minerals to produce as many Thrashers as possible and then use all the remaining minerals to produce as many Griffins as possible.</t>
  </si>
  <si>
    <t>Each game also has different mining skills for each type of asteroid.</t>
  </si>
  <si>
    <t>How many Thrashers and Griffins would you be able to produce out of the resources, mined from the asteroids in each of the game?</t>
  </si>
  <si>
    <t>Provide your answer in the T#G# format.</t>
  </si>
  <si>
    <t>E.g. T10G5 means that you will be able to produce 10 Thrashers and 5 Griffins.</t>
  </si>
  <si>
    <t>Mining Allowance</t>
  </si>
  <si>
    <t>Example7</t>
  </si>
  <si>
    <t>T268G1</t>
  </si>
  <si>
    <t>a</t>
  </si>
  <si>
    <t>b</t>
  </si>
  <si>
    <t>d</t>
  </si>
  <si>
    <t>c</t>
  </si>
  <si>
    <t>T283G2</t>
  </si>
  <si>
    <t>T216G0</t>
  </si>
  <si>
    <t>T350G1</t>
  </si>
  <si>
    <t>T212G0</t>
  </si>
  <si>
    <t>T314G2</t>
  </si>
  <si>
    <t>T267G0</t>
  </si>
  <si>
    <t>T288G0</t>
  </si>
  <si>
    <t>T254G1</t>
  </si>
  <si>
    <t>T354G3</t>
  </si>
  <si>
    <t>T329G1</t>
  </si>
  <si>
    <t>T252G0</t>
  </si>
  <si>
    <t>T200G0</t>
  </si>
  <si>
    <t>T266G2</t>
  </si>
  <si>
    <t>T365G1</t>
  </si>
  <si>
    <t>T361G1</t>
  </si>
  <si>
    <t>T313G0</t>
  </si>
  <si>
    <t>T285G1</t>
  </si>
  <si>
    <t>T229G0</t>
  </si>
  <si>
    <t>T277G0</t>
  </si>
  <si>
    <t>T204G2</t>
  </si>
  <si>
    <t>T343G1</t>
  </si>
  <si>
    <t>T262G1</t>
  </si>
  <si>
    <t>T211G0</t>
  </si>
  <si>
    <t>T225G3</t>
  </si>
  <si>
    <t>T156G2</t>
  </si>
  <si>
    <t>T163G0</t>
  </si>
  <si>
    <t>T323G2</t>
  </si>
  <si>
    <t>T349G1</t>
  </si>
  <si>
    <t>T307G2</t>
  </si>
  <si>
    <t>Kost</t>
  </si>
  <si>
    <t>De verkoopdatum moet &gt; aankoopdatum zijn! Dus max - min mag niet!</t>
  </si>
  <si>
    <t>Profit</t>
  </si>
  <si>
    <t>Value</t>
  </si>
  <si>
    <t>Value/m³</t>
  </si>
  <si>
    <t>Max</t>
  </si>
  <si>
    <t>Asteroid Field</t>
  </si>
  <si>
    <t>R</t>
  </si>
  <si>
    <t>B</t>
  </si>
  <si>
    <t>C</t>
  </si>
  <si>
    <t>D</t>
  </si>
  <si>
    <t>E</t>
  </si>
  <si>
    <t>F</t>
  </si>
  <si>
    <t>G</t>
  </si>
  <si>
    <t>H</t>
  </si>
  <si>
    <t>I</t>
  </si>
  <si>
    <t>J</t>
  </si>
  <si>
    <t>Address (matrix)</t>
  </si>
  <si>
    <t>Textjoin</t>
  </si>
  <si>
    <t>Uitleg: (gelijkaardig aan vraag 6)</t>
  </si>
  <si>
    <t>Bereken alle asteroids in map</t>
  </si>
  <si>
    <t>Bereken waarde/m³ per asteroid in map</t>
  </si>
  <si>
    <t>Sorteer waarde/m³ van hoog naar laag, bereken de kost van elke asteroid en of het voldoet aan de max lading voorwaarde</t>
  </si>
  <si>
    <t>Bereken running sum van winst en lading todat lading vol is</t>
  </si>
  <si>
    <t>Daarna bereken wat de niet geminede asteroid is</t>
  </si>
  <si>
    <t>Voer what if analysis datatable uit per game#</t>
  </si>
  <si>
    <t>Sommeer voor elke game#</t>
  </si>
  <si>
    <t>All Ast. (txt)</t>
  </si>
  <si>
    <t>All Ast. (rng)</t>
  </si>
  <si>
    <t>List asteroids</t>
  </si>
  <si>
    <t>Code</t>
  </si>
  <si>
    <t>Col</t>
  </si>
  <si>
    <t>Row</t>
  </si>
  <si>
    <t>Type Ast.</t>
  </si>
  <si>
    <t>Name Ast.</t>
  </si>
  <si>
    <t>Units Ast</t>
  </si>
  <si>
    <t>Skill</t>
  </si>
  <si>
    <t>Waste</t>
  </si>
  <si>
    <t>After waste</t>
  </si>
  <si>
    <t>m³</t>
  </si>
  <si>
    <t>Cost Ast (unit)</t>
  </si>
  <si>
    <t>Val. Ast</t>
  </si>
  <si>
    <t>Val./m³</t>
  </si>
  <si>
    <t>Prijs op 27/11</t>
  </si>
  <si>
    <t>Skill level</t>
  </si>
  <si>
    <t>skill</t>
  </si>
  <si>
    <t>Waste%</t>
  </si>
  <si>
    <t>Grid with cell address (color = asteroid)</t>
  </si>
  <si>
    <t>List Ast.  Val/m³ &amp; Vol. Ast. sorted DESC</t>
  </si>
  <si>
    <t>Current load</t>
  </si>
  <si>
    <t>m³ to be mined</t>
  </si>
  <si>
    <t>Unmined</t>
  </si>
  <si>
    <t>If you work with subarray, the calculation can be much faster because the ship can travel in all directions (also diagonally) and there's always a way to travel adjacent or diagonally (because there's only max 2 asteroid in every quadrant for every asteroid)</t>
  </si>
  <si>
    <t>No need to make it complicated with bread first search, just use the max between row/col difference</t>
  </si>
  <si>
    <t>Prijs</t>
  </si>
  <si>
    <t>Bereken aantal schepen per wing (ipv kleurcode, geef ze een letter ter ID)</t>
  </si>
  <si>
    <t>Bereken hist. Prijs van elke materiaal</t>
  </si>
  <si>
    <t>Bereken kostprijs obv hist. Prijs per schip</t>
  </si>
  <si>
    <t>Bereken obv aantal schepen per wing * kostprijs obv hist. Prijs per schip als resultaat</t>
  </si>
  <si>
    <t>e</t>
  </si>
  <si>
    <t>Aantal per ship</t>
  </si>
  <si>
    <t>Hist prijs</t>
  </si>
  <si>
    <t>Kost voor 1 ship obv hist. Prijs</t>
  </si>
  <si>
    <t>Tot kost</t>
  </si>
  <si>
    <t>Gevonden rij</t>
  </si>
  <si>
    <t>Bepaal rij en colnr per astroid coord.</t>
  </si>
  <si>
    <t>Bereken de asteroidtype en bijhorende mineral hoeveelheid obv vorige stap en zoek het op in sheet Asteroid Field Map (Levels 4-6)</t>
  </si>
  <si>
    <t>Bepaal hoeveelheid mineraal voor gevonden asteroidtype</t>
  </si>
  <si>
    <t>Bepaal totale kost per m³ met sumproduct</t>
  </si>
  <si>
    <t>Bepaal waarde via volume obv asteroidtype * totale kost per m³</t>
  </si>
  <si>
    <t>Ore (m³)</t>
  </si>
  <si>
    <t>Type asteroid</t>
  </si>
  <si>
    <t>Tot. Cost per m³</t>
  </si>
  <si>
    <t>Tot. Value asteroid</t>
  </si>
  <si>
    <t>Bepaal asteroidtype in mining seq. En overeenkomstige skill level</t>
  </si>
  <si>
    <t>Bepaal hist. prijs mineral op 27/11</t>
  </si>
  <si>
    <t>Bepaal hoeveel waste er is na mining en berekening running sum obv netto gemined mineral voor totale lading</t>
  </si>
  <si>
    <t>Zolang mining hoeveelheid lager is dan capaciteit, dan kan volledige asteroid gemined worden</t>
  </si>
  <si>
    <t>Bepaal waarde van gemijnde mineralen van asteroid</t>
  </si>
  <si>
    <t>Sommeer voor alle 10 mining seq. Of tot de seq. Waar de barge vol is</t>
  </si>
  <si>
    <t>Tot waarde</t>
  </si>
  <si>
    <t>units</t>
  </si>
  <si>
    <t>After waste units</t>
  </si>
  <si>
    <t>Volume (m³)</t>
  </si>
  <si>
    <t>Current bargehold (m³)</t>
  </si>
  <si>
    <t>To be mined (m³)</t>
  </si>
  <si>
    <t>Kost asteroid 1m³</t>
  </si>
  <si>
    <t>Waarde</t>
  </si>
  <si>
    <t>Vertaal kleur naar asteroidtype voor gemakkelijke conversie</t>
  </si>
  <si>
    <t>Waarde 1 unit ast.</t>
  </si>
  <si>
    <t>Converteer alle asteroids op map naar tabelvorm</t>
  </si>
  <si>
    <t>Begin vanaf F10 positie en bereken de transportkost van huidige positie</t>
  </si>
  <si>
    <t>Bereken running sum van winst  (waarde asteroid - waste% - transprot kost) en check dat ladingvoorwaarde ok is</t>
  </si>
  <si>
    <t>Start point transport</t>
  </si>
  <si>
    <t>Cells travelled</t>
  </si>
  <si>
    <t>Travel cost</t>
  </si>
  <si>
    <t>Val Ast</t>
  </si>
  <si>
    <t>After mining</t>
  </si>
  <si>
    <t>Tot. minerals</t>
  </si>
  <si>
    <t>Mining Nr</t>
  </si>
  <si>
    <t>Size Ast.</t>
  </si>
  <si>
    <t>#Thrasher</t>
  </si>
  <si>
    <t>Tot. minerals after producing Thrashers</t>
  </si>
  <si>
    <t>#Griffin</t>
  </si>
  <si>
    <t>Assume that travelling to the home base after mining the final asteroid is free..</t>
  </si>
  <si>
    <t>Market history for Tritanium in The Forge</t>
  </si>
  <si>
    <t>Market history for Pyerite in The Forge</t>
  </si>
  <si>
    <t>Market history for Mexallon in The Forge</t>
  </si>
  <si>
    <t>Market history for Isogen in The Forge</t>
  </si>
  <si>
    <t>Market history for Nocxium in The Forge</t>
  </si>
  <si>
    <t>Market history for Zydrine in The Forge</t>
  </si>
  <si>
    <t>Market history for Megacyte in The Forge</t>
  </si>
  <si>
    <t>Your mining barge</t>
  </si>
  <si>
    <t>Bereken tot. Mineralhoeveelheid per mineraltype</t>
  </si>
  <si>
    <t>Bereken wat de max aantal Trasher ship is</t>
  </si>
  <si>
    <t>Bereken na aftrek van max aantal trasher ship wat de max aantal Griff ship is</t>
  </si>
  <si>
    <t>Bereken waarde/m³ per asteroid in map obv huidige mining skill niveau</t>
  </si>
  <si>
    <t>Bewaar resultaat in format F#aantal ThrasherG#aantal Griffin</t>
  </si>
  <si>
    <t>Bereken voor elke asteroid nr 1 tem 50 wat de astertoidtype en bijhorende mineral hoeveelheid is voor huidige miningskillprofiel</t>
  </si>
  <si>
    <t>Voor uitleg zie sheet 7</t>
  </si>
  <si>
    <t>index match om nodige hoeveelheid Tritatanium per ship te berekenen</t>
  </si>
  <si>
    <t>Daarna * Tritatanium prijs</t>
  </si>
  <si>
    <t>En dan afronden per duizend met 0 cijfers na de komma (standaard moet er altijd afgerond worden per bepaalde grootheid, zie beschrijving oefening)</t>
  </si>
  <si>
    <t>Market value</t>
  </si>
  <si>
    <t>Ik gebruik de sortby formule, dus het moet excel vanaf 2021 zijn</t>
  </si>
  <si>
    <t>Bereken voor elke hist.prijs in 10/2023 de prod. Kost van de ship (incl. 10% mark-up)n zie sheet "Bonus 2"</t>
  </si>
  <si>
    <t>Bereken hist. Kost van schip obv hist. Prijs per datum tss 1/5/2023 en 27/11/2023) en de mogelijke winst mocht er ingekocht worden op laagste hist. Kost en verkocht worden op de datum met hoogte hist. Kost, zie sheet "Bonus 3"</t>
  </si>
  <si>
    <t>Bereken waarde asteroid obv mineralhoeveelheid * hist. Prijs / volume asteroid, neem de max tussen alle types asteroid, zie sheet "Bonus 4"</t>
  </si>
  <si>
    <t>zie sheet vraag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</si>
</sst>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 #,##0.00_ ;_ * \-#,##0.00_ ;_ * &quot;-&quot;??_ ;_ @_ "/>
    <numFmt numFmtId="165" formatCode="[$-F800]dddd\,\ mmmm\ dd\,\ yyyy"/>
    <numFmt numFmtId="166" formatCode="_-* #,##0_-;\-* #,##0_-;_-* &quot;-&quot;??_-;_-@_-"/>
    <numFmt numFmtId="167" formatCode="_-* #,##0.00\ _€_-;\-* #,##0.00\ _€_-;_-* &quot;-&quot;??\ _€_-;_-@_-"/>
  </numFmts>
  <fonts count="47">
    <font>
      <sz val="11"/>
      <color theme="1"/>
      <name val="Calibri"/>
      <family val="2"/>
      <scheme val="minor"/>
    </font>
    <font>
      <sz val="11"/>
      <color theme="1"/>
      <name val="Roboto"/>
    </font>
    <font>
      <b/>
      <sz val="12"/>
      <color theme="7" tint="-0.499984740745262"/>
      <name val="Roboto"/>
    </font>
    <font>
      <sz val="12"/>
      <color theme="7" tint="-0.499984740745262"/>
      <name val="Roboto"/>
    </font>
    <font>
      <b/>
      <sz val="18"/>
      <color theme="0"/>
      <name val="Roboto"/>
    </font>
    <font>
      <b/>
      <sz val="14"/>
      <color theme="0"/>
      <name val="Roboto"/>
    </font>
    <font>
      <sz val="11"/>
      <color theme="7" tint="-0.499984740745262"/>
      <name val="Roboto"/>
    </font>
    <font>
      <b/>
      <sz val="11"/>
      <name val="Roboto"/>
    </font>
    <font>
      <b/>
      <sz val="11"/>
      <color theme="1"/>
      <name val="Roboto"/>
    </font>
    <font>
      <b/>
      <sz val="20"/>
      <color theme="0"/>
      <name val="Roboto"/>
    </font>
    <font>
      <b/>
      <sz val="24"/>
      <color theme="0"/>
      <name val="Roboto"/>
    </font>
    <font>
      <b/>
      <sz val="11"/>
      <color theme="0"/>
      <name val="Roboto"/>
    </font>
    <font>
      <sz val="11"/>
      <name val="Roboto"/>
    </font>
    <font>
      <i/>
      <sz val="10"/>
      <color theme="1"/>
      <name val="Roboto"/>
    </font>
    <font>
      <u/>
      <sz val="11"/>
      <color theme="10"/>
      <name val="Calibri"/>
      <family val="2"/>
      <scheme val="minor"/>
    </font>
    <font>
      <b/>
      <sz val="14"/>
      <name val="Roboto"/>
    </font>
    <font>
      <b/>
      <sz val="22"/>
      <color theme="0"/>
      <name val="ROBOTECH GP"/>
      <family val="2"/>
    </font>
    <font>
      <b/>
      <sz val="18"/>
      <color theme="0"/>
      <name val="ROBOTECH GP"/>
      <family val="2"/>
    </font>
    <font>
      <b/>
      <sz val="48"/>
      <color theme="0"/>
      <name val="ROBOTECH GP"/>
      <family val="2"/>
    </font>
    <font>
      <b/>
      <sz val="72"/>
      <color theme="1"/>
      <name val="ROBOTECH GP"/>
      <family val="2"/>
    </font>
    <font>
      <b/>
      <sz val="20"/>
      <color theme="1"/>
      <name val="Robotech"/>
    </font>
    <font>
      <sz val="11"/>
      <color theme="1"/>
      <name val="Calibri"/>
      <family val="2"/>
    </font>
    <font>
      <sz val="12"/>
      <color theme="1"/>
      <name val="Calibri"/>
      <family val="2"/>
      <scheme val="minor"/>
    </font>
    <font>
      <sz val="12"/>
      <color theme="7" tint="-0.499984740745262"/>
      <name val="Calibri"/>
      <family val="2"/>
      <scheme val="minor"/>
    </font>
    <font>
      <sz val="12"/>
      <name val="Roboto"/>
    </font>
    <font>
      <sz val="12"/>
      <color theme="1"/>
      <name val="Roboto"/>
    </font>
    <font>
      <sz val="10"/>
      <color theme="1"/>
      <name val="Arial"/>
      <family val="2"/>
    </font>
    <font>
      <b/>
      <sz val="11"/>
      <color theme="7" tint="-0.499984740745262"/>
      <name val="Roboto"/>
    </font>
    <font>
      <b/>
      <sz val="10"/>
      <color theme="1"/>
      <name val="Arial"/>
      <family val="2"/>
    </font>
    <font>
      <b/>
      <sz val="11"/>
      <color theme="1"/>
      <name val="Calibri"/>
      <family val="2"/>
      <scheme val="minor"/>
    </font>
    <font>
      <b/>
      <sz val="18"/>
      <color theme="0"/>
      <name val="Calibri"/>
      <family val="2"/>
      <scheme val="minor"/>
    </font>
    <font>
      <b/>
      <sz val="11"/>
      <color theme="0"/>
      <name val="Calibri"/>
      <family val="2"/>
      <scheme val="minor"/>
    </font>
    <font>
      <b/>
      <sz val="11"/>
      <color rgb="FFFF0000"/>
      <name val="Calibri"/>
      <family val="2"/>
      <scheme val="minor"/>
    </font>
    <font>
      <b/>
      <sz val="11"/>
      <color rgb="FF000000"/>
      <name val="Calibri"/>
      <family val="2"/>
      <scheme val="minor"/>
    </font>
    <font>
      <b/>
      <sz val="12"/>
      <color theme="1"/>
      <name val="Calibri"/>
      <family val="2"/>
      <scheme val="minor"/>
    </font>
    <font>
      <b/>
      <sz val="12"/>
      <color theme="1"/>
      <name val="Roboto"/>
    </font>
    <font>
      <b/>
      <sz val="48"/>
      <color theme="1"/>
      <name val="ROBOTECH GP"/>
      <family val="2"/>
    </font>
    <font>
      <sz val="11"/>
      <color theme="7" tint="-0.499984740745262"/>
      <name val="Calibri"/>
      <family val="2"/>
      <scheme val="minor"/>
    </font>
    <font>
      <sz val="11"/>
      <color theme="1"/>
      <name val="Calibri"/>
      <family val="2"/>
      <scheme val="minor"/>
    </font>
    <font>
      <b/>
      <sz val="12"/>
      <color rgb="FFFF0000"/>
      <name val="Roboto"/>
    </font>
    <font>
      <b/>
      <sz val="14"/>
      <color rgb="FFFF0000"/>
      <name val="Roboto"/>
    </font>
    <font>
      <sz val="11"/>
      <color theme="0"/>
      <name val="Roboto"/>
    </font>
    <font>
      <sz val="9"/>
      <color indexed="81"/>
      <name val="Tahoma"/>
      <family val="2"/>
    </font>
    <font>
      <b/>
      <sz val="9"/>
      <color indexed="81"/>
      <name val="Tahoma"/>
      <family val="2"/>
    </font>
    <font>
      <b/>
      <sz val="14"/>
      <color rgb="FFFF0000"/>
      <name val="Calibri"/>
      <family val="2"/>
      <scheme val="minor"/>
    </font>
    <font>
      <sz val="9"/>
      <color indexed="81"/>
      <name val="Tahoma"/>
      <charset val="1"/>
    </font>
    <font>
      <b/>
      <sz val="9"/>
      <color indexed="81"/>
      <name val="Tahoma"/>
      <charset val="1"/>
    </font>
  </fonts>
  <fills count="19">
    <fill>
      <patternFill patternType="none"/>
    </fill>
    <fill>
      <patternFill patternType="gray125"/>
    </fill>
    <fill>
      <patternFill patternType="solid">
        <fgColor theme="0"/>
        <bgColor indexed="64"/>
      </patternFill>
    </fill>
    <fill>
      <patternFill patternType="solid">
        <fgColor rgb="FF228AB8"/>
        <bgColor indexed="64"/>
      </patternFill>
    </fill>
    <fill>
      <patternFill patternType="solid">
        <fgColor rgb="FF006837"/>
        <bgColor indexed="64"/>
      </patternFill>
    </fill>
    <fill>
      <patternFill patternType="solid">
        <fgColor theme="9" tint="0.79998168889431442"/>
        <bgColor indexed="64"/>
      </patternFill>
    </fill>
    <fill>
      <patternFill patternType="solid">
        <fgColor rgb="FF007B00"/>
        <bgColor indexed="64"/>
      </patternFill>
    </fill>
    <fill>
      <patternFill patternType="solid">
        <fgColor rgb="FF020024"/>
        <bgColor indexed="64"/>
      </patternFill>
    </fill>
    <fill>
      <gradientFill>
        <stop position="0">
          <color rgb="FF007B00"/>
        </stop>
        <stop position="1">
          <color rgb="FF020024"/>
        </stop>
      </gradientFill>
    </fill>
    <fill>
      <patternFill patternType="solid">
        <fgColor rgb="FFD9D9D9"/>
        <bgColor indexed="64"/>
      </patternFill>
    </fill>
    <fill>
      <patternFill patternType="solid">
        <fgColor rgb="FFD9D2E9"/>
        <bgColor indexed="64"/>
      </patternFill>
    </fill>
    <fill>
      <patternFill patternType="solid">
        <fgColor rgb="FFE6B8AF"/>
        <bgColor indexed="64"/>
      </patternFill>
    </fill>
    <fill>
      <patternFill patternType="solid">
        <fgColor rgb="FFFFF2CC"/>
        <bgColor indexed="64"/>
      </patternFill>
    </fill>
    <fill>
      <patternFill patternType="solid">
        <fgColor rgb="FFD9EAD3"/>
        <bgColor indexed="64"/>
      </patternFill>
    </fill>
    <fill>
      <patternFill patternType="solid">
        <fgColor theme="3"/>
        <bgColor indexed="64"/>
      </patternFill>
    </fill>
    <fill>
      <patternFill patternType="solid">
        <fgColor rgb="FF7030A0"/>
        <bgColor indexed="64"/>
      </patternFill>
    </fill>
    <fill>
      <patternFill patternType="solid">
        <fgColor theme="9"/>
        <bgColor indexed="64"/>
      </patternFill>
    </fill>
    <fill>
      <patternFill patternType="solid">
        <fgColor theme="7"/>
        <bgColor indexed="64"/>
      </patternFill>
    </fill>
    <fill>
      <patternFill patternType="solid">
        <fgColor rgb="FF00B0F0"/>
        <bgColor indexed="64"/>
      </patternFill>
    </fill>
  </fills>
  <borders count="52">
    <border>
      <left/>
      <right/>
      <top/>
      <bottom/>
      <diagonal/>
    </border>
    <border>
      <left style="thick">
        <color indexed="64"/>
      </left>
      <right style="thick">
        <color indexed="64"/>
      </right>
      <top style="thick">
        <color indexed="64"/>
      </top>
      <bottom style="thick">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left>
      <right style="thin">
        <color theme="0"/>
      </right>
      <top style="thin">
        <color theme="0"/>
      </top>
      <bottom style="thin">
        <color theme="0"/>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top style="thick">
        <color indexed="64"/>
      </top>
      <bottom style="thin">
        <color theme="0" tint="-0.499984740745262"/>
      </bottom>
      <diagonal/>
    </border>
    <border>
      <left/>
      <right style="thin">
        <color theme="0" tint="-0.499984740745262"/>
      </right>
      <top style="thick">
        <color indexed="64"/>
      </top>
      <bottom style="thin">
        <color theme="0" tint="-0.499984740745262"/>
      </bottom>
      <diagonal/>
    </border>
    <border>
      <left/>
      <right/>
      <top style="thick">
        <color indexed="64"/>
      </top>
      <bottom style="thin">
        <color theme="0" tint="-0.49998474074526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FF0000"/>
      </left>
      <right style="thick">
        <color rgb="FFFF0000"/>
      </right>
      <top style="thick">
        <color rgb="FFFF0000"/>
      </top>
      <bottom style="thick">
        <color rgb="FFFF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n">
        <color theme="0" tint="-0.499984740745262"/>
      </left>
      <right style="thin">
        <color theme="0" tint="-0.499984740745262"/>
      </right>
      <top style="medium">
        <color indexed="64"/>
      </top>
      <bottom/>
      <diagonal/>
    </border>
    <border>
      <left style="thin">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thin">
        <color theme="0" tint="-0.499984740745262"/>
      </right>
      <top style="medium">
        <color indexed="64"/>
      </top>
      <bottom style="thin">
        <color theme="0" tint="-0.499984740745262"/>
      </bottom>
      <diagonal/>
    </border>
    <border>
      <left style="thin">
        <color auto="1"/>
      </left>
      <right style="thin">
        <color auto="1"/>
      </right>
      <top style="thin">
        <color auto="1"/>
      </top>
      <bottom style="thin">
        <color auto="1"/>
      </bottom>
      <diagonal/>
    </border>
    <border>
      <left style="medium">
        <color indexed="64"/>
      </left>
      <right style="medium">
        <color indexed="64"/>
      </right>
      <top/>
      <bottom/>
      <diagonal/>
    </border>
    <border>
      <left/>
      <right/>
      <top style="thin">
        <color theme="0" tint="-0.499984740745262"/>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4" fillId="0" borderId="0" applyNumberFormat="0" applyFill="0" applyBorder="0" applyAlignment="0" applyProtection="0"/>
    <xf numFmtId="9" fontId="38" fillId="0" borderId="0" applyFont="0" applyFill="0" applyBorder="0" applyAlignment="0" applyProtection="0"/>
    <xf numFmtId="43" fontId="38" fillId="0" borderId="0" applyFont="0" applyFill="0" applyBorder="0" applyAlignment="0" applyProtection="0"/>
    <xf numFmtId="0" fontId="14" fillId="0" borderId="0" applyNumberFormat="0" applyFill="0" applyBorder="0" applyAlignment="0" applyProtection="0"/>
  </cellStyleXfs>
  <cellXfs count="216">
    <xf numFmtId="0" fontId="0" fillId="0" borderId="0" xfId="0"/>
    <xf numFmtId="0" fontId="1" fillId="2" borderId="0" xfId="0" applyFont="1" applyFill="1"/>
    <xf numFmtId="0" fontId="1" fillId="2" borderId="0" xfId="0" applyFont="1" applyFill="1" applyAlignment="1">
      <alignment horizontal="center"/>
    </xf>
    <xf numFmtId="0" fontId="1" fillId="2" borderId="0" xfId="0" applyFont="1" applyFill="1" applyAlignment="1">
      <alignment vertical="top" wrapText="1"/>
    </xf>
    <xf numFmtId="0" fontId="12" fillId="2" borderId="0" xfId="0" applyFont="1" applyFill="1"/>
    <xf numFmtId="0" fontId="12" fillId="2" borderId="0" xfId="0" applyFont="1" applyFill="1" applyAlignment="1">
      <alignment horizontal="center"/>
    </xf>
    <xf numFmtId="0" fontId="12" fillId="2" borderId="0" xfId="0" applyFont="1" applyFill="1" applyAlignment="1">
      <alignment vertical="top" wrapText="1"/>
    </xf>
    <xf numFmtId="0" fontId="10" fillId="2" borderId="0" xfId="0" applyFont="1" applyFill="1" applyAlignment="1">
      <alignment vertical="center"/>
    </xf>
    <xf numFmtId="0" fontId="9" fillId="2" borderId="0" xfId="0" applyFont="1" applyFill="1"/>
    <xf numFmtId="0" fontId="13" fillId="5" borderId="1" xfId="0" applyFont="1" applyFill="1" applyBorder="1" applyAlignment="1">
      <alignment horizontal="center" vertical="center"/>
    </xf>
    <xf numFmtId="0" fontId="3" fillId="2" borderId="0" xfId="0" applyFont="1" applyFill="1" applyAlignment="1">
      <alignment horizontal="center" vertical="center" wrapText="1"/>
    </xf>
    <xf numFmtId="0" fontId="2" fillId="2" borderId="0" xfId="0" applyFont="1" applyFill="1" applyAlignment="1">
      <alignment horizontal="center" vertical="center"/>
    </xf>
    <xf numFmtId="0" fontId="6"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3" fillId="0" borderId="2" xfId="0" applyFont="1" applyBorder="1" applyAlignment="1">
      <alignment horizontal="center" vertical="center" wrapText="1"/>
    </xf>
    <xf numFmtId="0" fontId="2" fillId="0" borderId="4" xfId="0" applyFont="1" applyBorder="1" applyAlignment="1">
      <alignment horizontal="center" vertical="center"/>
    </xf>
    <xf numFmtId="0" fontId="11" fillId="3" borderId="1" xfId="0" applyFont="1" applyFill="1" applyBorder="1" applyAlignment="1">
      <alignment horizontal="center" vertical="center"/>
    </xf>
    <xf numFmtId="0" fontId="7" fillId="2" borderId="0" xfId="0" applyFont="1" applyFill="1" applyAlignment="1">
      <alignment horizontal="left"/>
    </xf>
    <xf numFmtId="0" fontId="5" fillId="6" borderId="1" xfId="0" applyFont="1" applyFill="1" applyBorder="1" applyAlignment="1">
      <alignment horizontal="center" vertical="center"/>
    </xf>
    <xf numFmtId="0" fontId="9" fillId="7" borderId="6" xfId="0" applyFont="1" applyFill="1" applyBorder="1"/>
    <xf numFmtId="0" fontId="8" fillId="2" borderId="0" xfId="0" applyFont="1" applyFill="1" applyAlignment="1">
      <alignment horizontal="center"/>
    </xf>
    <xf numFmtId="0" fontId="8" fillId="2" borderId="0" xfId="0" applyFont="1" applyFill="1" applyAlignment="1">
      <alignment horizontal="left"/>
    </xf>
    <xf numFmtId="0" fontId="16" fillId="7" borderId="5" xfId="0" applyFont="1" applyFill="1" applyBorder="1" applyAlignment="1">
      <alignment vertical="center"/>
    </xf>
    <xf numFmtId="0" fontId="15" fillId="2" borderId="0" xfId="1" applyFont="1" applyFill="1" applyBorder="1" applyAlignment="1"/>
    <xf numFmtId="2" fontId="1" fillId="2" borderId="0" xfId="0" applyNumberFormat="1" applyFont="1" applyFill="1"/>
    <xf numFmtId="3" fontId="4" fillId="4" borderId="3" xfId="0" applyNumberFormat="1" applyFont="1" applyFill="1" applyBorder="1" applyAlignment="1">
      <alignment horizontal="center" vertical="center"/>
    </xf>
    <xf numFmtId="0" fontId="0" fillId="2" borderId="0" xfId="0" applyFill="1"/>
    <xf numFmtId="0" fontId="7" fillId="2" borderId="0" xfId="0" applyFont="1" applyFill="1" applyAlignment="1">
      <alignment horizontal="left" vertical="top"/>
    </xf>
    <xf numFmtId="0" fontId="1" fillId="2" borderId="0" xfId="0" applyFont="1" applyFill="1" applyAlignment="1">
      <alignment horizontal="center" vertical="center"/>
    </xf>
    <xf numFmtId="3" fontId="19" fillId="2" borderId="0" xfId="0" applyNumberFormat="1" applyFont="1" applyFill="1" applyAlignment="1">
      <alignment horizontal="center" vertical="center"/>
    </xf>
    <xf numFmtId="3" fontId="1" fillId="2" borderId="0" xfId="0" applyNumberFormat="1" applyFont="1" applyFill="1"/>
    <xf numFmtId="3" fontId="1" fillId="2" borderId="0" xfId="0" applyNumberFormat="1" applyFont="1" applyFill="1" applyAlignment="1">
      <alignment horizontal="center"/>
    </xf>
    <xf numFmtId="3" fontId="12" fillId="2" borderId="0" xfId="0" applyNumberFormat="1" applyFont="1" applyFill="1"/>
    <xf numFmtId="3" fontId="0" fillId="2" borderId="0" xfId="0" applyNumberFormat="1" applyFill="1"/>
    <xf numFmtId="3" fontId="1" fillId="2" borderId="0" xfId="0" applyNumberFormat="1" applyFont="1" applyFill="1" applyAlignment="1">
      <alignment vertical="top" wrapText="1"/>
    </xf>
    <xf numFmtId="3" fontId="11" fillId="3" borderId="1" xfId="0" applyNumberFormat="1" applyFont="1" applyFill="1" applyBorder="1" applyAlignment="1">
      <alignment horizontal="center" vertical="center"/>
    </xf>
    <xf numFmtId="3" fontId="9" fillId="2" borderId="0" xfId="0" applyNumberFormat="1" applyFont="1" applyFill="1"/>
    <xf numFmtId="3" fontId="4" fillId="2" borderId="0" xfId="0" applyNumberFormat="1" applyFont="1" applyFill="1" applyAlignment="1">
      <alignment horizontal="center" vertical="center"/>
    </xf>
    <xf numFmtId="0" fontId="21" fillId="2" borderId="0" xfId="0" applyFont="1" applyFill="1"/>
    <xf numFmtId="0" fontId="0" fillId="2" borderId="0" xfId="0" applyFill="1" applyAlignment="1">
      <alignment horizontal="center"/>
    </xf>
    <xf numFmtId="1" fontId="1" fillId="2" borderId="0" xfId="0" applyNumberFormat="1" applyFont="1" applyFill="1" applyAlignment="1">
      <alignment horizontal="center"/>
    </xf>
    <xf numFmtId="0" fontId="20" fillId="2" borderId="0" xfId="0" applyFont="1" applyFill="1"/>
    <xf numFmtId="0" fontId="8" fillId="2" borderId="0" xfId="0" applyFont="1" applyFill="1"/>
    <xf numFmtId="0" fontId="25" fillId="2" borderId="0" xfId="0" applyFont="1" applyFill="1" applyAlignment="1">
      <alignment horizontal="left"/>
    </xf>
    <xf numFmtId="0" fontId="24" fillId="2" borderId="0" xfId="0" applyFont="1" applyFill="1"/>
    <xf numFmtId="0" fontId="25" fillId="2" borderId="0" xfId="0" applyFont="1" applyFill="1"/>
    <xf numFmtId="0" fontId="25" fillId="2" borderId="0" xfId="0" applyFont="1" applyFill="1" applyAlignment="1">
      <alignment horizontal="center"/>
    </xf>
    <xf numFmtId="0" fontId="23" fillId="2" borderId="0" xfId="0" applyFont="1" applyFill="1" applyAlignment="1">
      <alignment horizontal="center"/>
    </xf>
    <xf numFmtId="3" fontId="11" fillId="3" borderId="27" xfId="0" applyNumberFormat="1" applyFont="1" applyFill="1" applyBorder="1" applyAlignment="1">
      <alignment horizontal="center" vertical="center"/>
    </xf>
    <xf numFmtId="0" fontId="6" fillId="9" borderId="2" xfId="0" applyFont="1" applyFill="1" applyBorder="1" applyAlignment="1">
      <alignment horizontal="center" vertical="center" wrapText="1"/>
    </xf>
    <xf numFmtId="0" fontId="6" fillId="10"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6" fillId="12"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3" fontId="6" fillId="9" borderId="2" xfId="0" quotePrefix="1" applyNumberFormat="1" applyFont="1" applyFill="1" applyBorder="1" applyAlignment="1">
      <alignment horizontal="center" vertical="center" wrapText="1"/>
    </xf>
    <xf numFmtId="3" fontId="6" fillId="10" borderId="2" xfId="0" quotePrefix="1" applyNumberFormat="1" applyFont="1" applyFill="1" applyBorder="1" applyAlignment="1">
      <alignment horizontal="center" vertical="center" wrapText="1"/>
    </xf>
    <xf numFmtId="3" fontId="6" fillId="11" borderId="2" xfId="0" quotePrefix="1" applyNumberFormat="1" applyFont="1" applyFill="1" applyBorder="1" applyAlignment="1">
      <alignment horizontal="center" vertical="center" wrapText="1"/>
    </xf>
    <xf numFmtId="3" fontId="6" fillId="12" borderId="2" xfId="0" quotePrefix="1" applyNumberFormat="1" applyFont="1" applyFill="1" applyBorder="1" applyAlignment="1">
      <alignment horizontal="center" vertical="center" wrapText="1"/>
    </xf>
    <xf numFmtId="3" fontId="6" fillId="13" borderId="2" xfId="0" quotePrefix="1" applyNumberFormat="1" applyFont="1" applyFill="1" applyBorder="1" applyAlignment="1">
      <alignment horizontal="center" vertical="center" wrapText="1"/>
    </xf>
    <xf numFmtId="0" fontId="8" fillId="2" borderId="0" xfId="0" applyFont="1" applyFill="1" applyAlignment="1">
      <alignment vertical="center"/>
    </xf>
    <xf numFmtId="3" fontId="11" fillId="3" borderId="27" xfId="0" applyNumberFormat="1" applyFont="1" applyFill="1" applyBorder="1" applyAlignment="1">
      <alignment horizontal="center" vertical="center" wrapText="1"/>
    </xf>
    <xf numFmtId="0" fontId="6" fillId="0" borderId="2" xfId="0" applyFont="1" applyBorder="1" applyAlignment="1">
      <alignment horizontal="center" vertical="center" wrapText="1"/>
    </xf>
    <xf numFmtId="2" fontId="6" fillId="0" borderId="2" xfId="0" applyNumberFormat="1" applyFont="1" applyBorder="1" applyAlignment="1">
      <alignment horizontal="center" vertical="center" wrapText="1"/>
    </xf>
    <xf numFmtId="0" fontId="1" fillId="2" borderId="0" xfId="0" applyFont="1" applyFill="1" applyAlignment="1">
      <alignment horizontal="left"/>
    </xf>
    <xf numFmtId="1" fontId="6" fillId="0" borderId="2" xfId="0" applyNumberFormat="1" applyFont="1" applyBorder="1" applyAlignment="1">
      <alignment horizontal="center" vertical="center" wrapText="1"/>
    </xf>
    <xf numFmtId="0" fontId="26" fillId="0" borderId="0" xfId="0" applyFont="1" applyAlignment="1">
      <alignment horizontal="center" vertical="center" readingOrder="1"/>
    </xf>
    <xf numFmtId="0" fontId="28" fillId="12" borderId="2" xfId="0" applyFont="1" applyFill="1" applyBorder="1" applyAlignment="1">
      <alignment horizontal="center" vertical="center" readingOrder="1"/>
    </xf>
    <xf numFmtId="0" fontId="28" fillId="11" borderId="2" xfId="0" applyFont="1" applyFill="1" applyBorder="1" applyAlignment="1">
      <alignment horizontal="center" vertical="center" readingOrder="1"/>
    </xf>
    <xf numFmtId="0" fontId="28" fillId="9" borderId="2" xfId="0" applyFont="1" applyFill="1" applyBorder="1" applyAlignment="1">
      <alignment horizontal="center" vertical="center" readingOrder="1"/>
    </xf>
    <xf numFmtId="0" fontId="28" fillId="10" borderId="2" xfId="0" applyFont="1" applyFill="1" applyBorder="1" applyAlignment="1">
      <alignment horizontal="center" vertical="center" readingOrder="1"/>
    </xf>
    <xf numFmtId="0" fontId="28" fillId="13" borderId="2" xfId="0" applyFont="1" applyFill="1" applyBorder="1" applyAlignment="1">
      <alignment horizontal="center" vertical="center" readingOrder="1"/>
    </xf>
    <xf numFmtId="0" fontId="29" fillId="0" borderId="0" xfId="0" applyFont="1" applyAlignment="1">
      <alignment horizontal="center"/>
    </xf>
    <xf numFmtId="14" fontId="0" fillId="0" borderId="0" xfId="0" applyNumberFormat="1"/>
    <xf numFmtId="15" fontId="6" fillId="0" borderId="2" xfId="0" applyNumberFormat="1" applyFont="1" applyBorder="1" applyAlignment="1">
      <alignment horizontal="center" vertical="center" wrapText="1"/>
    </xf>
    <xf numFmtId="0" fontId="31" fillId="0" borderId="28" xfId="0" applyFont="1" applyBorder="1" applyAlignment="1">
      <alignment horizontal="center"/>
    </xf>
    <xf numFmtId="0" fontId="31" fillId="0" borderId="29" xfId="0" applyFont="1" applyBorder="1" applyAlignment="1">
      <alignment horizontal="center"/>
    </xf>
    <xf numFmtId="0" fontId="31" fillId="0" borderId="30" xfId="0" applyFont="1" applyBorder="1" applyAlignment="1">
      <alignment horizontal="center"/>
    </xf>
    <xf numFmtId="0" fontId="31" fillId="0" borderId="31" xfId="0" applyFont="1" applyBorder="1" applyAlignment="1">
      <alignment horizontal="center"/>
    </xf>
    <xf numFmtId="0" fontId="31" fillId="0" borderId="0" xfId="0" applyFont="1" applyAlignment="1">
      <alignment horizontal="center"/>
    </xf>
    <xf numFmtId="0" fontId="31" fillId="15" borderId="0" xfId="0" applyFont="1" applyFill="1" applyAlignment="1">
      <alignment horizontal="center"/>
    </xf>
    <xf numFmtId="0" fontId="31" fillId="16" borderId="0" xfId="0" applyFont="1" applyFill="1" applyAlignment="1">
      <alignment horizontal="center"/>
    </xf>
    <xf numFmtId="0" fontId="31" fillId="0" borderId="32" xfId="0" applyFont="1" applyBorder="1" applyAlignment="1">
      <alignment horizontal="center"/>
    </xf>
    <xf numFmtId="0" fontId="31" fillId="17" borderId="0" xfId="0" applyFont="1" applyFill="1" applyAlignment="1">
      <alignment horizontal="center"/>
    </xf>
    <xf numFmtId="0" fontId="31" fillId="18" borderId="0" xfId="0" applyFont="1" applyFill="1" applyAlignment="1">
      <alignment horizontal="center"/>
    </xf>
    <xf numFmtId="0" fontId="32" fillId="0" borderId="33" xfId="0" applyFont="1" applyBorder="1" applyAlignment="1">
      <alignment horizontal="center"/>
    </xf>
    <xf numFmtId="0" fontId="31" fillId="0" borderId="34" xfId="0" applyFont="1" applyBorder="1" applyAlignment="1">
      <alignment horizontal="center"/>
    </xf>
    <xf numFmtId="0" fontId="31" fillId="0" borderId="35" xfId="0" applyFont="1" applyBorder="1" applyAlignment="1">
      <alignment horizontal="center"/>
    </xf>
    <xf numFmtId="0" fontId="31" fillId="0" borderId="36" xfId="0" applyFont="1" applyBorder="1" applyAlignment="1">
      <alignment horizontal="center"/>
    </xf>
    <xf numFmtId="0" fontId="31" fillId="15" borderId="2" xfId="0" applyFont="1" applyFill="1" applyBorder="1" applyAlignment="1">
      <alignment horizontal="center" vertical="center"/>
    </xf>
    <xf numFmtId="0" fontId="31" fillId="18" borderId="2" xfId="0" applyFont="1" applyFill="1" applyBorder="1" applyAlignment="1">
      <alignment horizontal="center" vertical="center"/>
    </xf>
    <xf numFmtId="0" fontId="31" fillId="16" borderId="2" xfId="0" applyFont="1" applyFill="1" applyBorder="1" applyAlignment="1">
      <alignment horizontal="center" vertical="center"/>
    </xf>
    <xf numFmtId="0" fontId="33" fillId="17" borderId="37" xfId="0" applyFont="1" applyFill="1" applyBorder="1" applyAlignment="1">
      <alignment horizontal="center" vertical="center"/>
    </xf>
    <xf numFmtId="2" fontId="33" fillId="17" borderId="37" xfId="0" applyNumberFormat="1" applyFont="1" applyFill="1" applyBorder="1" applyAlignment="1">
      <alignment horizontal="center" vertical="center"/>
    </xf>
    <xf numFmtId="2" fontId="31" fillId="15" borderId="2" xfId="0" applyNumberFormat="1" applyFont="1" applyFill="1" applyBorder="1" applyAlignment="1">
      <alignment horizontal="center" vertical="center"/>
    </xf>
    <xf numFmtId="2" fontId="31" fillId="18" borderId="2" xfId="0" applyNumberFormat="1" applyFont="1" applyFill="1" applyBorder="1" applyAlignment="1">
      <alignment horizontal="center" vertical="center"/>
    </xf>
    <xf numFmtId="2" fontId="31" fillId="16" borderId="2" xfId="0" applyNumberFormat="1" applyFont="1" applyFill="1" applyBorder="1" applyAlignment="1">
      <alignment horizontal="center" vertical="center"/>
    </xf>
    <xf numFmtId="0" fontId="1" fillId="2" borderId="0" xfId="0" applyFont="1" applyFill="1" applyAlignment="1">
      <alignment horizontal="left" vertical="top"/>
    </xf>
    <xf numFmtId="0" fontId="35" fillId="2" borderId="0" xfId="0" applyFont="1" applyFill="1" applyAlignment="1">
      <alignment horizontal="left"/>
    </xf>
    <xf numFmtId="3" fontId="11" fillId="17" borderId="27" xfId="0" applyNumberFormat="1" applyFont="1" applyFill="1" applyBorder="1" applyAlignment="1">
      <alignment horizontal="center" vertical="center"/>
    </xf>
    <xf numFmtId="3" fontId="11" fillId="15" borderId="27" xfId="0" applyNumberFormat="1" applyFont="1" applyFill="1" applyBorder="1" applyAlignment="1">
      <alignment horizontal="center" vertical="center"/>
    </xf>
    <xf numFmtId="3" fontId="11" fillId="18" borderId="27" xfId="0" applyNumberFormat="1" applyFont="1" applyFill="1" applyBorder="1" applyAlignment="1">
      <alignment horizontal="center" vertical="center"/>
    </xf>
    <xf numFmtId="3" fontId="11" fillId="16" borderId="27" xfId="0" applyNumberFormat="1" applyFont="1" applyFill="1" applyBorder="1" applyAlignment="1">
      <alignment horizontal="center" vertical="center"/>
    </xf>
    <xf numFmtId="0" fontId="31" fillId="17" borderId="41" xfId="0" applyFont="1" applyFill="1" applyBorder="1" applyAlignment="1">
      <alignment horizontal="center" vertical="center"/>
    </xf>
    <xf numFmtId="0" fontId="31" fillId="18" borderId="41" xfId="0" applyFont="1" applyFill="1" applyBorder="1" applyAlignment="1">
      <alignment horizontal="center" vertical="center"/>
    </xf>
    <xf numFmtId="0" fontId="31" fillId="15" borderId="41" xfId="0" applyFont="1" applyFill="1" applyBorder="1" applyAlignment="1">
      <alignment horizontal="center" vertical="center"/>
    </xf>
    <xf numFmtId="0" fontId="31" fillId="16" borderId="41" xfId="0" applyFont="1" applyFill="1" applyBorder="1" applyAlignment="1">
      <alignment horizontal="center" vertical="center"/>
    </xf>
    <xf numFmtId="0" fontId="8" fillId="2" borderId="0" xfId="0" applyFont="1" applyFill="1" applyAlignment="1">
      <alignment horizontal="center" vertical="center"/>
    </xf>
    <xf numFmtId="0" fontId="28" fillId="0" borderId="0" xfId="0" applyFont="1" applyAlignment="1">
      <alignment horizontal="center" vertical="center" readingOrder="1"/>
    </xf>
    <xf numFmtId="165" fontId="0" fillId="0" borderId="0" xfId="0" applyNumberFormat="1"/>
    <xf numFmtId="3" fontId="11" fillId="3" borderId="0" xfId="0" applyNumberFormat="1" applyFont="1" applyFill="1" applyAlignment="1">
      <alignment horizontal="center" vertical="center"/>
    </xf>
    <xf numFmtId="0" fontId="6" fillId="0" borderId="0" xfId="0" applyFont="1" applyAlignment="1">
      <alignment horizontal="center" vertical="center" wrapText="1"/>
    </xf>
    <xf numFmtId="3" fontId="11" fillId="3" borderId="42" xfId="0" applyNumberFormat="1" applyFont="1" applyFill="1" applyBorder="1" applyAlignment="1">
      <alignment horizontal="center" vertical="center"/>
    </xf>
    <xf numFmtId="0" fontId="23" fillId="2" borderId="15" xfId="0" applyFont="1" applyFill="1" applyBorder="1" applyAlignment="1">
      <alignment horizontal="left" vertical="center"/>
    </xf>
    <xf numFmtId="9" fontId="0" fillId="0" borderId="0" xfId="2" applyFont="1"/>
    <xf numFmtId="0" fontId="0" fillId="0" borderId="0" xfId="2" applyNumberFormat="1" applyFont="1"/>
    <xf numFmtId="9" fontId="0" fillId="0" borderId="0" xfId="0" applyNumberFormat="1"/>
    <xf numFmtId="0" fontId="32" fillId="0" borderId="0" xfId="0" applyFont="1"/>
    <xf numFmtId="0" fontId="40" fillId="2" borderId="0" xfId="0" applyFont="1" applyFill="1" applyAlignment="1">
      <alignment horizontal="centerContinuous" vertical="top" wrapText="1"/>
    </xf>
    <xf numFmtId="3" fontId="40" fillId="2" borderId="0" xfId="0" applyNumberFormat="1" applyFont="1" applyFill="1" applyAlignment="1">
      <alignment horizontal="centerContinuous" vertical="top" wrapText="1"/>
    </xf>
    <xf numFmtId="0" fontId="41" fillId="2" borderId="0" xfId="0" applyFont="1" applyFill="1" applyAlignment="1">
      <alignment vertical="top" wrapText="1"/>
    </xf>
    <xf numFmtId="0" fontId="3" fillId="0" borderId="2" xfId="0" applyFont="1" applyBorder="1" applyAlignment="1">
      <alignment horizontal="center" vertical="center"/>
    </xf>
    <xf numFmtId="166" fontId="0" fillId="0" borderId="0" xfId="3" applyNumberFormat="1" applyFont="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0" fillId="0" borderId="51" xfId="0" applyBorder="1"/>
    <xf numFmtId="167" fontId="0" fillId="0" borderId="0" xfId="0" applyNumberFormat="1"/>
    <xf numFmtId="0" fontId="5" fillId="7" borderId="6" xfId="0" applyFont="1" applyFill="1" applyBorder="1" applyAlignment="1">
      <alignment vertical="center"/>
    </xf>
    <xf numFmtId="3" fontId="5" fillId="7" borderId="6" xfId="0" applyNumberFormat="1" applyFont="1" applyFill="1" applyBorder="1" applyAlignment="1">
      <alignment vertical="center"/>
    </xf>
    <xf numFmtId="43" fontId="0" fillId="0" borderId="0" xfId="3" applyFont="1"/>
    <xf numFmtId="0" fontId="0" fillId="0" borderId="0" xfId="0" quotePrefix="1" applyAlignment="1">
      <alignment wrapText="1"/>
    </xf>
    <xf numFmtId="0" fontId="6" fillId="9" borderId="2" xfId="0" applyFont="1" applyFill="1" applyBorder="1" applyAlignment="1">
      <alignment horizontal="center" vertical="center"/>
    </xf>
    <xf numFmtId="0" fontId="6" fillId="10" borderId="2" xfId="0" applyFont="1" applyFill="1" applyBorder="1" applyAlignment="1">
      <alignment horizontal="center" vertical="center"/>
    </xf>
    <xf numFmtId="0" fontId="44" fillId="0" borderId="0" xfId="0" applyFont="1"/>
    <xf numFmtId="166" fontId="0" fillId="0" borderId="0" xfId="0" applyNumberFormat="1"/>
    <xf numFmtId="3" fontId="11" fillId="3" borderId="47" xfId="0" applyNumberFormat="1" applyFont="1" applyFill="1" applyBorder="1" applyAlignment="1">
      <alignment horizontal="center" vertical="center"/>
    </xf>
    <xf numFmtId="164" fontId="0" fillId="0" borderId="0" xfId="0" applyNumberFormat="1"/>
    <xf numFmtId="0" fontId="14" fillId="2" borderId="0" xfId="4" applyFill="1"/>
    <xf numFmtId="0" fontId="39" fillId="2" borderId="19" xfId="0" applyFont="1" applyFill="1" applyBorder="1" applyAlignment="1">
      <alignment horizontal="center" vertical="top" wrapText="1"/>
    </xf>
    <xf numFmtId="0" fontId="23" fillId="2" borderId="4" xfId="0" applyFont="1" applyFill="1" applyBorder="1" applyAlignment="1">
      <alignment horizontal="left" vertical="center" wrapText="1"/>
    </xf>
    <xf numFmtId="0" fontId="23" fillId="2" borderId="14" xfId="0" applyFont="1" applyFill="1" applyBorder="1" applyAlignment="1">
      <alignment horizontal="left" vertical="center" wrapText="1"/>
    </xf>
    <xf numFmtId="0" fontId="23" fillId="2" borderId="15" xfId="0" applyFont="1" applyFill="1" applyBorder="1" applyAlignment="1">
      <alignment horizontal="left" vertical="center" wrapText="1"/>
    </xf>
    <xf numFmtId="0" fontId="17" fillId="8" borderId="5" xfId="0" applyFont="1" applyFill="1" applyBorder="1" applyAlignment="1">
      <alignment horizontal="center" vertical="center"/>
    </xf>
    <xf numFmtId="0" fontId="17" fillId="8" borderId="6" xfId="0" applyFont="1" applyFill="1" applyBorder="1" applyAlignment="1">
      <alignment horizontal="center" vertical="center"/>
    </xf>
    <xf numFmtId="0" fontId="17" fillId="8" borderId="7" xfId="0" applyFont="1" applyFill="1" applyBorder="1" applyAlignment="1">
      <alignment horizontal="center" vertical="center"/>
    </xf>
    <xf numFmtId="3" fontId="36" fillId="2" borderId="8" xfId="0" applyNumberFormat="1" applyFont="1" applyFill="1" applyBorder="1" applyAlignment="1">
      <alignment horizontal="center" vertical="center"/>
    </xf>
    <xf numFmtId="3" fontId="36" fillId="2" borderId="9" xfId="0" applyNumberFormat="1" applyFont="1" applyFill="1" applyBorder="1" applyAlignment="1">
      <alignment horizontal="center" vertical="center"/>
    </xf>
    <xf numFmtId="3" fontId="36" fillId="2" borderId="10" xfId="0" applyNumberFormat="1" applyFont="1" applyFill="1" applyBorder="1" applyAlignment="1">
      <alignment horizontal="center" vertical="center"/>
    </xf>
    <xf numFmtId="3" fontId="36" fillId="2" borderId="16" xfId="0" applyNumberFormat="1" applyFont="1" applyFill="1" applyBorder="1" applyAlignment="1">
      <alignment horizontal="center" vertical="center"/>
    </xf>
    <xf numFmtId="3" fontId="36" fillId="2" borderId="0" xfId="0" applyNumberFormat="1" applyFont="1" applyFill="1" applyAlignment="1">
      <alignment horizontal="center" vertical="center"/>
    </xf>
    <xf numFmtId="3" fontId="36" fillId="2" borderId="17" xfId="0" applyNumberFormat="1" applyFont="1" applyFill="1" applyBorder="1" applyAlignment="1">
      <alignment horizontal="center" vertical="center"/>
    </xf>
    <xf numFmtId="3" fontId="36" fillId="2" borderId="18" xfId="0" applyNumberFormat="1" applyFont="1" applyFill="1" applyBorder="1" applyAlignment="1">
      <alignment horizontal="center" vertical="center"/>
    </xf>
    <xf numFmtId="3" fontId="36" fillId="2" borderId="19" xfId="0" applyNumberFormat="1" applyFont="1" applyFill="1" applyBorder="1" applyAlignment="1">
      <alignment horizontal="center" vertical="center"/>
    </xf>
    <xf numFmtId="3" fontId="36" fillId="2" borderId="20" xfId="0" applyNumberFormat="1" applyFont="1" applyFill="1" applyBorder="1" applyAlignment="1">
      <alignment horizontal="center" vertical="center"/>
    </xf>
    <xf numFmtId="0" fontId="7" fillId="2" borderId="0" xfId="0" applyFont="1" applyFill="1" applyAlignment="1">
      <alignment horizontal="left" vertical="top" wrapText="1"/>
    </xf>
    <xf numFmtId="0" fontId="11" fillId="3" borderId="11" xfId="0" applyFont="1" applyFill="1" applyBorder="1" applyAlignment="1">
      <alignment horizontal="center" vertical="center"/>
    </xf>
    <xf numFmtId="0" fontId="11" fillId="3" borderId="12" xfId="0" applyFont="1" applyFill="1" applyBorder="1" applyAlignment="1">
      <alignment horizontal="center" vertical="center"/>
    </xf>
    <xf numFmtId="0" fontId="11" fillId="3" borderId="13" xfId="0" applyFont="1" applyFill="1" applyBorder="1" applyAlignment="1">
      <alignment horizontal="center" vertical="center"/>
    </xf>
    <xf numFmtId="0" fontId="23" fillId="2" borderId="21" xfId="0" applyFont="1" applyFill="1" applyBorder="1" applyAlignment="1">
      <alignment horizontal="left" vertical="center" wrapText="1"/>
    </xf>
    <xf numFmtId="0" fontId="23" fillId="2" borderId="23" xfId="0" applyFont="1" applyFill="1" applyBorder="1" applyAlignment="1">
      <alignment horizontal="left" vertical="center" wrapText="1"/>
    </xf>
    <xf numFmtId="0" fontId="23" fillId="2" borderId="22" xfId="0" applyFont="1" applyFill="1" applyBorder="1" applyAlignment="1">
      <alignment horizontal="left" vertical="center" wrapText="1"/>
    </xf>
    <xf numFmtId="0" fontId="31" fillId="16" borderId="4" xfId="0" applyFont="1" applyFill="1" applyBorder="1" applyAlignment="1">
      <alignment horizontal="center" vertical="center"/>
    </xf>
    <xf numFmtId="0" fontId="31" fillId="16" borderId="14" xfId="0" applyFont="1" applyFill="1" applyBorder="1" applyAlignment="1">
      <alignment horizontal="center" vertical="center"/>
    </xf>
    <xf numFmtId="0" fontId="31" fillId="16" borderId="15" xfId="0" applyFont="1" applyFill="1" applyBorder="1" applyAlignment="1">
      <alignment horizontal="center" vertical="center"/>
    </xf>
    <xf numFmtId="0" fontId="1" fillId="2" borderId="0" xfId="0" applyFont="1" applyFill="1" applyAlignment="1">
      <alignment horizontal="center"/>
    </xf>
    <xf numFmtId="3" fontId="11" fillId="3" borderId="24" xfId="0" applyNumberFormat="1" applyFont="1" applyFill="1" applyBorder="1" applyAlignment="1">
      <alignment horizontal="center" vertical="center"/>
    </xf>
    <xf numFmtId="3" fontId="11" fillId="3" borderId="25" xfId="0" applyNumberFormat="1" applyFont="1" applyFill="1" applyBorder="1" applyAlignment="1">
      <alignment horizontal="center" vertical="center"/>
    </xf>
    <xf numFmtId="3" fontId="11" fillId="3" borderId="26" xfId="0" applyNumberFormat="1" applyFont="1" applyFill="1" applyBorder="1" applyAlignment="1">
      <alignment horizontal="center" vertical="center"/>
    </xf>
    <xf numFmtId="0" fontId="27" fillId="9" borderId="38" xfId="0" applyFont="1" applyFill="1" applyBorder="1" applyAlignment="1">
      <alignment horizontal="center" vertical="center" wrapText="1"/>
    </xf>
    <xf numFmtId="0" fontId="27" fillId="9" borderId="39" xfId="0" applyFont="1" applyFill="1" applyBorder="1" applyAlignment="1">
      <alignment horizontal="center" vertical="center" wrapText="1"/>
    </xf>
    <xf numFmtId="0" fontId="27" fillId="9" borderId="40" xfId="0" applyFont="1" applyFill="1" applyBorder="1" applyAlignment="1">
      <alignment horizontal="center" vertical="center" wrapText="1"/>
    </xf>
    <xf numFmtId="0" fontId="27" fillId="10" borderId="4" xfId="0" applyFont="1" applyFill="1" applyBorder="1" applyAlignment="1">
      <alignment horizontal="center" vertical="center" wrapText="1"/>
    </xf>
    <xf numFmtId="0" fontId="27" fillId="10" borderId="14" xfId="0" applyFont="1" applyFill="1" applyBorder="1" applyAlignment="1">
      <alignment horizontal="center" vertical="center" wrapText="1"/>
    </xf>
    <xf numFmtId="0" fontId="27" fillId="10" borderId="15" xfId="0" applyFont="1" applyFill="1" applyBorder="1" applyAlignment="1">
      <alignment horizontal="center" vertical="center" wrapText="1"/>
    </xf>
    <xf numFmtId="0" fontId="27" fillId="11" borderId="4" xfId="0" applyFont="1" applyFill="1" applyBorder="1" applyAlignment="1">
      <alignment horizontal="center" vertical="center" wrapText="1"/>
    </xf>
    <xf numFmtId="0" fontId="27" fillId="11" borderId="14" xfId="0" applyFont="1" applyFill="1" applyBorder="1" applyAlignment="1">
      <alignment horizontal="center" vertical="center" wrapText="1"/>
    </xf>
    <xf numFmtId="0" fontId="27" fillId="11" borderId="15" xfId="0" applyFont="1" applyFill="1" applyBorder="1" applyAlignment="1">
      <alignment horizontal="center" vertical="center" wrapText="1"/>
    </xf>
    <xf numFmtId="0" fontId="27" fillId="12" borderId="4" xfId="0" applyFont="1" applyFill="1" applyBorder="1" applyAlignment="1">
      <alignment horizontal="center" vertical="center" wrapText="1"/>
    </xf>
    <xf numFmtId="0" fontId="27" fillId="12" borderId="14" xfId="0" applyFont="1" applyFill="1" applyBorder="1" applyAlignment="1">
      <alignment horizontal="center" vertical="center" wrapText="1"/>
    </xf>
    <xf numFmtId="0" fontId="27" fillId="12" borderId="15" xfId="0" applyFont="1" applyFill="1" applyBorder="1" applyAlignment="1">
      <alignment horizontal="center" vertical="center" wrapText="1"/>
    </xf>
    <xf numFmtId="0" fontId="22" fillId="2" borderId="8" xfId="0" applyFont="1" applyFill="1" applyBorder="1" applyAlignment="1">
      <alignment horizontal="left" vertical="top" wrapText="1"/>
    </xf>
    <xf numFmtId="0" fontId="22" fillId="2" borderId="9" xfId="0" applyFont="1" applyFill="1" applyBorder="1" applyAlignment="1">
      <alignment horizontal="left" vertical="top" wrapText="1"/>
    </xf>
    <xf numFmtId="0" fontId="22" fillId="2" borderId="10" xfId="0" applyFont="1" applyFill="1" applyBorder="1" applyAlignment="1">
      <alignment horizontal="left" vertical="top" wrapText="1"/>
    </xf>
    <xf numFmtId="0" fontId="22" fillId="2" borderId="16" xfId="0" applyFont="1" applyFill="1" applyBorder="1" applyAlignment="1">
      <alignment horizontal="left" vertical="top" wrapText="1"/>
    </xf>
    <xf numFmtId="0" fontId="22" fillId="2" borderId="0" xfId="0" applyFont="1" applyFill="1" applyAlignment="1">
      <alignment horizontal="left" vertical="top" wrapText="1"/>
    </xf>
    <xf numFmtId="0" fontId="22" fillId="2" borderId="17" xfId="0" applyFont="1" applyFill="1" applyBorder="1" applyAlignment="1">
      <alignment horizontal="left" vertical="top" wrapText="1"/>
    </xf>
    <xf numFmtId="0" fontId="22" fillId="2" borderId="18" xfId="0" applyFont="1" applyFill="1" applyBorder="1" applyAlignment="1">
      <alignment horizontal="left" vertical="top" wrapText="1"/>
    </xf>
    <xf numFmtId="0" fontId="22" fillId="2" borderId="19" xfId="0" applyFont="1" applyFill="1" applyBorder="1" applyAlignment="1">
      <alignment horizontal="left" vertical="top" wrapText="1"/>
    </xf>
    <xf numFmtId="0" fontId="22" fillId="2" borderId="20" xfId="0" applyFont="1" applyFill="1" applyBorder="1" applyAlignment="1">
      <alignment horizontal="left" vertical="top" wrapText="1"/>
    </xf>
    <xf numFmtId="0" fontId="27" fillId="13" borderId="4" xfId="0" applyFont="1" applyFill="1" applyBorder="1" applyAlignment="1">
      <alignment horizontal="center" vertical="center" wrapText="1"/>
    </xf>
    <xf numFmtId="0" fontId="27" fillId="13" borderId="14" xfId="0" applyFont="1" applyFill="1" applyBorder="1" applyAlignment="1">
      <alignment horizontal="center" vertical="center" wrapText="1"/>
    </xf>
    <xf numFmtId="0" fontId="27" fillId="13" borderId="15" xfId="0" applyFont="1" applyFill="1" applyBorder="1" applyAlignment="1">
      <alignment horizontal="center" vertical="center" wrapText="1"/>
    </xf>
    <xf numFmtId="0" fontId="33" fillId="17" borderId="38" xfId="0" applyFont="1" applyFill="1" applyBorder="1" applyAlignment="1">
      <alignment horizontal="center" vertical="center"/>
    </xf>
    <xf numFmtId="0" fontId="33" fillId="17" borderId="39" xfId="0" applyFont="1" applyFill="1" applyBorder="1" applyAlignment="1">
      <alignment horizontal="center" vertical="center"/>
    </xf>
    <xf numFmtId="0" fontId="33" fillId="17" borderId="40" xfId="0" applyFont="1" applyFill="1" applyBorder="1" applyAlignment="1">
      <alignment horizontal="center" vertical="center"/>
    </xf>
    <xf numFmtId="0" fontId="31" fillId="15" borderId="4" xfId="0" applyFont="1" applyFill="1" applyBorder="1" applyAlignment="1">
      <alignment horizontal="center" vertical="center"/>
    </xf>
    <xf numFmtId="0" fontId="31" fillId="15" borderId="14" xfId="0" applyFont="1" applyFill="1" applyBorder="1" applyAlignment="1">
      <alignment horizontal="center" vertical="center"/>
    </xf>
    <xf numFmtId="0" fontId="31" fillId="15" borderId="15" xfId="0" applyFont="1" applyFill="1" applyBorder="1" applyAlignment="1">
      <alignment horizontal="center" vertical="center"/>
    </xf>
    <xf numFmtId="0" fontId="31" fillId="18" borderId="4" xfId="0" applyFont="1" applyFill="1" applyBorder="1" applyAlignment="1">
      <alignment horizontal="center" vertical="center"/>
    </xf>
    <xf numFmtId="0" fontId="31" fillId="18" borderId="14" xfId="0" applyFont="1" applyFill="1" applyBorder="1" applyAlignment="1">
      <alignment horizontal="center" vertical="center"/>
    </xf>
    <xf numFmtId="0" fontId="31" fillId="18" borderId="15" xfId="0" applyFont="1" applyFill="1" applyBorder="1" applyAlignment="1">
      <alignment horizontal="center" vertical="center"/>
    </xf>
    <xf numFmtId="0" fontId="18" fillId="8" borderId="5" xfId="0" applyFont="1" applyFill="1" applyBorder="1" applyAlignment="1">
      <alignment horizontal="center" vertical="center"/>
    </xf>
    <xf numFmtId="0" fontId="18" fillId="8" borderId="6" xfId="0" applyFont="1" applyFill="1" applyBorder="1" applyAlignment="1">
      <alignment horizontal="center" vertical="center"/>
    </xf>
    <xf numFmtId="0" fontId="18" fillId="8" borderId="7" xfId="0" applyFont="1" applyFill="1" applyBorder="1" applyAlignment="1">
      <alignment horizontal="center" vertical="center"/>
    </xf>
    <xf numFmtId="0" fontId="20" fillId="2" borderId="0" xfId="0" applyFont="1" applyFill="1" applyAlignment="1">
      <alignment horizontal="center" wrapText="1"/>
    </xf>
    <xf numFmtId="0" fontId="37" fillId="2" borderId="43" xfId="0" applyFont="1" applyFill="1" applyBorder="1" applyAlignment="1">
      <alignment horizontal="center" vertical="center" wrapText="1"/>
    </xf>
    <xf numFmtId="0" fontId="37" fillId="2" borderId="0" xfId="0" applyFont="1" applyFill="1" applyAlignment="1">
      <alignment horizontal="center" vertical="center" wrapText="1"/>
    </xf>
    <xf numFmtId="0" fontId="30" fillId="14" borderId="28" xfId="0" applyFont="1" applyFill="1" applyBorder="1" applyAlignment="1">
      <alignment horizontal="center"/>
    </xf>
    <xf numFmtId="0" fontId="30" fillId="14" borderId="29" xfId="0" applyFont="1" applyFill="1" applyBorder="1" applyAlignment="1">
      <alignment horizontal="center"/>
    </xf>
    <xf numFmtId="0" fontId="30" fillId="14" borderId="30" xfId="0" applyFont="1" applyFill="1" applyBorder="1" applyAlignment="1">
      <alignment horizontal="center"/>
    </xf>
    <xf numFmtId="0" fontId="29" fillId="0" borderId="0" xfId="0" applyFont="1" applyAlignment="1">
      <alignment horizontal="center"/>
    </xf>
  </cellXfs>
  <cellStyles count="5">
    <cellStyle name="Comma" xfId="3" builtinId="3"/>
    <cellStyle name="Hyperlink" xfId="4" builtinId="8"/>
    <cellStyle name="Hyperlink 2" xfId="1" xr:uid="{C1B9BA85-4C62-429F-905A-EBA90D38020B}"/>
    <cellStyle name="Normal" xfId="0" builtinId="0"/>
    <cellStyle name="Percent" xfId="2" builtinId="5"/>
  </cellStyles>
  <dxfs count="2">
    <dxf>
      <fill>
        <patternFill>
          <bgColor theme="5" tint="0.59996337778862885"/>
        </patternFill>
      </fill>
    </dxf>
    <dxf>
      <fill>
        <patternFill>
          <bgColor theme="5" tint="0.59996337778862885"/>
        </patternFill>
      </fill>
    </dxf>
  </dxfs>
  <tableStyles count="0" defaultTableStyle="TableStyleMedium2" defaultPivotStyle="PivotStyleLight16"/>
  <colors>
    <mruColors>
      <color rgb="FF29B77A"/>
      <color rgb="FFFF0000"/>
      <color rgb="FFFF7D7D"/>
      <color rgb="FFFFC5C5"/>
      <color rgb="FFCC3399"/>
      <color rgb="FF228AB8"/>
      <color rgb="FF007B00"/>
      <color rgb="FF020024"/>
      <color rgb="FF00007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69273</xdr:rowOff>
    </xdr:from>
    <xdr:to>
      <xdr:col>16</xdr:col>
      <xdr:colOff>0</xdr:colOff>
      <xdr:row>12</xdr:row>
      <xdr:rowOff>1116</xdr:rowOff>
    </xdr:to>
    <xdr:pic>
      <xdr:nvPicPr>
        <xdr:cNvPr id="3" name="Picture 2">
          <a:extLst>
            <a:ext uri="{FF2B5EF4-FFF2-40B4-BE49-F238E27FC236}">
              <a16:creationId xmlns:a16="http://schemas.microsoft.com/office/drawing/2014/main" id="{DC1CCD21-E893-43DC-AD67-42D59568D38A}"/>
            </a:ext>
          </a:extLst>
        </xdr:cNvPr>
        <xdr:cNvPicPr>
          <a:picLocks noChangeAspect="1"/>
        </xdr:cNvPicPr>
      </xdr:nvPicPr>
      <xdr:blipFill>
        <a:blip xmlns:r="http://schemas.openxmlformats.org/officeDocument/2006/relationships" r:embed="rId1"/>
        <a:stretch>
          <a:fillRect/>
        </a:stretch>
      </xdr:blipFill>
      <xdr:spPr>
        <a:xfrm>
          <a:off x="219364" y="1939637"/>
          <a:ext cx="11776363" cy="2668115"/>
        </a:xfrm>
        <a:prstGeom prst="rect">
          <a:avLst/>
        </a:prstGeom>
      </xdr:spPr>
    </xdr:pic>
    <xdr:clientData/>
  </xdr:twoCellAnchor>
  <xdr:twoCellAnchor editAs="oneCell">
    <xdr:from>
      <xdr:col>17</xdr:col>
      <xdr:colOff>311727</xdr:colOff>
      <xdr:row>5</xdr:row>
      <xdr:rowOff>69272</xdr:rowOff>
    </xdr:from>
    <xdr:to>
      <xdr:col>20</xdr:col>
      <xdr:colOff>450273</xdr:colOff>
      <xdr:row>10</xdr:row>
      <xdr:rowOff>219364</xdr:rowOff>
    </xdr:to>
    <xdr:pic>
      <xdr:nvPicPr>
        <xdr:cNvPr id="4" name="Picture 3">
          <a:extLst>
            <a:ext uri="{FF2B5EF4-FFF2-40B4-BE49-F238E27FC236}">
              <a16:creationId xmlns:a16="http://schemas.microsoft.com/office/drawing/2014/main" id="{698D5639-3424-4DE7-B26D-350F50338256}"/>
            </a:ext>
          </a:extLst>
        </xdr:cNvPr>
        <xdr:cNvPicPr>
          <a:picLocks noChangeAspect="1"/>
        </xdr:cNvPicPr>
      </xdr:nvPicPr>
      <xdr:blipFill>
        <a:blip xmlns:r="http://schemas.openxmlformats.org/officeDocument/2006/relationships" r:embed="rId2"/>
        <a:stretch>
          <a:fillRect/>
        </a:stretch>
      </xdr:blipFill>
      <xdr:spPr>
        <a:xfrm>
          <a:off x="13023272" y="1939636"/>
          <a:ext cx="2286001" cy="2286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257175</xdr:colOff>
      <xdr:row>0</xdr:row>
      <xdr:rowOff>0</xdr:rowOff>
    </xdr:from>
    <xdr:to>
      <xdr:col>31</xdr:col>
      <xdr:colOff>611350</xdr:colOff>
      <xdr:row>7</xdr:row>
      <xdr:rowOff>95469</xdr:rowOff>
    </xdr:to>
    <xdr:pic>
      <xdr:nvPicPr>
        <xdr:cNvPr id="2" name="Picture 1">
          <a:extLst>
            <a:ext uri="{FF2B5EF4-FFF2-40B4-BE49-F238E27FC236}">
              <a16:creationId xmlns:a16="http://schemas.microsoft.com/office/drawing/2014/main" id="{75977997-44F1-40DF-9431-FF046E9C206E}"/>
            </a:ext>
          </a:extLst>
        </xdr:cNvPr>
        <xdr:cNvPicPr>
          <a:picLocks noChangeAspect="1"/>
        </xdr:cNvPicPr>
      </xdr:nvPicPr>
      <xdr:blipFill>
        <a:blip xmlns:r="http://schemas.openxmlformats.org/officeDocument/2006/relationships" r:embed="rId1"/>
        <a:stretch>
          <a:fillRect/>
        </a:stretch>
      </xdr:blipFill>
      <xdr:spPr>
        <a:xfrm>
          <a:off x="6477000" y="0"/>
          <a:ext cx="12536650" cy="1571844"/>
        </a:xfrm>
        <a:prstGeom prst="rect">
          <a:avLst/>
        </a:prstGeom>
      </xdr:spPr>
    </xdr:pic>
    <xdr:clientData/>
  </xdr:twoCellAnchor>
  <xdr:twoCellAnchor editAs="oneCell">
    <xdr:from>
      <xdr:col>10</xdr:col>
      <xdr:colOff>295275</xdr:colOff>
      <xdr:row>7</xdr:row>
      <xdr:rowOff>161925</xdr:rowOff>
    </xdr:from>
    <xdr:to>
      <xdr:col>25</xdr:col>
      <xdr:colOff>391728</xdr:colOff>
      <xdr:row>23</xdr:row>
      <xdr:rowOff>19465</xdr:rowOff>
    </xdr:to>
    <xdr:pic>
      <xdr:nvPicPr>
        <xdr:cNvPr id="4" name="Picture 3">
          <a:extLst>
            <a:ext uri="{FF2B5EF4-FFF2-40B4-BE49-F238E27FC236}">
              <a16:creationId xmlns:a16="http://schemas.microsoft.com/office/drawing/2014/main" id="{88E76F1C-7DE6-0800-4661-C4D60826243F}"/>
            </a:ext>
          </a:extLst>
        </xdr:cNvPr>
        <xdr:cNvPicPr>
          <a:picLocks noChangeAspect="1"/>
        </xdr:cNvPicPr>
      </xdr:nvPicPr>
      <xdr:blipFill>
        <a:blip xmlns:r="http://schemas.openxmlformats.org/officeDocument/2006/relationships" r:embed="rId2"/>
        <a:stretch>
          <a:fillRect/>
        </a:stretch>
      </xdr:blipFill>
      <xdr:spPr>
        <a:xfrm>
          <a:off x="6515100" y="1638300"/>
          <a:ext cx="8621328" cy="2972215"/>
        </a:xfrm>
        <a:prstGeom prst="rect">
          <a:avLst/>
        </a:prstGeom>
      </xdr:spPr>
    </xdr:pic>
    <xdr:clientData/>
  </xdr:twoCellAnchor>
  <xdr:twoCellAnchor editAs="oneCell">
    <xdr:from>
      <xdr:col>35</xdr:col>
      <xdr:colOff>447675</xdr:colOff>
      <xdr:row>65</xdr:row>
      <xdr:rowOff>161925</xdr:rowOff>
    </xdr:from>
    <xdr:to>
      <xdr:col>45</xdr:col>
      <xdr:colOff>315552</xdr:colOff>
      <xdr:row>67</xdr:row>
      <xdr:rowOff>152452</xdr:rowOff>
    </xdr:to>
    <xdr:pic>
      <xdr:nvPicPr>
        <xdr:cNvPr id="3" name="Picture 2">
          <a:extLst>
            <a:ext uri="{FF2B5EF4-FFF2-40B4-BE49-F238E27FC236}">
              <a16:creationId xmlns:a16="http://schemas.microsoft.com/office/drawing/2014/main" id="{10D70299-7F97-7A1B-6E9C-65356CDB09F8}"/>
            </a:ext>
          </a:extLst>
        </xdr:cNvPr>
        <xdr:cNvPicPr>
          <a:picLocks noChangeAspect="1"/>
        </xdr:cNvPicPr>
      </xdr:nvPicPr>
      <xdr:blipFill>
        <a:blip xmlns:r="http://schemas.openxmlformats.org/officeDocument/2006/relationships" r:embed="rId3"/>
        <a:stretch>
          <a:fillRect/>
        </a:stretch>
      </xdr:blipFill>
      <xdr:spPr>
        <a:xfrm>
          <a:off x="28127325" y="13020675"/>
          <a:ext cx="8792802" cy="3715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447675</xdr:colOff>
      <xdr:row>34</xdr:row>
      <xdr:rowOff>28575</xdr:rowOff>
    </xdr:from>
    <xdr:to>
      <xdr:col>27</xdr:col>
      <xdr:colOff>354175</xdr:colOff>
      <xdr:row>41</xdr:row>
      <xdr:rowOff>95469</xdr:rowOff>
    </xdr:to>
    <xdr:pic>
      <xdr:nvPicPr>
        <xdr:cNvPr id="2" name="Picture 1">
          <a:extLst>
            <a:ext uri="{FF2B5EF4-FFF2-40B4-BE49-F238E27FC236}">
              <a16:creationId xmlns:a16="http://schemas.microsoft.com/office/drawing/2014/main" id="{8D5696B3-E100-303B-3238-20CECF692943}"/>
            </a:ext>
          </a:extLst>
        </xdr:cNvPr>
        <xdr:cNvPicPr>
          <a:picLocks noChangeAspect="1"/>
        </xdr:cNvPicPr>
      </xdr:nvPicPr>
      <xdr:blipFill>
        <a:blip xmlns:r="http://schemas.openxmlformats.org/officeDocument/2006/relationships" r:embed="rId1"/>
        <a:stretch>
          <a:fillRect/>
        </a:stretch>
      </xdr:blipFill>
      <xdr:spPr>
        <a:xfrm>
          <a:off x="7277100" y="5276850"/>
          <a:ext cx="12536650" cy="1571844"/>
        </a:xfrm>
        <a:prstGeom prst="rect">
          <a:avLst/>
        </a:prstGeom>
      </xdr:spPr>
    </xdr:pic>
    <xdr:clientData/>
  </xdr:twoCellAnchor>
  <xdr:twoCellAnchor editAs="oneCell">
    <xdr:from>
      <xdr:col>11</xdr:col>
      <xdr:colOff>419100</xdr:colOff>
      <xdr:row>52</xdr:row>
      <xdr:rowOff>104775</xdr:rowOff>
    </xdr:from>
    <xdr:to>
      <xdr:col>22</xdr:col>
      <xdr:colOff>115364</xdr:colOff>
      <xdr:row>63</xdr:row>
      <xdr:rowOff>143173</xdr:rowOff>
    </xdr:to>
    <xdr:pic>
      <xdr:nvPicPr>
        <xdr:cNvPr id="3" name="Picture 2">
          <a:extLst>
            <a:ext uri="{FF2B5EF4-FFF2-40B4-BE49-F238E27FC236}">
              <a16:creationId xmlns:a16="http://schemas.microsoft.com/office/drawing/2014/main" id="{A92025F1-1720-6160-A75B-3626EE1E7C75}"/>
            </a:ext>
          </a:extLst>
        </xdr:cNvPr>
        <xdr:cNvPicPr>
          <a:picLocks noChangeAspect="1"/>
        </xdr:cNvPicPr>
      </xdr:nvPicPr>
      <xdr:blipFill>
        <a:blip xmlns:r="http://schemas.openxmlformats.org/officeDocument/2006/relationships" r:embed="rId2"/>
        <a:stretch>
          <a:fillRect/>
        </a:stretch>
      </xdr:blipFill>
      <xdr:spPr>
        <a:xfrm>
          <a:off x="7248525" y="9096375"/>
          <a:ext cx="7621064" cy="21338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257175</xdr:colOff>
      <xdr:row>0</xdr:row>
      <xdr:rowOff>0</xdr:rowOff>
    </xdr:from>
    <xdr:to>
      <xdr:col>31</xdr:col>
      <xdr:colOff>611350</xdr:colOff>
      <xdr:row>7</xdr:row>
      <xdr:rowOff>95469</xdr:rowOff>
    </xdr:to>
    <xdr:pic>
      <xdr:nvPicPr>
        <xdr:cNvPr id="2" name="Picture 1">
          <a:extLst>
            <a:ext uri="{FF2B5EF4-FFF2-40B4-BE49-F238E27FC236}">
              <a16:creationId xmlns:a16="http://schemas.microsoft.com/office/drawing/2014/main" id="{29FEAEFF-C3DB-4962-B7D6-21E1562753E3}"/>
            </a:ext>
          </a:extLst>
        </xdr:cNvPr>
        <xdr:cNvPicPr>
          <a:picLocks noChangeAspect="1"/>
        </xdr:cNvPicPr>
      </xdr:nvPicPr>
      <xdr:blipFill>
        <a:blip xmlns:r="http://schemas.openxmlformats.org/officeDocument/2006/relationships" r:embed="rId1"/>
        <a:stretch>
          <a:fillRect/>
        </a:stretch>
      </xdr:blipFill>
      <xdr:spPr>
        <a:xfrm>
          <a:off x="12372975" y="0"/>
          <a:ext cx="12536650" cy="1571844"/>
        </a:xfrm>
        <a:prstGeom prst="rect">
          <a:avLst/>
        </a:prstGeom>
      </xdr:spPr>
    </xdr:pic>
    <xdr:clientData/>
  </xdr:twoCellAnchor>
  <xdr:twoCellAnchor editAs="oneCell">
    <xdr:from>
      <xdr:col>10</xdr:col>
      <xdr:colOff>295275</xdr:colOff>
      <xdr:row>7</xdr:row>
      <xdr:rowOff>161925</xdr:rowOff>
    </xdr:from>
    <xdr:to>
      <xdr:col>25</xdr:col>
      <xdr:colOff>391728</xdr:colOff>
      <xdr:row>23</xdr:row>
      <xdr:rowOff>9940</xdr:rowOff>
    </xdr:to>
    <xdr:pic>
      <xdr:nvPicPr>
        <xdr:cNvPr id="3" name="Picture 2">
          <a:extLst>
            <a:ext uri="{FF2B5EF4-FFF2-40B4-BE49-F238E27FC236}">
              <a16:creationId xmlns:a16="http://schemas.microsoft.com/office/drawing/2014/main" id="{D1D3590F-0E44-4EBD-B08D-2EB1C1BA6CB5}"/>
            </a:ext>
          </a:extLst>
        </xdr:cNvPr>
        <xdr:cNvPicPr>
          <a:picLocks noChangeAspect="1"/>
        </xdr:cNvPicPr>
      </xdr:nvPicPr>
      <xdr:blipFill>
        <a:blip xmlns:r="http://schemas.openxmlformats.org/officeDocument/2006/relationships" r:embed="rId2"/>
        <a:stretch>
          <a:fillRect/>
        </a:stretch>
      </xdr:blipFill>
      <xdr:spPr>
        <a:xfrm>
          <a:off x="12411075" y="1638300"/>
          <a:ext cx="8621328" cy="29722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525054</xdr:colOff>
      <xdr:row>11</xdr:row>
      <xdr:rowOff>105082</xdr:rowOff>
    </xdr:to>
    <xdr:pic>
      <xdr:nvPicPr>
        <xdr:cNvPr id="2" name="Picture 1">
          <a:extLst>
            <a:ext uri="{FF2B5EF4-FFF2-40B4-BE49-F238E27FC236}">
              <a16:creationId xmlns:a16="http://schemas.microsoft.com/office/drawing/2014/main" id="{60E6CE61-4F38-1F33-C384-46EFCA4862F2}"/>
            </a:ext>
          </a:extLst>
        </xdr:cNvPr>
        <xdr:cNvPicPr>
          <a:picLocks noChangeAspect="1"/>
        </xdr:cNvPicPr>
      </xdr:nvPicPr>
      <xdr:blipFill>
        <a:blip xmlns:r="http://schemas.openxmlformats.org/officeDocument/2006/relationships" r:embed="rId1"/>
        <a:stretch>
          <a:fillRect/>
        </a:stretch>
      </xdr:blipFill>
      <xdr:spPr>
        <a:xfrm>
          <a:off x="0" y="0"/>
          <a:ext cx="8449854" cy="22005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209550</xdr:colOff>
      <xdr:row>5</xdr:row>
      <xdr:rowOff>38100</xdr:rowOff>
    </xdr:from>
    <xdr:to>
      <xdr:col>15</xdr:col>
      <xdr:colOff>607520</xdr:colOff>
      <xdr:row>11</xdr:row>
      <xdr:rowOff>148072</xdr:rowOff>
    </xdr:to>
    <xdr:pic>
      <xdr:nvPicPr>
        <xdr:cNvPr id="2" name="Picture 1">
          <a:extLst>
            <a:ext uri="{FF2B5EF4-FFF2-40B4-BE49-F238E27FC236}">
              <a16:creationId xmlns:a16="http://schemas.microsoft.com/office/drawing/2014/main" id="{4305D745-4DC6-478D-B2D3-CA5EE95F2796}"/>
            </a:ext>
          </a:extLst>
        </xdr:cNvPr>
        <xdr:cNvPicPr>
          <a:picLocks noChangeAspect="1"/>
        </xdr:cNvPicPr>
      </xdr:nvPicPr>
      <xdr:blipFill>
        <a:blip xmlns:r="http://schemas.openxmlformats.org/officeDocument/2006/relationships" r:embed="rId1"/>
        <a:stretch>
          <a:fillRect/>
        </a:stretch>
      </xdr:blipFill>
      <xdr:spPr>
        <a:xfrm>
          <a:off x="209550" y="1875865"/>
          <a:ext cx="11164422" cy="2597678"/>
        </a:xfrm>
        <a:prstGeom prst="rect">
          <a:avLst/>
        </a:prstGeom>
      </xdr:spPr>
    </xdr:pic>
    <xdr:clientData/>
  </xdr:twoCellAnchor>
  <xdr:twoCellAnchor editAs="oneCell">
    <xdr:from>
      <xdr:col>17</xdr:col>
      <xdr:colOff>353785</xdr:colOff>
      <xdr:row>5</xdr:row>
      <xdr:rowOff>45357</xdr:rowOff>
    </xdr:from>
    <xdr:to>
      <xdr:col>20</xdr:col>
      <xdr:colOff>489858</xdr:colOff>
      <xdr:row>10</xdr:row>
      <xdr:rowOff>199572</xdr:rowOff>
    </xdr:to>
    <xdr:pic>
      <xdr:nvPicPr>
        <xdr:cNvPr id="3" name="Picture 2">
          <a:extLst>
            <a:ext uri="{FF2B5EF4-FFF2-40B4-BE49-F238E27FC236}">
              <a16:creationId xmlns:a16="http://schemas.microsoft.com/office/drawing/2014/main" id="{3334A853-51B1-4985-A029-2A5E2C4B96C0}"/>
            </a:ext>
          </a:extLst>
        </xdr:cNvPr>
        <xdr:cNvPicPr>
          <a:picLocks noChangeAspect="1"/>
        </xdr:cNvPicPr>
      </xdr:nvPicPr>
      <xdr:blipFill>
        <a:blip xmlns:r="http://schemas.openxmlformats.org/officeDocument/2006/relationships" r:embed="rId2"/>
        <a:stretch>
          <a:fillRect/>
        </a:stretch>
      </xdr:blipFill>
      <xdr:spPr>
        <a:xfrm>
          <a:off x="13108214" y="1895928"/>
          <a:ext cx="2286001" cy="22860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amie Wong" id="{4DBFB7BF-BFBF-4491-87D5-A9D1D614F015}" userId="S::jamie.wong@crossrail.be::ac45c767-4750-4f3d-a24e-f1ddb1d5e52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43" dT="2023-12-30T18:46:40.34" personId="{4DBFB7BF-BFBF-4491-87D5-A9D1D614F015}" id="{E23D0287-E154-4701-8D97-0F93B7D5E9F5}">
    <text>round it to 10 numbers after 0 otherwise the sort won't work correctly</text>
  </threadedComment>
</ThreadedComments>
</file>

<file path=xl/threadedComments/threadedComment2.xml><?xml version="1.0" encoding="utf-8"?>
<ThreadedComments xmlns="http://schemas.microsoft.com/office/spreadsheetml/2018/threadedcomments" xmlns:x="http://schemas.openxmlformats.org/spreadsheetml/2006/main">
  <threadedComment ref="AI43" dT="2023-12-30T18:46:40.34" personId="{4DBFB7BF-BFBF-4491-87D5-A9D1D614F015}" id="{3A7BC294-833B-4C55-9518-0DDA56A2B697}">
    <text>round it to 10 numbers after 0 otherwise the sort won't work correctly</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CCC4109-6E3C-4B67-91FA-4B452E1DB388}">
  <we:reference id="wa200003696" version="1.3.0.0" store="en-US"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99F91-F37E-42A2-82A8-2B0611B8BC9C}">
  <dimension ref="A1:DJ327"/>
  <sheetViews>
    <sheetView tabSelected="1" topLeftCell="A274" zoomScale="85" zoomScaleNormal="85" workbookViewId="0">
      <selection activeCell="N205" sqref="N205"/>
    </sheetView>
  </sheetViews>
  <sheetFormatPr defaultColWidth="8.5703125" defaultRowHeight="15"/>
  <cols>
    <col min="1" max="1" width="3.140625" style="1" customWidth="1"/>
    <col min="2" max="2" width="13.85546875" style="2" customWidth="1"/>
    <col min="3" max="3" width="13" style="2" customWidth="1"/>
    <col min="4" max="4" width="12.140625" style="2" bestFit="1" customWidth="1"/>
    <col min="5" max="5" width="21.5703125" style="32" bestFit="1" customWidth="1"/>
    <col min="6" max="6" width="6" style="2" bestFit="1" customWidth="1"/>
    <col min="7" max="7" width="13" style="1" customWidth="1"/>
    <col min="8" max="8" width="6" style="1" bestFit="1" customWidth="1"/>
    <col min="9" max="14" width="10.42578125" style="1" bestFit="1" customWidth="1"/>
    <col min="15" max="24" width="10.28515625" style="1" bestFit="1" customWidth="1"/>
    <col min="25" max="25" width="17.7109375" style="1" customWidth="1"/>
    <col min="26" max="49" width="10.28515625" style="1" bestFit="1" customWidth="1"/>
    <col min="50" max="16373" width="10.28515625" style="4" bestFit="1" customWidth="1"/>
    <col min="16374" max="16384" width="10.28515625" style="4" customWidth="1"/>
  </cols>
  <sheetData>
    <row r="1" spans="2:49" ht="15" customHeight="1">
      <c r="B1" s="1"/>
      <c r="C1" s="1"/>
      <c r="D1" s="1"/>
      <c r="E1" s="31"/>
      <c r="F1" s="1"/>
      <c r="AD1" s="3"/>
      <c r="AE1" s="3"/>
      <c r="AF1" s="3"/>
      <c r="AG1" s="3"/>
      <c r="AH1" s="3"/>
      <c r="AI1" s="3"/>
      <c r="AJ1" s="3"/>
      <c r="AK1" s="3"/>
      <c r="AL1" s="3"/>
      <c r="AM1" s="6"/>
      <c r="AN1" s="6"/>
      <c r="AO1" s="4"/>
      <c r="AP1" s="4"/>
      <c r="AQ1" s="4"/>
      <c r="AR1" s="4"/>
      <c r="AS1" s="4"/>
      <c r="AT1" s="4"/>
      <c r="AU1" s="4"/>
      <c r="AV1" s="4"/>
      <c r="AW1" s="4"/>
    </row>
    <row r="2" spans="2:49" ht="15" customHeight="1">
      <c r="B2" s="1"/>
      <c r="C2" s="1"/>
      <c r="D2" s="1"/>
      <c r="E2" s="31"/>
      <c r="F2" s="1"/>
      <c r="V2" s="7"/>
      <c r="W2" s="7"/>
      <c r="AI2" s="7"/>
      <c r="AJ2" s="7"/>
      <c r="AK2" s="7"/>
      <c r="AL2" s="7"/>
      <c r="AM2" s="7"/>
      <c r="AN2" s="7"/>
      <c r="AO2" s="7"/>
      <c r="AP2" s="7"/>
      <c r="AQ2" s="4"/>
      <c r="AR2" s="4"/>
      <c r="AS2" s="4"/>
      <c r="AT2" s="4"/>
      <c r="AU2" s="4"/>
      <c r="AV2" s="4"/>
      <c r="AW2" s="4"/>
    </row>
    <row r="3" spans="2:49" ht="60.6" customHeight="1">
      <c r="B3" s="206" t="s">
        <v>0</v>
      </c>
      <c r="C3" s="207"/>
      <c r="D3" s="207"/>
      <c r="E3" s="207"/>
      <c r="F3" s="207"/>
      <c r="G3" s="207"/>
      <c r="H3" s="207"/>
      <c r="I3" s="207"/>
      <c r="J3" s="207"/>
      <c r="K3" s="207"/>
      <c r="L3" s="207"/>
      <c r="M3" s="207"/>
      <c r="N3" s="207"/>
      <c r="O3" s="207"/>
      <c r="P3" s="207"/>
      <c r="Q3" s="207"/>
      <c r="R3" s="207"/>
      <c r="S3" s="207"/>
      <c r="T3" s="207"/>
      <c r="U3" s="208"/>
      <c r="AI3" s="3"/>
      <c r="AS3" s="4"/>
      <c r="AT3" s="4"/>
      <c r="AU3" s="4"/>
      <c r="AV3" s="4"/>
      <c r="AW3" s="4"/>
    </row>
    <row r="4" spans="2:49" ht="21.75" customHeight="1">
      <c r="B4" s="1"/>
      <c r="C4" s="1"/>
      <c r="D4" s="1"/>
      <c r="E4" s="31"/>
      <c r="F4" s="1"/>
      <c r="AI4" s="3"/>
      <c r="AS4" s="4"/>
      <c r="AT4" s="4"/>
      <c r="AU4" s="4"/>
      <c r="AV4" s="4"/>
      <c r="AW4" s="4"/>
    </row>
    <row r="5" spans="2:49" ht="33.6" customHeight="1">
      <c r="B5" s="147" t="s">
        <v>1</v>
      </c>
      <c r="C5" s="148"/>
      <c r="D5" s="148"/>
      <c r="E5" s="148"/>
      <c r="F5" s="148"/>
      <c r="G5" s="148"/>
      <c r="H5" s="148"/>
      <c r="I5" s="148"/>
      <c r="J5" s="148"/>
      <c r="K5" s="148"/>
      <c r="L5" s="148"/>
      <c r="M5" s="148"/>
      <c r="N5" s="148"/>
      <c r="O5" s="148"/>
      <c r="P5" s="149"/>
      <c r="R5" s="147" t="s">
        <v>2</v>
      </c>
      <c r="S5" s="148"/>
      <c r="T5" s="148"/>
      <c r="U5" s="149"/>
      <c r="AA5" s="3"/>
      <c r="AD5" s="39"/>
      <c r="AK5" s="4"/>
      <c r="AL5" s="4"/>
      <c r="AM5" s="4"/>
      <c r="AN5" s="4"/>
      <c r="AO5" s="4"/>
      <c r="AP5" s="4"/>
      <c r="AQ5" s="4"/>
      <c r="AR5" s="4"/>
      <c r="AS5" s="4"/>
      <c r="AT5" s="4"/>
      <c r="AU5" s="4"/>
      <c r="AV5" s="4"/>
      <c r="AW5" s="4"/>
    </row>
    <row r="6" spans="2:49" ht="33.6" customHeight="1">
      <c r="B6" s="27"/>
      <c r="C6" s="27"/>
      <c r="D6" s="27"/>
      <c r="E6" s="34"/>
      <c r="F6" s="27"/>
      <c r="G6" s="27"/>
      <c r="H6" s="27"/>
      <c r="I6" s="27"/>
      <c r="J6" s="27"/>
      <c r="K6" s="27"/>
      <c r="L6" s="27"/>
      <c r="M6" s="27"/>
      <c r="N6" s="27"/>
      <c r="O6" s="27"/>
      <c r="P6" s="27"/>
      <c r="Q6" s="27"/>
      <c r="R6" s="209" t="s">
        <v>3</v>
      </c>
      <c r="S6" s="209"/>
      <c r="T6" s="209"/>
      <c r="U6" s="209"/>
      <c r="AA6" s="3"/>
      <c r="AD6" s="39"/>
      <c r="AK6" s="4"/>
      <c r="AL6" s="4"/>
      <c r="AM6" s="4"/>
      <c r="AN6" s="4"/>
      <c r="AO6" s="4"/>
      <c r="AP6" s="4"/>
      <c r="AQ6" s="4"/>
      <c r="AR6" s="4"/>
      <c r="AS6" s="4"/>
      <c r="AT6" s="4"/>
      <c r="AU6" s="4"/>
      <c r="AV6" s="4"/>
      <c r="AW6" s="4"/>
    </row>
    <row r="7" spans="2:49" ht="33.6" customHeight="1">
      <c r="B7" s="27"/>
      <c r="C7" s="27"/>
      <c r="D7" s="27"/>
      <c r="E7" s="34"/>
      <c r="F7" s="27"/>
      <c r="G7" s="27"/>
      <c r="H7" s="27"/>
      <c r="I7" s="27"/>
      <c r="J7" s="27"/>
      <c r="K7" s="27"/>
      <c r="L7" s="27"/>
      <c r="M7" s="27"/>
      <c r="N7" s="27"/>
      <c r="O7" s="27"/>
      <c r="P7" s="27"/>
      <c r="Q7" s="27"/>
      <c r="R7" s="209"/>
      <c r="S7" s="209"/>
      <c r="T7" s="209"/>
      <c r="U7" s="209"/>
      <c r="AA7" s="3"/>
      <c r="AD7" s="39"/>
      <c r="AK7" s="4"/>
      <c r="AL7" s="4"/>
      <c r="AM7" s="4"/>
      <c r="AN7" s="4"/>
      <c r="AO7" s="4"/>
      <c r="AP7" s="4"/>
      <c r="AQ7" s="4"/>
      <c r="AR7" s="4"/>
      <c r="AS7" s="4"/>
      <c r="AT7" s="4"/>
      <c r="AU7" s="4"/>
      <c r="AV7" s="4"/>
      <c r="AW7" s="4"/>
    </row>
    <row r="8" spans="2:49" ht="33.6" customHeight="1">
      <c r="B8" s="27"/>
      <c r="C8" s="27"/>
      <c r="D8" s="27"/>
      <c r="E8" s="34"/>
      <c r="F8" s="27"/>
      <c r="G8" s="27"/>
      <c r="H8" s="27"/>
      <c r="I8" s="27"/>
      <c r="J8" s="27"/>
      <c r="K8" s="27"/>
      <c r="L8" s="27"/>
      <c r="M8" s="27"/>
      <c r="N8" s="27"/>
      <c r="O8" s="27"/>
      <c r="P8" s="27"/>
      <c r="Q8" s="27"/>
      <c r="R8" s="209"/>
      <c r="S8" s="209"/>
      <c r="T8" s="209"/>
      <c r="U8" s="209"/>
      <c r="AA8" s="3"/>
      <c r="AD8" s="39"/>
      <c r="AK8" s="4"/>
      <c r="AL8" s="4"/>
      <c r="AM8" s="4"/>
      <c r="AN8" s="4"/>
      <c r="AO8" s="4"/>
      <c r="AP8" s="4"/>
      <c r="AQ8" s="4"/>
      <c r="AR8" s="4"/>
      <c r="AS8" s="4"/>
      <c r="AT8" s="4"/>
      <c r="AU8" s="4"/>
      <c r="AV8" s="4"/>
      <c r="AW8" s="4"/>
    </row>
    <row r="9" spans="2:49" ht="33.6" customHeight="1">
      <c r="B9" s="27"/>
      <c r="C9" s="27"/>
      <c r="D9" s="27"/>
      <c r="E9" s="34"/>
      <c r="F9" s="27"/>
      <c r="G9" s="27"/>
      <c r="H9" s="27"/>
      <c r="I9" s="27"/>
      <c r="J9" s="27"/>
      <c r="K9" s="27"/>
      <c r="L9" s="27"/>
      <c r="M9" s="27"/>
      <c r="N9" s="27"/>
      <c r="O9" s="27"/>
      <c r="P9" s="27"/>
      <c r="Q9" s="27"/>
      <c r="R9" s="209"/>
      <c r="S9" s="209"/>
      <c r="T9" s="209"/>
      <c r="U9" s="209"/>
      <c r="AA9" s="3"/>
      <c r="AD9" s="39"/>
      <c r="AK9" s="4"/>
      <c r="AL9" s="4"/>
      <c r="AM9" s="4"/>
      <c r="AN9" s="4"/>
      <c r="AO9" s="4"/>
      <c r="AP9" s="4"/>
      <c r="AQ9" s="4"/>
      <c r="AR9" s="4"/>
      <c r="AS9" s="4"/>
      <c r="AT9" s="4"/>
      <c r="AU9" s="4"/>
      <c r="AV9" s="4"/>
      <c r="AW9" s="4"/>
    </row>
    <row r="10" spans="2:49" ht="33.6" customHeight="1">
      <c r="B10" s="27"/>
      <c r="C10" s="27"/>
      <c r="D10" s="27"/>
      <c r="E10" s="34"/>
      <c r="F10" s="27"/>
      <c r="G10" s="27"/>
      <c r="H10" s="27"/>
      <c r="I10" s="27"/>
      <c r="J10" s="27"/>
      <c r="K10" s="27"/>
      <c r="L10" s="27"/>
      <c r="M10" s="27"/>
      <c r="N10" s="27"/>
      <c r="O10" s="27"/>
      <c r="P10" s="27"/>
      <c r="Q10" s="27"/>
      <c r="R10" s="209"/>
      <c r="S10" s="209"/>
      <c r="T10" s="209"/>
      <c r="U10" s="209"/>
      <c r="AA10" s="3"/>
      <c r="AD10" s="39"/>
      <c r="AK10" s="4"/>
      <c r="AL10" s="4"/>
      <c r="AM10" s="4"/>
      <c r="AN10" s="4"/>
      <c r="AO10" s="4"/>
      <c r="AP10" s="4"/>
      <c r="AQ10" s="4"/>
      <c r="AR10" s="4"/>
      <c r="AS10" s="4"/>
      <c r="AT10" s="4"/>
      <c r="AU10" s="4"/>
      <c r="AV10" s="4"/>
      <c r="AW10" s="4"/>
    </row>
    <row r="11" spans="2:49" ht="33.6" customHeight="1">
      <c r="B11" s="27"/>
      <c r="C11" s="27"/>
      <c r="D11" s="27"/>
      <c r="E11" s="34"/>
      <c r="F11" s="27"/>
      <c r="G11" s="27"/>
      <c r="H11" s="27"/>
      <c r="I11" s="27"/>
      <c r="J11" s="27"/>
      <c r="K11" s="27"/>
      <c r="L11" s="27"/>
      <c r="M11" s="27"/>
      <c r="N11" s="27"/>
      <c r="O11" s="27"/>
      <c r="P11" s="27"/>
      <c r="Q11" s="27"/>
      <c r="R11" s="209"/>
      <c r="S11" s="209"/>
      <c r="T11" s="209"/>
      <c r="U11" s="209"/>
      <c r="AA11" s="3"/>
      <c r="AD11" s="39"/>
      <c r="AK11" s="4"/>
      <c r="AL11" s="4"/>
      <c r="AM11" s="4"/>
      <c r="AN11" s="4"/>
      <c r="AO11" s="4"/>
      <c r="AP11" s="4"/>
      <c r="AQ11" s="4"/>
      <c r="AR11" s="4"/>
      <c r="AS11" s="4"/>
      <c r="AT11" s="4"/>
      <c r="AU11" s="4"/>
      <c r="AV11" s="4"/>
      <c r="AW11" s="4"/>
    </row>
    <row r="12" spans="2:49" ht="13.5" customHeight="1">
      <c r="B12" s="27"/>
      <c r="C12" s="27"/>
      <c r="D12" s="27"/>
      <c r="E12" s="34"/>
      <c r="F12" s="27"/>
      <c r="G12" s="27"/>
      <c r="H12" s="27"/>
      <c r="I12" s="27"/>
      <c r="J12" s="27"/>
      <c r="K12" s="27"/>
      <c r="L12" s="27"/>
      <c r="M12" s="27"/>
      <c r="N12" s="27"/>
      <c r="O12" s="27"/>
      <c r="P12" s="27"/>
      <c r="Q12" s="27"/>
      <c r="R12" s="209"/>
      <c r="S12" s="209"/>
      <c r="T12" s="209"/>
      <c r="U12" s="209"/>
      <c r="AA12" s="3"/>
      <c r="AD12" s="39"/>
      <c r="AK12" s="4"/>
      <c r="AL12" s="4"/>
      <c r="AM12" s="4"/>
      <c r="AN12" s="4"/>
      <c r="AO12" s="4"/>
      <c r="AP12" s="4"/>
      <c r="AQ12" s="4"/>
      <c r="AR12" s="4"/>
      <c r="AS12" s="4"/>
      <c r="AT12" s="4"/>
      <c r="AU12" s="4"/>
      <c r="AV12" s="4"/>
      <c r="AW12" s="4"/>
    </row>
    <row r="13" spans="2:49" ht="33.6" customHeight="1">
      <c r="B13" s="27"/>
      <c r="C13" s="27"/>
      <c r="D13" s="27"/>
      <c r="E13" s="34"/>
      <c r="F13" s="27"/>
      <c r="G13" s="27"/>
      <c r="H13" s="27"/>
      <c r="I13" s="27"/>
      <c r="J13" s="27"/>
      <c r="K13" s="27"/>
      <c r="L13" s="27"/>
      <c r="M13" s="27"/>
      <c r="N13" s="27"/>
      <c r="O13" s="27"/>
      <c r="P13" s="27"/>
      <c r="Q13" s="27"/>
      <c r="R13" s="42"/>
      <c r="S13" s="42"/>
      <c r="T13" s="42"/>
      <c r="U13" s="42"/>
      <c r="X13" s="30"/>
      <c r="Y13" s="30"/>
      <c r="Z13" s="30"/>
      <c r="AA13" s="30"/>
      <c r="AB13" s="30"/>
      <c r="AC13" s="30"/>
      <c r="AD13" s="39"/>
      <c r="AE13" s="30"/>
      <c r="AI13" s="3"/>
      <c r="AS13" s="4"/>
      <c r="AT13" s="4"/>
      <c r="AU13" s="4"/>
      <c r="AV13" s="4"/>
      <c r="AW13" s="4"/>
    </row>
    <row r="14" spans="2:49" ht="24.95" customHeight="1">
      <c r="B14" s="147" t="s">
        <v>4</v>
      </c>
      <c r="C14" s="148"/>
      <c r="D14" s="148"/>
      <c r="E14" s="148"/>
      <c r="F14" s="148"/>
      <c r="G14" s="148"/>
      <c r="H14" s="148"/>
      <c r="I14" s="148"/>
      <c r="J14" s="148"/>
      <c r="K14" s="148"/>
      <c r="L14" s="148"/>
      <c r="M14" s="148"/>
      <c r="N14" s="148"/>
      <c r="O14" s="148"/>
      <c r="P14" s="148"/>
      <c r="Q14" s="148"/>
      <c r="R14" s="148"/>
      <c r="S14" s="148"/>
      <c r="T14" s="148"/>
      <c r="U14" s="149"/>
      <c r="AD14"/>
      <c r="AG14" s="3"/>
      <c r="AH14" s="3"/>
      <c r="AV14" s="4"/>
      <c r="AW14" s="4"/>
    </row>
    <row r="15" spans="2:49" ht="25.5" customHeight="1">
      <c r="B15" s="185" t="s">
        <v>5</v>
      </c>
      <c r="C15" s="186"/>
      <c r="D15" s="186"/>
      <c r="E15" s="186"/>
      <c r="F15" s="186"/>
      <c r="G15" s="186"/>
      <c r="H15" s="186"/>
      <c r="I15" s="186"/>
      <c r="J15" s="186"/>
      <c r="K15" s="186"/>
      <c r="L15" s="186"/>
      <c r="M15" s="186"/>
      <c r="N15" s="186"/>
      <c r="O15" s="186"/>
      <c r="P15" s="186"/>
      <c r="Q15" s="186"/>
      <c r="R15" s="186"/>
      <c r="S15" s="186"/>
      <c r="T15" s="186"/>
      <c r="U15" s="187"/>
      <c r="AD15"/>
      <c r="AH15" s="3"/>
      <c r="AV15" s="4"/>
      <c r="AW15" s="4"/>
    </row>
    <row r="16" spans="2:49" ht="25.5" customHeight="1">
      <c r="B16" s="188"/>
      <c r="C16" s="189"/>
      <c r="D16" s="189"/>
      <c r="E16" s="189"/>
      <c r="F16" s="189"/>
      <c r="G16" s="189"/>
      <c r="H16" s="189"/>
      <c r="I16" s="189"/>
      <c r="J16" s="189"/>
      <c r="K16" s="189"/>
      <c r="L16" s="189"/>
      <c r="M16" s="189"/>
      <c r="N16" s="189"/>
      <c r="O16" s="189"/>
      <c r="P16" s="189"/>
      <c r="Q16" s="189"/>
      <c r="R16" s="189"/>
      <c r="S16" s="189"/>
      <c r="T16" s="189"/>
      <c r="U16" s="190"/>
      <c r="AD16"/>
      <c r="AH16" s="3"/>
      <c r="AV16" s="4"/>
      <c r="AW16" s="4"/>
    </row>
    <row r="17" spans="2:49" ht="25.5" customHeight="1">
      <c r="B17" s="188"/>
      <c r="C17" s="189"/>
      <c r="D17" s="189"/>
      <c r="E17" s="189"/>
      <c r="F17" s="189"/>
      <c r="G17" s="189"/>
      <c r="H17" s="189"/>
      <c r="I17" s="189"/>
      <c r="J17" s="189"/>
      <c r="K17" s="189"/>
      <c r="L17" s="189"/>
      <c r="M17" s="189"/>
      <c r="N17" s="189"/>
      <c r="O17" s="189"/>
      <c r="P17" s="189"/>
      <c r="Q17" s="189"/>
      <c r="R17" s="189"/>
      <c r="S17" s="189"/>
      <c r="T17" s="189"/>
      <c r="U17" s="190"/>
      <c r="AD17"/>
      <c r="AH17" s="3"/>
      <c r="AV17" s="4"/>
      <c r="AW17" s="4"/>
    </row>
    <row r="18" spans="2:49" ht="25.5" customHeight="1">
      <c r="B18" s="188"/>
      <c r="C18" s="189"/>
      <c r="D18" s="189"/>
      <c r="E18" s="189"/>
      <c r="F18" s="189"/>
      <c r="G18" s="189"/>
      <c r="H18" s="189"/>
      <c r="I18" s="189"/>
      <c r="J18" s="189"/>
      <c r="K18" s="189"/>
      <c r="L18" s="189"/>
      <c r="M18" s="189"/>
      <c r="N18" s="189"/>
      <c r="O18" s="189"/>
      <c r="P18" s="189"/>
      <c r="Q18" s="189"/>
      <c r="R18" s="189"/>
      <c r="S18" s="189"/>
      <c r="T18" s="189"/>
      <c r="U18" s="190"/>
      <c r="AD18"/>
      <c r="AH18" s="3"/>
      <c r="AV18" s="4"/>
      <c r="AW18" s="4"/>
    </row>
    <row r="19" spans="2:49" ht="25.5" customHeight="1">
      <c r="B19" s="188"/>
      <c r="C19" s="189"/>
      <c r="D19" s="189"/>
      <c r="E19" s="189"/>
      <c r="F19" s="189"/>
      <c r="G19" s="189"/>
      <c r="H19" s="189"/>
      <c r="I19" s="189"/>
      <c r="J19" s="189"/>
      <c r="K19" s="189"/>
      <c r="L19" s="189"/>
      <c r="M19" s="189"/>
      <c r="N19" s="189"/>
      <c r="O19" s="189"/>
      <c r="P19" s="189"/>
      <c r="Q19" s="189"/>
      <c r="R19" s="189"/>
      <c r="S19" s="189"/>
      <c r="T19" s="189"/>
      <c r="U19" s="190"/>
      <c r="AD19"/>
      <c r="AS19" s="4"/>
      <c r="AT19" s="4"/>
      <c r="AU19" s="4"/>
      <c r="AV19" s="4"/>
      <c r="AW19" s="4"/>
    </row>
    <row r="20" spans="2:49" ht="25.5" customHeight="1">
      <c r="B20" s="188"/>
      <c r="C20" s="189"/>
      <c r="D20" s="189"/>
      <c r="E20" s="189"/>
      <c r="F20" s="189"/>
      <c r="G20" s="189"/>
      <c r="H20" s="189"/>
      <c r="I20" s="189"/>
      <c r="J20" s="189"/>
      <c r="K20" s="189"/>
      <c r="L20" s="189"/>
      <c r="M20" s="189"/>
      <c r="N20" s="189"/>
      <c r="O20" s="189"/>
      <c r="P20" s="189"/>
      <c r="Q20" s="189"/>
      <c r="R20" s="189"/>
      <c r="S20" s="189"/>
      <c r="T20" s="189"/>
      <c r="U20" s="190"/>
      <c r="AD20"/>
      <c r="AS20" s="4"/>
      <c r="AT20" s="4"/>
      <c r="AU20" s="4"/>
      <c r="AV20" s="4"/>
      <c r="AW20" s="4"/>
    </row>
    <row r="21" spans="2:49" ht="25.5" customHeight="1">
      <c r="B21" s="188"/>
      <c r="C21" s="189"/>
      <c r="D21" s="189"/>
      <c r="E21" s="189"/>
      <c r="F21" s="189"/>
      <c r="G21" s="189"/>
      <c r="H21" s="189"/>
      <c r="I21" s="189"/>
      <c r="J21" s="189"/>
      <c r="K21" s="189"/>
      <c r="L21" s="189"/>
      <c r="M21" s="189"/>
      <c r="N21" s="189"/>
      <c r="O21" s="189"/>
      <c r="P21" s="189"/>
      <c r="Q21" s="189"/>
      <c r="R21" s="189"/>
      <c r="S21" s="189"/>
      <c r="T21" s="189"/>
      <c r="U21" s="190"/>
      <c r="AD21"/>
      <c r="AS21" s="4"/>
      <c r="AT21" s="4"/>
      <c r="AU21" s="4"/>
      <c r="AV21" s="4"/>
      <c r="AW21" s="4"/>
    </row>
    <row r="22" spans="2:49" ht="25.5" customHeight="1">
      <c r="B22" s="188"/>
      <c r="C22" s="189"/>
      <c r="D22" s="189"/>
      <c r="E22" s="189"/>
      <c r="F22" s="189"/>
      <c r="G22" s="189"/>
      <c r="H22" s="189"/>
      <c r="I22" s="189"/>
      <c r="J22" s="189"/>
      <c r="K22" s="189"/>
      <c r="L22" s="189"/>
      <c r="M22" s="189"/>
      <c r="N22" s="189"/>
      <c r="O22" s="189"/>
      <c r="P22" s="189"/>
      <c r="Q22" s="189"/>
      <c r="R22" s="189"/>
      <c r="S22" s="189"/>
      <c r="T22" s="189"/>
      <c r="U22" s="190"/>
      <c r="AD22"/>
      <c r="AS22" s="4"/>
      <c r="AT22" s="4"/>
      <c r="AU22" s="4"/>
      <c r="AV22" s="4"/>
      <c r="AW22" s="4"/>
    </row>
    <row r="23" spans="2:49" ht="25.5" customHeight="1">
      <c r="B23" s="188"/>
      <c r="C23" s="189"/>
      <c r="D23" s="189"/>
      <c r="E23" s="189"/>
      <c r="F23" s="189"/>
      <c r="G23" s="189"/>
      <c r="H23" s="189"/>
      <c r="I23" s="189"/>
      <c r="J23" s="189"/>
      <c r="K23" s="189"/>
      <c r="L23" s="189"/>
      <c r="M23" s="189"/>
      <c r="N23" s="189"/>
      <c r="O23" s="189"/>
      <c r="P23" s="189"/>
      <c r="Q23" s="189"/>
      <c r="R23" s="189"/>
      <c r="S23" s="189"/>
      <c r="T23" s="189"/>
      <c r="U23" s="190"/>
      <c r="AD23"/>
      <c r="AS23" s="4"/>
      <c r="AT23" s="4"/>
      <c r="AU23" s="4"/>
      <c r="AV23" s="4"/>
      <c r="AW23" s="4"/>
    </row>
    <row r="24" spans="2:49" ht="25.5" customHeight="1">
      <c r="B24" s="188"/>
      <c r="C24" s="189"/>
      <c r="D24" s="189"/>
      <c r="E24" s="189"/>
      <c r="F24" s="189"/>
      <c r="G24" s="189"/>
      <c r="H24" s="189"/>
      <c r="I24" s="189"/>
      <c r="J24" s="189"/>
      <c r="K24" s="189"/>
      <c r="L24" s="189"/>
      <c r="M24" s="189"/>
      <c r="N24" s="189"/>
      <c r="O24" s="189"/>
      <c r="P24" s="189"/>
      <c r="Q24" s="189"/>
      <c r="R24" s="189"/>
      <c r="S24" s="189"/>
      <c r="T24" s="189"/>
      <c r="U24" s="190"/>
      <c r="AD24"/>
      <c r="AS24" s="4"/>
      <c r="AT24" s="4"/>
      <c r="AU24" s="4"/>
      <c r="AV24" s="4"/>
      <c r="AW24" s="4"/>
    </row>
    <row r="25" spans="2:49" ht="25.5" customHeight="1">
      <c r="B25" s="188"/>
      <c r="C25" s="189"/>
      <c r="D25" s="189"/>
      <c r="E25" s="189"/>
      <c r="F25" s="189"/>
      <c r="G25" s="189"/>
      <c r="H25" s="189"/>
      <c r="I25" s="189"/>
      <c r="J25" s="189"/>
      <c r="K25" s="189"/>
      <c r="L25" s="189"/>
      <c r="M25" s="189"/>
      <c r="N25" s="189"/>
      <c r="O25" s="189"/>
      <c r="P25" s="189"/>
      <c r="Q25" s="189"/>
      <c r="R25" s="189"/>
      <c r="S25" s="189"/>
      <c r="T25" s="189"/>
      <c r="U25" s="190"/>
      <c r="AD25"/>
      <c r="AS25" s="4"/>
      <c r="AT25" s="4"/>
      <c r="AU25" s="4"/>
      <c r="AV25" s="4"/>
      <c r="AW25" s="4"/>
    </row>
    <row r="26" spans="2:49" ht="25.5" customHeight="1">
      <c r="B26" s="188"/>
      <c r="C26" s="189"/>
      <c r="D26" s="189"/>
      <c r="E26" s="189"/>
      <c r="F26" s="189"/>
      <c r="G26" s="189"/>
      <c r="H26" s="189"/>
      <c r="I26" s="189"/>
      <c r="J26" s="189"/>
      <c r="K26" s="189"/>
      <c r="L26" s="189"/>
      <c r="M26" s="189"/>
      <c r="N26" s="189"/>
      <c r="O26" s="189"/>
      <c r="P26" s="189"/>
      <c r="Q26" s="189"/>
      <c r="R26" s="189"/>
      <c r="S26" s="189"/>
      <c r="T26" s="189"/>
      <c r="U26" s="190"/>
      <c r="AD26"/>
      <c r="AS26" s="4"/>
      <c r="AT26" s="4"/>
      <c r="AU26" s="4"/>
      <c r="AV26" s="4"/>
      <c r="AW26" s="4"/>
    </row>
    <row r="27" spans="2:49" ht="25.5" customHeight="1">
      <c r="B27" s="188"/>
      <c r="C27" s="189"/>
      <c r="D27" s="189"/>
      <c r="E27" s="189"/>
      <c r="F27" s="189"/>
      <c r="G27" s="189"/>
      <c r="H27" s="189"/>
      <c r="I27" s="189"/>
      <c r="J27" s="189"/>
      <c r="K27" s="189"/>
      <c r="L27" s="189"/>
      <c r="M27" s="189"/>
      <c r="N27" s="189"/>
      <c r="O27" s="189"/>
      <c r="P27" s="189"/>
      <c r="Q27" s="189"/>
      <c r="R27" s="189"/>
      <c r="S27" s="189"/>
      <c r="T27" s="189"/>
      <c r="U27" s="190"/>
      <c r="W27" s="25"/>
      <c r="AB27" s="169"/>
      <c r="AC27" s="169"/>
      <c r="AD27"/>
      <c r="AI27" s="3"/>
      <c r="AJ27" s="3"/>
    </row>
    <row r="28" spans="2:49" ht="25.5" customHeight="1">
      <c r="B28" s="191"/>
      <c r="C28" s="192"/>
      <c r="D28" s="192"/>
      <c r="E28" s="192"/>
      <c r="F28" s="192"/>
      <c r="G28" s="192"/>
      <c r="H28" s="192"/>
      <c r="I28" s="192"/>
      <c r="J28" s="192"/>
      <c r="K28" s="192"/>
      <c r="L28" s="192"/>
      <c r="M28" s="192"/>
      <c r="N28" s="192"/>
      <c r="O28" s="192"/>
      <c r="P28" s="192"/>
      <c r="Q28" s="192"/>
      <c r="R28" s="192"/>
      <c r="S28" s="192"/>
      <c r="T28" s="192"/>
      <c r="U28" s="193"/>
      <c r="X28" s="4"/>
      <c r="Y28" s="4"/>
      <c r="Z28" s="4"/>
      <c r="AA28" s="4"/>
      <c r="AI28" s="3"/>
      <c r="AJ28" s="3"/>
      <c r="AK28" s="3"/>
      <c r="AL28" s="3"/>
      <c r="AM28" s="6"/>
      <c r="AN28" s="6"/>
      <c r="AO28" s="4"/>
      <c r="AP28" s="4"/>
      <c r="AQ28" s="4"/>
      <c r="AR28" s="4"/>
      <c r="AS28" s="4"/>
      <c r="AT28" s="4"/>
      <c r="AU28" s="4"/>
      <c r="AV28" s="4"/>
      <c r="AW28" s="4"/>
    </row>
    <row r="29" spans="2:49" ht="25.5" customHeight="1">
      <c r="B29" s="118"/>
      <c r="C29" s="118"/>
      <c r="D29" s="118"/>
      <c r="E29" s="119"/>
      <c r="F29" s="3"/>
      <c r="G29" s="3"/>
      <c r="H29" s="3"/>
      <c r="I29" s="3"/>
      <c r="J29" s="3"/>
      <c r="K29" s="3"/>
      <c r="L29" s="3"/>
      <c r="M29" s="3"/>
      <c r="N29" s="3"/>
      <c r="O29" s="3"/>
      <c r="P29" s="3"/>
      <c r="X29" s="40"/>
      <c r="Y29" s="40"/>
      <c r="Z29" s="41"/>
      <c r="AA29" s="41"/>
      <c r="AI29" s="3"/>
      <c r="AJ29" s="3"/>
      <c r="AK29" s="3"/>
      <c r="AL29" s="3"/>
      <c r="AM29" s="6"/>
      <c r="AN29" s="6"/>
      <c r="AO29" s="4"/>
      <c r="AP29" s="4"/>
      <c r="AQ29" s="4"/>
      <c r="AR29" s="4"/>
      <c r="AS29" s="4"/>
      <c r="AT29" s="4"/>
      <c r="AU29" s="4"/>
      <c r="AV29" s="4"/>
      <c r="AW29" s="4"/>
    </row>
    <row r="30" spans="2:49" ht="25.5" customHeight="1" thickBot="1">
      <c r="B30" s="60" t="s">
        <v>6</v>
      </c>
      <c r="C30" s="3"/>
      <c r="D30" s="3"/>
      <c r="E30" s="35"/>
      <c r="F30" s="3"/>
      <c r="G30" s="3"/>
      <c r="I30" s="60" t="s">
        <v>7</v>
      </c>
      <c r="J30" s="3"/>
      <c r="K30" s="3"/>
      <c r="L30" s="3"/>
      <c r="M30" s="3"/>
      <c r="N30" s="3"/>
      <c r="O30" s="3"/>
      <c r="P30" s="3"/>
      <c r="X30" s="40"/>
      <c r="Y30" s="40"/>
      <c r="Z30" s="41"/>
      <c r="AA30" s="41"/>
      <c r="AI30" s="3"/>
      <c r="AJ30" s="3"/>
      <c r="AK30" s="3"/>
      <c r="AL30" s="3"/>
      <c r="AM30" s="6"/>
      <c r="AN30" s="6"/>
      <c r="AO30" s="4"/>
      <c r="AP30" s="4"/>
      <c r="AQ30" s="4"/>
      <c r="AR30" s="4"/>
      <c r="AS30" s="4"/>
      <c r="AT30" s="4"/>
      <c r="AU30" s="4"/>
      <c r="AV30" s="4"/>
      <c r="AW30" s="4"/>
    </row>
    <row r="31" spans="2:49" ht="25.5" customHeight="1" thickBot="1">
      <c r="B31" s="170" t="s">
        <v>8</v>
      </c>
      <c r="C31" s="171"/>
      <c r="D31" s="171"/>
      <c r="E31" s="172"/>
      <c r="F31" s="3"/>
      <c r="G31" s="49" t="s">
        <v>9</v>
      </c>
      <c r="I31" s="49" t="s">
        <v>10</v>
      </c>
      <c r="J31" s="49" t="s">
        <v>11</v>
      </c>
      <c r="K31" s="49" t="s">
        <v>12</v>
      </c>
      <c r="L31" s="49" t="s">
        <v>13</v>
      </c>
      <c r="M31" s="49" t="s">
        <v>14</v>
      </c>
      <c r="N31" s="49" t="s">
        <v>15</v>
      </c>
      <c r="O31" s="49" t="s">
        <v>16</v>
      </c>
      <c r="P31" s="3"/>
      <c r="Q31" s="3"/>
      <c r="R31" s="3"/>
      <c r="S31" s="3"/>
      <c r="T31" s="3"/>
      <c r="U31" s="3"/>
      <c r="AW31" s="4"/>
    </row>
    <row r="32" spans="2:49" ht="57" customHeight="1">
      <c r="B32" s="173" t="s">
        <v>17</v>
      </c>
      <c r="C32" s="174"/>
      <c r="D32" s="174"/>
      <c r="E32" s="175"/>
      <c r="F32" s="3"/>
      <c r="G32" s="50" t="s">
        <v>18</v>
      </c>
      <c r="I32" s="55">
        <v>24000</v>
      </c>
      <c r="J32" s="55">
        <v>4500</v>
      </c>
      <c r="K32" s="55">
        <v>1875</v>
      </c>
      <c r="L32" s="55">
        <v>375</v>
      </c>
      <c r="M32" s="55"/>
      <c r="N32" s="55"/>
      <c r="O32" s="55"/>
      <c r="P32" s="3"/>
      <c r="Q32" s="3"/>
      <c r="R32" s="3"/>
      <c r="S32" s="3"/>
      <c r="T32" s="3"/>
      <c r="U32" s="3"/>
      <c r="AW32" s="4"/>
    </row>
    <row r="33" spans="2:49" ht="57" customHeight="1">
      <c r="B33" s="176" t="s">
        <v>19</v>
      </c>
      <c r="C33" s="177"/>
      <c r="D33" s="177"/>
      <c r="E33" s="178"/>
      <c r="F33" s="3"/>
      <c r="G33" s="51" t="s">
        <v>20</v>
      </c>
      <c r="I33" s="56">
        <v>80000</v>
      </c>
      <c r="J33" s="56">
        <v>15000</v>
      </c>
      <c r="K33" s="56">
        <v>5000</v>
      </c>
      <c r="L33" s="56">
        <v>1000</v>
      </c>
      <c r="M33" s="56"/>
      <c r="N33" s="56"/>
      <c r="O33" s="56"/>
      <c r="P33" s="3"/>
      <c r="Q33" s="3"/>
      <c r="R33" s="3"/>
      <c r="S33" s="3"/>
      <c r="T33" s="3"/>
      <c r="U33" s="3"/>
      <c r="AW33" s="4"/>
    </row>
    <row r="34" spans="2:49" ht="57" customHeight="1">
      <c r="B34" s="179" t="s">
        <v>21</v>
      </c>
      <c r="C34" s="180"/>
      <c r="D34" s="180"/>
      <c r="E34" s="181"/>
      <c r="F34" s="3"/>
      <c r="G34" s="52" t="s">
        <v>22</v>
      </c>
      <c r="I34" s="57">
        <v>540000</v>
      </c>
      <c r="J34" s="57">
        <v>180000</v>
      </c>
      <c r="K34" s="57">
        <v>36000</v>
      </c>
      <c r="L34" s="57">
        <v>10000</v>
      </c>
      <c r="M34" s="57">
        <v>1500</v>
      </c>
      <c r="N34" s="57">
        <v>350</v>
      </c>
      <c r="O34" s="57">
        <v>140</v>
      </c>
      <c r="P34" s="3"/>
      <c r="Q34" s="3"/>
      <c r="R34" s="3"/>
      <c r="S34" s="3"/>
      <c r="T34" s="3"/>
      <c r="U34" s="3"/>
      <c r="AW34" s="4"/>
    </row>
    <row r="35" spans="2:49" ht="57" customHeight="1">
      <c r="B35" s="182" t="s">
        <v>23</v>
      </c>
      <c r="C35" s="183"/>
      <c r="D35" s="183"/>
      <c r="E35" s="184"/>
      <c r="F35" s="3"/>
      <c r="G35" s="53" t="s">
        <v>24</v>
      </c>
      <c r="I35" s="58">
        <v>2800000</v>
      </c>
      <c r="J35" s="58">
        <v>1000000</v>
      </c>
      <c r="K35" s="58">
        <v>180000</v>
      </c>
      <c r="L35" s="58">
        <v>20000</v>
      </c>
      <c r="M35" s="58">
        <v>8000</v>
      </c>
      <c r="N35" s="58">
        <v>2000</v>
      </c>
      <c r="O35" s="58">
        <v>400</v>
      </c>
      <c r="P35" s="3"/>
      <c r="Q35" s="3"/>
      <c r="R35" s="3"/>
      <c r="S35" s="3"/>
      <c r="T35" s="3"/>
      <c r="U35" s="3"/>
      <c r="AW35" s="4"/>
    </row>
    <row r="36" spans="2:49" ht="57" customHeight="1">
      <c r="B36" s="194" t="s">
        <v>25</v>
      </c>
      <c r="C36" s="195"/>
      <c r="D36" s="195"/>
      <c r="E36" s="196"/>
      <c r="F36" s="3"/>
      <c r="G36" s="54" t="s">
        <v>26</v>
      </c>
      <c r="I36" s="59">
        <v>8000000</v>
      </c>
      <c r="J36" s="59">
        <v>4000000</v>
      </c>
      <c r="K36" s="59">
        <v>600000</v>
      </c>
      <c r="L36" s="59">
        <v>400000</v>
      </c>
      <c r="M36" s="59">
        <v>12000</v>
      </c>
      <c r="N36" s="59">
        <v>6000</v>
      </c>
      <c r="O36" s="59">
        <v>3000</v>
      </c>
      <c r="P36" s="3"/>
      <c r="Q36" s="3"/>
      <c r="R36" s="3"/>
      <c r="S36" s="3"/>
      <c r="T36" s="3"/>
      <c r="U36" s="3"/>
      <c r="AW36" s="4"/>
    </row>
    <row r="37" spans="2:49" ht="25.5" customHeight="1">
      <c r="B37" s="3"/>
      <c r="C37" s="3"/>
      <c r="D37" s="3"/>
      <c r="E37" s="35"/>
      <c r="F37" s="3"/>
      <c r="G37" s="3"/>
      <c r="H37" s="3"/>
      <c r="I37" s="3"/>
      <c r="J37" s="3"/>
      <c r="K37" s="3"/>
      <c r="L37" s="3"/>
      <c r="M37" s="3"/>
      <c r="N37" s="3"/>
      <c r="O37" s="3"/>
      <c r="P37" s="3"/>
      <c r="X37" s="40"/>
      <c r="Y37" s="40"/>
      <c r="Z37" s="41"/>
      <c r="AA37" s="41"/>
      <c r="AI37" s="3"/>
      <c r="AJ37" s="3"/>
      <c r="AK37" s="3"/>
      <c r="AL37" s="3"/>
      <c r="AM37" s="6"/>
      <c r="AN37" s="6"/>
      <c r="AO37" s="4"/>
      <c r="AP37" s="4"/>
      <c r="AQ37" s="4"/>
      <c r="AR37" s="4"/>
      <c r="AS37" s="4"/>
      <c r="AT37" s="4"/>
      <c r="AU37" s="4"/>
      <c r="AV37" s="4"/>
      <c r="AW37" s="4"/>
    </row>
    <row r="38" spans="2:49" ht="25.5" customHeight="1" thickBot="1">
      <c r="B38" s="60" t="s">
        <v>27</v>
      </c>
      <c r="C38" s="3"/>
      <c r="D38" s="3"/>
      <c r="E38" s="35"/>
      <c r="F38" s="3"/>
      <c r="G38" s="107" t="s">
        <v>28</v>
      </c>
      <c r="I38" s="60" t="s">
        <v>29</v>
      </c>
      <c r="J38" s="3"/>
      <c r="K38" s="3"/>
      <c r="L38" s="3"/>
      <c r="M38" s="3"/>
      <c r="N38" s="3"/>
      <c r="O38" s="3"/>
      <c r="P38" s="3"/>
      <c r="X38" s="40"/>
      <c r="Y38" s="40"/>
      <c r="Z38" s="41"/>
      <c r="AA38" s="41"/>
      <c r="AI38" s="3"/>
      <c r="AJ38" s="3"/>
      <c r="AK38" s="3"/>
      <c r="AL38" s="3"/>
      <c r="AM38" s="6"/>
      <c r="AN38" s="6"/>
      <c r="AO38" s="4"/>
      <c r="AP38" s="4"/>
      <c r="AQ38" s="4"/>
      <c r="AR38" s="4"/>
      <c r="AS38" s="4"/>
      <c r="AT38" s="4"/>
      <c r="AU38" s="4"/>
      <c r="AV38" s="4"/>
      <c r="AW38" s="4"/>
    </row>
    <row r="39" spans="2:49" ht="25.5" customHeight="1" thickBot="1">
      <c r="B39" s="170" t="s">
        <v>30</v>
      </c>
      <c r="C39" s="171"/>
      <c r="D39" s="171"/>
      <c r="E39" s="172"/>
      <c r="F39" s="3"/>
      <c r="G39" s="49" t="s">
        <v>31</v>
      </c>
      <c r="I39" s="49" t="s">
        <v>10</v>
      </c>
      <c r="J39" s="49" t="s">
        <v>11</v>
      </c>
      <c r="K39" s="49" t="s">
        <v>12</v>
      </c>
      <c r="L39" s="49" t="s">
        <v>13</v>
      </c>
      <c r="M39" s="49" t="s">
        <v>14</v>
      </c>
      <c r="N39" s="49" t="s">
        <v>15</v>
      </c>
      <c r="O39" s="49" t="s">
        <v>16</v>
      </c>
      <c r="P39" s="3"/>
      <c r="X39" s="40"/>
      <c r="Y39" s="40"/>
      <c r="Z39" s="41"/>
      <c r="AA39" s="41"/>
      <c r="AI39" s="3"/>
      <c r="AJ39" s="3"/>
      <c r="AK39" s="3"/>
      <c r="AL39" s="3"/>
      <c r="AM39" s="6"/>
      <c r="AN39" s="6"/>
      <c r="AO39" s="4"/>
      <c r="AP39" s="4"/>
      <c r="AQ39" s="4"/>
      <c r="AR39" s="4"/>
      <c r="AS39" s="4"/>
      <c r="AT39" s="4"/>
      <c r="AU39" s="4"/>
      <c r="AV39" s="4"/>
      <c r="AW39" s="4"/>
    </row>
    <row r="40" spans="2:49" ht="25.5" customHeight="1">
      <c r="B40" s="197" t="s">
        <v>32</v>
      </c>
      <c r="C40" s="198"/>
      <c r="D40" s="198"/>
      <c r="E40" s="199"/>
      <c r="F40" s="3"/>
      <c r="G40" s="93">
        <v>0.1</v>
      </c>
      <c r="I40" s="92">
        <v>400</v>
      </c>
      <c r="J40" s="92"/>
      <c r="K40" s="92"/>
      <c r="L40" s="92"/>
      <c r="M40" s="92"/>
      <c r="N40" s="92"/>
      <c r="O40" s="92"/>
      <c r="P40" s="3"/>
      <c r="X40" s="40"/>
      <c r="Y40" s="40"/>
      <c r="Z40" s="41"/>
      <c r="AA40" s="41"/>
      <c r="AI40" s="3"/>
      <c r="AJ40" s="3"/>
      <c r="AK40" s="3"/>
      <c r="AL40" s="3"/>
      <c r="AM40" s="6"/>
      <c r="AN40" s="6"/>
      <c r="AO40" s="4"/>
      <c r="AP40" s="4"/>
      <c r="AQ40" s="4"/>
      <c r="AR40" s="4"/>
      <c r="AS40" s="4"/>
      <c r="AT40" s="4"/>
      <c r="AU40" s="4"/>
      <c r="AV40" s="4"/>
      <c r="AW40" s="4"/>
    </row>
    <row r="41" spans="2:49" ht="25.5" customHeight="1">
      <c r="B41" s="200" t="s">
        <v>33</v>
      </c>
      <c r="C41" s="201"/>
      <c r="D41" s="201"/>
      <c r="E41" s="202"/>
      <c r="F41" s="3"/>
      <c r="G41" s="94">
        <v>0.15</v>
      </c>
      <c r="I41" s="89">
        <v>150</v>
      </c>
      <c r="J41" s="89">
        <v>90</v>
      </c>
      <c r="K41" s="89"/>
      <c r="L41" s="89"/>
      <c r="M41" s="89"/>
      <c r="N41" s="89"/>
      <c r="O41" s="89"/>
      <c r="P41" s="3"/>
      <c r="X41" s="40"/>
      <c r="Y41" s="40"/>
      <c r="Z41" s="41"/>
      <c r="AA41" s="41"/>
      <c r="AI41" s="3"/>
      <c r="AJ41" s="3"/>
      <c r="AK41" s="3"/>
      <c r="AL41" s="3"/>
      <c r="AM41" s="6"/>
      <c r="AN41" s="6"/>
      <c r="AO41" s="4"/>
      <c r="AP41" s="4"/>
      <c r="AQ41" s="4"/>
      <c r="AR41" s="4"/>
      <c r="AS41" s="4"/>
      <c r="AT41" s="4"/>
      <c r="AU41" s="4"/>
      <c r="AV41" s="4"/>
      <c r="AW41" s="4"/>
    </row>
    <row r="42" spans="2:49" ht="25.5" customHeight="1">
      <c r="B42" s="203" t="s">
        <v>34</v>
      </c>
      <c r="C42" s="204"/>
      <c r="D42" s="204"/>
      <c r="E42" s="205"/>
      <c r="F42" s="3"/>
      <c r="G42" s="95">
        <v>0.6</v>
      </c>
      <c r="I42" s="90"/>
      <c r="J42" s="90">
        <v>90</v>
      </c>
      <c r="K42" s="90"/>
      <c r="L42" s="90">
        <v>75</v>
      </c>
      <c r="M42" s="90"/>
      <c r="N42" s="90"/>
      <c r="O42" s="90"/>
      <c r="P42" s="3"/>
      <c r="X42" s="40"/>
      <c r="Y42" s="40"/>
      <c r="Z42" s="41"/>
      <c r="AA42" s="41"/>
      <c r="AI42" s="3"/>
      <c r="AJ42" s="3"/>
      <c r="AK42" s="3"/>
      <c r="AL42" s="3"/>
      <c r="AM42" s="6"/>
      <c r="AN42" s="6"/>
      <c r="AO42" s="4"/>
      <c r="AP42" s="4"/>
      <c r="AQ42" s="4"/>
      <c r="AR42" s="4"/>
      <c r="AS42" s="4"/>
      <c r="AT42" s="4"/>
      <c r="AU42" s="4"/>
      <c r="AV42" s="4"/>
      <c r="AW42" s="4"/>
    </row>
    <row r="43" spans="2:49" ht="25.5" customHeight="1">
      <c r="B43" s="166" t="s">
        <v>35</v>
      </c>
      <c r="C43" s="167"/>
      <c r="D43" s="167"/>
      <c r="E43" s="168"/>
      <c r="F43" s="3"/>
      <c r="G43" s="96">
        <v>1.2</v>
      </c>
      <c r="I43" s="91"/>
      <c r="J43" s="91"/>
      <c r="K43" s="91">
        <v>60</v>
      </c>
      <c r="L43" s="91">
        <v>120</v>
      </c>
      <c r="M43" s="91"/>
      <c r="N43" s="91"/>
      <c r="O43" s="91"/>
      <c r="P43" s="3"/>
      <c r="X43" s="40"/>
      <c r="Y43" s="40"/>
      <c r="Z43" s="41"/>
      <c r="AA43" s="41"/>
      <c r="AI43" s="3"/>
      <c r="AJ43" s="3"/>
      <c r="AK43" s="3"/>
      <c r="AL43" s="3"/>
      <c r="AM43" s="6"/>
      <c r="AN43" s="6"/>
      <c r="AO43" s="4"/>
      <c r="AP43" s="4"/>
      <c r="AQ43" s="4"/>
      <c r="AR43" s="4"/>
      <c r="AS43" s="4"/>
      <c r="AT43" s="4"/>
      <c r="AU43" s="4"/>
      <c r="AV43" s="4"/>
      <c r="AW43" s="4"/>
    </row>
    <row r="44" spans="2:49" ht="25.5" customHeight="1">
      <c r="B44" s="60" t="s">
        <v>36</v>
      </c>
      <c r="C44" s="3"/>
      <c r="D44" s="3"/>
      <c r="E44" s="35"/>
      <c r="F44" s="3"/>
      <c r="G44" s="3"/>
      <c r="H44" s="3"/>
      <c r="I44" s="3"/>
      <c r="J44" s="3"/>
      <c r="K44" s="3"/>
      <c r="L44" s="3"/>
      <c r="M44" s="3"/>
      <c r="N44" s="3"/>
      <c r="O44" s="3"/>
      <c r="P44" s="3"/>
      <c r="X44" s="40"/>
      <c r="Y44" s="40"/>
      <c r="Z44" s="41"/>
      <c r="AA44" s="41"/>
      <c r="AI44" s="3"/>
      <c r="AJ44" s="3"/>
      <c r="AK44" s="3"/>
      <c r="AL44" s="3"/>
      <c r="AM44" s="6"/>
      <c r="AN44" s="6"/>
      <c r="AO44" s="4"/>
      <c r="AP44" s="4"/>
      <c r="AQ44" s="4"/>
      <c r="AR44" s="4"/>
      <c r="AS44" s="4"/>
      <c r="AT44" s="4"/>
      <c r="AU44" s="4"/>
      <c r="AV44" s="4"/>
      <c r="AW44" s="4"/>
    </row>
    <row r="45" spans="2:49" ht="25.5" customHeight="1">
      <c r="B45" s="97" t="s">
        <v>37</v>
      </c>
      <c r="C45" s="3"/>
      <c r="D45" s="3"/>
      <c r="E45" s="35"/>
      <c r="F45" s="3"/>
      <c r="G45" s="3"/>
      <c r="H45" s="3"/>
      <c r="I45" s="3"/>
      <c r="J45" s="3"/>
      <c r="K45" s="3"/>
      <c r="L45" s="3"/>
      <c r="M45" s="3"/>
      <c r="N45" s="3"/>
      <c r="O45" s="3"/>
      <c r="P45" s="3"/>
      <c r="X45" s="40"/>
      <c r="Y45" s="40"/>
      <c r="Z45" s="41"/>
      <c r="AA45" s="41"/>
      <c r="AI45" s="3"/>
      <c r="AJ45" s="3"/>
      <c r="AK45" s="3"/>
      <c r="AL45" s="3"/>
      <c r="AM45" s="6"/>
      <c r="AN45" s="6"/>
      <c r="AO45" s="4"/>
      <c r="AP45" s="4"/>
      <c r="AQ45" s="4"/>
      <c r="AR45" s="4"/>
      <c r="AS45" s="4"/>
      <c r="AT45" s="4"/>
      <c r="AU45" s="4"/>
      <c r="AV45" s="4"/>
      <c r="AW45" s="4"/>
    </row>
    <row r="46" spans="2:49" ht="25.5" customHeight="1">
      <c r="B46" s="143" t="s">
        <v>38</v>
      </c>
      <c r="C46" s="143"/>
      <c r="D46" s="143"/>
      <c r="E46" s="143"/>
      <c r="F46" s="143"/>
      <c r="G46" s="143"/>
      <c r="H46" s="143"/>
      <c r="I46" s="143"/>
      <c r="J46" s="143"/>
      <c r="K46" s="143"/>
      <c r="L46" s="143"/>
      <c r="M46" s="143"/>
      <c r="N46" s="143"/>
      <c r="O46" s="143"/>
      <c r="P46" s="143"/>
      <c r="X46" s="40"/>
      <c r="Y46" s="40"/>
      <c r="Z46" s="41"/>
      <c r="AA46" s="41"/>
      <c r="AI46" s="3"/>
      <c r="AJ46" s="3"/>
      <c r="AK46" s="3"/>
      <c r="AL46" s="3"/>
      <c r="AM46" s="6"/>
      <c r="AN46" s="6"/>
      <c r="AO46" s="4"/>
      <c r="AP46" s="4"/>
      <c r="AQ46" s="4"/>
      <c r="AR46" s="4"/>
      <c r="AS46" s="4"/>
      <c r="AT46" s="4"/>
      <c r="AU46" s="4"/>
      <c r="AV46" s="4"/>
      <c r="AW46" s="4"/>
    </row>
    <row r="47" spans="2:49" ht="25.5" customHeight="1">
      <c r="B47" s="147" t="s">
        <v>39</v>
      </c>
      <c r="C47" s="148"/>
      <c r="D47" s="148"/>
      <c r="E47" s="148"/>
      <c r="F47" s="148"/>
      <c r="G47" s="148"/>
      <c r="H47" s="148"/>
      <c r="I47" s="148"/>
      <c r="J47" s="148"/>
      <c r="K47" s="148"/>
      <c r="L47" s="148"/>
      <c r="M47" s="148"/>
      <c r="N47" s="148"/>
      <c r="O47" s="148"/>
      <c r="P47" s="148"/>
      <c r="Q47" s="148"/>
      <c r="R47" s="148"/>
      <c r="S47" s="148"/>
      <c r="T47" s="148"/>
      <c r="U47" s="148"/>
      <c r="AU47" s="4"/>
      <c r="AV47" s="4"/>
      <c r="AW47" s="4"/>
    </row>
    <row r="48" spans="2:49" ht="14.45" customHeight="1">
      <c r="D48" s="3"/>
      <c r="E48" s="35"/>
      <c r="F48" s="3"/>
      <c r="G48" s="3"/>
      <c r="H48" s="3"/>
      <c r="I48" s="3"/>
      <c r="J48" s="3"/>
      <c r="K48" s="3"/>
      <c r="L48" s="3"/>
      <c r="M48" s="3"/>
      <c r="N48" s="3"/>
      <c r="O48" s="3"/>
      <c r="P48" s="3"/>
      <c r="Q48" s="24"/>
      <c r="AU48" s="4"/>
      <c r="AV48" s="4"/>
      <c r="AW48" s="4"/>
    </row>
    <row r="49" spans="2:109" ht="39" customHeight="1">
      <c r="B49" s="159" t="s">
        <v>40</v>
      </c>
      <c r="C49" s="159"/>
      <c r="D49" s="159"/>
      <c r="E49" s="159"/>
      <c r="F49" s="159"/>
      <c r="G49" s="159"/>
      <c r="H49" s="159"/>
      <c r="I49" s="159"/>
      <c r="J49" s="159"/>
      <c r="K49" s="159"/>
      <c r="L49" s="159"/>
      <c r="M49" s="159"/>
      <c r="N49" s="159"/>
      <c r="O49" s="159"/>
      <c r="P49" s="159"/>
      <c r="Q49" s="159"/>
      <c r="R49" s="159"/>
      <c r="S49" s="159"/>
      <c r="T49" s="159"/>
      <c r="U49" s="159"/>
      <c r="AU49" s="4"/>
      <c r="AV49" s="4"/>
      <c r="AW49" s="4"/>
    </row>
    <row r="50" spans="2:109" ht="25.5" customHeight="1" thickBot="1">
      <c r="B50" s="28"/>
      <c r="Q50" s="24"/>
      <c r="AU50" s="4"/>
      <c r="AV50" s="4"/>
      <c r="AW50" s="4"/>
    </row>
    <row r="51" spans="2:109" ht="25.5" customHeight="1" thickTop="1" thickBot="1">
      <c r="B51" s="17" t="s">
        <v>41</v>
      </c>
      <c r="C51" s="17" t="s">
        <v>42</v>
      </c>
      <c r="D51" s="17" t="s">
        <v>43</v>
      </c>
      <c r="E51" s="36" t="s">
        <v>44</v>
      </c>
      <c r="G51" s="160" t="s">
        <v>45</v>
      </c>
      <c r="H51" s="161"/>
      <c r="I51" s="161"/>
      <c r="J51" s="161"/>
      <c r="K51" s="161"/>
      <c r="L51" s="161"/>
      <c r="M51" s="161"/>
      <c r="N51" s="161"/>
      <c r="O51" s="161"/>
      <c r="P51" s="161"/>
      <c r="Q51" s="161"/>
      <c r="R51" s="161"/>
      <c r="S51" s="161"/>
      <c r="T51" s="161"/>
      <c r="U51" s="162"/>
      <c r="W51" s="1" t="s">
        <v>46</v>
      </c>
      <c r="AU51" s="4"/>
      <c r="AV51" s="4"/>
      <c r="AW51" s="4"/>
    </row>
    <row r="52" spans="2:109" ht="33.75" customHeight="1" thickTop="1">
      <c r="B52" s="12" t="s">
        <v>47</v>
      </c>
      <c r="C52" s="13" t="s">
        <v>48</v>
      </c>
      <c r="D52" s="14">
        <v>50</v>
      </c>
      <c r="E52" s="26">
        <f>ROUND(MAX(J36/(J42/G42),L36/(L42/G42)),0)</f>
        <v>26667</v>
      </c>
      <c r="F52" s="29">
        <f>IF(ISBLANK(E52),0,IF(E52=Answers!E52,1,-1))</f>
        <v>1</v>
      </c>
      <c r="G52" s="163" t="s">
        <v>49</v>
      </c>
      <c r="H52" s="164"/>
      <c r="I52" s="164"/>
      <c r="J52" s="164"/>
      <c r="K52" s="164"/>
      <c r="L52" s="164"/>
      <c r="M52" s="164"/>
      <c r="N52" s="164"/>
      <c r="O52" s="164"/>
      <c r="P52" s="164"/>
      <c r="Q52" s="164"/>
      <c r="R52" s="164"/>
      <c r="S52" s="164"/>
      <c r="T52" s="164"/>
      <c r="U52" s="165"/>
      <c r="W52" s="1" t="s">
        <v>50</v>
      </c>
      <c r="AU52" s="4"/>
      <c r="AV52" s="4"/>
      <c r="AW52" s="4"/>
    </row>
    <row r="53" spans="2:109" ht="33.75" customHeight="1">
      <c r="B53" s="12" t="s">
        <v>51</v>
      </c>
      <c r="C53" s="13" t="s">
        <v>52</v>
      </c>
      <c r="D53" s="14">
        <v>75</v>
      </c>
      <c r="E53" s="26">
        <f>'Bonus 2'!K9</f>
        <v>58687</v>
      </c>
      <c r="F53" s="29">
        <f>IF(ISBLANK(E53),0,IF(E53=Answers!E53,1,-1))</f>
        <v>1</v>
      </c>
      <c r="G53" s="144" t="s">
        <v>53</v>
      </c>
      <c r="H53" s="145"/>
      <c r="I53" s="145"/>
      <c r="J53" s="145"/>
      <c r="K53" s="145"/>
      <c r="L53" s="145"/>
      <c r="M53" s="145"/>
      <c r="N53" s="145"/>
      <c r="O53" s="145"/>
      <c r="P53" s="145"/>
      <c r="Q53" s="145"/>
      <c r="R53" s="145"/>
      <c r="S53" s="145"/>
      <c r="T53" s="145"/>
      <c r="U53" s="146"/>
      <c r="W53" s="142" t="s">
        <v>331</v>
      </c>
      <c r="AU53" s="4"/>
      <c r="AV53" s="4"/>
      <c r="AW53" s="4"/>
    </row>
    <row r="54" spans="2:109" ht="58.5" customHeight="1">
      <c r="B54" s="12" t="s">
        <v>54</v>
      </c>
      <c r="C54" s="13" t="s">
        <v>55</v>
      </c>
      <c r="D54" s="14">
        <v>100</v>
      </c>
      <c r="E54" s="26">
        <f>'Bonus 3'!M9</f>
        <v>49</v>
      </c>
      <c r="F54" s="29">
        <f>IF(ISBLANK(E54),0,IF(E54=Answers!E54,1,-1))</f>
        <v>1</v>
      </c>
      <c r="G54" s="144" t="s">
        <v>56</v>
      </c>
      <c r="H54" s="145"/>
      <c r="I54" s="145"/>
      <c r="J54" s="145"/>
      <c r="K54" s="145"/>
      <c r="L54" s="145"/>
      <c r="M54" s="145"/>
      <c r="N54" s="145"/>
      <c r="O54" s="145"/>
      <c r="P54" s="145"/>
      <c r="Q54" s="145"/>
      <c r="R54" s="145"/>
      <c r="S54" s="145"/>
      <c r="T54" s="145"/>
      <c r="U54" s="146"/>
      <c r="W54" s="142" t="s">
        <v>332</v>
      </c>
      <c r="AU54" s="4"/>
      <c r="AV54" s="4"/>
      <c r="AW54" s="4"/>
    </row>
    <row r="55" spans="2:109" ht="33.75" customHeight="1">
      <c r="B55" s="12" t="s">
        <v>57</v>
      </c>
      <c r="C55" s="13" t="s">
        <v>58</v>
      </c>
      <c r="D55" s="14">
        <v>125</v>
      </c>
      <c r="E55" s="26">
        <f>'Bonus 4'!R6</f>
        <v>63921</v>
      </c>
      <c r="F55" s="29">
        <f>IF(ISBLANK(E55),0,IF(E55=Answers!E55,1,-1))</f>
        <v>1</v>
      </c>
      <c r="G55" s="144" t="s">
        <v>59</v>
      </c>
      <c r="H55" s="145"/>
      <c r="I55" s="145"/>
      <c r="J55" s="145"/>
      <c r="K55" s="145"/>
      <c r="L55" s="145"/>
      <c r="M55" s="145"/>
      <c r="N55" s="145"/>
      <c r="O55" s="145"/>
      <c r="P55" s="145"/>
      <c r="Q55" s="145"/>
      <c r="R55" s="145"/>
      <c r="S55" s="145"/>
      <c r="T55" s="145"/>
      <c r="U55" s="146"/>
      <c r="W55" s="142" t="s">
        <v>333</v>
      </c>
      <c r="AU55" s="4"/>
      <c r="AV55" s="4"/>
      <c r="AW55" s="4"/>
    </row>
    <row r="56" spans="2:109" ht="33" customHeight="1">
      <c r="B56" s="12" t="s">
        <v>60</v>
      </c>
      <c r="C56" s="13" t="s">
        <v>61</v>
      </c>
      <c r="D56" s="14">
        <v>150</v>
      </c>
      <c r="E56" s="26">
        <f>'Bonus 5'!D91</f>
        <v>287923</v>
      </c>
      <c r="F56" s="29">
        <f>IF(ISBLANK(E56),0,IF(E56=Answers!E56,1,-1))</f>
        <v>1</v>
      </c>
      <c r="G56" s="144" t="s">
        <v>62</v>
      </c>
      <c r="H56" s="145"/>
      <c r="I56" s="145"/>
      <c r="J56" s="145"/>
      <c r="K56" s="145"/>
      <c r="L56" s="145"/>
      <c r="M56" s="145"/>
      <c r="N56" s="145"/>
      <c r="O56" s="145"/>
      <c r="P56" s="145"/>
      <c r="Q56" s="145"/>
      <c r="R56" s="145"/>
      <c r="S56" s="145"/>
      <c r="T56" s="145"/>
      <c r="U56" s="146"/>
      <c r="W56" s="142" t="s">
        <v>63</v>
      </c>
      <c r="AI56" s="3"/>
      <c r="AS56" s="4"/>
      <c r="AT56" s="4"/>
      <c r="AU56" s="4"/>
      <c r="AV56" s="4"/>
      <c r="AW56" s="4"/>
    </row>
    <row r="57" spans="2:109" ht="21.75" customHeight="1">
      <c r="B57" s="1"/>
      <c r="C57" s="1"/>
      <c r="D57" s="1"/>
      <c r="E57" s="31"/>
      <c r="AI57" s="3"/>
      <c r="AS57" s="4"/>
      <c r="AT57" s="4"/>
      <c r="AU57" s="4"/>
      <c r="AV57" s="4"/>
      <c r="AW57" s="4"/>
    </row>
    <row r="58" spans="2:109" ht="21.75" customHeight="1">
      <c r="B58" s="1"/>
      <c r="C58" s="1"/>
      <c r="D58" s="1"/>
      <c r="E58" s="31"/>
      <c r="AI58" s="3"/>
      <c r="AS58" s="4"/>
      <c r="AT58" s="4"/>
      <c r="AU58" s="4"/>
      <c r="AV58" s="4"/>
      <c r="AW58" s="4"/>
    </row>
    <row r="59" spans="2:109" ht="27.75">
      <c r="B59" s="23" t="s">
        <v>64</v>
      </c>
      <c r="C59" s="132"/>
      <c r="D59" s="132"/>
      <c r="E59" s="133"/>
      <c r="F59" s="132"/>
      <c r="G59" s="132"/>
      <c r="H59" s="132"/>
      <c r="I59" s="132"/>
      <c r="J59" s="20"/>
      <c r="K59" s="20"/>
      <c r="L59" s="20"/>
      <c r="M59" s="20"/>
      <c r="N59" s="20"/>
      <c r="O59" s="20"/>
      <c r="P59" s="20"/>
      <c r="Q59" s="20"/>
      <c r="R59" s="20"/>
      <c r="S59" s="20"/>
      <c r="T59" s="20"/>
      <c r="U59" s="20"/>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row>
    <row r="60" spans="2:109" ht="20.25" customHeight="1" thickBot="1">
      <c r="B60" s="8"/>
      <c r="C60" s="8"/>
      <c r="D60" s="8"/>
      <c r="E60" s="37"/>
      <c r="F60" s="8"/>
      <c r="G60" s="8"/>
      <c r="H60" s="8"/>
      <c r="I60" s="8"/>
      <c r="J60" s="8"/>
      <c r="K60" s="8"/>
      <c r="L60" s="8"/>
      <c r="M60" s="8"/>
      <c r="N60" s="8"/>
      <c r="O60" s="8"/>
      <c r="P60" s="8"/>
      <c r="Q60" s="8"/>
      <c r="R60" s="8"/>
      <c r="S60" s="8"/>
      <c r="T60" s="8"/>
      <c r="U60" s="8"/>
      <c r="AM60" s="4"/>
      <c r="AN60" s="4"/>
      <c r="AO60" s="4"/>
      <c r="AP60" s="4"/>
      <c r="AQ60" s="4"/>
      <c r="AR60" s="4"/>
      <c r="AS60" s="4"/>
      <c r="AT60" s="4"/>
      <c r="AU60" s="4"/>
      <c r="AV60" s="4"/>
      <c r="AW60" s="4"/>
    </row>
    <row r="61" spans="2:109" ht="24.75" customHeight="1" thickTop="1" thickBot="1">
      <c r="B61" s="19" t="s">
        <v>65</v>
      </c>
      <c r="C61" s="9" t="s">
        <v>66</v>
      </c>
      <c r="Q61" s="147" t="s">
        <v>67</v>
      </c>
      <c r="R61" s="148"/>
      <c r="S61" s="148"/>
      <c r="T61" s="148"/>
      <c r="U61" s="149"/>
      <c r="AM61" s="4"/>
      <c r="AN61" s="4"/>
      <c r="AO61" s="4"/>
      <c r="AP61" s="4"/>
      <c r="AQ61" s="4"/>
      <c r="AR61" s="4"/>
      <c r="AS61" s="4"/>
      <c r="AT61" s="4"/>
      <c r="AU61" s="4"/>
      <c r="AV61" s="4"/>
      <c r="AW61" s="4"/>
    </row>
    <row r="62" spans="2:109" ht="15" customHeight="1" thickTop="1">
      <c r="Q62" s="150" cm="1">
        <f t="array" ref="Q62">SUMPRODUCT(--(F:F=1),D:D)</f>
        <v>2000</v>
      </c>
      <c r="R62" s="151"/>
      <c r="S62" s="151"/>
      <c r="T62" s="151"/>
      <c r="U62" s="152"/>
      <c r="AM62" s="4"/>
      <c r="AN62" s="4"/>
      <c r="AO62" s="4"/>
      <c r="AP62" s="4"/>
      <c r="AQ62" s="4"/>
      <c r="AR62" s="4"/>
      <c r="AS62" s="4"/>
      <c r="AT62" s="4"/>
      <c r="AU62" s="4"/>
      <c r="AV62" s="4"/>
      <c r="AW62" s="4"/>
    </row>
    <row r="63" spans="2:109" ht="15" customHeight="1">
      <c r="B63" s="18" t="s">
        <v>68</v>
      </c>
      <c r="Q63" s="153"/>
      <c r="R63" s="154"/>
      <c r="S63" s="154"/>
      <c r="T63" s="154"/>
      <c r="U63" s="155"/>
      <c r="AM63" s="4"/>
      <c r="AN63" s="4"/>
      <c r="AO63" s="4"/>
      <c r="AP63" s="4"/>
      <c r="AQ63" s="4"/>
      <c r="AR63" s="4"/>
      <c r="AS63" s="4"/>
      <c r="AT63" s="4"/>
      <c r="AU63" s="4"/>
      <c r="AV63" s="4"/>
      <c r="AW63" s="4"/>
    </row>
    <row r="64" spans="2:109" ht="15" customHeight="1">
      <c r="B64" s="18" t="s">
        <v>69</v>
      </c>
      <c r="Q64" s="153"/>
      <c r="R64" s="154"/>
      <c r="S64" s="154"/>
      <c r="T64" s="154"/>
      <c r="U64" s="155"/>
      <c r="AM64" s="4"/>
      <c r="AN64" s="4"/>
      <c r="AO64" s="4"/>
      <c r="AP64" s="4"/>
      <c r="AQ64" s="4"/>
      <c r="AR64" s="4"/>
      <c r="AS64" s="4"/>
      <c r="AT64" s="4"/>
      <c r="AU64" s="4"/>
      <c r="AV64" s="4"/>
      <c r="AW64" s="4"/>
    </row>
    <row r="65" spans="2:99" ht="15" customHeight="1">
      <c r="B65" s="18"/>
      <c r="Q65" s="153"/>
      <c r="R65" s="154"/>
      <c r="S65" s="154"/>
      <c r="T65" s="154"/>
      <c r="U65" s="155"/>
      <c r="AM65" s="4"/>
      <c r="AN65" s="4"/>
      <c r="AO65" s="4"/>
      <c r="AP65" s="4"/>
      <c r="AQ65" s="4"/>
      <c r="AR65" s="4"/>
      <c r="AS65" s="4"/>
      <c r="AT65" s="4"/>
      <c r="AU65" s="4"/>
      <c r="AV65" s="4"/>
      <c r="AW65" s="4"/>
    </row>
    <row r="66" spans="2:99" ht="15" customHeight="1">
      <c r="B66" s="18" t="s">
        <v>70</v>
      </c>
      <c r="Q66" s="156"/>
      <c r="R66" s="157"/>
      <c r="S66" s="157"/>
      <c r="T66" s="157"/>
      <c r="U66" s="158"/>
      <c r="AM66" s="4"/>
      <c r="AN66" s="4"/>
      <c r="AO66" s="4"/>
      <c r="AP66" s="4"/>
      <c r="AQ66" s="4"/>
      <c r="AR66" s="4"/>
      <c r="AS66" s="4"/>
      <c r="AT66" s="4"/>
      <c r="AU66" s="4"/>
      <c r="AV66" s="4"/>
      <c r="AW66" s="4"/>
    </row>
    <row r="67" spans="2:99" ht="15" customHeight="1">
      <c r="B67" s="18"/>
      <c r="C67" s="64" t="s">
        <v>71</v>
      </c>
      <c r="Q67" s="4"/>
      <c r="R67" s="4"/>
      <c r="S67" s="4"/>
      <c r="T67" s="4"/>
      <c r="U67" s="4"/>
      <c r="AM67" s="4"/>
      <c r="AN67" s="4"/>
      <c r="AO67" s="4"/>
      <c r="AP67" s="4"/>
      <c r="AQ67" s="4"/>
      <c r="AR67" s="4"/>
      <c r="AS67" s="4"/>
      <c r="AT67" s="4"/>
      <c r="AU67" s="4"/>
      <c r="AV67" s="4"/>
      <c r="AW67" s="4"/>
    </row>
    <row r="68" spans="2:99" ht="15" customHeight="1">
      <c r="B68" s="18"/>
      <c r="G68" s="22"/>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row>
    <row r="69" spans="2:99" ht="15" customHeight="1" thickBot="1">
      <c r="B69" s="18"/>
      <c r="G69" s="22"/>
      <c r="I69" s="21" t="s">
        <v>72</v>
      </c>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row>
    <row r="70" spans="2:99" ht="31.5" thickTop="1" thickBot="1">
      <c r="B70" s="17" t="s">
        <v>73</v>
      </c>
      <c r="C70" s="17" t="s">
        <v>74</v>
      </c>
      <c r="D70" s="17" t="s">
        <v>43</v>
      </c>
      <c r="E70" s="36" t="s">
        <v>44</v>
      </c>
      <c r="G70" s="49" t="s">
        <v>8</v>
      </c>
      <c r="I70" s="61" t="s">
        <v>10</v>
      </c>
      <c r="M70" s="1" t="s">
        <v>75</v>
      </c>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row>
    <row r="71" spans="2:99" ht="15.75" thickTop="1">
      <c r="B71" s="1"/>
      <c r="C71" s="1"/>
      <c r="D71" s="1"/>
      <c r="E71" s="31"/>
      <c r="M71" s="1" t="s">
        <v>326</v>
      </c>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row>
    <row r="72" spans="2:99" ht="23.25">
      <c r="B72" s="12" t="s">
        <v>76</v>
      </c>
      <c r="C72" s="13">
        <v>1</v>
      </c>
      <c r="D72" s="14">
        <v>0</v>
      </c>
      <c r="E72" s="26">
        <v>366</v>
      </c>
      <c r="F72" s="29">
        <f>IF(ISBLANK(E72),0,IF(E72=Answers!E72,1,-1))</f>
        <v>1</v>
      </c>
      <c r="G72" s="62" t="s">
        <v>19</v>
      </c>
      <c r="I72" s="63">
        <v>4.58</v>
      </c>
      <c r="M72" s="1" t="s">
        <v>327</v>
      </c>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row>
    <row r="73" spans="2:99" ht="15.75">
      <c r="B73" s="1"/>
      <c r="C73" s="1"/>
      <c r="D73" s="1"/>
      <c r="E73" s="31"/>
      <c r="G73" s="48"/>
      <c r="I73" s="48"/>
      <c r="M73" s="1" t="s">
        <v>328</v>
      </c>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row>
    <row r="74" spans="2:99" ht="23.25">
      <c r="B74" s="15">
        <v>1</v>
      </c>
      <c r="C74" s="15">
        <v>1</v>
      </c>
      <c r="D74" s="16">
        <v>5</v>
      </c>
      <c r="E74" s="26">
        <f>ROUND(INDEX($I$32:$I$36,MATCH(G74,$B$32:$B$36,0))*I74/1000,0)</f>
        <v>323</v>
      </c>
      <c r="F74" s="29">
        <f>IF(ISBLANK(E74),0,IF(E74=Answers!E74,1,-1))</f>
        <v>1</v>
      </c>
      <c r="G74" s="62" t="s">
        <v>19</v>
      </c>
      <c r="I74" s="63">
        <v>4.04</v>
      </c>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row>
    <row r="75" spans="2:99" ht="23.25">
      <c r="B75" s="15">
        <f>B74+1</f>
        <v>2</v>
      </c>
      <c r="C75" s="15">
        <v>1</v>
      </c>
      <c r="D75" s="16">
        <v>5</v>
      </c>
      <c r="E75" s="26">
        <f t="shared" ref="E75:E93" si="0">ROUND(INDEX($I$32:$I$36,MATCH(G75,$B$32:$B$36,0))*I75/1000,0)</f>
        <v>2533</v>
      </c>
      <c r="F75" s="29">
        <f>IF(ISBLANK(E75),0,IF(E75=Answers!E75,1,-1))</f>
        <v>1</v>
      </c>
      <c r="G75" s="62" t="s">
        <v>21</v>
      </c>
      <c r="I75" s="63">
        <v>4.6900000000000004</v>
      </c>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row>
    <row r="76" spans="2:99" ht="23.25">
      <c r="B76" s="15">
        <f>B75+1</f>
        <v>3</v>
      </c>
      <c r="C76" s="15">
        <v>1</v>
      </c>
      <c r="D76" s="16">
        <v>5</v>
      </c>
      <c r="E76" s="26">
        <f t="shared" si="0"/>
        <v>2176</v>
      </c>
      <c r="F76" s="29">
        <f>IF(ISBLANK(E76),0,IF(E76=Answers!E76,1,-1))</f>
        <v>1</v>
      </c>
      <c r="G76" s="62" t="s">
        <v>21</v>
      </c>
      <c r="I76" s="63">
        <v>4.03</v>
      </c>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row>
    <row r="77" spans="2:99" ht="23.25">
      <c r="B77" s="15">
        <f t="shared" ref="B77:B126" si="1">B76+1</f>
        <v>4</v>
      </c>
      <c r="C77" s="15">
        <v>1</v>
      </c>
      <c r="D77" s="16">
        <v>5</v>
      </c>
      <c r="E77" s="26">
        <f t="shared" si="0"/>
        <v>102</v>
      </c>
      <c r="F77" s="29">
        <f>IF(ISBLANK(E77),0,IF(E77=Answers!E77,1,-1))</f>
        <v>1</v>
      </c>
      <c r="G77" s="62" t="s">
        <v>17</v>
      </c>
      <c r="I77" s="63">
        <v>4.26</v>
      </c>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row>
    <row r="78" spans="2:99" ht="23.25">
      <c r="B78" s="15">
        <f t="shared" si="1"/>
        <v>5</v>
      </c>
      <c r="C78" s="15">
        <v>1</v>
      </c>
      <c r="D78" s="16">
        <v>5</v>
      </c>
      <c r="E78" s="26">
        <f t="shared" si="0"/>
        <v>2182</v>
      </c>
      <c r="F78" s="29">
        <f>IF(ISBLANK(E78),0,IF(E78=Answers!E78,1,-1))</f>
        <v>1</v>
      </c>
      <c r="G78" s="62" t="s">
        <v>21</v>
      </c>
      <c r="I78" s="63">
        <v>4.04</v>
      </c>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row>
    <row r="79" spans="2:99" ht="23.25">
      <c r="B79" s="15">
        <f t="shared" si="1"/>
        <v>6</v>
      </c>
      <c r="C79" s="15">
        <v>1</v>
      </c>
      <c r="D79" s="16">
        <v>5</v>
      </c>
      <c r="E79" s="26">
        <f t="shared" si="0"/>
        <v>13664</v>
      </c>
      <c r="F79" s="29">
        <f>IF(ISBLANK(E79),0,IF(E79=Answers!E79,1,-1))</f>
        <v>1</v>
      </c>
      <c r="G79" s="62" t="s">
        <v>23</v>
      </c>
      <c r="I79" s="63">
        <v>4.88</v>
      </c>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row>
    <row r="80" spans="2:99" ht="23.25">
      <c r="B80" s="15">
        <f t="shared" si="1"/>
        <v>7</v>
      </c>
      <c r="C80" s="15">
        <v>1</v>
      </c>
      <c r="D80" s="16">
        <v>5</v>
      </c>
      <c r="E80" s="26">
        <f t="shared" si="0"/>
        <v>334</v>
      </c>
      <c r="F80" s="29">
        <f>IF(ISBLANK(E80),0,IF(E80=Answers!E80,1,-1))</f>
        <v>1</v>
      </c>
      <c r="G80" s="62" t="s">
        <v>19</v>
      </c>
      <c r="I80" s="63">
        <v>4.17</v>
      </c>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row>
    <row r="81" spans="2:49" ht="23.25">
      <c r="B81" s="15">
        <f t="shared" si="1"/>
        <v>8</v>
      </c>
      <c r="C81" s="15">
        <v>1</v>
      </c>
      <c r="D81" s="16">
        <v>5</v>
      </c>
      <c r="E81" s="26">
        <f t="shared" si="0"/>
        <v>324</v>
      </c>
      <c r="F81" s="29">
        <f>IF(ISBLANK(E81),0,IF(E81=Answers!E81,1,-1))</f>
        <v>1</v>
      </c>
      <c r="G81" s="62" t="s">
        <v>19</v>
      </c>
      <c r="I81" s="63">
        <v>4.05</v>
      </c>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row>
    <row r="82" spans="2:49" ht="23.25">
      <c r="B82" s="15">
        <f t="shared" si="1"/>
        <v>9</v>
      </c>
      <c r="C82" s="15">
        <v>1</v>
      </c>
      <c r="D82" s="16">
        <v>5</v>
      </c>
      <c r="E82" s="26">
        <f t="shared" si="0"/>
        <v>11312</v>
      </c>
      <c r="F82" s="29">
        <f>IF(ISBLANK(E82),0,IF(E82=Answers!E82,1,-1))</f>
        <v>1</v>
      </c>
      <c r="G82" s="62" t="s">
        <v>23</v>
      </c>
      <c r="I82" s="63">
        <v>4.04</v>
      </c>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row>
    <row r="83" spans="2:49" ht="23.25">
      <c r="B83" s="15">
        <f t="shared" si="1"/>
        <v>10</v>
      </c>
      <c r="C83" s="15">
        <v>1</v>
      </c>
      <c r="D83" s="16">
        <v>5</v>
      </c>
      <c r="E83" s="26">
        <f t="shared" si="0"/>
        <v>2176</v>
      </c>
      <c r="F83" s="29">
        <f>IF(ISBLANK(E83),0,IF(E83=Answers!E83,1,-1))</f>
        <v>1</v>
      </c>
      <c r="G83" s="62" t="s">
        <v>21</v>
      </c>
      <c r="I83" s="63">
        <v>4.03</v>
      </c>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row>
    <row r="84" spans="2:49" ht="23.25">
      <c r="B84" s="15">
        <f t="shared" si="1"/>
        <v>11</v>
      </c>
      <c r="C84" s="15">
        <v>1</v>
      </c>
      <c r="D84" s="16">
        <v>5</v>
      </c>
      <c r="E84" s="26">
        <f t="shared" si="0"/>
        <v>97</v>
      </c>
      <c r="F84" s="29">
        <f>IF(ISBLANK(E84),0,IF(E84=Answers!E84,1,-1))</f>
        <v>1</v>
      </c>
      <c r="G84" s="62" t="s">
        <v>17</v>
      </c>
      <c r="I84" s="63">
        <v>4.03</v>
      </c>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row>
    <row r="85" spans="2:49" ht="23.25">
      <c r="B85" s="15">
        <f t="shared" si="1"/>
        <v>12</v>
      </c>
      <c r="C85" s="15">
        <v>1</v>
      </c>
      <c r="D85" s="16">
        <v>5</v>
      </c>
      <c r="E85" s="26">
        <f t="shared" si="0"/>
        <v>13384</v>
      </c>
      <c r="F85" s="29">
        <f>IF(ISBLANK(E85),0,IF(E85=Answers!E85,1,-1))</f>
        <v>1</v>
      </c>
      <c r="G85" s="62" t="s">
        <v>23</v>
      </c>
      <c r="I85" s="63">
        <v>4.78</v>
      </c>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row>
    <row r="86" spans="2:49" ht="23.25">
      <c r="B86" s="15">
        <f t="shared" si="1"/>
        <v>13</v>
      </c>
      <c r="C86" s="15">
        <v>1</v>
      </c>
      <c r="D86" s="16">
        <v>5</v>
      </c>
      <c r="E86" s="26">
        <f t="shared" si="0"/>
        <v>349</v>
      </c>
      <c r="F86" s="29">
        <f>IF(ISBLANK(E86),0,IF(E86=Answers!E86,1,-1))</f>
        <v>1</v>
      </c>
      <c r="G86" s="62" t="s">
        <v>19</v>
      </c>
      <c r="I86" s="63">
        <v>4.3600000000000003</v>
      </c>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row>
    <row r="87" spans="2:49" ht="23.25">
      <c r="B87" s="15">
        <f t="shared" si="1"/>
        <v>14</v>
      </c>
      <c r="C87" s="15">
        <v>1</v>
      </c>
      <c r="D87" s="16">
        <v>5</v>
      </c>
      <c r="E87" s="26">
        <f t="shared" si="0"/>
        <v>98</v>
      </c>
      <c r="F87" s="29">
        <f>IF(ISBLANK(E87),0,IF(E87=Answers!E87,1,-1))</f>
        <v>1</v>
      </c>
      <c r="G87" s="62" t="s">
        <v>17</v>
      </c>
      <c r="I87" s="63">
        <v>4.08</v>
      </c>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row>
    <row r="88" spans="2:49" ht="23.25">
      <c r="B88" s="15">
        <f t="shared" si="1"/>
        <v>15</v>
      </c>
      <c r="C88" s="15">
        <v>1</v>
      </c>
      <c r="D88" s="16">
        <v>5</v>
      </c>
      <c r="E88" s="26">
        <f t="shared" si="0"/>
        <v>108</v>
      </c>
      <c r="F88" s="29">
        <f>IF(ISBLANK(E88),0,IF(E88=Answers!E88,1,-1))</f>
        <v>1</v>
      </c>
      <c r="G88" s="62" t="s">
        <v>17</v>
      </c>
      <c r="I88" s="63">
        <v>4.5199999999999996</v>
      </c>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row>
    <row r="89" spans="2:49" ht="23.25">
      <c r="B89" s="15">
        <f t="shared" si="1"/>
        <v>16</v>
      </c>
      <c r="C89" s="15">
        <v>1</v>
      </c>
      <c r="D89" s="16">
        <v>5</v>
      </c>
      <c r="E89" s="26">
        <f t="shared" si="0"/>
        <v>11900</v>
      </c>
      <c r="F89" s="29">
        <f>IF(ISBLANK(E89),0,IF(E89=Answers!E89,1,-1))</f>
        <v>1</v>
      </c>
      <c r="G89" s="62" t="s">
        <v>23</v>
      </c>
      <c r="I89" s="63">
        <v>4.25</v>
      </c>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row>
    <row r="90" spans="2:49" ht="23.25">
      <c r="B90" s="15">
        <f t="shared" si="1"/>
        <v>17</v>
      </c>
      <c r="C90" s="15">
        <v>1</v>
      </c>
      <c r="D90" s="16">
        <v>5</v>
      </c>
      <c r="E90" s="26">
        <f t="shared" si="0"/>
        <v>38960</v>
      </c>
      <c r="F90" s="29">
        <f>IF(ISBLANK(E90),0,IF(E90=Answers!E90,1,-1))</f>
        <v>1</v>
      </c>
      <c r="G90" s="62" t="s">
        <v>25</v>
      </c>
      <c r="I90" s="63">
        <v>4.87</v>
      </c>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row>
    <row r="91" spans="2:49" ht="23.25">
      <c r="B91" s="15">
        <f t="shared" si="1"/>
        <v>18</v>
      </c>
      <c r="C91" s="15">
        <v>1</v>
      </c>
      <c r="D91" s="16">
        <v>5</v>
      </c>
      <c r="E91" s="26">
        <f t="shared" si="0"/>
        <v>2657</v>
      </c>
      <c r="F91" s="29">
        <f>IF(ISBLANK(E91),0,IF(E91=Answers!E91,1,-1))</f>
        <v>1</v>
      </c>
      <c r="G91" s="62" t="s">
        <v>21</v>
      </c>
      <c r="I91" s="63">
        <v>4.92</v>
      </c>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row>
    <row r="92" spans="2:49" ht="23.25">
      <c r="B92" s="15">
        <f t="shared" si="1"/>
        <v>19</v>
      </c>
      <c r="C92" s="15">
        <v>1</v>
      </c>
      <c r="D92" s="16">
        <v>5</v>
      </c>
      <c r="E92" s="26">
        <f t="shared" si="0"/>
        <v>376</v>
      </c>
      <c r="F92" s="29">
        <f>IF(ISBLANK(E92),0,IF(E92=Answers!E92,1,-1))</f>
        <v>1</v>
      </c>
      <c r="G92" s="62" t="s">
        <v>19</v>
      </c>
      <c r="I92" s="63">
        <v>4.7</v>
      </c>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row>
    <row r="93" spans="2:49" ht="23.25">
      <c r="B93" s="15">
        <f t="shared" si="1"/>
        <v>20</v>
      </c>
      <c r="C93" s="15">
        <v>1</v>
      </c>
      <c r="D93" s="16">
        <v>5</v>
      </c>
      <c r="E93" s="26">
        <f t="shared" si="0"/>
        <v>2468</v>
      </c>
      <c r="F93" s="29">
        <f>IF(ISBLANK(E93),0,IF(E93=Answers!E93,1,-1))</f>
        <v>1</v>
      </c>
      <c r="G93" s="62" t="s">
        <v>21</v>
      </c>
      <c r="I93" s="63">
        <v>4.57</v>
      </c>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row>
    <row r="94" spans="2:49">
      <c r="B94" s="1"/>
      <c r="C94" s="1"/>
      <c r="D94" s="1"/>
      <c r="E94" s="31"/>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row>
    <row r="95" spans="2:49" ht="15.75" thickBot="1">
      <c r="B95" s="1"/>
      <c r="C95" s="1"/>
      <c r="D95" s="1"/>
      <c r="E95" s="31"/>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row>
    <row r="96" spans="2:49" ht="25.5" customHeight="1" thickTop="1" thickBot="1">
      <c r="B96" s="19" t="s">
        <v>77</v>
      </c>
      <c r="C96" s="9" t="s">
        <v>78</v>
      </c>
      <c r="D96" s="1"/>
      <c r="E96" s="31"/>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row>
    <row r="97" spans="2:49" ht="15.75" thickTop="1">
      <c r="B97" s="18"/>
      <c r="C97" s="1"/>
      <c r="D97" s="1"/>
      <c r="E97" s="31"/>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row>
    <row r="98" spans="2:49">
      <c r="B98" s="18" t="s">
        <v>79</v>
      </c>
      <c r="C98" s="1"/>
      <c r="D98" s="1"/>
      <c r="E98" s="31"/>
      <c r="R98" s="1" t="s">
        <v>75</v>
      </c>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row>
    <row r="99" spans="2:49">
      <c r="B99" s="18" t="s">
        <v>80</v>
      </c>
      <c r="C99" s="1"/>
      <c r="D99" s="1"/>
      <c r="E99" s="31"/>
      <c r="R99" s="1" t="s">
        <v>81</v>
      </c>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row>
    <row r="100" spans="2:49">
      <c r="B100" s="18"/>
      <c r="C100" s="64" t="s">
        <v>82</v>
      </c>
      <c r="D100" s="1"/>
      <c r="E100" s="31"/>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row>
    <row r="101" spans="2:49">
      <c r="B101" s="18"/>
      <c r="C101" s="64"/>
      <c r="D101" s="1"/>
      <c r="E101" s="31"/>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row>
    <row r="102" spans="2:49" ht="15.75" thickBot="1">
      <c r="B102" s="18"/>
      <c r="C102" s="1"/>
      <c r="D102" s="1"/>
      <c r="E102" s="31"/>
      <c r="G102" s="22"/>
      <c r="I102" s="43" t="s">
        <v>72</v>
      </c>
      <c r="M102" s="21"/>
      <c r="N102" s="21"/>
      <c r="O102" s="21"/>
      <c r="P102" s="21"/>
      <c r="Q102" s="21"/>
      <c r="R102" s="21"/>
      <c r="S102" s="21"/>
      <c r="T102" s="21"/>
      <c r="U102" s="21"/>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row>
    <row r="103" spans="2:49" ht="24.95" customHeight="1" thickTop="1" thickBot="1">
      <c r="B103" s="17" t="s">
        <v>41</v>
      </c>
      <c r="C103" s="17" t="s">
        <v>74</v>
      </c>
      <c r="D103" s="17" t="s">
        <v>43</v>
      </c>
      <c r="E103" s="36" t="s">
        <v>44</v>
      </c>
      <c r="G103" s="49" t="s">
        <v>8</v>
      </c>
      <c r="I103" s="61" t="s">
        <v>10</v>
      </c>
      <c r="J103" s="49" t="s">
        <v>11</v>
      </c>
      <c r="K103" s="49" t="s">
        <v>12</v>
      </c>
      <c r="L103" s="49" t="s">
        <v>13</v>
      </c>
      <c r="M103" s="49" t="s">
        <v>14</v>
      </c>
      <c r="N103" s="49" t="s">
        <v>15</v>
      </c>
      <c r="O103" s="49" t="s">
        <v>16</v>
      </c>
      <c r="R103" s="61" t="s">
        <v>10</v>
      </c>
      <c r="S103" s="49" t="s">
        <v>11</v>
      </c>
      <c r="T103" s="49" t="s">
        <v>12</v>
      </c>
      <c r="U103" s="49" t="s">
        <v>13</v>
      </c>
      <c r="V103" s="49" t="s">
        <v>14</v>
      </c>
      <c r="W103" s="49" t="s">
        <v>15</v>
      </c>
      <c r="X103" s="49" t="s">
        <v>16</v>
      </c>
      <c r="Y103" s="49" t="s">
        <v>329</v>
      </c>
      <c r="AJ103" s="4"/>
      <c r="AK103" s="4"/>
      <c r="AL103" s="4"/>
      <c r="AM103" s="4"/>
      <c r="AN103" s="4"/>
      <c r="AO103" s="4"/>
      <c r="AP103" s="4"/>
      <c r="AQ103" s="4"/>
      <c r="AR103" s="4"/>
      <c r="AS103" s="4"/>
      <c r="AT103" s="4"/>
      <c r="AU103" s="4"/>
      <c r="AV103" s="4"/>
      <c r="AW103" s="4"/>
    </row>
    <row r="104" spans="2:49" ht="15.75" thickTop="1">
      <c r="B104" s="1"/>
      <c r="C104" s="1"/>
      <c r="D104" s="1"/>
      <c r="E104" s="31"/>
      <c r="AJ104" s="4"/>
      <c r="AK104" s="4"/>
      <c r="AL104" s="4"/>
      <c r="AM104" s="4"/>
      <c r="AN104" s="4"/>
      <c r="AO104" s="4"/>
      <c r="AP104" s="4"/>
      <c r="AQ104" s="4"/>
      <c r="AR104" s="4"/>
      <c r="AS104" s="4"/>
      <c r="AT104" s="4"/>
      <c r="AU104" s="4"/>
      <c r="AV104" s="4"/>
      <c r="AW104" s="4"/>
    </row>
    <row r="105" spans="2:49" ht="25.5" customHeight="1">
      <c r="B105" s="15" t="s">
        <v>83</v>
      </c>
      <c r="C105" s="15">
        <v>2</v>
      </c>
      <c r="D105" s="16">
        <v>0</v>
      </c>
      <c r="E105" s="26">
        <v>363721</v>
      </c>
      <c r="F105" s="29">
        <f>IF(ISBLANK(E105),0,IF(E105=Answers!E105,1,-1))</f>
        <v>1</v>
      </c>
      <c r="G105" s="62" t="s">
        <v>25</v>
      </c>
      <c r="I105" s="63">
        <v>4.1500000000000004</v>
      </c>
      <c r="J105" s="63">
        <v>10.99</v>
      </c>
      <c r="K105" s="65">
        <v>57</v>
      </c>
      <c r="L105" s="65">
        <v>451</v>
      </c>
      <c r="M105" s="65">
        <v>1230</v>
      </c>
      <c r="N105" s="65">
        <v>2234</v>
      </c>
      <c r="O105" s="65">
        <v>3577</v>
      </c>
      <c r="R105" s="1">
        <f>VLOOKUP($G105,$B$31:$O$36,MATCH(I$103,$B$31:$O$31,0),FALSE)</f>
        <v>8000000</v>
      </c>
      <c r="S105" s="1">
        <f t="shared" ref="S105:X105" si="2">VLOOKUP($G105,$B$31:$O$36,MATCH(J$103,$B$31:$O$31,0),FALSE)</f>
        <v>4000000</v>
      </c>
      <c r="T105" s="1">
        <f t="shared" si="2"/>
        <v>600000</v>
      </c>
      <c r="U105" s="1">
        <f t="shared" si="2"/>
        <v>400000</v>
      </c>
      <c r="V105" s="1">
        <f t="shared" si="2"/>
        <v>12000</v>
      </c>
      <c r="W105" s="1">
        <f t="shared" si="2"/>
        <v>6000</v>
      </c>
      <c r="X105" s="1">
        <f t="shared" si="2"/>
        <v>3000</v>
      </c>
      <c r="Y105" s="1">
        <f>ROUND(SUMPRODUCT(I105:O105,R105:X105)/1000*1.1,0)</f>
        <v>363721</v>
      </c>
      <c r="AJ105" s="4"/>
      <c r="AK105" s="4"/>
      <c r="AL105" s="4"/>
      <c r="AM105" s="4"/>
      <c r="AN105" s="4"/>
      <c r="AO105" s="4"/>
      <c r="AP105" s="4"/>
      <c r="AQ105" s="4"/>
      <c r="AR105" s="4"/>
      <c r="AS105" s="4"/>
      <c r="AT105" s="4"/>
      <c r="AU105" s="4"/>
      <c r="AV105" s="4"/>
      <c r="AW105" s="4"/>
    </row>
    <row r="106" spans="2:49" ht="15.75">
      <c r="B106" s="1"/>
      <c r="C106" s="1"/>
      <c r="D106" s="1"/>
      <c r="E106" s="31"/>
      <c r="G106" s="48"/>
      <c r="I106" s="48"/>
      <c r="AJ106" s="4"/>
      <c r="AK106" s="4"/>
      <c r="AL106" s="4"/>
      <c r="AM106" s="4"/>
      <c r="AN106" s="4"/>
      <c r="AO106" s="4"/>
      <c r="AP106" s="4"/>
      <c r="AQ106" s="4"/>
      <c r="AR106" s="4"/>
      <c r="AS106" s="4"/>
      <c r="AT106" s="4"/>
      <c r="AU106" s="4"/>
      <c r="AV106" s="4"/>
      <c r="AW106" s="4"/>
    </row>
    <row r="107" spans="2:49" ht="25.5" customHeight="1">
      <c r="B107" s="15">
        <v>21</v>
      </c>
      <c r="C107" s="15">
        <v>2</v>
      </c>
      <c r="D107" s="16">
        <v>7</v>
      </c>
      <c r="E107" s="26">
        <f>Y107</f>
        <v>449445</v>
      </c>
      <c r="F107" s="29">
        <f>IF(ISBLANK(E107),0,IF(E107=Answers!E107,1,-1))</f>
        <v>1</v>
      </c>
      <c r="G107" s="62" t="s">
        <v>25</v>
      </c>
      <c r="I107" s="63">
        <v>3.97</v>
      </c>
      <c r="J107" s="63">
        <v>12.8</v>
      </c>
      <c r="K107" s="65">
        <v>61</v>
      </c>
      <c r="L107" s="65">
        <v>618</v>
      </c>
      <c r="M107" s="65">
        <v>1153</v>
      </c>
      <c r="N107" s="65">
        <v>2544</v>
      </c>
      <c r="O107" s="65">
        <v>4242</v>
      </c>
      <c r="R107" s="1">
        <f>VLOOKUP($G107,$B$31:$O$36,MATCH(I$103,$B$31:$O$31,0),FALSE)</f>
        <v>8000000</v>
      </c>
      <c r="S107" s="1">
        <f t="shared" ref="S107" si="3">VLOOKUP($G107,$B$31:$O$36,MATCH(J$103,$B$31:$O$31,0),FALSE)</f>
        <v>4000000</v>
      </c>
      <c r="T107" s="1">
        <f t="shared" ref="T107" si="4">VLOOKUP($G107,$B$31:$O$36,MATCH(K$103,$B$31:$O$31,0),FALSE)</f>
        <v>600000</v>
      </c>
      <c r="U107" s="1">
        <f t="shared" ref="U107" si="5">VLOOKUP($G107,$B$31:$O$36,MATCH(L$103,$B$31:$O$31,0),FALSE)</f>
        <v>400000</v>
      </c>
      <c r="V107" s="1">
        <f t="shared" ref="V107" si="6">VLOOKUP($G107,$B$31:$O$36,MATCH(M$103,$B$31:$O$31,0),FALSE)</f>
        <v>12000</v>
      </c>
      <c r="W107" s="1">
        <f t="shared" ref="W107" si="7">VLOOKUP($G107,$B$31:$O$36,MATCH(N$103,$B$31:$O$31,0),FALSE)</f>
        <v>6000</v>
      </c>
      <c r="X107" s="1">
        <f t="shared" ref="X107" si="8">VLOOKUP($G107,$B$31:$O$36,MATCH(O$103,$B$31:$O$31,0),FALSE)</f>
        <v>3000</v>
      </c>
      <c r="Y107" s="1">
        <f>ROUND(SUMPRODUCT(I107:O107,R107:X107)/1000*1.1,0)</f>
        <v>449445</v>
      </c>
      <c r="Z107"/>
      <c r="AJ107" s="4"/>
      <c r="AK107" s="4"/>
      <c r="AL107" s="4"/>
      <c r="AM107" s="4"/>
      <c r="AN107" s="4"/>
      <c r="AO107" s="4"/>
      <c r="AP107" s="4"/>
      <c r="AQ107" s="4"/>
      <c r="AR107" s="4"/>
      <c r="AS107" s="4"/>
      <c r="AT107" s="4"/>
      <c r="AU107" s="4"/>
      <c r="AV107" s="4"/>
      <c r="AW107" s="4"/>
    </row>
    <row r="108" spans="2:49" ht="25.5" customHeight="1">
      <c r="B108" s="15">
        <f t="shared" si="1"/>
        <v>22</v>
      </c>
      <c r="C108" s="15">
        <v>2</v>
      </c>
      <c r="D108" s="16">
        <v>7</v>
      </c>
      <c r="E108" s="26">
        <f t="shared" ref="E108:E126" si="9">Y108</f>
        <v>16640</v>
      </c>
      <c r="F108" s="29">
        <f>IF(ISBLANK(E108),0,IF(E108=Answers!E108,1,-1))</f>
        <v>1</v>
      </c>
      <c r="G108" s="62" t="s">
        <v>21</v>
      </c>
      <c r="I108" s="63">
        <v>4.6500000000000004</v>
      </c>
      <c r="J108" s="63">
        <v>12.66</v>
      </c>
      <c r="K108" s="65">
        <v>56</v>
      </c>
      <c r="L108" s="65">
        <v>554</v>
      </c>
      <c r="M108" s="65">
        <v>963</v>
      </c>
      <c r="N108" s="65">
        <v>2278</v>
      </c>
      <c r="O108" s="65">
        <v>3856</v>
      </c>
      <c r="R108" s="1">
        <f t="shared" ref="R108:R126" si="10">VLOOKUP($G108,$B$31:$O$36,MATCH(I$103,$B$31:$O$31,0),FALSE)</f>
        <v>540000</v>
      </c>
      <c r="S108" s="1">
        <f t="shared" ref="S108:S126" si="11">VLOOKUP($G108,$B$31:$O$36,MATCH(J$103,$B$31:$O$31,0),FALSE)</f>
        <v>180000</v>
      </c>
      <c r="T108" s="1">
        <f t="shared" ref="T108:T126" si="12">VLOOKUP($G108,$B$31:$O$36,MATCH(K$103,$B$31:$O$31,0),FALSE)</f>
        <v>36000</v>
      </c>
      <c r="U108" s="1">
        <f t="shared" ref="U108:U126" si="13">VLOOKUP($G108,$B$31:$O$36,MATCH(L$103,$B$31:$O$31,0),FALSE)</f>
        <v>10000</v>
      </c>
      <c r="V108" s="1">
        <f t="shared" ref="V108:V126" si="14">VLOOKUP($G108,$B$31:$O$36,MATCH(M$103,$B$31:$O$31,0),FALSE)</f>
        <v>1500</v>
      </c>
      <c r="W108" s="1">
        <f t="shared" ref="W108:W126" si="15">VLOOKUP($G108,$B$31:$O$36,MATCH(N$103,$B$31:$O$31,0),FALSE)</f>
        <v>350</v>
      </c>
      <c r="X108" s="1">
        <f t="shared" ref="X108:X126" si="16">VLOOKUP($G108,$B$31:$O$36,MATCH(O$103,$B$31:$O$31,0),FALSE)</f>
        <v>140</v>
      </c>
      <c r="Y108" s="1">
        <f t="shared" ref="Y108:Y126" si="17">ROUND(SUMPRODUCT(I108:O108,R108:X108)/1000*1.1,0)</f>
        <v>16640</v>
      </c>
      <c r="AJ108" s="4"/>
      <c r="AK108" s="4"/>
      <c r="AL108" s="4"/>
      <c r="AM108" s="4"/>
      <c r="AN108" s="4"/>
      <c r="AO108" s="4"/>
      <c r="AP108" s="4"/>
      <c r="AQ108" s="4"/>
      <c r="AR108" s="4"/>
      <c r="AS108" s="4"/>
      <c r="AT108" s="4"/>
      <c r="AU108" s="4"/>
      <c r="AV108" s="4"/>
      <c r="AW108" s="4"/>
    </row>
    <row r="109" spans="2:49" ht="25.5" customHeight="1">
      <c r="B109" s="15">
        <f t="shared" si="1"/>
        <v>23</v>
      </c>
      <c r="C109" s="15">
        <v>2</v>
      </c>
      <c r="D109" s="16">
        <v>7</v>
      </c>
      <c r="E109" s="26">
        <f t="shared" si="9"/>
        <v>62440</v>
      </c>
      <c r="F109" s="29">
        <f>IF(ISBLANK(E109),0,IF(E109=Answers!E109,1,-1))</f>
        <v>1</v>
      </c>
      <c r="G109" s="62" t="s">
        <v>23</v>
      </c>
      <c r="I109" s="63">
        <v>4.07</v>
      </c>
      <c r="J109" s="63">
        <v>9.52</v>
      </c>
      <c r="K109" s="65">
        <v>52</v>
      </c>
      <c r="L109" s="65">
        <v>454</v>
      </c>
      <c r="M109" s="65">
        <v>1268</v>
      </c>
      <c r="N109" s="65">
        <v>2775</v>
      </c>
      <c r="O109" s="65">
        <v>4284</v>
      </c>
      <c r="R109" s="1">
        <f t="shared" si="10"/>
        <v>2800000</v>
      </c>
      <c r="S109" s="1">
        <f t="shared" si="11"/>
        <v>1000000</v>
      </c>
      <c r="T109" s="1">
        <f t="shared" si="12"/>
        <v>180000</v>
      </c>
      <c r="U109" s="1">
        <f t="shared" si="13"/>
        <v>20000</v>
      </c>
      <c r="V109" s="1">
        <f t="shared" si="14"/>
        <v>8000</v>
      </c>
      <c r="W109" s="1">
        <f t="shared" si="15"/>
        <v>2000</v>
      </c>
      <c r="X109" s="1">
        <f t="shared" si="16"/>
        <v>400</v>
      </c>
      <c r="Y109" s="1">
        <f t="shared" si="17"/>
        <v>62440</v>
      </c>
      <c r="AJ109" s="4"/>
      <c r="AK109" s="4"/>
      <c r="AL109" s="4"/>
      <c r="AM109" s="4"/>
      <c r="AN109" s="4"/>
      <c r="AO109" s="4"/>
      <c r="AP109" s="4"/>
      <c r="AQ109" s="4"/>
      <c r="AR109" s="4"/>
      <c r="AS109" s="4"/>
      <c r="AT109" s="4"/>
      <c r="AU109" s="4"/>
      <c r="AV109" s="4"/>
      <c r="AW109" s="4"/>
    </row>
    <row r="110" spans="2:49" ht="25.5" customHeight="1">
      <c r="B110" s="15">
        <f t="shared" si="1"/>
        <v>24</v>
      </c>
      <c r="C110" s="15">
        <v>2</v>
      </c>
      <c r="D110" s="16">
        <v>7</v>
      </c>
      <c r="E110" s="26">
        <f t="shared" si="9"/>
        <v>520</v>
      </c>
      <c r="F110" s="29">
        <f>IF(ISBLANK(E110),0,IF(E110=Answers!E110,1,-1))</f>
        <v>1</v>
      </c>
      <c r="G110" s="62" t="s">
        <v>17</v>
      </c>
      <c r="I110" s="63">
        <v>3.98</v>
      </c>
      <c r="J110" s="63">
        <v>12.38</v>
      </c>
      <c r="K110" s="65">
        <v>64</v>
      </c>
      <c r="L110" s="65">
        <v>538</v>
      </c>
      <c r="M110" s="65">
        <v>1233</v>
      </c>
      <c r="N110" s="65">
        <v>2313</v>
      </c>
      <c r="O110" s="65">
        <v>4434</v>
      </c>
      <c r="R110" s="1">
        <f t="shared" si="10"/>
        <v>24000</v>
      </c>
      <c r="S110" s="1">
        <f t="shared" si="11"/>
        <v>4500</v>
      </c>
      <c r="T110" s="1">
        <f t="shared" si="12"/>
        <v>1875</v>
      </c>
      <c r="U110" s="1">
        <f t="shared" si="13"/>
        <v>375</v>
      </c>
      <c r="V110" s="1">
        <f t="shared" si="14"/>
        <v>0</v>
      </c>
      <c r="W110" s="1">
        <f t="shared" si="15"/>
        <v>0</v>
      </c>
      <c r="X110" s="1">
        <f t="shared" si="16"/>
        <v>0</v>
      </c>
      <c r="Y110" s="1">
        <f t="shared" si="17"/>
        <v>520</v>
      </c>
      <c r="AJ110" s="4"/>
      <c r="AK110" s="4"/>
      <c r="AL110" s="4"/>
      <c r="AM110" s="4"/>
      <c r="AN110" s="4"/>
      <c r="AO110" s="4"/>
      <c r="AP110" s="4"/>
      <c r="AQ110" s="4"/>
      <c r="AR110" s="4"/>
      <c r="AS110" s="4"/>
      <c r="AT110" s="4"/>
      <c r="AU110" s="4"/>
      <c r="AV110" s="4"/>
      <c r="AW110" s="4"/>
    </row>
    <row r="111" spans="2:49" ht="25.5" customHeight="1">
      <c r="B111" s="15">
        <f t="shared" si="1"/>
        <v>25</v>
      </c>
      <c r="C111" s="15">
        <v>2</v>
      </c>
      <c r="D111" s="16">
        <v>7</v>
      </c>
      <c r="E111" s="26">
        <f t="shared" si="9"/>
        <v>401314</v>
      </c>
      <c r="F111" s="29">
        <f>IF(ISBLANK(E111),0,IF(E111=Answers!E111,1,-1))</f>
        <v>1</v>
      </c>
      <c r="G111" s="62" t="s">
        <v>25</v>
      </c>
      <c r="I111" s="63">
        <v>4.25</v>
      </c>
      <c r="J111" s="63">
        <v>10.210000000000001</v>
      </c>
      <c r="K111" s="65">
        <v>54</v>
      </c>
      <c r="L111" s="65">
        <v>539</v>
      </c>
      <c r="M111" s="65">
        <v>1139</v>
      </c>
      <c r="N111" s="65">
        <v>2320</v>
      </c>
      <c r="O111" s="65">
        <v>4801</v>
      </c>
      <c r="R111" s="1">
        <f t="shared" si="10"/>
        <v>8000000</v>
      </c>
      <c r="S111" s="1">
        <f t="shared" si="11"/>
        <v>4000000</v>
      </c>
      <c r="T111" s="1">
        <f t="shared" si="12"/>
        <v>600000</v>
      </c>
      <c r="U111" s="1">
        <f t="shared" si="13"/>
        <v>400000</v>
      </c>
      <c r="V111" s="1">
        <f t="shared" si="14"/>
        <v>12000</v>
      </c>
      <c r="W111" s="1">
        <f t="shared" si="15"/>
        <v>6000</v>
      </c>
      <c r="X111" s="1">
        <f t="shared" si="16"/>
        <v>3000</v>
      </c>
      <c r="Y111" s="1">
        <f t="shared" si="17"/>
        <v>401314</v>
      </c>
      <c r="AJ111" s="4"/>
      <c r="AK111" s="4"/>
      <c r="AL111" s="4"/>
      <c r="AM111" s="4"/>
      <c r="AN111" s="4"/>
      <c r="AO111" s="4"/>
      <c r="AP111" s="4"/>
      <c r="AQ111" s="4"/>
      <c r="AR111" s="4"/>
      <c r="AS111" s="4"/>
      <c r="AT111" s="4"/>
      <c r="AU111" s="4"/>
      <c r="AV111" s="4"/>
      <c r="AW111" s="4"/>
    </row>
    <row r="112" spans="2:49" ht="25.5" customHeight="1">
      <c r="B112" s="15">
        <f t="shared" si="1"/>
        <v>26</v>
      </c>
      <c r="C112" s="15">
        <v>2</v>
      </c>
      <c r="D112" s="16">
        <v>7</v>
      </c>
      <c r="E112" s="26">
        <f t="shared" si="9"/>
        <v>514</v>
      </c>
      <c r="F112" s="29">
        <f>IF(ISBLANK(E112),0,IF(E112=Answers!E112,1,-1))</f>
        <v>1</v>
      </c>
      <c r="G112" s="62" t="s">
        <v>17</v>
      </c>
      <c r="I112" s="63">
        <v>4.99</v>
      </c>
      <c r="J112" s="63">
        <v>10.53</v>
      </c>
      <c r="K112" s="65">
        <v>62</v>
      </c>
      <c r="L112" s="65">
        <v>490</v>
      </c>
      <c r="M112" s="65">
        <v>1149</v>
      </c>
      <c r="N112" s="65">
        <v>1871</v>
      </c>
      <c r="O112" s="65">
        <v>4811</v>
      </c>
      <c r="R112" s="1">
        <f t="shared" si="10"/>
        <v>24000</v>
      </c>
      <c r="S112" s="1">
        <f t="shared" si="11"/>
        <v>4500</v>
      </c>
      <c r="T112" s="1">
        <f t="shared" si="12"/>
        <v>1875</v>
      </c>
      <c r="U112" s="1">
        <f t="shared" si="13"/>
        <v>375</v>
      </c>
      <c r="V112" s="1">
        <f t="shared" si="14"/>
        <v>0</v>
      </c>
      <c r="W112" s="1">
        <f t="shared" si="15"/>
        <v>0</v>
      </c>
      <c r="X112" s="1">
        <f t="shared" si="16"/>
        <v>0</v>
      </c>
      <c r="Y112" s="1">
        <f t="shared" si="17"/>
        <v>514</v>
      </c>
      <c r="AJ112" s="4"/>
      <c r="AK112" s="4"/>
      <c r="AL112" s="4"/>
      <c r="AM112" s="4"/>
      <c r="AN112" s="4"/>
      <c r="AO112" s="4"/>
      <c r="AP112" s="4"/>
      <c r="AQ112" s="4"/>
      <c r="AR112" s="4"/>
      <c r="AS112" s="4"/>
      <c r="AT112" s="4"/>
      <c r="AU112" s="4"/>
      <c r="AV112" s="4"/>
      <c r="AW112" s="4"/>
    </row>
    <row r="113" spans="2:49" ht="25.5" customHeight="1">
      <c r="B113" s="15">
        <f t="shared" si="1"/>
        <v>27</v>
      </c>
      <c r="C113" s="15">
        <v>2</v>
      </c>
      <c r="D113" s="16">
        <v>7</v>
      </c>
      <c r="E113" s="26">
        <f t="shared" si="9"/>
        <v>384080</v>
      </c>
      <c r="F113" s="29">
        <f>IF(ISBLANK(E113),0,IF(E113=Answers!E113,1,-1))</f>
        <v>1</v>
      </c>
      <c r="G113" s="62" t="s">
        <v>25</v>
      </c>
      <c r="I113" s="63">
        <v>4.83</v>
      </c>
      <c r="J113" s="63">
        <v>9.2200000000000006</v>
      </c>
      <c r="K113" s="65">
        <v>62</v>
      </c>
      <c r="L113" s="65">
        <v>470</v>
      </c>
      <c r="M113" s="65">
        <v>1283</v>
      </c>
      <c r="N113" s="65">
        <v>2782</v>
      </c>
      <c r="O113" s="65">
        <v>5452</v>
      </c>
      <c r="R113" s="1">
        <f t="shared" si="10"/>
        <v>8000000</v>
      </c>
      <c r="S113" s="1">
        <f t="shared" si="11"/>
        <v>4000000</v>
      </c>
      <c r="T113" s="1">
        <f t="shared" si="12"/>
        <v>600000</v>
      </c>
      <c r="U113" s="1">
        <f t="shared" si="13"/>
        <v>400000</v>
      </c>
      <c r="V113" s="1">
        <f t="shared" si="14"/>
        <v>12000</v>
      </c>
      <c r="W113" s="1">
        <f t="shared" si="15"/>
        <v>6000</v>
      </c>
      <c r="X113" s="1">
        <f t="shared" si="16"/>
        <v>3000</v>
      </c>
      <c r="Y113" s="1">
        <f t="shared" si="17"/>
        <v>384080</v>
      </c>
      <c r="AJ113" s="4"/>
      <c r="AK113" s="4"/>
      <c r="AL113" s="4"/>
      <c r="AM113" s="4"/>
      <c r="AN113" s="4"/>
      <c r="AO113" s="4"/>
      <c r="AP113" s="4"/>
      <c r="AQ113" s="4"/>
      <c r="AR113" s="4"/>
      <c r="AS113" s="4"/>
      <c r="AT113" s="4"/>
      <c r="AU113" s="4"/>
      <c r="AV113" s="4"/>
      <c r="AW113" s="4"/>
    </row>
    <row r="114" spans="2:49" ht="25.5" customHeight="1">
      <c r="B114" s="15">
        <f t="shared" si="1"/>
        <v>28</v>
      </c>
      <c r="C114" s="15">
        <v>2</v>
      </c>
      <c r="D114" s="16">
        <v>7</v>
      </c>
      <c r="E114" s="26">
        <f t="shared" si="9"/>
        <v>1576</v>
      </c>
      <c r="F114" s="29">
        <f>IF(ISBLANK(E114),0,IF(E114=Answers!E114,1,-1))</f>
        <v>1</v>
      </c>
      <c r="G114" s="62" t="s">
        <v>19</v>
      </c>
      <c r="I114" s="63">
        <v>4.6100000000000003</v>
      </c>
      <c r="J114" s="63">
        <v>10.11</v>
      </c>
      <c r="K114" s="65">
        <v>60</v>
      </c>
      <c r="L114" s="65">
        <v>612</v>
      </c>
      <c r="M114" s="65">
        <v>1235</v>
      </c>
      <c r="N114" s="65">
        <v>2249</v>
      </c>
      <c r="O114" s="65">
        <v>3598</v>
      </c>
      <c r="R114" s="1">
        <f t="shared" si="10"/>
        <v>80000</v>
      </c>
      <c r="S114" s="1">
        <f t="shared" si="11"/>
        <v>15000</v>
      </c>
      <c r="T114" s="1">
        <f t="shared" si="12"/>
        <v>5000</v>
      </c>
      <c r="U114" s="1">
        <f t="shared" si="13"/>
        <v>1000</v>
      </c>
      <c r="V114" s="1">
        <f t="shared" si="14"/>
        <v>0</v>
      </c>
      <c r="W114" s="1">
        <f t="shared" si="15"/>
        <v>0</v>
      </c>
      <c r="X114" s="1">
        <f t="shared" si="16"/>
        <v>0</v>
      </c>
      <c r="Y114" s="1">
        <f t="shared" si="17"/>
        <v>1576</v>
      </c>
      <c r="AJ114" s="4"/>
      <c r="AK114" s="4"/>
      <c r="AL114" s="4"/>
      <c r="AM114" s="4"/>
      <c r="AN114" s="4"/>
      <c r="AO114" s="4"/>
      <c r="AP114" s="4"/>
      <c r="AQ114" s="4"/>
      <c r="AR114" s="4"/>
      <c r="AS114" s="4"/>
      <c r="AT114" s="4"/>
      <c r="AU114" s="4"/>
      <c r="AV114" s="4"/>
      <c r="AW114" s="4"/>
    </row>
    <row r="115" spans="2:49" ht="25.5" customHeight="1">
      <c r="B115" s="15">
        <f t="shared" si="1"/>
        <v>29</v>
      </c>
      <c r="C115" s="15">
        <v>2</v>
      </c>
      <c r="D115" s="16">
        <v>7</v>
      </c>
      <c r="E115" s="26">
        <f t="shared" si="9"/>
        <v>557</v>
      </c>
      <c r="F115" s="29">
        <f>IF(ISBLANK(E115),0,IF(E115=Answers!E115,1,-1))</f>
        <v>1</v>
      </c>
      <c r="G115" s="62" t="s">
        <v>17</v>
      </c>
      <c r="I115" s="63">
        <v>4.5599999999999996</v>
      </c>
      <c r="J115" s="63">
        <v>13.76</v>
      </c>
      <c r="K115" s="65">
        <v>50</v>
      </c>
      <c r="L115" s="65">
        <v>643</v>
      </c>
      <c r="M115" s="65">
        <v>1056</v>
      </c>
      <c r="N115" s="65">
        <v>2038</v>
      </c>
      <c r="O115" s="65">
        <v>5162</v>
      </c>
      <c r="R115" s="1">
        <f t="shared" si="10"/>
        <v>24000</v>
      </c>
      <c r="S115" s="1">
        <f t="shared" si="11"/>
        <v>4500</v>
      </c>
      <c r="T115" s="1">
        <f t="shared" si="12"/>
        <v>1875</v>
      </c>
      <c r="U115" s="1">
        <f t="shared" si="13"/>
        <v>375</v>
      </c>
      <c r="V115" s="1">
        <f t="shared" si="14"/>
        <v>0</v>
      </c>
      <c r="W115" s="1">
        <f t="shared" si="15"/>
        <v>0</v>
      </c>
      <c r="X115" s="1">
        <f t="shared" si="16"/>
        <v>0</v>
      </c>
      <c r="Y115" s="1">
        <f t="shared" si="17"/>
        <v>557</v>
      </c>
      <c r="AJ115" s="4"/>
      <c r="AK115" s="4"/>
      <c r="AL115" s="4"/>
      <c r="AM115" s="4"/>
      <c r="AN115" s="4"/>
      <c r="AO115" s="4"/>
      <c r="AP115" s="4"/>
      <c r="AQ115" s="4"/>
      <c r="AR115" s="4"/>
      <c r="AS115" s="4"/>
      <c r="AT115" s="4"/>
      <c r="AU115" s="4"/>
      <c r="AV115" s="4"/>
      <c r="AW115" s="4"/>
    </row>
    <row r="116" spans="2:49" ht="25.5" customHeight="1">
      <c r="B116" s="15">
        <f t="shared" si="1"/>
        <v>30</v>
      </c>
      <c r="C116" s="15">
        <v>2</v>
      </c>
      <c r="D116" s="16">
        <v>7</v>
      </c>
      <c r="E116" s="26">
        <f t="shared" si="9"/>
        <v>17127</v>
      </c>
      <c r="F116" s="29">
        <f>IF(ISBLANK(E116),0,IF(E116=Answers!E116,1,-1))</f>
        <v>1</v>
      </c>
      <c r="G116" s="62" t="s">
        <v>21</v>
      </c>
      <c r="I116" s="63">
        <v>4.8600000000000003</v>
      </c>
      <c r="J116" s="63">
        <v>13.92</v>
      </c>
      <c r="K116" s="65">
        <v>59</v>
      </c>
      <c r="L116" s="65">
        <v>553</v>
      </c>
      <c r="M116" s="65">
        <v>892</v>
      </c>
      <c r="N116" s="65">
        <v>2068</v>
      </c>
      <c r="O116" s="65">
        <v>5172</v>
      </c>
      <c r="R116" s="1">
        <f t="shared" si="10"/>
        <v>540000</v>
      </c>
      <c r="S116" s="1">
        <f t="shared" si="11"/>
        <v>180000</v>
      </c>
      <c r="T116" s="1">
        <f t="shared" si="12"/>
        <v>36000</v>
      </c>
      <c r="U116" s="1">
        <f t="shared" si="13"/>
        <v>10000</v>
      </c>
      <c r="V116" s="1">
        <f t="shared" si="14"/>
        <v>1500</v>
      </c>
      <c r="W116" s="1">
        <f t="shared" si="15"/>
        <v>350</v>
      </c>
      <c r="X116" s="1">
        <f t="shared" si="16"/>
        <v>140</v>
      </c>
      <c r="Y116" s="1">
        <f t="shared" si="17"/>
        <v>17127</v>
      </c>
      <c r="AJ116" s="4"/>
      <c r="AK116" s="4"/>
      <c r="AL116" s="4"/>
      <c r="AM116" s="4"/>
      <c r="AN116" s="4"/>
      <c r="AO116" s="4"/>
      <c r="AP116" s="4"/>
      <c r="AQ116" s="4"/>
      <c r="AR116" s="4"/>
      <c r="AS116" s="4"/>
      <c r="AT116" s="4"/>
      <c r="AU116" s="4"/>
      <c r="AV116" s="4"/>
      <c r="AW116" s="4"/>
    </row>
    <row r="117" spans="2:49" ht="25.5" customHeight="1">
      <c r="B117" s="15">
        <f t="shared" si="1"/>
        <v>31</v>
      </c>
      <c r="C117" s="15">
        <v>2</v>
      </c>
      <c r="D117" s="16">
        <v>7</v>
      </c>
      <c r="E117" s="26">
        <f t="shared" si="9"/>
        <v>526</v>
      </c>
      <c r="F117" s="29">
        <f>IF(ISBLANK(E117),0,IF(E117=Answers!E117,1,-1))</f>
        <v>1</v>
      </c>
      <c r="G117" s="62" t="s">
        <v>17</v>
      </c>
      <c r="I117" s="63">
        <v>4.58</v>
      </c>
      <c r="J117" s="63">
        <v>13.91</v>
      </c>
      <c r="K117" s="65">
        <v>54</v>
      </c>
      <c r="L117" s="65">
        <v>546</v>
      </c>
      <c r="M117" s="65">
        <v>1262</v>
      </c>
      <c r="N117" s="65">
        <v>1913</v>
      </c>
      <c r="O117" s="65">
        <v>4020</v>
      </c>
      <c r="R117" s="1">
        <f t="shared" si="10"/>
        <v>24000</v>
      </c>
      <c r="S117" s="1">
        <f t="shared" si="11"/>
        <v>4500</v>
      </c>
      <c r="T117" s="1">
        <f t="shared" si="12"/>
        <v>1875</v>
      </c>
      <c r="U117" s="1">
        <f t="shared" si="13"/>
        <v>375</v>
      </c>
      <c r="V117" s="1">
        <f t="shared" si="14"/>
        <v>0</v>
      </c>
      <c r="W117" s="1">
        <f t="shared" si="15"/>
        <v>0</v>
      </c>
      <c r="X117" s="1">
        <f t="shared" si="16"/>
        <v>0</v>
      </c>
      <c r="Y117" s="1">
        <f t="shared" si="17"/>
        <v>526</v>
      </c>
      <c r="AJ117" s="4"/>
      <c r="AK117" s="4"/>
      <c r="AL117" s="4"/>
      <c r="AM117" s="4"/>
      <c r="AN117" s="4"/>
      <c r="AO117" s="4"/>
      <c r="AP117" s="4"/>
      <c r="AQ117" s="4"/>
      <c r="AR117" s="4"/>
      <c r="AS117" s="4"/>
      <c r="AT117" s="4"/>
      <c r="AU117" s="4"/>
      <c r="AV117" s="4"/>
      <c r="AW117" s="4"/>
    </row>
    <row r="118" spans="2:49" ht="25.5" customHeight="1">
      <c r="B118" s="15">
        <f t="shared" si="1"/>
        <v>32</v>
      </c>
      <c r="C118" s="15">
        <v>2</v>
      </c>
      <c r="D118" s="16">
        <v>7</v>
      </c>
      <c r="E118" s="26">
        <f t="shared" si="9"/>
        <v>66301</v>
      </c>
      <c r="F118" s="29">
        <f>IF(ISBLANK(E118),0,IF(E118=Answers!E118,1,-1))</f>
        <v>1</v>
      </c>
      <c r="G118" s="62" t="s">
        <v>23</v>
      </c>
      <c r="I118" s="63">
        <v>3.94</v>
      </c>
      <c r="J118" s="63">
        <v>12.38</v>
      </c>
      <c r="K118" s="65">
        <v>59</v>
      </c>
      <c r="L118" s="65">
        <v>589</v>
      </c>
      <c r="M118" s="65">
        <v>917</v>
      </c>
      <c r="N118" s="65">
        <v>2732</v>
      </c>
      <c r="O118" s="65">
        <v>4155</v>
      </c>
      <c r="R118" s="1">
        <f t="shared" si="10"/>
        <v>2800000</v>
      </c>
      <c r="S118" s="1">
        <f t="shared" si="11"/>
        <v>1000000</v>
      </c>
      <c r="T118" s="1">
        <f t="shared" si="12"/>
        <v>180000</v>
      </c>
      <c r="U118" s="1">
        <f t="shared" si="13"/>
        <v>20000</v>
      </c>
      <c r="V118" s="1">
        <f t="shared" si="14"/>
        <v>8000</v>
      </c>
      <c r="W118" s="1">
        <f t="shared" si="15"/>
        <v>2000</v>
      </c>
      <c r="X118" s="1">
        <f t="shared" si="16"/>
        <v>400</v>
      </c>
      <c r="Y118" s="1">
        <f t="shared" si="17"/>
        <v>66301</v>
      </c>
      <c r="AJ118" s="4"/>
      <c r="AK118" s="4"/>
      <c r="AL118" s="4"/>
      <c r="AM118" s="4"/>
      <c r="AN118" s="4"/>
      <c r="AO118" s="4"/>
      <c r="AP118" s="4"/>
      <c r="AQ118" s="4"/>
      <c r="AR118" s="4"/>
      <c r="AS118" s="4"/>
      <c r="AT118" s="4"/>
      <c r="AU118" s="4"/>
      <c r="AV118" s="4"/>
      <c r="AW118" s="4"/>
    </row>
    <row r="119" spans="2:49" ht="25.5" customHeight="1">
      <c r="B119" s="15">
        <f t="shared" si="1"/>
        <v>33</v>
      </c>
      <c r="C119" s="15">
        <v>2</v>
      </c>
      <c r="D119" s="16">
        <v>7</v>
      </c>
      <c r="E119" s="26">
        <f t="shared" si="9"/>
        <v>468</v>
      </c>
      <c r="F119" s="29">
        <f>IF(ISBLANK(E119),0,IF(E119=Answers!E119,1,-1))</f>
        <v>1</v>
      </c>
      <c r="G119" s="62" t="s">
        <v>17</v>
      </c>
      <c r="I119" s="63">
        <v>4.4000000000000004</v>
      </c>
      <c r="J119" s="63">
        <v>12.33</v>
      </c>
      <c r="K119" s="65">
        <v>49</v>
      </c>
      <c r="L119" s="65">
        <v>460</v>
      </c>
      <c r="M119" s="65">
        <v>1152</v>
      </c>
      <c r="N119" s="65">
        <v>2793</v>
      </c>
      <c r="O119" s="65">
        <v>5385</v>
      </c>
      <c r="R119" s="1">
        <f t="shared" si="10"/>
        <v>24000</v>
      </c>
      <c r="S119" s="1">
        <f t="shared" si="11"/>
        <v>4500</v>
      </c>
      <c r="T119" s="1">
        <f t="shared" si="12"/>
        <v>1875</v>
      </c>
      <c r="U119" s="1">
        <f t="shared" si="13"/>
        <v>375</v>
      </c>
      <c r="V119" s="1">
        <f t="shared" si="14"/>
        <v>0</v>
      </c>
      <c r="W119" s="1">
        <f t="shared" si="15"/>
        <v>0</v>
      </c>
      <c r="X119" s="1">
        <f t="shared" si="16"/>
        <v>0</v>
      </c>
      <c r="Y119" s="1">
        <f t="shared" si="17"/>
        <v>468</v>
      </c>
      <c r="AJ119" s="4"/>
      <c r="AK119" s="4"/>
      <c r="AL119" s="4"/>
      <c r="AM119" s="4"/>
      <c r="AN119" s="4"/>
      <c r="AO119" s="4"/>
      <c r="AP119" s="4"/>
      <c r="AQ119" s="4"/>
      <c r="AR119" s="4"/>
      <c r="AS119" s="4"/>
      <c r="AT119" s="4"/>
      <c r="AU119" s="4"/>
      <c r="AV119" s="4"/>
      <c r="AW119" s="4"/>
    </row>
    <row r="120" spans="2:49" ht="25.5" customHeight="1">
      <c r="B120" s="15">
        <f t="shared" si="1"/>
        <v>34</v>
      </c>
      <c r="C120" s="15">
        <v>2</v>
      </c>
      <c r="D120" s="16">
        <v>7</v>
      </c>
      <c r="E120" s="26">
        <f t="shared" si="9"/>
        <v>71583</v>
      </c>
      <c r="F120" s="29">
        <f>IF(ISBLANK(E120),0,IF(E120=Answers!E120,1,-1))</f>
        <v>1</v>
      </c>
      <c r="G120" s="62" t="s">
        <v>23</v>
      </c>
      <c r="I120" s="63">
        <v>4.96</v>
      </c>
      <c r="J120" s="63">
        <v>13.22</v>
      </c>
      <c r="K120" s="65">
        <v>59</v>
      </c>
      <c r="L120" s="65">
        <v>592</v>
      </c>
      <c r="M120" s="65">
        <v>1219</v>
      </c>
      <c r="N120" s="65">
        <v>1898</v>
      </c>
      <c r="O120" s="65">
        <v>4898</v>
      </c>
      <c r="R120" s="1">
        <f t="shared" si="10"/>
        <v>2800000</v>
      </c>
      <c r="S120" s="1">
        <f t="shared" si="11"/>
        <v>1000000</v>
      </c>
      <c r="T120" s="1">
        <f t="shared" si="12"/>
        <v>180000</v>
      </c>
      <c r="U120" s="1">
        <f t="shared" si="13"/>
        <v>20000</v>
      </c>
      <c r="V120" s="1">
        <f t="shared" si="14"/>
        <v>8000</v>
      </c>
      <c r="W120" s="1">
        <f t="shared" si="15"/>
        <v>2000</v>
      </c>
      <c r="X120" s="1">
        <f t="shared" si="16"/>
        <v>400</v>
      </c>
      <c r="Y120" s="1">
        <f t="shared" si="17"/>
        <v>71583</v>
      </c>
      <c r="AJ120" s="4"/>
      <c r="AK120" s="4"/>
      <c r="AL120" s="4"/>
      <c r="AM120" s="4"/>
      <c r="AN120" s="4"/>
      <c r="AO120" s="4"/>
      <c r="AP120" s="4"/>
      <c r="AQ120" s="4"/>
      <c r="AR120" s="4"/>
      <c r="AS120" s="4"/>
      <c r="AT120" s="4"/>
      <c r="AU120" s="4"/>
      <c r="AV120" s="4"/>
      <c r="AW120" s="4"/>
    </row>
    <row r="121" spans="2:49" ht="25.5" customHeight="1">
      <c r="B121" s="15">
        <f t="shared" si="1"/>
        <v>35</v>
      </c>
      <c r="C121" s="15">
        <v>2</v>
      </c>
      <c r="D121" s="16">
        <v>7</v>
      </c>
      <c r="E121" s="26">
        <f t="shared" si="9"/>
        <v>17545</v>
      </c>
      <c r="F121" s="29">
        <f>IF(ISBLANK(E121),0,IF(E121=Answers!E121,1,-1))</f>
        <v>1</v>
      </c>
      <c r="G121" s="62" t="s">
        <v>21</v>
      </c>
      <c r="I121" s="63">
        <v>4.71</v>
      </c>
      <c r="J121" s="63">
        <v>13.94</v>
      </c>
      <c r="K121" s="65">
        <v>50</v>
      </c>
      <c r="L121" s="65">
        <v>588</v>
      </c>
      <c r="M121" s="65">
        <v>1010</v>
      </c>
      <c r="N121" s="65">
        <v>2618</v>
      </c>
      <c r="O121" s="65">
        <v>5618</v>
      </c>
      <c r="R121" s="1">
        <f t="shared" si="10"/>
        <v>540000</v>
      </c>
      <c r="S121" s="1">
        <f t="shared" si="11"/>
        <v>180000</v>
      </c>
      <c r="T121" s="1">
        <f t="shared" si="12"/>
        <v>36000</v>
      </c>
      <c r="U121" s="1">
        <f t="shared" si="13"/>
        <v>10000</v>
      </c>
      <c r="V121" s="1">
        <f t="shared" si="14"/>
        <v>1500</v>
      </c>
      <c r="W121" s="1">
        <f t="shared" si="15"/>
        <v>350</v>
      </c>
      <c r="X121" s="1">
        <f t="shared" si="16"/>
        <v>140</v>
      </c>
      <c r="Y121" s="1">
        <f t="shared" si="17"/>
        <v>17545</v>
      </c>
      <c r="AJ121" s="4"/>
      <c r="AK121" s="4"/>
      <c r="AL121" s="4"/>
      <c r="AM121" s="4"/>
      <c r="AN121" s="4"/>
      <c r="AO121" s="4"/>
      <c r="AP121" s="4"/>
      <c r="AQ121" s="4"/>
      <c r="AR121" s="4"/>
      <c r="AS121" s="4"/>
      <c r="AT121" s="4"/>
      <c r="AU121" s="4"/>
      <c r="AV121" s="4"/>
      <c r="AW121" s="4"/>
    </row>
    <row r="122" spans="2:49" ht="25.5" customHeight="1">
      <c r="B122" s="15">
        <f t="shared" si="1"/>
        <v>36</v>
      </c>
      <c r="C122" s="15">
        <v>2</v>
      </c>
      <c r="D122" s="16">
        <v>7</v>
      </c>
      <c r="E122" s="26">
        <f t="shared" si="9"/>
        <v>15863</v>
      </c>
      <c r="F122" s="29">
        <f>IF(ISBLANK(E122),0,IF(E122=Answers!E122,1,-1))</f>
        <v>1</v>
      </c>
      <c r="G122" s="62" t="s">
        <v>21</v>
      </c>
      <c r="I122" s="63">
        <v>4.38</v>
      </c>
      <c r="J122" s="63">
        <v>11.73</v>
      </c>
      <c r="K122" s="65">
        <v>57</v>
      </c>
      <c r="L122" s="65">
        <v>536</v>
      </c>
      <c r="M122" s="65">
        <v>893</v>
      </c>
      <c r="N122" s="65">
        <v>2005</v>
      </c>
      <c r="O122" s="65">
        <v>3505</v>
      </c>
      <c r="R122" s="1">
        <f t="shared" si="10"/>
        <v>540000</v>
      </c>
      <c r="S122" s="1">
        <f t="shared" si="11"/>
        <v>180000</v>
      </c>
      <c r="T122" s="1">
        <f t="shared" si="12"/>
        <v>36000</v>
      </c>
      <c r="U122" s="1">
        <f t="shared" si="13"/>
        <v>10000</v>
      </c>
      <c r="V122" s="1">
        <f t="shared" si="14"/>
        <v>1500</v>
      </c>
      <c r="W122" s="1">
        <f t="shared" si="15"/>
        <v>350</v>
      </c>
      <c r="X122" s="1">
        <f t="shared" si="16"/>
        <v>140</v>
      </c>
      <c r="Y122" s="1">
        <f t="shared" si="17"/>
        <v>15863</v>
      </c>
      <c r="AJ122" s="4"/>
      <c r="AK122" s="4"/>
      <c r="AL122" s="4"/>
      <c r="AM122" s="4"/>
      <c r="AN122" s="4"/>
      <c r="AO122" s="4"/>
      <c r="AP122" s="4"/>
      <c r="AQ122" s="4"/>
      <c r="AR122" s="4"/>
      <c r="AS122" s="4"/>
      <c r="AT122" s="4"/>
      <c r="AU122" s="4"/>
      <c r="AV122" s="4"/>
      <c r="AW122" s="4"/>
    </row>
    <row r="123" spans="2:49" ht="25.5" customHeight="1">
      <c r="B123" s="15">
        <f t="shared" si="1"/>
        <v>37</v>
      </c>
      <c r="C123" s="15">
        <v>2</v>
      </c>
      <c r="D123" s="16">
        <v>7</v>
      </c>
      <c r="E123" s="26">
        <f t="shared" si="9"/>
        <v>63961</v>
      </c>
      <c r="F123" s="29">
        <f>IF(ISBLANK(E123),0,IF(E123=Answers!E123,1,-1))</f>
        <v>1</v>
      </c>
      <c r="G123" s="62" t="s">
        <v>23</v>
      </c>
      <c r="I123" s="63">
        <v>4.5199999999999996</v>
      </c>
      <c r="J123" s="63">
        <v>12.99</v>
      </c>
      <c r="K123" s="65">
        <v>48</v>
      </c>
      <c r="L123" s="65">
        <v>456</v>
      </c>
      <c r="M123" s="65">
        <v>1076</v>
      </c>
      <c r="N123" s="65">
        <v>2268</v>
      </c>
      <c r="O123" s="65">
        <v>3991</v>
      </c>
      <c r="R123" s="1">
        <f t="shared" si="10"/>
        <v>2800000</v>
      </c>
      <c r="S123" s="1">
        <f t="shared" si="11"/>
        <v>1000000</v>
      </c>
      <c r="T123" s="1">
        <f t="shared" si="12"/>
        <v>180000</v>
      </c>
      <c r="U123" s="1">
        <f t="shared" si="13"/>
        <v>20000</v>
      </c>
      <c r="V123" s="1">
        <f t="shared" si="14"/>
        <v>8000</v>
      </c>
      <c r="W123" s="1">
        <f t="shared" si="15"/>
        <v>2000</v>
      </c>
      <c r="X123" s="1">
        <f t="shared" si="16"/>
        <v>400</v>
      </c>
      <c r="Y123" s="1">
        <f t="shared" si="17"/>
        <v>63961</v>
      </c>
      <c r="AJ123" s="4"/>
      <c r="AK123" s="4"/>
      <c r="AL123" s="4"/>
      <c r="AM123" s="4"/>
      <c r="AN123" s="4"/>
      <c r="AO123" s="4"/>
      <c r="AP123" s="4"/>
      <c r="AQ123" s="4"/>
      <c r="AR123" s="4"/>
      <c r="AS123" s="4"/>
      <c r="AT123" s="4"/>
      <c r="AU123" s="4"/>
      <c r="AV123" s="4"/>
      <c r="AW123" s="4"/>
    </row>
    <row r="124" spans="2:49" ht="25.5" customHeight="1">
      <c r="B124" s="15">
        <f t="shared" si="1"/>
        <v>38</v>
      </c>
      <c r="C124" s="15">
        <v>2</v>
      </c>
      <c r="D124" s="16">
        <v>7</v>
      </c>
      <c r="E124" s="26">
        <f t="shared" si="9"/>
        <v>456079</v>
      </c>
      <c r="F124" s="29">
        <f>IF(ISBLANK(E124),0,IF(E124=Answers!E124,1,-1))</f>
        <v>1</v>
      </c>
      <c r="G124" s="62" t="s">
        <v>25</v>
      </c>
      <c r="I124" s="63">
        <v>4.41</v>
      </c>
      <c r="J124" s="63">
        <v>12.68</v>
      </c>
      <c r="K124" s="65">
        <v>57</v>
      </c>
      <c r="L124" s="65">
        <v>627</v>
      </c>
      <c r="M124" s="65">
        <v>1140</v>
      </c>
      <c r="N124" s="65">
        <v>2203</v>
      </c>
      <c r="O124" s="65">
        <v>5573</v>
      </c>
      <c r="R124" s="1">
        <f t="shared" si="10"/>
        <v>8000000</v>
      </c>
      <c r="S124" s="1">
        <f t="shared" si="11"/>
        <v>4000000</v>
      </c>
      <c r="T124" s="1">
        <f t="shared" si="12"/>
        <v>600000</v>
      </c>
      <c r="U124" s="1">
        <f t="shared" si="13"/>
        <v>400000</v>
      </c>
      <c r="V124" s="1">
        <f t="shared" si="14"/>
        <v>12000</v>
      </c>
      <c r="W124" s="1">
        <f t="shared" si="15"/>
        <v>6000</v>
      </c>
      <c r="X124" s="1">
        <f t="shared" si="16"/>
        <v>3000</v>
      </c>
      <c r="Y124" s="1">
        <f t="shared" si="17"/>
        <v>456079</v>
      </c>
      <c r="AJ124" s="4"/>
      <c r="AK124" s="4"/>
      <c r="AL124" s="4"/>
      <c r="AM124" s="4"/>
      <c r="AN124" s="4"/>
      <c r="AO124" s="4"/>
      <c r="AP124" s="4"/>
      <c r="AQ124" s="4"/>
      <c r="AR124" s="4"/>
      <c r="AS124" s="4"/>
      <c r="AT124" s="4"/>
      <c r="AU124" s="4"/>
      <c r="AV124" s="4"/>
      <c r="AW124" s="4"/>
    </row>
    <row r="125" spans="2:49" ht="25.5" customHeight="1">
      <c r="B125" s="15">
        <f t="shared" si="1"/>
        <v>39</v>
      </c>
      <c r="C125" s="15">
        <v>2</v>
      </c>
      <c r="D125" s="16">
        <v>7</v>
      </c>
      <c r="E125" s="26">
        <f t="shared" si="9"/>
        <v>15224</v>
      </c>
      <c r="F125" s="29">
        <f>IF(ISBLANK(E125),0,IF(E125=Answers!E125,1,-1))</f>
        <v>1</v>
      </c>
      <c r="G125" s="62" t="s">
        <v>21</v>
      </c>
      <c r="I125" s="63">
        <v>4.5199999999999996</v>
      </c>
      <c r="J125" s="63">
        <v>9.9700000000000006</v>
      </c>
      <c r="K125" s="65">
        <v>48</v>
      </c>
      <c r="L125" s="65">
        <v>516</v>
      </c>
      <c r="M125" s="65">
        <v>974</v>
      </c>
      <c r="N125" s="65">
        <v>2191</v>
      </c>
      <c r="O125" s="65">
        <v>3491</v>
      </c>
      <c r="R125" s="1">
        <f t="shared" si="10"/>
        <v>540000</v>
      </c>
      <c r="S125" s="1">
        <f t="shared" si="11"/>
        <v>180000</v>
      </c>
      <c r="T125" s="1">
        <f t="shared" si="12"/>
        <v>36000</v>
      </c>
      <c r="U125" s="1">
        <f t="shared" si="13"/>
        <v>10000</v>
      </c>
      <c r="V125" s="1">
        <f t="shared" si="14"/>
        <v>1500</v>
      </c>
      <c r="W125" s="1">
        <f t="shared" si="15"/>
        <v>350</v>
      </c>
      <c r="X125" s="1">
        <f t="shared" si="16"/>
        <v>140</v>
      </c>
      <c r="Y125" s="1">
        <f t="shared" si="17"/>
        <v>15224</v>
      </c>
      <c r="AJ125" s="4"/>
      <c r="AK125" s="4"/>
      <c r="AL125" s="4"/>
      <c r="AM125" s="4"/>
      <c r="AN125" s="4"/>
      <c r="AO125" s="4"/>
      <c r="AP125" s="4"/>
      <c r="AQ125" s="4"/>
      <c r="AR125" s="4"/>
      <c r="AS125" s="4"/>
      <c r="AT125" s="4"/>
      <c r="AU125" s="4"/>
      <c r="AV125" s="4"/>
      <c r="AW125" s="4"/>
    </row>
    <row r="126" spans="2:49" ht="25.5" customHeight="1">
      <c r="B126" s="15">
        <f t="shared" si="1"/>
        <v>40</v>
      </c>
      <c r="C126" s="15">
        <v>2</v>
      </c>
      <c r="D126" s="16">
        <v>7</v>
      </c>
      <c r="E126" s="26">
        <f t="shared" si="9"/>
        <v>16235</v>
      </c>
      <c r="F126" s="29">
        <f>IF(ISBLANK(E126),0,IF(E126=Answers!E126,1,-1))</f>
        <v>1</v>
      </c>
      <c r="G126" s="62" t="s">
        <v>21</v>
      </c>
      <c r="I126" s="63">
        <v>4.01</v>
      </c>
      <c r="J126" s="63">
        <v>11.54</v>
      </c>
      <c r="K126" s="65">
        <v>51</v>
      </c>
      <c r="L126" s="65">
        <v>519</v>
      </c>
      <c r="M126" s="65">
        <v>1314</v>
      </c>
      <c r="N126" s="65">
        <v>2556</v>
      </c>
      <c r="O126" s="65">
        <v>4462</v>
      </c>
      <c r="R126" s="1">
        <f t="shared" si="10"/>
        <v>540000</v>
      </c>
      <c r="S126" s="1">
        <f t="shared" si="11"/>
        <v>180000</v>
      </c>
      <c r="T126" s="1">
        <f t="shared" si="12"/>
        <v>36000</v>
      </c>
      <c r="U126" s="1">
        <f t="shared" si="13"/>
        <v>10000</v>
      </c>
      <c r="V126" s="1">
        <f t="shared" si="14"/>
        <v>1500</v>
      </c>
      <c r="W126" s="1">
        <f t="shared" si="15"/>
        <v>350</v>
      </c>
      <c r="X126" s="1">
        <f t="shared" si="16"/>
        <v>140</v>
      </c>
      <c r="Y126" s="1">
        <f t="shared" si="17"/>
        <v>16235</v>
      </c>
      <c r="AJ126" s="4"/>
      <c r="AK126" s="4"/>
      <c r="AL126" s="4"/>
      <c r="AM126" s="4"/>
      <c r="AN126" s="4"/>
      <c r="AO126" s="4"/>
      <c r="AP126" s="4"/>
      <c r="AQ126" s="4"/>
      <c r="AR126" s="4"/>
      <c r="AS126" s="4"/>
      <c r="AT126" s="4"/>
      <c r="AU126" s="4"/>
      <c r="AV126" s="4"/>
      <c r="AW126" s="4"/>
    </row>
    <row r="127" spans="2:49" ht="23.25">
      <c r="B127" s="10"/>
      <c r="C127" s="10"/>
      <c r="D127" s="11"/>
      <c r="E127" s="38"/>
      <c r="G127" s="46"/>
      <c r="H127" s="46"/>
      <c r="I127" s="46"/>
      <c r="J127" s="46"/>
      <c r="K127" s="46"/>
      <c r="L127" s="47"/>
      <c r="M127" s="47"/>
      <c r="N127" s="47"/>
      <c r="O127" s="47"/>
      <c r="P127" s="47"/>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row>
    <row r="128" spans="2:49" ht="16.5" thickBot="1">
      <c r="B128" s="4"/>
      <c r="C128" s="4"/>
      <c r="D128" s="4"/>
      <c r="E128" s="33"/>
      <c r="F128" s="5"/>
      <c r="G128" s="46"/>
      <c r="H128" s="46"/>
      <c r="I128" s="46"/>
      <c r="J128" s="46"/>
      <c r="K128" s="46"/>
      <c r="L128" s="46"/>
      <c r="M128" s="46"/>
      <c r="N128" s="46"/>
      <c r="O128" s="46"/>
      <c r="P128" s="46"/>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row>
    <row r="129" spans="2:49" ht="20.25" thickTop="1" thickBot="1">
      <c r="B129" s="19" t="s">
        <v>84</v>
      </c>
      <c r="C129" s="9" t="s">
        <v>85</v>
      </c>
      <c r="D129" s="4"/>
      <c r="E129" s="33"/>
      <c r="F129" s="5"/>
      <c r="G129" s="45"/>
      <c r="H129" s="45"/>
      <c r="I129" s="45"/>
      <c r="J129" s="46"/>
      <c r="K129" s="46"/>
      <c r="L129" s="46"/>
      <c r="M129" s="46"/>
      <c r="N129" s="46"/>
      <c r="O129" s="46"/>
      <c r="P129" s="46"/>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row>
    <row r="130" spans="2:49" ht="16.5" thickTop="1">
      <c r="B130" s="18"/>
      <c r="C130" s="4"/>
      <c r="D130" s="4"/>
      <c r="E130" s="33"/>
      <c r="F130" s="5"/>
      <c r="G130" s="45"/>
      <c r="H130" s="45"/>
      <c r="I130" s="45"/>
      <c r="J130" s="46"/>
      <c r="K130" s="46"/>
      <c r="L130" s="46"/>
      <c r="M130" s="46"/>
      <c r="N130" s="46"/>
      <c r="O130" s="46"/>
      <c r="P130" s="46"/>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row>
    <row r="131" spans="2:49" ht="15.75">
      <c r="B131" s="18" t="s">
        <v>86</v>
      </c>
      <c r="C131" s="1"/>
      <c r="D131" s="1"/>
      <c r="E131" s="31"/>
      <c r="G131" s="46"/>
      <c r="H131" s="46"/>
      <c r="I131" s="46"/>
      <c r="J131" s="46"/>
      <c r="K131" s="46"/>
      <c r="L131" s="46"/>
      <c r="M131" s="46"/>
      <c r="N131" s="46"/>
      <c r="O131" s="46"/>
      <c r="P131" s="46"/>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row>
    <row r="132" spans="2:49" ht="15.75">
      <c r="B132" s="18"/>
      <c r="C132" s="1" t="s">
        <v>87</v>
      </c>
      <c r="D132" s="1"/>
      <c r="E132" s="31"/>
      <c r="G132" s="46"/>
      <c r="H132" s="46"/>
      <c r="I132" s="46"/>
      <c r="J132" s="46"/>
      <c r="K132" s="46"/>
      <c r="L132" s="46"/>
      <c r="M132" s="46"/>
      <c r="N132" s="46"/>
      <c r="O132" s="46"/>
      <c r="P132" s="46"/>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row>
    <row r="133" spans="2:49" ht="15.75">
      <c r="B133" s="18" t="s">
        <v>88</v>
      </c>
      <c r="C133" s="1"/>
      <c r="D133" s="1"/>
      <c r="E133" s="31"/>
      <c r="G133" s="46"/>
      <c r="H133" s="46"/>
      <c r="I133" s="46"/>
      <c r="J133" s="46"/>
      <c r="K133" s="46"/>
      <c r="L133" s="46"/>
      <c r="M133" s="46"/>
      <c r="N133" s="46"/>
      <c r="O133" s="46"/>
      <c r="P133" s="46"/>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row>
    <row r="134" spans="2:49" ht="15.75">
      <c r="B134" s="18"/>
      <c r="C134" s="1"/>
      <c r="D134" s="1"/>
      <c r="E134" s="31"/>
      <c r="G134" s="46"/>
      <c r="H134" s="46"/>
      <c r="I134" s="46"/>
      <c r="J134" s="46"/>
      <c r="K134" s="46"/>
      <c r="L134" s="46"/>
      <c r="M134" s="46"/>
      <c r="N134" s="46"/>
      <c r="O134" s="46"/>
      <c r="P134" s="46"/>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row>
    <row r="135" spans="2:49" ht="15.75">
      <c r="B135" s="18" t="s">
        <v>89</v>
      </c>
      <c r="C135" s="1"/>
      <c r="D135" s="1"/>
      <c r="E135" s="31"/>
      <c r="G135" s="46"/>
      <c r="H135" s="46"/>
      <c r="I135" s="46"/>
      <c r="J135" s="46"/>
      <c r="K135" s="46"/>
      <c r="L135" s="46"/>
      <c r="M135" s="46"/>
      <c r="N135" s="46"/>
      <c r="O135" s="46"/>
      <c r="P135" s="46"/>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row>
    <row r="136" spans="2:49" ht="15.75">
      <c r="B136" s="18"/>
      <c r="C136" s="64" t="s">
        <v>90</v>
      </c>
      <c r="D136" s="1"/>
      <c r="E136" s="31"/>
      <c r="G136" s="46"/>
      <c r="H136" s="46"/>
      <c r="I136" s="46"/>
      <c r="J136" s="46"/>
      <c r="K136" s="46"/>
      <c r="L136" s="46"/>
      <c r="M136" s="46"/>
      <c r="N136" s="46"/>
      <c r="O136" s="46"/>
      <c r="P136" s="46"/>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row>
    <row r="137" spans="2:49" ht="15.75">
      <c r="B137" s="18"/>
      <c r="C137" s="64"/>
      <c r="D137" s="1"/>
      <c r="E137" s="31"/>
      <c r="G137" s="46"/>
      <c r="H137" s="46"/>
      <c r="I137" s="46"/>
      <c r="J137" s="46"/>
      <c r="K137" s="46"/>
      <c r="L137" s="46"/>
      <c r="M137" s="46"/>
      <c r="N137" s="46"/>
      <c r="O137" s="46"/>
      <c r="P137" s="46"/>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row>
    <row r="138" spans="2:49" ht="16.5" thickBot="1">
      <c r="B138" s="4"/>
      <c r="C138" s="4"/>
      <c r="D138" s="4"/>
      <c r="E138" s="33"/>
      <c r="F138" s="5"/>
      <c r="G138" s="44"/>
      <c r="H138" s="46"/>
      <c r="I138" s="43" t="s">
        <v>91</v>
      </c>
      <c r="J138" s="46"/>
      <c r="K138" s="46"/>
      <c r="L138" s="47"/>
      <c r="M138" s="47"/>
      <c r="N138" s="47"/>
      <c r="O138" s="46"/>
      <c r="P138" s="46"/>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row>
    <row r="139" spans="2:49" ht="25.5" customHeight="1" thickTop="1" thickBot="1">
      <c r="B139" s="17" t="s">
        <v>41</v>
      </c>
      <c r="C139" s="17" t="s">
        <v>74</v>
      </c>
      <c r="D139" s="17" t="s">
        <v>43</v>
      </c>
      <c r="E139" s="36" t="s">
        <v>44</v>
      </c>
      <c r="G139" s="49" t="s">
        <v>92</v>
      </c>
      <c r="H139" s="44"/>
      <c r="I139" s="61" t="s">
        <v>93</v>
      </c>
      <c r="J139" s="49" t="s">
        <v>94</v>
      </c>
      <c r="K139" s="49" t="s">
        <v>95</v>
      </c>
      <c r="L139" s="49" t="s">
        <v>96</v>
      </c>
      <c r="M139" s="49" t="s">
        <v>97</v>
      </c>
      <c r="N139" s="44"/>
      <c r="O139" s="46"/>
      <c r="P139" s="46" t="s">
        <v>98</v>
      </c>
      <c r="Q139" s="4"/>
      <c r="R139" s="4"/>
      <c r="S139" s="4"/>
      <c r="T139" s="4"/>
      <c r="U139" s="4"/>
      <c r="V139" s="44"/>
      <c r="W139" s="44"/>
      <c r="X139" s="44"/>
      <c r="Y139" s="44"/>
      <c r="Z139" s="44"/>
      <c r="AA139" s="44"/>
      <c r="AB139" s="44"/>
      <c r="AC139" s="44"/>
      <c r="AD139" s="44"/>
      <c r="AE139" s="44"/>
      <c r="AF139" s="44"/>
      <c r="AG139" s="44"/>
      <c r="AH139" s="44"/>
      <c r="AI139" s="44"/>
      <c r="AJ139" s="4"/>
      <c r="AK139" s="4"/>
      <c r="AL139" s="4"/>
      <c r="AM139" s="4"/>
      <c r="AN139" s="4"/>
      <c r="AO139" s="4"/>
      <c r="AP139" s="4"/>
      <c r="AQ139" s="4"/>
      <c r="AR139" s="4"/>
      <c r="AS139" s="4"/>
      <c r="AT139" s="4"/>
      <c r="AU139" s="4"/>
      <c r="AV139" s="4"/>
      <c r="AW139" s="4"/>
    </row>
    <row r="140" spans="2:49" ht="16.5" thickTop="1">
      <c r="B140" s="1"/>
      <c r="C140" s="1"/>
      <c r="D140" s="1"/>
      <c r="E140" s="31"/>
      <c r="H140" s="44"/>
      <c r="I140" s="44"/>
      <c r="J140" s="44"/>
      <c r="K140" s="44"/>
      <c r="L140" s="44"/>
      <c r="M140" s="44"/>
      <c r="N140" s="44"/>
      <c r="O140" s="46"/>
      <c r="P140" s="142" t="s">
        <v>99</v>
      </c>
      <c r="Q140" s="4"/>
      <c r="R140" s="4"/>
      <c r="S140" s="4"/>
      <c r="T140" s="4"/>
      <c r="U140" s="4"/>
      <c r="V140" s="44"/>
      <c r="W140" s="44"/>
      <c r="X140" s="44"/>
      <c r="Y140" s="44"/>
      <c r="Z140" s="44"/>
      <c r="AA140" s="44"/>
      <c r="AB140" s="44"/>
      <c r="AC140" s="44"/>
      <c r="AD140" s="44"/>
      <c r="AE140" s="44"/>
      <c r="AF140" s="44"/>
      <c r="AG140" s="44"/>
      <c r="AH140" s="44"/>
      <c r="AI140" s="44"/>
      <c r="AJ140" s="4"/>
      <c r="AK140" s="4"/>
      <c r="AL140" s="4"/>
      <c r="AM140" s="4"/>
      <c r="AN140" s="4"/>
      <c r="AO140" s="4"/>
      <c r="AP140" s="4"/>
      <c r="AQ140" s="4"/>
      <c r="AR140" s="4"/>
      <c r="AS140" s="4"/>
      <c r="AT140" s="4"/>
      <c r="AU140" s="4"/>
      <c r="AV140" s="4"/>
      <c r="AW140" s="4"/>
    </row>
    <row r="141" spans="2:49" ht="23.25">
      <c r="B141" s="15" t="s">
        <v>100</v>
      </c>
      <c r="C141" s="15">
        <v>3</v>
      </c>
      <c r="D141" s="16">
        <v>0</v>
      </c>
      <c r="E141" s="26">
        <v>2306</v>
      </c>
      <c r="F141" s="29">
        <f>IF(ISBLANK(E141),0,IF(E141=Answers!E141,1,-1))</f>
        <v>1</v>
      </c>
      <c r="G141" s="74">
        <v>45110</v>
      </c>
      <c r="H141" s="44"/>
      <c r="I141" s="67">
        <v>10</v>
      </c>
      <c r="J141" s="68">
        <v>11</v>
      </c>
      <c r="K141" s="67">
        <v>12</v>
      </c>
      <c r="L141" s="68">
        <v>11</v>
      </c>
      <c r="M141" s="67">
        <v>10</v>
      </c>
      <c r="N141" s="44"/>
      <c r="O141" s="46"/>
      <c r="P141" s="46"/>
      <c r="Q141" s="4"/>
      <c r="R141" s="4"/>
      <c r="S141" s="4"/>
      <c r="T141" s="4"/>
      <c r="U141" s="4"/>
      <c r="V141" s="44"/>
      <c r="W141" s="44"/>
      <c r="X141" s="44"/>
      <c r="Y141" s="44"/>
      <c r="Z141" s="44"/>
      <c r="AA141" s="44"/>
      <c r="AB141" s="44"/>
      <c r="AC141" s="44"/>
      <c r="AD141" s="44"/>
      <c r="AE141" s="44"/>
      <c r="AF141" s="44"/>
      <c r="AG141" s="44"/>
      <c r="AH141" s="44"/>
      <c r="AI141" s="44"/>
      <c r="AJ141" s="4"/>
      <c r="AK141" s="4"/>
      <c r="AL141" s="4"/>
      <c r="AM141" s="4"/>
      <c r="AN141" s="4"/>
      <c r="AO141" s="4"/>
      <c r="AP141" s="4"/>
      <c r="AQ141" s="4"/>
      <c r="AR141" s="4"/>
      <c r="AS141" s="4"/>
      <c r="AT141" s="4"/>
      <c r="AU141" s="4"/>
      <c r="AV141" s="4"/>
      <c r="AW141" s="4"/>
    </row>
    <row r="142" spans="2:49" ht="15.75">
      <c r="B142" s="1"/>
      <c r="C142" s="1"/>
      <c r="D142" s="1"/>
      <c r="E142" s="31"/>
      <c r="G142" s="48"/>
      <c r="H142" s="44"/>
      <c r="I142" s="44"/>
      <c r="J142" s="44"/>
      <c r="K142" s="44"/>
      <c r="L142" s="44"/>
      <c r="M142" s="44"/>
      <c r="N142" s="44"/>
      <c r="O142" s="46"/>
      <c r="P142" s="46"/>
      <c r="Q142" s="4"/>
      <c r="R142" s="4"/>
      <c r="S142" s="4"/>
      <c r="T142" s="4"/>
      <c r="U142" s="4"/>
      <c r="V142" s="44"/>
      <c r="W142" s="44"/>
      <c r="X142" s="44"/>
      <c r="Y142" s="44"/>
      <c r="Z142" s="44"/>
      <c r="AA142" s="44"/>
      <c r="AB142" s="44"/>
      <c r="AC142" s="44"/>
      <c r="AD142" s="44"/>
      <c r="AE142" s="44"/>
      <c r="AF142" s="44"/>
      <c r="AG142" s="44"/>
      <c r="AH142" s="44"/>
      <c r="AI142" s="44"/>
      <c r="AJ142" s="4"/>
      <c r="AK142" s="4"/>
      <c r="AL142" s="4"/>
      <c r="AM142" s="4"/>
      <c r="AN142" s="4"/>
      <c r="AO142" s="4"/>
      <c r="AP142" s="4"/>
      <c r="AQ142" s="4"/>
      <c r="AR142" s="4"/>
      <c r="AS142" s="4"/>
      <c r="AT142" s="4"/>
      <c r="AU142" s="4"/>
      <c r="AV142" s="4"/>
      <c r="AW142" s="4"/>
    </row>
    <row r="143" spans="2:49" ht="23.25">
      <c r="B143" s="15">
        <v>41</v>
      </c>
      <c r="C143" s="15">
        <v>3</v>
      </c>
      <c r="D143" s="16">
        <v>9</v>
      </c>
      <c r="E143" s="26">
        <f>'vraag 3'!AJ15</f>
        <v>1</v>
      </c>
      <c r="F143" s="29">
        <f>IF(ISBLANK(E143),0,IF(E143=Answers!E143,1,-1))</f>
        <v>1</v>
      </c>
      <c r="G143" s="74">
        <v>45070</v>
      </c>
      <c r="H143" s="44"/>
      <c r="I143" s="66"/>
      <c r="J143" s="66"/>
      <c r="K143" s="69">
        <v>1</v>
      </c>
      <c r="L143" s="66"/>
      <c r="M143" s="66"/>
      <c r="N143" s="44"/>
      <c r="O143" s="46"/>
      <c r="P143" s="46"/>
      <c r="Q143" s="4"/>
      <c r="R143" s="4"/>
      <c r="S143" s="4"/>
      <c r="T143" s="4"/>
      <c r="U143" s="4"/>
      <c r="V143" s="44"/>
      <c r="W143" s="44"/>
      <c r="X143" s="44"/>
      <c r="Y143" s="44"/>
      <c r="Z143" s="44"/>
      <c r="AA143" s="44"/>
      <c r="AB143" s="44"/>
      <c r="AC143" s="44"/>
      <c r="AD143" s="44"/>
      <c r="AE143" s="44"/>
      <c r="AF143" s="44"/>
      <c r="AG143" s="44"/>
      <c r="AH143" s="44"/>
      <c r="AI143" s="44"/>
      <c r="AJ143" s="4"/>
      <c r="AK143" s="4"/>
      <c r="AL143" s="4"/>
      <c r="AM143" s="4"/>
      <c r="AN143" s="4"/>
      <c r="AO143" s="4"/>
      <c r="AP143" s="4"/>
      <c r="AQ143" s="4"/>
      <c r="AR143" s="4"/>
      <c r="AS143" s="4"/>
      <c r="AT143" s="4"/>
      <c r="AU143" s="4"/>
      <c r="AV143" s="4"/>
      <c r="AW143" s="4"/>
    </row>
    <row r="144" spans="2:49" ht="23.25">
      <c r="B144" s="15">
        <f t="shared" ref="B144:B162" si="18">B143+1</f>
        <v>42</v>
      </c>
      <c r="C144" s="15">
        <v>3</v>
      </c>
      <c r="D144" s="16">
        <v>9</v>
      </c>
      <c r="E144" s="26">
        <f>'vraag 3'!AJ16</f>
        <v>7</v>
      </c>
      <c r="F144" s="29">
        <f>IF(ISBLANK(E144),0,IF(E144=Answers!E144,1,-1))</f>
        <v>1</v>
      </c>
      <c r="G144" s="74">
        <v>45250</v>
      </c>
      <c r="H144" s="44"/>
      <c r="I144" s="66"/>
      <c r="J144" s="69">
        <v>2</v>
      </c>
      <c r="K144" s="70">
        <v>3</v>
      </c>
      <c r="L144" s="69">
        <v>4</v>
      </c>
      <c r="M144" s="66"/>
      <c r="N144" s="44"/>
      <c r="O144" s="46"/>
      <c r="P144" s="46"/>
      <c r="Q144" s="4"/>
      <c r="R144" s="4"/>
      <c r="S144" s="4"/>
      <c r="T144" s="4"/>
      <c r="U144" s="4"/>
      <c r="V144" s="44"/>
      <c r="W144" s="44"/>
      <c r="X144" s="44"/>
      <c r="Y144" s="44"/>
      <c r="Z144" s="44"/>
      <c r="AA144" s="44"/>
      <c r="AB144" s="44"/>
      <c r="AC144" s="44"/>
      <c r="AD144" s="44"/>
      <c r="AE144" s="44"/>
      <c r="AF144" s="44"/>
      <c r="AG144" s="44"/>
      <c r="AH144" s="44"/>
      <c r="AI144" s="44"/>
      <c r="AJ144" s="4"/>
      <c r="AK144" s="4"/>
      <c r="AL144" s="4"/>
      <c r="AM144" s="4"/>
      <c r="AN144" s="4"/>
      <c r="AO144" s="4"/>
      <c r="AP144" s="4"/>
      <c r="AQ144" s="4"/>
      <c r="AR144" s="4"/>
      <c r="AS144" s="4"/>
      <c r="AT144" s="4"/>
      <c r="AU144" s="4"/>
      <c r="AV144" s="4"/>
      <c r="AW144" s="4"/>
    </row>
    <row r="145" spans="2:49" ht="23.25">
      <c r="B145" s="15">
        <f t="shared" si="18"/>
        <v>43</v>
      </c>
      <c r="C145" s="15">
        <v>3</v>
      </c>
      <c r="D145" s="16">
        <v>9</v>
      </c>
      <c r="E145" s="26">
        <f>'vraag 3'!AJ17</f>
        <v>136</v>
      </c>
      <c r="F145" s="29">
        <f>IF(ISBLANK(E145),0,IF(E145=Answers!E145,1,-1))</f>
        <v>1</v>
      </c>
      <c r="G145" s="74">
        <v>45157</v>
      </c>
      <c r="H145" s="44"/>
      <c r="I145" s="69">
        <v>5</v>
      </c>
      <c r="J145" s="70">
        <v>6</v>
      </c>
      <c r="K145" s="68">
        <v>7</v>
      </c>
      <c r="L145" s="70">
        <v>8</v>
      </c>
      <c r="M145" s="69">
        <v>9</v>
      </c>
      <c r="N145" s="44"/>
      <c r="O145" s="46"/>
      <c r="P145" s="46"/>
      <c r="Q145" s="4"/>
      <c r="R145" s="4"/>
      <c r="S145" s="4"/>
      <c r="T145" s="4"/>
      <c r="U145" s="4"/>
      <c r="V145" s="44"/>
      <c r="W145" s="44"/>
      <c r="X145" s="44"/>
      <c r="Y145" s="44"/>
      <c r="Z145" s="44"/>
      <c r="AA145" s="44"/>
      <c r="AB145" s="44"/>
      <c r="AC145" s="44"/>
      <c r="AD145" s="44"/>
      <c r="AE145" s="44"/>
      <c r="AF145" s="44"/>
      <c r="AG145" s="44"/>
      <c r="AH145" s="44"/>
      <c r="AI145" s="44"/>
      <c r="AJ145" s="4"/>
      <c r="AK145" s="4"/>
      <c r="AL145" s="4"/>
      <c r="AM145" s="4"/>
      <c r="AN145" s="4"/>
      <c r="AO145" s="4"/>
      <c r="AP145" s="4"/>
      <c r="AQ145" s="4"/>
      <c r="AR145" s="4"/>
      <c r="AS145" s="4"/>
      <c r="AT145" s="4"/>
      <c r="AU145" s="4"/>
      <c r="AV145" s="4"/>
      <c r="AW145" s="4"/>
    </row>
    <row r="146" spans="2:49" ht="23.25">
      <c r="B146" s="15">
        <f t="shared" si="18"/>
        <v>44</v>
      </c>
      <c r="C146" s="15">
        <v>3</v>
      </c>
      <c r="D146" s="16">
        <v>9</v>
      </c>
      <c r="E146" s="26">
        <f>'vraag 3'!AJ18</f>
        <v>2501</v>
      </c>
      <c r="F146" s="29">
        <f>IF(ISBLANK(E146),0,IF(E146=Answers!E146,1,-1))</f>
        <v>1</v>
      </c>
      <c r="G146" s="74">
        <v>45209</v>
      </c>
      <c r="H146" s="44"/>
      <c r="I146" s="67">
        <v>10</v>
      </c>
      <c r="J146" s="68">
        <v>11</v>
      </c>
      <c r="K146" s="67">
        <v>12</v>
      </c>
      <c r="L146" s="68">
        <v>13</v>
      </c>
      <c r="M146" s="67">
        <v>14</v>
      </c>
      <c r="N146" s="44"/>
      <c r="O146" s="46"/>
      <c r="P146" s="46"/>
      <c r="Q146" s="4"/>
      <c r="R146" s="4"/>
      <c r="S146" s="4"/>
      <c r="T146" s="4"/>
      <c r="U146" s="4"/>
      <c r="V146" s="44"/>
      <c r="W146" s="44"/>
      <c r="X146" s="44"/>
      <c r="Y146" s="44"/>
      <c r="Z146" s="44"/>
      <c r="AA146" s="44"/>
      <c r="AB146" s="44"/>
      <c r="AC146" s="44"/>
      <c r="AD146" s="44"/>
      <c r="AE146" s="44"/>
      <c r="AF146" s="44"/>
      <c r="AG146" s="44"/>
      <c r="AH146" s="44"/>
      <c r="AI146" s="44"/>
      <c r="AJ146" s="4"/>
      <c r="AK146" s="4"/>
      <c r="AL146" s="4"/>
      <c r="AM146" s="4"/>
      <c r="AN146" s="4"/>
      <c r="AO146" s="4"/>
      <c r="AP146" s="4"/>
      <c r="AQ146" s="4"/>
      <c r="AR146" s="4"/>
      <c r="AS146" s="4"/>
      <c r="AT146" s="4"/>
      <c r="AU146" s="4"/>
      <c r="AV146" s="4"/>
      <c r="AW146" s="4"/>
    </row>
    <row r="147" spans="2:49" ht="23.25">
      <c r="B147" s="15">
        <f t="shared" si="18"/>
        <v>45</v>
      </c>
      <c r="C147" s="15">
        <v>3</v>
      </c>
      <c r="D147" s="16">
        <v>9</v>
      </c>
      <c r="E147" s="26">
        <f>'vraag 3'!AJ19</f>
        <v>11773</v>
      </c>
      <c r="F147" s="29">
        <f>IF(ISBLANK(E147),0,IF(E147=Answers!E147,1,-1))</f>
        <v>1</v>
      </c>
      <c r="G147" s="74">
        <v>45195</v>
      </c>
      <c r="H147" s="44"/>
      <c r="I147" s="66"/>
      <c r="J147" s="71">
        <v>15</v>
      </c>
      <c r="K147" s="68">
        <v>16</v>
      </c>
      <c r="L147" s="71">
        <v>17</v>
      </c>
      <c r="M147" s="66"/>
      <c r="N147" s="44"/>
      <c r="O147" s="46"/>
      <c r="P147" s="46"/>
      <c r="Q147" s="4"/>
      <c r="R147" s="4"/>
      <c r="S147" s="4"/>
      <c r="T147" s="4"/>
      <c r="U147" s="4"/>
      <c r="V147" s="44"/>
      <c r="W147" s="44"/>
      <c r="X147" s="44"/>
      <c r="Y147" s="44"/>
      <c r="Z147" s="44"/>
      <c r="AA147" s="44"/>
      <c r="AB147" s="44"/>
      <c r="AC147" s="44"/>
      <c r="AD147" s="44"/>
      <c r="AE147" s="44"/>
      <c r="AF147" s="44"/>
      <c r="AG147" s="44"/>
      <c r="AH147" s="44"/>
      <c r="AI147" s="44"/>
      <c r="AJ147" s="4"/>
      <c r="AK147" s="4"/>
      <c r="AL147" s="4"/>
      <c r="AM147" s="4"/>
      <c r="AN147" s="4"/>
      <c r="AO147" s="4"/>
      <c r="AP147" s="4"/>
      <c r="AQ147" s="4"/>
      <c r="AR147" s="4"/>
      <c r="AS147" s="4"/>
      <c r="AT147" s="4"/>
      <c r="AU147" s="4"/>
      <c r="AV147" s="4"/>
      <c r="AW147" s="4"/>
    </row>
    <row r="148" spans="2:49" ht="23.25">
      <c r="B148" s="15">
        <f t="shared" si="18"/>
        <v>46</v>
      </c>
      <c r="C148" s="15">
        <v>3</v>
      </c>
      <c r="D148" s="16">
        <v>9</v>
      </c>
      <c r="E148" s="26">
        <f>'vraag 3'!AJ20</f>
        <v>1171</v>
      </c>
      <c r="F148" s="29">
        <f>IF(ISBLANK(E148),0,IF(E148=Answers!E148,1,-1))</f>
        <v>1</v>
      </c>
      <c r="G148" s="74">
        <v>45227</v>
      </c>
      <c r="H148" s="44"/>
      <c r="I148" s="66"/>
      <c r="J148" s="69">
        <v>19</v>
      </c>
      <c r="K148" s="67">
        <v>18</v>
      </c>
      <c r="L148" s="69">
        <v>20</v>
      </c>
      <c r="M148" s="66"/>
      <c r="N148" s="44"/>
      <c r="O148" s="46"/>
      <c r="P148" s="46"/>
      <c r="Q148" s="4"/>
      <c r="R148" s="4"/>
      <c r="S148" s="4"/>
      <c r="T148" s="4"/>
      <c r="U148" s="4"/>
      <c r="V148" s="44"/>
      <c r="W148" s="44"/>
      <c r="X148" s="44"/>
      <c r="Y148" s="44"/>
      <c r="Z148" s="44"/>
      <c r="AA148" s="44"/>
      <c r="AB148" s="44"/>
      <c r="AC148" s="44"/>
      <c r="AD148" s="44"/>
      <c r="AE148" s="44"/>
      <c r="AF148" s="44"/>
      <c r="AG148" s="44"/>
      <c r="AH148" s="44"/>
      <c r="AI148" s="44"/>
      <c r="AJ148" s="4"/>
      <c r="AK148" s="4"/>
      <c r="AL148" s="4"/>
      <c r="AM148" s="4"/>
      <c r="AN148" s="4"/>
      <c r="AO148" s="4"/>
      <c r="AP148" s="4"/>
      <c r="AQ148" s="4"/>
      <c r="AR148" s="4"/>
      <c r="AS148" s="4"/>
      <c r="AT148" s="4"/>
      <c r="AU148" s="4"/>
      <c r="AV148" s="4"/>
      <c r="AW148" s="4"/>
    </row>
    <row r="149" spans="2:49" ht="23.25">
      <c r="B149" s="15">
        <f t="shared" si="18"/>
        <v>47</v>
      </c>
      <c r="C149" s="15">
        <v>3</v>
      </c>
      <c r="D149" s="16">
        <v>9</v>
      </c>
      <c r="E149" s="26">
        <f>'vraag 3'!AJ21</f>
        <v>89</v>
      </c>
      <c r="F149" s="29">
        <f>IF(ISBLANK(E149),0,IF(E149=Answers!E149,1,-1))</f>
        <v>1</v>
      </c>
      <c r="G149" s="74">
        <v>45054</v>
      </c>
      <c r="H149" s="44"/>
      <c r="I149" s="69">
        <v>7</v>
      </c>
      <c r="J149" s="44"/>
      <c r="K149" s="69">
        <v>6</v>
      </c>
      <c r="L149" s="68">
        <v>5</v>
      </c>
      <c r="M149" s="69">
        <v>7</v>
      </c>
      <c r="N149" s="44"/>
      <c r="O149" s="46"/>
      <c r="P149" s="46"/>
      <c r="Q149" s="4"/>
      <c r="R149" s="4"/>
      <c r="S149" s="4"/>
      <c r="T149" s="4"/>
      <c r="U149" s="4"/>
      <c r="V149" s="44"/>
      <c r="W149" s="44"/>
      <c r="X149" s="44"/>
      <c r="Y149" s="44"/>
      <c r="Z149" s="44"/>
      <c r="AA149" s="44"/>
      <c r="AB149" s="44"/>
      <c r="AC149" s="44"/>
      <c r="AD149" s="44"/>
      <c r="AE149" s="44"/>
      <c r="AF149" s="44"/>
      <c r="AG149" s="44"/>
      <c r="AH149" s="44"/>
      <c r="AI149" s="44"/>
      <c r="AJ149" s="4"/>
      <c r="AK149" s="4"/>
      <c r="AL149" s="4"/>
      <c r="AM149" s="4"/>
      <c r="AN149" s="4"/>
      <c r="AO149" s="4"/>
      <c r="AP149" s="4"/>
      <c r="AQ149" s="4"/>
      <c r="AR149" s="4"/>
      <c r="AS149" s="4"/>
      <c r="AT149" s="4"/>
      <c r="AU149" s="4"/>
      <c r="AV149" s="4"/>
      <c r="AW149" s="4"/>
    </row>
    <row r="150" spans="2:49" ht="23.25">
      <c r="B150" s="15">
        <f t="shared" si="18"/>
        <v>48</v>
      </c>
      <c r="C150" s="15">
        <v>3</v>
      </c>
      <c r="D150" s="16">
        <v>9</v>
      </c>
      <c r="E150" s="26">
        <f>'vraag 3'!AJ22</f>
        <v>5498</v>
      </c>
      <c r="F150" s="29">
        <f>IF(ISBLANK(E150),0,IF(E150=Answers!E150,1,-1))</f>
        <v>1</v>
      </c>
      <c r="G150" s="74">
        <v>45172</v>
      </c>
      <c r="H150" s="44"/>
      <c r="I150" s="44"/>
      <c r="J150" s="68">
        <v>5</v>
      </c>
      <c r="K150" s="71">
        <v>14</v>
      </c>
      <c r="L150" s="44"/>
      <c r="M150" s="44"/>
      <c r="N150" s="44"/>
      <c r="O150" s="46"/>
      <c r="P150" s="46"/>
      <c r="Q150" s="4"/>
      <c r="R150" s="4"/>
      <c r="S150" s="4"/>
      <c r="T150" s="4"/>
      <c r="U150" s="4"/>
      <c r="V150" s="44"/>
      <c r="W150" s="44"/>
      <c r="X150" s="44"/>
      <c r="Y150" s="44"/>
      <c r="Z150" s="44"/>
      <c r="AA150" s="44"/>
      <c r="AB150" s="44"/>
      <c r="AC150" s="44"/>
      <c r="AD150" s="44"/>
      <c r="AE150" s="44"/>
      <c r="AF150" s="44"/>
      <c r="AG150" s="44"/>
      <c r="AH150" s="44"/>
      <c r="AI150" s="44"/>
      <c r="AJ150" s="4"/>
      <c r="AK150" s="4"/>
      <c r="AL150" s="4"/>
      <c r="AM150" s="4"/>
      <c r="AN150" s="4"/>
      <c r="AO150" s="4"/>
      <c r="AP150" s="4"/>
      <c r="AQ150" s="4"/>
      <c r="AR150" s="4"/>
      <c r="AS150" s="4"/>
      <c r="AT150" s="4"/>
      <c r="AU150" s="4"/>
      <c r="AV150" s="4"/>
      <c r="AW150" s="4"/>
    </row>
    <row r="151" spans="2:49" ht="23.25">
      <c r="B151" s="15">
        <f t="shared" si="18"/>
        <v>49</v>
      </c>
      <c r="C151" s="15">
        <v>3</v>
      </c>
      <c r="D151" s="16">
        <v>9</v>
      </c>
      <c r="E151" s="26">
        <f>'vraag 3'!AJ23</f>
        <v>7599</v>
      </c>
      <c r="F151" s="29">
        <f>IF(ISBLANK(E151),0,IF(E151=Answers!E151,1,-1))</f>
        <v>1</v>
      </c>
      <c r="G151" s="74">
        <v>45247</v>
      </c>
      <c r="H151" s="44"/>
      <c r="I151" s="71">
        <v>7</v>
      </c>
      <c r="J151" s="44"/>
      <c r="K151" s="69">
        <v>5</v>
      </c>
      <c r="L151" s="44"/>
      <c r="M151" s="71">
        <v>14</v>
      </c>
      <c r="N151" s="44"/>
      <c r="O151" s="46"/>
      <c r="P151" s="46"/>
      <c r="Q151" s="4"/>
      <c r="R151" s="4"/>
      <c r="S151" s="4"/>
      <c r="T151" s="4"/>
      <c r="U151" s="4"/>
      <c r="V151" s="44"/>
      <c r="W151" s="44"/>
      <c r="X151" s="44"/>
      <c r="Y151" s="44"/>
      <c r="Z151" s="44"/>
      <c r="AA151" s="44"/>
      <c r="AB151" s="44"/>
      <c r="AC151" s="44"/>
      <c r="AD151" s="44"/>
      <c r="AE151" s="44"/>
      <c r="AF151" s="44"/>
      <c r="AG151" s="44"/>
      <c r="AH151" s="44"/>
      <c r="AI151" s="44"/>
      <c r="AJ151" s="4"/>
      <c r="AK151" s="4"/>
      <c r="AL151" s="4"/>
      <c r="AM151" s="4"/>
      <c r="AN151" s="4"/>
      <c r="AO151" s="4"/>
      <c r="AP151" s="4"/>
      <c r="AQ151" s="4"/>
      <c r="AR151" s="4"/>
      <c r="AS151" s="4"/>
      <c r="AT151" s="4"/>
      <c r="AU151" s="4"/>
      <c r="AV151" s="4"/>
      <c r="AW151" s="4"/>
    </row>
    <row r="152" spans="2:49" ht="23.25">
      <c r="B152" s="15">
        <f t="shared" si="18"/>
        <v>50</v>
      </c>
      <c r="C152" s="15">
        <v>3</v>
      </c>
      <c r="D152" s="16">
        <v>9</v>
      </c>
      <c r="E152" s="26">
        <f>'vraag 3'!AJ24</f>
        <v>16777</v>
      </c>
      <c r="F152" s="29">
        <f>IF(ISBLANK(E152),0,IF(E152=Answers!E152,1,-1))</f>
        <v>1</v>
      </c>
      <c r="G152" s="74">
        <v>45219</v>
      </c>
      <c r="H152" s="44"/>
      <c r="I152" s="71">
        <v>7</v>
      </c>
      <c r="J152" s="71">
        <v>4</v>
      </c>
      <c r="K152" s="71">
        <v>12</v>
      </c>
      <c r="L152" s="71">
        <v>18</v>
      </c>
      <c r="M152" s="71">
        <v>5</v>
      </c>
      <c r="N152" s="44"/>
      <c r="O152" s="46"/>
      <c r="P152" s="46"/>
      <c r="Q152" s="4"/>
      <c r="R152" s="4"/>
      <c r="S152" s="4"/>
      <c r="T152" s="4"/>
      <c r="U152" s="4"/>
      <c r="V152" s="44"/>
      <c r="W152" s="44"/>
      <c r="X152" s="44"/>
      <c r="Y152" s="44"/>
      <c r="Z152" s="44"/>
      <c r="AA152" s="44"/>
      <c r="AB152" s="44"/>
      <c r="AC152" s="44"/>
      <c r="AD152" s="44"/>
      <c r="AE152" s="44"/>
      <c r="AF152" s="44"/>
      <c r="AG152" s="44"/>
      <c r="AH152" s="44"/>
      <c r="AI152" s="44"/>
      <c r="AJ152" s="4"/>
      <c r="AK152" s="4"/>
      <c r="AL152" s="4"/>
      <c r="AM152" s="4"/>
      <c r="AN152" s="4"/>
      <c r="AO152" s="4"/>
      <c r="AP152" s="4"/>
      <c r="AQ152" s="4"/>
      <c r="AR152" s="4"/>
      <c r="AS152" s="4"/>
      <c r="AT152" s="4"/>
      <c r="AU152" s="4"/>
      <c r="AV152" s="4"/>
      <c r="AW152" s="4"/>
    </row>
    <row r="153" spans="2:49" ht="23.25">
      <c r="B153" s="15">
        <f t="shared" si="18"/>
        <v>51</v>
      </c>
      <c r="C153" s="15">
        <v>3</v>
      </c>
      <c r="D153" s="16">
        <v>9</v>
      </c>
      <c r="E153" s="26">
        <f>'vraag 3'!AJ25</f>
        <v>106</v>
      </c>
      <c r="F153" s="29">
        <f>IF(ISBLANK(E153),0,IF(E153=Answers!E153,1,-1))</f>
        <v>1</v>
      </c>
      <c r="G153" s="74">
        <v>45247</v>
      </c>
      <c r="H153" s="44"/>
      <c r="I153" s="44"/>
      <c r="J153" s="69">
        <v>1</v>
      </c>
      <c r="K153" s="44"/>
      <c r="L153" s="44"/>
      <c r="M153" s="68">
        <v>7</v>
      </c>
      <c r="N153" s="44"/>
      <c r="O153" s="46"/>
      <c r="P153" s="46"/>
      <c r="Q153" s="4"/>
      <c r="R153" s="4"/>
      <c r="S153" s="4"/>
      <c r="T153" s="4"/>
      <c r="U153" s="4"/>
      <c r="V153" s="44"/>
      <c r="W153" s="44"/>
      <c r="X153" s="44"/>
      <c r="Y153" s="44"/>
      <c r="Z153" s="44"/>
      <c r="AA153" s="44"/>
      <c r="AB153" s="44"/>
      <c r="AC153" s="44"/>
      <c r="AD153" s="44"/>
      <c r="AE153" s="44"/>
      <c r="AF153" s="44"/>
      <c r="AG153" s="44"/>
      <c r="AH153" s="44"/>
      <c r="AI153" s="44"/>
      <c r="AJ153" s="4"/>
      <c r="AK153" s="4"/>
      <c r="AL153" s="4"/>
      <c r="AM153" s="4"/>
      <c r="AN153" s="4"/>
      <c r="AO153" s="4"/>
      <c r="AP153" s="4"/>
      <c r="AQ153" s="4"/>
      <c r="AR153" s="4"/>
      <c r="AS153" s="4"/>
      <c r="AT153" s="4"/>
      <c r="AU153" s="4"/>
      <c r="AV153" s="4"/>
      <c r="AW153" s="4"/>
    </row>
    <row r="154" spans="2:49" ht="23.25">
      <c r="B154" s="15">
        <f t="shared" si="18"/>
        <v>52</v>
      </c>
      <c r="C154" s="15">
        <v>3</v>
      </c>
      <c r="D154" s="16">
        <v>9</v>
      </c>
      <c r="E154" s="26">
        <f>'vraag 3'!AJ26</f>
        <v>1975</v>
      </c>
      <c r="F154" s="29">
        <f>IF(ISBLANK(E154),0,IF(E154=Answers!E154,1,-1))</f>
        <v>1</v>
      </c>
      <c r="G154" s="74">
        <v>45064</v>
      </c>
      <c r="H154" s="44"/>
      <c r="I154" s="44"/>
      <c r="J154" s="70">
        <v>8</v>
      </c>
      <c r="K154" s="71">
        <v>4</v>
      </c>
      <c r="L154" s="68">
        <v>16</v>
      </c>
      <c r="M154" s="44"/>
      <c r="N154" s="44"/>
      <c r="O154" s="46"/>
      <c r="P154" s="46"/>
      <c r="Q154" s="4"/>
      <c r="R154" s="4"/>
      <c r="S154" s="4"/>
      <c r="T154" s="4"/>
      <c r="U154" s="4"/>
      <c r="V154" s="44"/>
      <c r="W154" s="44"/>
      <c r="X154" s="44"/>
      <c r="Y154" s="44"/>
      <c r="Z154" s="44"/>
      <c r="AA154" s="44"/>
      <c r="AB154" s="44"/>
      <c r="AC154" s="44"/>
      <c r="AD154" s="44"/>
      <c r="AE154" s="44"/>
      <c r="AF154" s="44"/>
      <c r="AG154" s="44"/>
      <c r="AH154" s="44"/>
      <c r="AI154" s="44"/>
      <c r="AJ154" s="4"/>
      <c r="AK154" s="4"/>
      <c r="AL154" s="4"/>
      <c r="AM154" s="4"/>
      <c r="AN154" s="4"/>
      <c r="AO154" s="4"/>
      <c r="AP154" s="4"/>
      <c r="AQ154" s="4"/>
      <c r="AR154" s="4"/>
      <c r="AS154" s="4"/>
      <c r="AT154" s="4"/>
      <c r="AU154" s="4"/>
      <c r="AV154" s="4"/>
      <c r="AW154" s="4"/>
    </row>
    <row r="155" spans="2:49" ht="23.25">
      <c r="B155" s="15">
        <f t="shared" si="18"/>
        <v>53</v>
      </c>
      <c r="C155" s="15">
        <v>3</v>
      </c>
      <c r="D155" s="16">
        <v>9</v>
      </c>
      <c r="E155" s="26">
        <f>'vraag 3'!AJ27</f>
        <v>4761</v>
      </c>
      <c r="F155" s="29">
        <f>IF(ISBLANK(E155),0,IF(E155=Answers!E155,1,-1))</f>
        <v>1</v>
      </c>
      <c r="G155" s="74">
        <v>45249</v>
      </c>
      <c r="H155" s="44"/>
      <c r="I155" s="71">
        <v>13</v>
      </c>
      <c r="J155" s="44"/>
      <c r="K155" s="44"/>
      <c r="L155" s="69">
        <v>15</v>
      </c>
      <c r="M155" s="44"/>
      <c r="N155" s="44"/>
      <c r="O155" s="46"/>
      <c r="P155" s="46"/>
      <c r="Q155" s="4"/>
      <c r="R155" s="4"/>
      <c r="S155" s="4"/>
      <c r="T155" s="4"/>
      <c r="U155" s="4"/>
      <c r="V155" s="44"/>
      <c r="W155" s="44"/>
      <c r="X155" s="44"/>
      <c r="Y155" s="44"/>
      <c r="Z155" s="44"/>
      <c r="AA155" s="44"/>
      <c r="AB155" s="44"/>
      <c r="AC155" s="44"/>
      <c r="AD155" s="44"/>
      <c r="AE155" s="44"/>
      <c r="AF155" s="44"/>
      <c r="AG155" s="44"/>
      <c r="AH155" s="44"/>
      <c r="AI155" s="44"/>
      <c r="AJ155" s="4"/>
      <c r="AK155" s="4"/>
      <c r="AL155" s="4"/>
      <c r="AM155" s="4"/>
      <c r="AN155" s="4"/>
      <c r="AO155" s="4"/>
      <c r="AP155" s="4"/>
      <c r="AQ155" s="4"/>
      <c r="AR155" s="4"/>
      <c r="AS155" s="4"/>
      <c r="AT155" s="4"/>
      <c r="AU155" s="4"/>
      <c r="AV155" s="4"/>
      <c r="AW155" s="4"/>
    </row>
    <row r="156" spans="2:49" ht="23.25">
      <c r="B156" s="15">
        <f t="shared" si="18"/>
        <v>54</v>
      </c>
      <c r="C156" s="15">
        <v>3</v>
      </c>
      <c r="D156" s="16">
        <v>9</v>
      </c>
      <c r="E156" s="26">
        <f>'vraag 3'!AJ28</f>
        <v>211</v>
      </c>
      <c r="F156" s="29">
        <f>IF(ISBLANK(E156),0,IF(E156=Answers!E156,1,-1))</f>
        <v>1</v>
      </c>
      <c r="G156" s="74">
        <v>45057</v>
      </c>
      <c r="H156" s="44"/>
      <c r="I156" s="44"/>
      <c r="J156" s="68">
        <v>12</v>
      </c>
      <c r="K156" s="44"/>
      <c r="L156" s="44"/>
      <c r="M156" s="70">
        <v>15</v>
      </c>
      <c r="N156" s="44"/>
      <c r="O156" s="46"/>
      <c r="P156" s="46"/>
      <c r="Q156" s="4"/>
      <c r="R156" s="4"/>
      <c r="S156" s="4"/>
      <c r="T156" s="4"/>
      <c r="U156" s="4"/>
      <c r="V156" s="44"/>
      <c r="W156" s="44"/>
      <c r="X156" s="44"/>
      <c r="Y156" s="44"/>
      <c r="Z156" s="44"/>
      <c r="AA156" s="44"/>
      <c r="AB156" s="44"/>
      <c r="AC156" s="44"/>
      <c r="AD156" s="44"/>
      <c r="AE156" s="44"/>
      <c r="AF156" s="44"/>
      <c r="AG156" s="44"/>
      <c r="AH156" s="44"/>
      <c r="AI156" s="44"/>
      <c r="AJ156" s="4"/>
      <c r="AK156" s="4"/>
      <c r="AL156" s="4"/>
      <c r="AM156" s="4"/>
      <c r="AN156" s="4"/>
      <c r="AO156" s="4"/>
      <c r="AP156" s="4"/>
      <c r="AQ156" s="4"/>
      <c r="AR156" s="4"/>
      <c r="AS156" s="4"/>
      <c r="AT156" s="4"/>
      <c r="AU156" s="4"/>
      <c r="AV156" s="4"/>
      <c r="AW156" s="4"/>
    </row>
    <row r="157" spans="2:49" ht="23.25">
      <c r="B157" s="15">
        <f t="shared" si="18"/>
        <v>55</v>
      </c>
      <c r="C157" s="15">
        <v>3</v>
      </c>
      <c r="D157" s="16">
        <v>9</v>
      </c>
      <c r="E157" s="26">
        <f>'vraag 3'!AJ29</f>
        <v>7720</v>
      </c>
      <c r="F157" s="29">
        <f>IF(ISBLANK(E157),0,IF(E157=Answers!E157,1,-1))</f>
        <v>1</v>
      </c>
      <c r="G157" s="74">
        <v>45064</v>
      </c>
      <c r="H157" s="44"/>
      <c r="I157" s="70">
        <v>17</v>
      </c>
      <c r="J157" s="68">
        <v>2</v>
      </c>
      <c r="K157" s="71">
        <v>18</v>
      </c>
      <c r="L157" s="70">
        <v>4</v>
      </c>
      <c r="M157" s="44"/>
      <c r="N157" s="44"/>
      <c r="O157" s="46"/>
      <c r="P157" s="46"/>
      <c r="Q157" s="4"/>
      <c r="R157" s="4"/>
      <c r="S157" s="4"/>
      <c r="T157" s="4"/>
      <c r="U157" s="4"/>
      <c r="V157" s="44"/>
      <c r="W157" s="44"/>
      <c r="X157" s="44"/>
      <c r="Y157" s="44"/>
      <c r="Z157" s="44"/>
      <c r="AA157" s="44"/>
      <c r="AB157" s="44"/>
      <c r="AC157" s="44"/>
      <c r="AD157" s="44"/>
      <c r="AE157" s="44"/>
      <c r="AF157" s="44"/>
      <c r="AG157" s="44"/>
      <c r="AH157" s="44"/>
      <c r="AI157" s="44"/>
      <c r="AJ157" s="4"/>
      <c r="AK157" s="4"/>
      <c r="AL157" s="4"/>
      <c r="AM157" s="4"/>
      <c r="AN157" s="4"/>
      <c r="AO157" s="4"/>
      <c r="AP157" s="4"/>
      <c r="AQ157" s="4"/>
      <c r="AR157" s="4"/>
      <c r="AS157" s="4"/>
      <c r="AT157" s="4"/>
      <c r="AU157" s="4"/>
      <c r="AV157" s="4"/>
      <c r="AW157" s="4"/>
    </row>
    <row r="158" spans="2:49" ht="23.25">
      <c r="B158" s="15">
        <f t="shared" si="18"/>
        <v>56</v>
      </c>
      <c r="C158" s="15">
        <v>3</v>
      </c>
      <c r="D158" s="16">
        <v>9</v>
      </c>
      <c r="E158" s="26">
        <f>'vraag 3'!AJ30</f>
        <v>5803</v>
      </c>
      <c r="F158" s="29">
        <f>IF(ISBLANK(E158),0,IF(E158=Answers!E158,1,-1))</f>
        <v>1</v>
      </c>
      <c r="G158" s="74">
        <v>45222</v>
      </c>
      <c r="H158" s="44"/>
      <c r="I158" s="71">
        <v>16</v>
      </c>
      <c r="J158" s="44"/>
      <c r="K158" s="44"/>
      <c r="L158" s="44"/>
      <c r="M158" s="69">
        <v>10</v>
      </c>
      <c r="N158" s="44"/>
      <c r="O158" s="46"/>
      <c r="P158" s="46"/>
      <c r="Q158" s="4"/>
      <c r="R158" s="4"/>
      <c r="S158" s="4"/>
      <c r="T158" s="4"/>
      <c r="U158" s="4"/>
      <c r="V158" s="44"/>
      <c r="W158" s="44"/>
      <c r="X158" s="44"/>
      <c r="Y158" s="44"/>
      <c r="Z158" s="44"/>
      <c r="AA158" s="44"/>
      <c r="AB158" s="44"/>
      <c r="AC158" s="44"/>
      <c r="AD158" s="44"/>
      <c r="AE158" s="44"/>
      <c r="AF158" s="44"/>
      <c r="AG158" s="44"/>
      <c r="AH158" s="44"/>
      <c r="AI158" s="44"/>
      <c r="AJ158" s="4"/>
      <c r="AK158" s="4"/>
      <c r="AL158" s="4"/>
      <c r="AM158" s="4"/>
      <c r="AN158" s="4"/>
      <c r="AO158" s="4"/>
      <c r="AP158" s="4"/>
      <c r="AQ158" s="4"/>
      <c r="AR158" s="4"/>
      <c r="AS158" s="4"/>
      <c r="AT158" s="4"/>
      <c r="AU158" s="4"/>
      <c r="AV158" s="4"/>
      <c r="AW158" s="4"/>
    </row>
    <row r="159" spans="2:49" ht="23.25">
      <c r="B159" s="15">
        <f t="shared" si="18"/>
        <v>57</v>
      </c>
      <c r="C159" s="15">
        <v>3</v>
      </c>
      <c r="D159" s="16">
        <v>9</v>
      </c>
      <c r="E159" s="26">
        <f>'vraag 3'!AJ31</f>
        <v>11630</v>
      </c>
      <c r="F159" s="29">
        <f>IF(ISBLANK(E159),0,IF(E159=Answers!E159,1,-1))</f>
        <v>1</v>
      </c>
      <c r="G159" s="74">
        <v>45142</v>
      </c>
      <c r="H159" s="44"/>
      <c r="I159" s="68">
        <v>2</v>
      </c>
      <c r="J159" s="71">
        <v>14</v>
      </c>
      <c r="K159" s="70">
        <v>4</v>
      </c>
      <c r="L159" s="71">
        <v>16</v>
      </c>
      <c r="M159" s="44"/>
      <c r="N159" s="44"/>
      <c r="O159" s="46"/>
      <c r="P159" s="46"/>
      <c r="Q159" s="4"/>
      <c r="R159" s="4"/>
      <c r="S159" s="4"/>
      <c r="T159" s="4"/>
      <c r="U159" s="4"/>
      <c r="V159" s="44"/>
      <c r="W159" s="44"/>
      <c r="X159" s="44"/>
      <c r="Y159" s="44"/>
      <c r="Z159" s="44"/>
      <c r="AA159" s="44"/>
      <c r="AB159" s="44"/>
      <c r="AC159" s="44"/>
      <c r="AD159" s="44"/>
      <c r="AE159" s="44"/>
      <c r="AF159" s="44"/>
      <c r="AG159" s="44"/>
      <c r="AH159" s="44"/>
      <c r="AI159" s="44"/>
      <c r="AJ159" s="4"/>
      <c r="AK159" s="4"/>
      <c r="AL159" s="4"/>
      <c r="AM159" s="4"/>
      <c r="AN159" s="4"/>
      <c r="AO159" s="4"/>
      <c r="AP159" s="4"/>
      <c r="AQ159" s="4"/>
      <c r="AR159" s="4"/>
      <c r="AS159" s="4"/>
      <c r="AT159" s="4"/>
      <c r="AU159" s="4"/>
      <c r="AV159" s="4"/>
      <c r="AW159" s="4"/>
    </row>
    <row r="160" spans="2:49" ht="23.25">
      <c r="B160" s="15">
        <f t="shared" si="18"/>
        <v>58</v>
      </c>
      <c r="C160" s="15">
        <v>3</v>
      </c>
      <c r="D160" s="16">
        <v>9</v>
      </c>
      <c r="E160" s="26">
        <f>'vraag 3'!AJ32</f>
        <v>3202</v>
      </c>
      <c r="F160" s="29">
        <f>IF(ISBLANK(E160),0,IF(E160=Answers!E160,1,-1))</f>
        <v>1</v>
      </c>
      <c r="G160" s="74">
        <v>45156</v>
      </c>
      <c r="H160" s="44"/>
      <c r="I160" s="44"/>
      <c r="J160" s="44"/>
      <c r="K160" s="68">
        <v>2</v>
      </c>
      <c r="L160" s="70">
        <v>17</v>
      </c>
      <c r="M160" s="71">
        <v>8</v>
      </c>
      <c r="N160" s="44"/>
      <c r="O160" s="46"/>
      <c r="P160" s="46"/>
      <c r="Q160" s="4"/>
      <c r="R160" s="4"/>
      <c r="S160" s="4"/>
      <c r="T160" s="4"/>
      <c r="U160" s="4"/>
      <c r="V160" s="44"/>
      <c r="W160" s="44"/>
      <c r="X160" s="44"/>
      <c r="Y160" s="44"/>
      <c r="Z160" s="44"/>
      <c r="AA160" s="44"/>
      <c r="AB160" s="44"/>
      <c r="AC160" s="44"/>
      <c r="AD160" s="44"/>
      <c r="AE160" s="44"/>
      <c r="AF160" s="44"/>
      <c r="AG160" s="44"/>
      <c r="AH160" s="44"/>
      <c r="AI160" s="44"/>
      <c r="AJ160" s="4"/>
      <c r="AK160" s="4"/>
      <c r="AL160" s="4"/>
      <c r="AM160" s="4"/>
      <c r="AN160" s="4"/>
      <c r="AO160" s="4"/>
      <c r="AP160" s="4"/>
      <c r="AQ160" s="4"/>
      <c r="AR160" s="4"/>
      <c r="AS160" s="4"/>
      <c r="AT160" s="4"/>
      <c r="AU160" s="4"/>
      <c r="AV160" s="4"/>
      <c r="AW160" s="4"/>
    </row>
    <row r="161" spans="2:49" ht="23.25">
      <c r="B161" s="15">
        <f t="shared" si="18"/>
        <v>59</v>
      </c>
      <c r="C161" s="15">
        <v>3</v>
      </c>
      <c r="D161" s="16">
        <v>9</v>
      </c>
      <c r="E161" s="26">
        <f>'vraag 3'!AJ33</f>
        <v>1686</v>
      </c>
      <c r="F161" s="29">
        <f>IF(ISBLANK(E161),0,IF(E161=Answers!E161,1,-1))</f>
        <v>1</v>
      </c>
      <c r="G161" s="74">
        <v>45050</v>
      </c>
      <c r="H161" s="44"/>
      <c r="I161" s="44"/>
      <c r="J161" s="70">
        <v>13</v>
      </c>
      <c r="K161" s="44"/>
      <c r="L161" s="71">
        <v>4</v>
      </c>
      <c r="M161" s="44"/>
      <c r="N161" s="44"/>
      <c r="O161" s="46"/>
      <c r="P161" s="46"/>
      <c r="Q161" s="4"/>
      <c r="R161" s="4"/>
      <c r="S161" s="4"/>
      <c r="T161" s="4"/>
      <c r="U161" s="4"/>
      <c r="V161" s="44"/>
      <c r="W161" s="44"/>
      <c r="X161" s="44"/>
      <c r="Y161" s="44"/>
      <c r="Z161" s="44"/>
      <c r="AA161" s="44"/>
      <c r="AB161" s="44"/>
      <c r="AC161" s="44"/>
      <c r="AD161" s="44"/>
      <c r="AE161" s="44"/>
      <c r="AF161" s="44"/>
      <c r="AG161" s="44"/>
      <c r="AH161" s="44"/>
      <c r="AI161" s="44"/>
      <c r="AJ161" s="4"/>
      <c r="AK161" s="4"/>
      <c r="AL161" s="4"/>
      <c r="AM161" s="4"/>
      <c r="AN161" s="4"/>
      <c r="AO161" s="4"/>
      <c r="AP161" s="4"/>
      <c r="AQ161" s="4"/>
      <c r="AR161" s="4"/>
      <c r="AS161" s="4"/>
      <c r="AT161" s="4"/>
      <c r="AU161" s="4"/>
      <c r="AV161" s="4"/>
      <c r="AW161" s="4"/>
    </row>
    <row r="162" spans="2:49" ht="23.25">
      <c r="B162" s="15">
        <f t="shared" si="18"/>
        <v>60</v>
      </c>
      <c r="C162" s="15">
        <v>3</v>
      </c>
      <c r="D162" s="16">
        <v>9</v>
      </c>
      <c r="E162" s="26">
        <f>'vraag 3'!AJ34</f>
        <v>860</v>
      </c>
      <c r="F162" s="29">
        <f>IF(ISBLANK(E162),0,IF(E162=Answers!E162,1,-1))</f>
        <v>1</v>
      </c>
      <c r="G162" s="74">
        <v>45206</v>
      </c>
      <c r="H162" s="44"/>
      <c r="I162" s="69">
        <v>10</v>
      </c>
      <c r="J162" s="68">
        <v>12</v>
      </c>
      <c r="K162" s="69">
        <v>13</v>
      </c>
      <c r="L162" s="67">
        <v>11</v>
      </c>
      <c r="M162" s="69">
        <v>12</v>
      </c>
      <c r="N162" s="44"/>
      <c r="O162" s="46"/>
      <c r="P162" s="46"/>
      <c r="Q162" s="4"/>
      <c r="R162" s="4"/>
      <c r="S162" s="4"/>
      <c r="T162" s="4"/>
      <c r="U162" s="4"/>
      <c r="V162" s="44"/>
      <c r="W162" s="44"/>
      <c r="X162" s="44"/>
      <c r="Y162" s="44"/>
      <c r="Z162" s="44"/>
      <c r="AA162" s="44"/>
      <c r="AB162" s="44"/>
      <c r="AC162" s="44"/>
      <c r="AD162" s="44"/>
      <c r="AE162" s="44"/>
      <c r="AF162" s="44"/>
      <c r="AG162" s="44"/>
      <c r="AH162" s="44"/>
      <c r="AI162" s="44"/>
      <c r="AJ162" s="4"/>
      <c r="AK162" s="4"/>
      <c r="AL162" s="4"/>
      <c r="AM162" s="4"/>
      <c r="AN162" s="4"/>
      <c r="AO162" s="4"/>
      <c r="AP162" s="4"/>
      <c r="AQ162" s="4"/>
      <c r="AR162" s="4"/>
      <c r="AS162" s="4"/>
      <c r="AT162" s="4"/>
      <c r="AU162" s="4"/>
      <c r="AV162" s="4"/>
      <c r="AW162" s="4"/>
    </row>
    <row r="163" spans="2:49" ht="15.75">
      <c r="B163" s="4"/>
      <c r="C163" s="4"/>
      <c r="D163" s="4"/>
      <c r="E163" s="33"/>
      <c r="F163" s="5"/>
      <c r="G163" s="46"/>
      <c r="H163" s="46"/>
      <c r="I163" s="46"/>
      <c r="J163" s="46"/>
      <c r="K163" s="46"/>
      <c r="L163" s="46"/>
      <c r="M163" s="46"/>
      <c r="N163" s="46"/>
      <c r="O163" s="46"/>
      <c r="P163" s="46"/>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row>
    <row r="164" spans="2:49" ht="16.5" thickBot="1">
      <c r="B164" s="4"/>
      <c r="C164" s="4"/>
      <c r="D164" s="4"/>
      <c r="E164" s="33"/>
      <c r="F164" s="5"/>
      <c r="G164" s="46"/>
      <c r="H164" s="46"/>
      <c r="I164" s="46"/>
      <c r="J164" s="46"/>
      <c r="K164" s="46"/>
      <c r="L164" s="46"/>
      <c r="M164" s="46"/>
      <c r="N164" s="46"/>
      <c r="O164" s="46"/>
      <c r="P164" s="46"/>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row>
    <row r="165" spans="2:49" ht="20.25" thickTop="1" thickBot="1">
      <c r="B165" s="19" t="s">
        <v>101</v>
      </c>
      <c r="C165" s="9" t="s">
        <v>78</v>
      </c>
      <c r="D165" s="4"/>
      <c r="E165" s="33"/>
      <c r="F165" s="5"/>
      <c r="G165" s="45"/>
      <c r="H165" s="45"/>
      <c r="I165" s="45"/>
      <c r="J165" s="46"/>
      <c r="K165" s="46"/>
      <c r="L165" s="46"/>
      <c r="M165" s="46"/>
      <c r="N165" s="46"/>
      <c r="O165" s="46"/>
      <c r="P165" s="46"/>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row>
    <row r="166" spans="2:49" ht="16.5" thickTop="1">
      <c r="B166" s="18"/>
      <c r="C166" s="4"/>
      <c r="D166" s="4"/>
      <c r="E166" s="33"/>
      <c r="F166" s="5"/>
      <c r="G166" s="45"/>
      <c r="H166" s="45"/>
      <c r="I166" s="45"/>
      <c r="J166" s="46"/>
      <c r="K166" s="46"/>
      <c r="L166" s="46"/>
      <c r="M166" s="46"/>
      <c r="N166" s="46"/>
      <c r="O166" s="46"/>
      <c r="P166" s="46"/>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row>
    <row r="167" spans="2:49" ht="15.75">
      <c r="B167" s="18" t="s">
        <v>102</v>
      </c>
      <c r="C167" s="1"/>
      <c r="D167" s="1"/>
      <c r="E167" s="31"/>
      <c r="G167" s="46"/>
      <c r="H167" s="46"/>
      <c r="I167" s="46"/>
      <c r="J167" s="46"/>
      <c r="K167" s="46"/>
      <c r="L167" s="46"/>
      <c r="M167" s="46"/>
      <c r="N167" s="46"/>
      <c r="O167" s="46"/>
      <c r="P167" s="46"/>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row>
    <row r="168" spans="2:49" ht="15.75">
      <c r="B168" s="18"/>
      <c r="C168" s="1"/>
      <c r="D168" s="1"/>
      <c r="E168" s="31"/>
      <c r="G168" s="46"/>
      <c r="H168" s="46"/>
      <c r="I168" s="46"/>
      <c r="J168" s="46"/>
      <c r="K168" s="46"/>
      <c r="L168" s="46"/>
      <c r="M168" s="46"/>
      <c r="N168" s="46"/>
      <c r="O168" s="46"/>
      <c r="P168" s="46"/>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row>
    <row r="169" spans="2:49" ht="15.75">
      <c r="B169" s="18" t="s">
        <v>103</v>
      </c>
      <c r="C169" s="1"/>
      <c r="D169" s="1"/>
      <c r="E169" s="31"/>
      <c r="G169" s="46"/>
      <c r="H169" s="46"/>
      <c r="I169" s="46"/>
      <c r="J169" s="46"/>
      <c r="K169" s="46"/>
      <c r="L169" s="46"/>
      <c r="M169" s="46"/>
      <c r="N169" s="46"/>
      <c r="O169" s="46"/>
      <c r="P169" s="46"/>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row>
    <row r="170" spans="2:49" ht="15.75">
      <c r="B170" s="18"/>
      <c r="C170" s="64" t="s">
        <v>90</v>
      </c>
      <c r="D170" s="1"/>
      <c r="E170" s="31"/>
      <c r="G170" s="46"/>
      <c r="H170" s="46"/>
      <c r="I170" s="46"/>
      <c r="J170" s="46"/>
      <c r="K170" s="46"/>
      <c r="L170" s="46"/>
      <c r="M170" s="46"/>
      <c r="N170" s="46"/>
      <c r="O170" s="46"/>
      <c r="P170" s="46"/>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row>
    <row r="171" spans="2:49" ht="15.75">
      <c r="B171" s="18"/>
      <c r="C171" s="64" t="s">
        <v>104</v>
      </c>
      <c r="D171" s="1"/>
      <c r="E171" s="31"/>
      <c r="G171" s="46"/>
      <c r="H171" s="46"/>
      <c r="I171" s="46"/>
      <c r="J171" s="46"/>
      <c r="K171" s="46"/>
      <c r="L171" s="46"/>
      <c r="M171" s="46"/>
      <c r="N171" s="46"/>
      <c r="O171" s="46"/>
      <c r="P171" s="46"/>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row>
    <row r="172" spans="2:49" ht="16.5" thickBot="1">
      <c r="B172" s="4"/>
      <c r="C172" s="4"/>
      <c r="D172" s="4"/>
      <c r="E172" s="33"/>
      <c r="F172" s="5"/>
      <c r="G172" s="44"/>
      <c r="H172" s="44"/>
      <c r="I172" s="46"/>
      <c r="J172" s="46"/>
      <c r="K172" s="46"/>
      <c r="L172" s="46"/>
      <c r="M172" s="46"/>
      <c r="N172" s="46"/>
      <c r="O172" s="46"/>
      <c r="P172" s="46"/>
      <c r="Q172" s="44"/>
      <c r="R172" s="44"/>
      <c r="S172" s="44"/>
      <c r="T172" s="44"/>
      <c r="U172" s="44"/>
      <c r="V172" s="44"/>
      <c r="W172" s="44"/>
      <c r="X172" s="44"/>
      <c r="Y172" s="44"/>
      <c r="Z172" s="44"/>
      <c r="AA172" s="44"/>
      <c r="AB172" s="44"/>
      <c r="AC172" s="44"/>
      <c r="AD172" s="44"/>
      <c r="AE172" s="44"/>
      <c r="AF172" s="44"/>
      <c r="AG172" s="44"/>
      <c r="AH172" s="44"/>
      <c r="AI172" s="44"/>
      <c r="AJ172" s="4"/>
      <c r="AK172" s="4"/>
      <c r="AL172" s="4"/>
      <c r="AM172" s="4"/>
      <c r="AN172" s="4"/>
      <c r="AO172" s="4"/>
      <c r="AP172" s="4"/>
      <c r="AQ172" s="4"/>
      <c r="AR172" s="4"/>
      <c r="AS172" s="4"/>
      <c r="AT172" s="4"/>
      <c r="AU172" s="4"/>
      <c r="AV172" s="4"/>
      <c r="AW172" s="4"/>
    </row>
    <row r="173" spans="2:49" ht="25.5" customHeight="1" thickTop="1" thickBot="1">
      <c r="B173" s="17" t="s">
        <v>41</v>
      </c>
      <c r="C173" s="17" t="s">
        <v>74</v>
      </c>
      <c r="D173" s="17" t="s">
        <v>43</v>
      </c>
      <c r="E173" s="36" t="s">
        <v>44</v>
      </c>
      <c r="G173" s="49" t="s">
        <v>105</v>
      </c>
      <c r="H173" s="44"/>
      <c r="I173" s="46" t="s">
        <v>98</v>
      </c>
      <c r="J173" s="46"/>
      <c r="K173" s="46"/>
      <c r="L173" s="46"/>
      <c r="M173" s="46"/>
      <c r="N173" s="46"/>
      <c r="O173" s="46"/>
      <c r="P173" s="46"/>
      <c r="Q173" s="46"/>
      <c r="R173" s="44"/>
      <c r="S173" s="44"/>
      <c r="T173" s="44"/>
      <c r="U173" s="44"/>
      <c r="V173" s="44"/>
      <c r="W173" s="44"/>
      <c r="X173" s="44"/>
      <c r="Y173" s="44"/>
      <c r="Z173" s="44"/>
      <c r="AA173" s="44"/>
      <c r="AB173" s="44"/>
      <c r="AC173" s="44"/>
      <c r="AD173" s="44"/>
      <c r="AE173" s="44"/>
      <c r="AF173" s="44"/>
      <c r="AG173" s="44"/>
      <c r="AH173" s="44"/>
      <c r="AI173" s="44"/>
      <c r="AJ173" s="4"/>
      <c r="AK173" s="4"/>
      <c r="AL173" s="4"/>
      <c r="AM173" s="4"/>
      <c r="AN173" s="4"/>
      <c r="AO173" s="4"/>
      <c r="AP173" s="4"/>
      <c r="AQ173" s="4"/>
      <c r="AR173" s="4"/>
      <c r="AS173" s="4"/>
      <c r="AT173" s="4"/>
      <c r="AU173" s="4"/>
      <c r="AV173" s="4"/>
      <c r="AW173" s="4"/>
    </row>
    <row r="174" spans="2:49" ht="16.5" thickTop="1">
      <c r="B174" s="1"/>
      <c r="C174" s="1"/>
      <c r="D174" s="1"/>
      <c r="E174" s="31"/>
      <c r="H174" s="44"/>
      <c r="I174" s="142" t="s">
        <v>106</v>
      </c>
      <c r="J174" s="46"/>
      <c r="K174" s="46"/>
      <c r="L174" s="46"/>
      <c r="M174" s="46"/>
      <c r="N174" s="46"/>
      <c r="O174" s="46"/>
      <c r="P174" s="46"/>
      <c r="Q174" s="46"/>
      <c r="R174" s="44"/>
      <c r="S174" s="44"/>
      <c r="T174" s="44"/>
      <c r="U174" s="44"/>
      <c r="V174" s="44"/>
      <c r="W174" s="44"/>
      <c r="X174" s="44"/>
      <c r="Y174" s="44"/>
      <c r="Z174" s="44"/>
      <c r="AA174" s="44"/>
      <c r="AB174" s="44"/>
      <c r="AC174" s="44"/>
      <c r="AD174" s="44"/>
      <c r="AE174" s="44"/>
      <c r="AF174" s="44"/>
      <c r="AG174" s="44"/>
      <c r="AH174" s="44"/>
      <c r="AI174" s="44"/>
      <c r="AJ174" s="4"/>
      <c r="AK174" s="4"/>
      <c r="AL174" s="4"/>
      <c r="AM174" s="4"/>
      <c r="AN174" s="4"/>
      <c r="AO174" s="4"/>
      <c r="AP174" s="4"/>
      <c r="AQ174" s="4"/>
      <c r="AR174" s="4"/>
      <c r="AS174" s="4"/>
      <c r="AT174" s="4"/>
      <c r="AU174" s="4"/>
      <c r="AV174" s="4"/>
      <c r="AW174" s="4"/>
    </row>
    <row r="175" spans="2:49" ht="23.25">
      <c r="B175" s="15" t="s">
        <v>107</v>
      </c>
      <c r="C175" s="15">
        <v>4</v>
      </c>
      <c r="D175" s="16">
        <v>0</v>
      </c>
      <c r="E175" s="26">
        <v>10</v>
      </c>
      <c r="F175" s="29">
        <f>IF(ISBLANK(E175),0,IF(E175=Answers!E175,1,-1))</f>
        <v>1</v>
      </c>
      <c r="G175" s="62" t="s">
        <v>108</v>
      </c>
      <c r="H175" s="44"/>
      <c r="I175" s="46"/>
      <c r="J175" s="46"/>
      <c r="K175" s="46"/>
      <c r="L175" s="46"/>
      <c r="M175" s="46"/>
      <c r="N175" s="46"/>
      <c r="O175" s="46"/>
      <c r="P175" s="46"/>
      <c r="Q175" s="46"/>
      <c r="R175" s="44"/>
      <c r="S175" s="44"/>
      <c r="T175" s="44"/>
      <c r="U175" s="44"/>
      <c r="V175" s="44"/>
      <c r="W175" s="44"/>
      <c r="X175" s="44"/>
      <c r="Y175" s="44"/>
      <c r="Z175" s="44"/>
      <c r="AA175" s="44"/>
      <c r="AB175" s="44"/>
      <c r="AC175" s="44"/>
      <c r="AD175" s="44"/>
      <c r="AE175" s="44"/>
      <c r="AF175" s="44"/>
      <c r="AG175" s="44"/>
      <c r="AH175" s="44"/>
      <c r="AI175" s="44"/>
      <c r="AJ175" s="4"/>
      <c r="AK175" s="4"/>
      <c r="AL175" s="4"/>
      <c r="AM175" s="4"/>
      <c r="AN175" s="4"/>
      <c r="AO175" s="4"/>
      <c r="AP175" s="4"/>
      <c r="AQ175" s="4"/>
      <c r="AR175" s="4"/>
      <c r="AS175" s="4"/>
      <c r="AT175" s="4"/>
      <c r="AU175" s="4"/>
      <c r="AV175" s="4"/>
      <c r="AW175" s="4"/>
    </row>
    <row r="176" spans="2:49" ht="15.75">
      <c r="B176" s="1"/>
      <c r="C176" s="1"/>
      <c r="D176" s="1"/>
      <c r="E176" s="31"/>
      <c r="G176" s="48"/>
      <c r="H176" s="44"/>
      <c r="I176" s="46"/>
      <c r="J176" s="46"/>
      <c r="K176" s="46"/>
      <c r="L176" s="46"/>
      <c r="M176" s="46"/>
      <c r="N176" s="46"/>
      <c r="O176" s="46"/>
      <c r="P176" s="46"/>
      <c r="Q176" s="44"/>
      <c r="R176" s="44"/>
      <c r="S176" s="44"/>
      <c r="T176" s="44"/>
      <c r="U176" s="44"/>
      <c r="V176" s="44"/>
      <c r="W176" s="44"/>
      <c r="X176" s="44"/>
      <c r="Y176" s="44"/>
      <c r="Z176" s="44"/>
      <c r="AA176" s="44"/>
      <c r="AB176" s="44"/>
      <c r="AC176" s="44"/>
      <c r="AD176" s="44"/>
      <c r="AE176" s="44"/>
      <c r="AF176" s="44"/>
      <c r="AG176" s="44"/>
      <c r="AH176" s="44"/>
      <c r="AI176" s="44"/>
      <c r="AJ176" s="4"/>
      <c r="AK176" s="4"/>
      <c r="AL176" s="4"/>
      <c r="AM176" s="4"/>
      <c r="AN176" s="4"/>
      <c r="AO176" s="4"/>
      <c r="AP176" s="4"/>
      <c r="AQ176" s="4"/>
      <c r="AR176" s="4"/>
      <c r="AS176" s="4"/>
      <c r="AT176" s="4"/>
      <c r="AU176" s="4"/>
      <c r="AV176" s="4"/>
      <c r="AW176" s="4"/>
    </row>
    <row r="177" spans="2:49" ht="23.25">
      <c r="B177" s="15">
        <v>61</v>
      </c>
      <c r="C177" s="15">
        <v>4</v>
      </c>
      <c r="D177" s="16">
        <v>10</v>
      </c>
      <c r="E177" s="26">
        <v>292</v>
      </c>
      <c r="F177" s="29">
        <f>IF(ISBLANK(E177),0,IF(E177=Answers!E177,1,-1))</f>
        <v>1</v>
      </c>
      <c r="G177" s="62" t="s">
        <v>109</v>
      </c>
      <c r="H177" s="44"/>
      <c r="I177" s="46"/>
      <c r="J177" s="46"/>
      <c r="K177" s="46"/>
      <c r="L177" s="46"/>
      <c r="M177" s="46"/>
      <c r="N177" s="46"/>
      <c r="O177" s="46"/>
      <c r="P177" s="46"/>
      <c r="Q177" s="44"/>
      <c r="R177" s="44"/>
      <c r="S177" s="44"/>
      <c r="T177" s="44"/>
      <c r="U177" s="44"/>
      <c r="V177" s="44"/>
      <c r="W177" s="44"/>
      <c r="X177" s="44"/>
      <c r="Y177" s="44"/>
      <c r="Z177" s="44"/>
      <c r="AA177" s="44"/>
      <c r="AB177" s="44"/>
      <c r="AC177" s="44"/>
      <c r="AD177" s="44"/>
      <c r="AE177" s="44"/>
      <c r="AF177" s="44"/>
      <c r="AG177" s="44"/>
      <c r="AH177" s="44"/>
      <c r="AI177" s="44"/>
      <c r="AJ177" s="4"/>
      <c r="AK177" s="4"/>
      <c r="AL177" s="4"/>
      <c r="AM177" s="4"/>
      <c r="AN177" s="4"/>
      <c r="AO177" s="4"/>
      <c r="AP177" s="4"/>
      <c r="AQ177" s="4"/>
      <c r="AR177" s="4"/>
      <c r="AS177" s="4"/>
      <c r="AT177" s="4"/>
      <c r="AU177" s="4"/>
      <c r="AV177" s="4"/>
      <c r="AW177" s="4"/>
    </row>
    <row r="178" spans="2:49" ht="23.25">
      <c r="B178" s="15">
        <f t="shared" ref="B178:B196" si="19">B177+1</f>
        <v>62</v>
      </c>
      <c r="C178" s="15">
        <v>4</v>
      </c>
      <c r="D178" s="16">
        <v>10</v>
      </c>
      <c r="E178" s="26">
        <v>142</v>
      </c>
      <c r="F178" s="29">
        <f>IF(ISBLANK(E178),0,IF(E178=Answers!E178,1,-1))</f>
        <v>1</v>
      </c>
      <c r="G178" s="62" t="s">
        <v>110</v>
      </c>
      <c r="H178" s="44"/>
      <c r="I178" s="46"/>
      <c r="J178" s="46"/>
      <c r="K178" s="46"/>
      <c r="L178" s="46"/>
      <c r="M178" s="46"/>
      <c r="N178" s="46"/>
      <c r="O178" s="46"/>
      <c r="P178" s="46"/>
      <c r="Q178" s="44"/>
      <c r="R178" s="44"/>
      <c r="S178" s="44"/>
      <c r="T178" s="44"/>
      <c r="U178" s="44"/>
      <c r="V178" s="44"/>
      <c r="W178" s="44"/>
      <c r="X178" s="44"/>
      <c r="Y178" s="44"/>
      <c r="Z178" s="44"/>
      <c r="AA178" s="44"/>
      <c r="AB178" s="44"/>
      <c r="AC178" s="44"/>
      <c r="AD178" s="44"/>
      <c r="AE178" s="44"/>
      <c r="AF178" s="44"/>
      <c r="AG178" s="44"/>
      <c r="AH178" s="44"/>
      <c r="AI178" s="44"/>
      <c r="AJ178" s="4"/>
      <c r="AK178" s="4"/>
      <c r="AL178" s="4"/>
      <c r="AM178" s="4"/>
      <c r="AN178" s="4"/>
      <c r="AO178" s="4"/>
      <c r="AP178" s="4"/>
      <c r="AQ178" s="4"/>
      <c r="AR178" s="4"/>
      <c r="AS178" s="4"/>
      <c r="AT178" s="4"/>
      <c r="AU178" s="4"/>
      <c r="AV178" s="4"/>
      <c r="AW178" s="4"/>
    </row>
    <row r="179" spans="2:49" ht="23.25">
      <c r="B179" s="15">
        <f t="shared" si="19"/>
        <v>63</v>
      </c>
      <c r="C179" s="15">
        <v>4</v>
      </c>
      <c r="D179" s="16">
        <v>10</v>
      </c>
      <c r="E179" s="26">
        <v>175</v>
      </c>
      <c r="F179" s="29">
        <f>IF(ISBLANK(E179),0,IF(E179=Answers!E179,1,-1))</f>
        <v>1</v>
      </c>
      <c r="G179" s="62" t="s">
        <v>111</v>
      </c>
      <c r="H179" s="44"/>
      <c r="I179" s="46"/>
      <c r="J179" s="46"/>
      <c r="K179" s="46"/>
      <c r="L179" s="46"/>
      <c r="M179" s="46"/>
      <c r="N179" s="46"/>
      <c r="O179" s="46"/>
      <c r="P179" s="46"/>
      <c r="Q179" s="44"/>
      <c r="R179" s="44"/>
      <c r="S179" s="44"/>
      <c r="T179" s="44"/>
      <c r="U179" s="44"/>
      <c r="V179" s="44"/>
      <c r="W179" s="44"/>
      <c r="X179" s="44"/>
      <c r="Y179" s="44"/>
      <c r="Z179" s="44"/>
      <c r="AA179" s="44"/>
      <c r="AB179" s="44"/>
      <c r="AC179" s="44"/>
      <c r="AD179" s="44"/>
      <c r="AE179" s="44"/>
      <c r="AF179" s="44"/>
      <c r="AG179" s="44"/>
      <c r="AH179" s="44"/>
      <c r="AI179" s="44"/>
      <c r="AJ179" s="4"/>
      <c r="AK179" s="4"/>
      <c r="AL179" s="4"/>
      <c r="AM179" s="4"/>
      <c r="AN179" s="4"/>
      <c r="AO179" s="4"/>
      <c r="AP179" s="4"/>
      <c r="AQ179" s="4"/>
      <c r="AR179" s="4"/>
      <c r="AS179" s="4"/>
      <c r="AT179" s="4"/>
      <c r="AU179" s="4"/>
      <c r="AV179" s="4"/>
      <c r="AW179" s="4"/>
    </row>
    <row r="180" spans="2:49" ht="23.25">
      <c r="B180" s="15">
        <f t="shared" si="19"/>
        <v>64</v>
      </c>
      <c r="C180" s="15">
        <v>4</v>
      </c>
      <c r="D180" s="16">
        <v>10</v>
      </c>
      <c r="E180" s="26">
        <v>71</v>
      </c>
      <c r="F180" s="29">
        <f>IF(ISBLANK(E180),0,IF(E180=Answers!E180,1,-1))</f>
        <v>1</v>
      </c>
      <c r="G180" s="62" t="s">
        <v>112</v>
      </c>
      <c r="H180" s="44"/>
      <c r="I180" s="46"/>
      <c r="J180" s="46"/>
      <c r="K180" s="46"/>
      <c r="L180" s="46"/>
      <c r="M180" s="46"/>
      <c r="N180" s="46"/>
      <c r="O180" s="46"/>
      <c r="P180" s="46"/>
      <c r="Q180" s="44"/>
      <c r="R180" s="44"/>
      <c r="S180" s="44"/>
      <c r="T180" s="44"/>
      <c r="U180" s="44"/>
      <c r="V180" s="44"/>
      <c r="W180" s="44"/>
      <c r="X180" s="44"/>
      <c r="Y180" s="44"/>
      <c r="Z180" s="44"/>
      <c r="AA180" s="44"/>
      <c r="AB180" s="44"/>
      <c r="AC180" s="44"/>
      <c r="AD180" s="44"/>
      <c r="AE180" s="44"/>
      <c r="AF180" s="44"/>
      <c r="AG180" s="44"/>
      <c r="AH180" s="44"/>
      <c r="AI180" s="44"/>
      <c r="AJ180" s="4"/>
      <c r="AK180" s="4"/>
      <c r="AL180" s="4"/>
      <c r="AM180" s="4"/>
      <c r="AN180" s="4"/>
      <c r="AO180" s="4"/>
      <c r="AP180" s="4"/>
      <c r="AQ180" s="4"/>
      <c r="AR180" s="4"/>
      <c r="AS180" s="4"/>
      <c r="AT180" s="4"/>
      <c r="AU180" s="4"/>
      <c r="AV180" s="4"/>
      <c r="AW180" s="4"/>
    </row>
    <row r="181" spans="2:49" ht="23.25">
      <c r="B181" s="15">
        <f t="shared" si="19"/>
        <v>65</v>
      </c>
      <c r="C181" s="15">
        <v>4</v>
      </c>
      <c r="D181" s="16">
        <v>10</v>
      </c>
      <c r="E181" s="26">
        <v>408</v>
      </c>
      <c r="F181" s="29">
        <f>IF(ISBLANK(E181),0,IF(E181=Answers!E181,1,-1))</f>
        <v>1</v>
      </c>
      <c r="G181" s="62" t="s">
        <v>113</v>
      </c>
      <c r="H181" s="44"/>
      <c r="I181" s="46"/>
      <c r="J181" s="46"/>
      <c r="K181" s="46"/>
      <c r="L181" s="46"/>
      <c r="M181" s="46"/>
      <c r="N181" s="46"/>
      <c r="O181" s="46"/>
      <c r="P181" s="46"/>
      <c r="Q181" s="44"/>
      <c r="R181" s="44"/>
      <c r="S181" s="44"/>
      <c r="T181" s="44"/>
      <c r="U181" s="44"/>
      <c r="V181" s="44"/>
      <c r="W181" s="44"/>
      <c r="X181" s="44"/>
      <c r="Y181" s="44"/>
      <c r="Z181" s="44"/>
      <c r="AA181" s="44"/>
      <c r="AB181" s="44"/>
      <c r="AC181" s="44"/>
      <c r="AD181" s="44"/>
      <c r="AE181" s="44"/>
      <c r="AF181" s="44"/>
      <c r="AG181" s="44"/>
      <c r="AH181" s="44"/>
      <c r="AI181" s="44"/>
      <c r="AJ181" s="4"/>
      <c r="AK181" s="4"/>
      <c r="AL181" s="4"/>
      <c r="AM181" s="4"/>
      <c r="AN181" s="4"/>
      <c r="AO181" s="4"/>
      <c r="AP181" s="4"/>
      <c r="AQ181" s="4"/>
      <c r="AR181" s="4"/>
      <c r="AS181" s="4"/>
      <c r="AT181" s="4"/>
      <c r="AU181" s="4"/>
      <c r="AV181" s="4"/>
      <c r="AW181" s="4"/>
    </row>
    <row r="182" spans="2:49" ht="23.25">
      <c r="B182" s="15">
        <f t="shared" si="19"/>
        <v>66</v>
      </c>
      <c r="C182" s="15">
        <v>4</v>
      </c>
      <c r="D182" s="16">
        <v>10</v>
      </c>
      <c r="E182" s="26">
        <v>6</v>
      </c>
      <c r="F182" s="29">
        <f>IF(ISBLANK(E182),0,IF(E182=Answers!E182,1,-1))</f>
        <v>1</v>
      </c>
      <c r="G182" s="62" t="s">
        <v>114</v>
      </c>
      <c r="H182" s="44"/>
      <c r="I182" s="46"/>
      <c r="J182" s="46"/>
      <c r="K182" s="46"/>
      <c r="L182" s="46"/>
      <c r="M182" s="46"/>
      <c r="N182" s="46"/>
      <c r="O182" s="46"/>
      <c r="P182" s="46"/>
      <c r="Q182" s="44"/>
      <c r="R182" s="44"/>
      <c r="S182" s="44"/>
      <c r="T182" s="44"/>
      <c r="U182" s="44"/>
      <c r="V182" s="44"/>
      <c r="W182" s="44"/>
      <c r="X182" s="44"/>
      <c r="Y182" s="44"/>
      <c r="Z182" s="44"/>
      <c r="AA182" s="44"/>
      <c r="AB182" s="44"/>
      <c r="AC182" s="44"/>
      <c r="AD182" s="44"/>
      <c r="AE182" s="44"/>
      <c r="AF182" s="44"/>
      <c r="AG182" s="44"/>
      <c r="AH182" s="44"/>
      <c r="AI182" s="44"/>
      <c r="AJ182" s="4"/>
      <c r="AK182" s="4"/>
      <c r="AL182" s="4"/>
      <c r="AM182" s="4"/>
      <c r="AN182" s="4"/>
      <c r="AO182" s="4"/>
      <c r="AP182" s="4"/>
      <c r="AQ182" s="4"/>
      <c r="AR182" s="4"/>
      <c r="AS182" s="4"/>
      <c r="AT182" s="4"/>
      <c r="AU182" s="4"/>
      <c r="AV182" s="4"/>
      <c r="AW182" s="4"/>
    </row>
    <row r="183" spans="2:49" ht="23.25">
      <c r="B183" s="15">
        <f t="shared" si="19"/>
        <v>67</v>
      </c>
      <c r="C183" s="15">
        <v>4</v>
      </c>
      <c r="D183" s="16">
        <v>10</v>
      </c>
      <c r="E183" s="26">
        <v>0</v>
      </c>
      <c r="F183" s="29">
        <f>IF(ISBLANK(E183),0,IF(E183=Answers!E183,1,-1))</f>
        <v>1</v>
      </c>
      <c r="G183" s="62" t="s">
        <v>115</v>
      </c>
      <c r="H183" s="44"/>
      <c r="I183" s="46"/>
      <c r="J183" s="46"/>
      <c r="K183" s="46"/>
      <c r="L183" s="46"/>
      <c r="M183" s="46"/>
      <c r="N183" s="46"/>
      <c r="O183" s="46"/>
      <c r="P183" s="46"/>
      <c r="Q183" s="44"/>
      <c r="R183" s="44"/>
      <c r="S183" s="44"/>
      <c r="T183" s="44"/>
      <c r="U183" s="44"/>
      <c r="V183" s="44"/>
      <c r="W183" s="44"/>
      <c r="X183" s="44"/>
      <c r="Y183" s="44"/>
      <c r="Z183" s="44"/>
      <c r="AA183" s="44"/>
      <c r="AB183" s="44"/>
      <c r="AC183" s="44"/>
      <c r="AD183" s="44"/>
      <c r="AE183" s="44"/>
      <c r="AF183" s="44"/>
      <c r="AG183" s="44"/>
      <c r="AH183" s="44"/>
      <c r="AI183" s="44"/>
      <c r="AJ183" s="4"/>
      <c r="AK183" s="4"/>
      <c r="AL183" s="4"/>
      <c r="AM183" s="4"/>
      <c r="AN183" s="4"/>
      <c r="AO183" s="4"/>
      <c r="AP183" s="4"/>
      <c r="AQ183" s="4"/>
      <c r="AR183" s="4"/>
      <c r="AS183" s="4"/>
      <c r="AT183" s="4"/>
      <c r="AU183" s="4"/>
      <c r="AV183" s="4"/>
      <c r="AW183" s="4"/>
    </row>
    <row r="184" spans="2:49" ht="23.25">
      <c r="B184" s="15">
        <f t="shared" si="19"/>
        <v>68</v>
      </c>
      <c r="C184" s="15">
        <v>4</v>
      </c>
      <c r="D184" s="16">
        <v>10</v>
      </c>
      <c r="E184" s="26">
        <v>7</v>
      </c>
      <c r="F184" s="29">
        <f>IF(ISBLANK(E184),0,IF(E184=Answers!E184,1,-1))</f>
        <v>1</v>
      </c>
      <c r="G184" s="62" t="s">
        <v>116</v>
      </c>
      <c r="H184" s="44"/>
      <c r="I184" s="46"/>
      <c r="J184" s="46"/>
      <c r="K184" s="46"/>
      <c r="L184" s="46"/>
      <c r="M184" s="46"/>
      <c r="N184" s="46"/>
      <c r="O184" s="46"/>
      <c r="P184" s="46"/>
      <c r="Q184" s="44"/>
      <c r="R184" s="44"/>
      <c r="S184" s="44"/>
      <c r="T184" s="44"/>
      <c r="U184" s="44"/>
      <c r="V184" s="44"/>
      <c r="W184" s="44"/>
      <c r="X184" s="44"/>
      <c r="Y184" s="44"/>
      <c r="Z184" s="44"/>
      <c r="AA184" s="44"/>
      <c r="AB184" s="44"/>
      <c r="AC184" s="44"/>
      <c r="AD184" s="44"/>
      <c r="AE184" s="44"/>
      <c r="AF184" s="44"/>
      <c r="AG184" s="44"/>
      <c r="AH184" s="44"/>
      <c r="AI184" s="44"/>
      <c r="AJ184" s="4"/>
      <c r="AK184" s="4"/>
      <c r="AL184" s="4"/>
      <c r="AM184" s="4"/>
      <c r="AN184" s="4"/>
      <c r="AO184" s="4"/>
      <c r="AP184" s="4"/>
      <c r="AQ184" s="4"/>
      <c r="AR184" s="4"/>
      <c r="AS184" s="4"/>
      <c r="AT184" s="4"/>
      <c r="AU184" s="4"/>
      <c r="AV184" s="4"/>
      <c r="AW184" s="4"/>
    </row>
    <row r="185" spans="2:49" ht="23.25">
      <c r="B185" s="15">
        <f t="shared" si="19"/>
        <v>69</v>
      </c>
      <c r="C185" s="15">
        <v>4</v>
      </c>
      <c r="D185" s="16">
        <v>10</v>
      </c>
      <c r="E185" s="26">
        <v>177</v>
      </c>
      <c r="F185" s="29">
        <f>IF(ISBLANK(E185),0,IF(E185=Answers!E185,1,-1))</f>
        <v>1</v>
      </c>
      <c r="G185" s="62" t="s">
        <v>117</v>
      </c>
      <c r="H185" s="44"/>
      <c r="I185" s="46"/>
      <c r="J185" s="46"/>
      <c r="K185" s="46"/>
      <c r="L185" s="46"/>
      <c r="M185" s="46"/>
      <c r="N185" s="46"/>
      <c r="O185" s="46"/>
      <c r="P185" s="46"/>
      <c r="Q185" s="44"/>
      <c r="R185" s="44"/>
      <c r="S185" s="44"/>
      <c r="T185" s="44"/>
      <c r="U185" s="44"/>
      <c r="V185" s="44"/>
      <c r="W185" s="44"/>
      <c r="X185" s="44"/>
      <c r="Y185" s="44"/>
      <c r="Z185" s="44"/>
      <c r="AA185" s="44"/>
      <c r="AB185" s="44"/>
      <c r="AC185" s="44"/>
      <c r="AD185" s="44"/>
      <c r="AE185" s="44"/>
      <c r="AF185" s="44"/>
      <c r="AG185" s="44"/>
      <c r="AH185" s="44"/>
      <c r="AI185" s="44"/>
      <c r="AJ185" s="4"/>
      <c r="AK185" s="4"/>
      <c r="AL185" s="4"/>
      <c r="AM185" s="4"/>
      <c r="AN185" s="4"/>
      <c r="AO185" s="4"/>
      <c r="AP185" s="4"/>
      <c r="AQ185" s="4"/>
      <c r="AR185" s="4"/>
      <c r="AS185" s="4"/>
      <c r="AT185" s="4"/>
      <c r="AU185" s="4"/>
      <c r="AV185" s="4"/>
      <c r="AW185" s="4"/>
    </row>
    <row r="186" spans="2:49" ht="23.25">
      <c r="B186" s="15">
        <f t="shared" si="19"/>
        <v>70</v>
      </c>
      <c r="C186" s="15">
        <v>4</v>
      </c>
      <c r="D186" s="16">
        <v>10</v>
      </c>
      <c r="E186" s="26">
        <v>106</v>
      </c>
      <c r="F186" s="29">
        <f>IF(ISBLANK(E186),0,IF(E186=Answers!E186,1,-1))</f>
        <v>1</v>
      </c>
      <c r="G186" s="62" t="s">
        <v>118</v>
      </c>
      <c r="H186" s="44"/>
      <c r="I186" s="46"/>
      <c r="J186" s="46"/>
      <c r="K186" s="46"/>
      <c r="L186" s="46"/>
      <c r="M186" s="46"/>
      <c r="N186" s="46"/>
      <c r="O186" s="46"/>
      <c r="P186" s="46"/>
      <c r="Q186" s="44"/>
      <c r="R186" s="44"/>
      <c r="S186" s="44"/>
      <c r="T186" s="44"/>
      <c r="U186" s="44"/>
      <c r="V186" s="44"/>
      <c r="W186" s="44"/>
      <c r="X186" s="44"/>
      <c r="Y186" s="44"/>
      <c r="Z186" s="44"/>
      <c r="AA186" s="44"/>
      <c r="AB186" s="44"/>
      <c r="AC186" s="44"/>
      <c r="AD186" s="44"/>
      <c r="AE186" s="44"/>
      <c r="AF186" s="44"/>
      <c r="AG186" s="44"/>
      <c r="AH186" s="44"/>
      <c r="AI186" s="44"/>
      <c r="AJ186" s="4"/>
      <c r="AK186" s="4"/>
      <c r="AL186" s="4"/>
      <c r="AM186" s="4"/>
      <c r="AN186" s="4"/>
      <c r="AO186" s="4"/>
      <c r="AP186" s="4"/>
      <c r="AQ186" s="4"/>
      <c r="AR186" s="4"/>
      <c r="AS186" s="4"/>
      <c r="AT186" s="4"/>
      <c r="AU186" s="4"/>
      <c r="AV186" s="4"/>
      <c r="AW186" s="4"/>
    </row>
    <row r="187" spans="2:49" ht="23.25">
      <c r="B187" s="15">
        <f t="shared" si="19"/>
        <v>71</v>
      </c>
      <c r="C187" s="15">
        <v>4</v>
      </c>
      <c r="D187" s="16">
        <v>10</v>
      </c>
      <c r="E187" s="26">
        <v>0</v>
      </c>
      <c r="F187" s="29">
        <f>IF(ISBLANK(E187),0,IF(E187=Answers!E187,1,-1))</f>
        <v>1</v>
      </c>
      <c r="G187" s="62" t="s">
        <v>119</v>
      </c>
      <c r="H187" s="44"/>
      <c r="I187" s="46"/>
      <c r="J187" s="46"/>
      <c r="K187" s="46"/>
      <c r="L187" s="46"/>
      <c r="M187" s="46"/>
      <c r="N187" s="46"/>
      <c r="O187" s="46"/>
      <c r="P187" s="46"/>
      <c r="Q187" s="44"/>
      <c r="R187" s="44"/>
      <c r="S187" s="44"/>
      <c r="T187" s="44"/>
      <c r="U187" s="44"/>
      <c r="V187" s="44"/>
      <c r="W187" s="44"/>
      <c r="X187" s="44"/>
      <c r="Y187" s="44"/>
      <c r="Z187" s="44"/>
      <c r="AA187" s="44"/>
      <c r="AB187" s="44"/>
      <c r="AC187" s="44"/>
      <c r="AD187" s="44"/>
      <c r="AE187" s="44"/>
      <c r="AF187" s="44"/>
      <c r="AG187" s="44"/>
      <c r="AH187" s="44"/>
      <c r="AI187" s="44"/>
      <c r="AJ187" s="4"/>
      <c r="AK187" s="4"/>
      <c r="AL187" s="4"/>
      <c r="AM187" s="4"/>
      <c r="AN187" s="4"/>
      <c r="AO187" s="4"/>
      <c r="AP187" s="4"/>
      <c r="AQ187" s="4"/>
      <c r="AR187" s="4"/>
      <c r="AS187" s="4"/>
      <c r="AT187" s="4"/>
      <c r="AU187" s="4"/>
      <c r="AV187" s="4"/>
      <c r="AW187" s="4"/>
    </row>
    <row r="188" spans="2:49" ht="23.25">
      <c r="B188" s="15">
        <f t="shared" si="19"/>
        <v>72</v>
      </c>
      <c r="C188" s="15">
        <v>4</v>
      </c>
      <c r="D188" s="16">
        <v>10</v>
      </c>
      <c r="E188" s="26">
        <v>3</v>
      </c>
      <c r="F188" s="29">
        <f>IF(ISBLANK(E188),0,IF(E188=Answers!E188,1,-1))</f>
        <v>1</v>
      </c>
      <c r="G188" s="62" t="s">
        <v>120</v>
      </c>
      <c r="H188" s="44"/>
      <c r="I188" s="46"/>
      <c r="J188" s="46"/>
      <c r="K188" s="46"/>
      <c r="L188" s="46"/>
      <c r="M188" s="46"/>
      <c r="N188" s="46"/>
      <c r="O188" s="46"/>
      <c r="P188" s="46"/>
      <c r="Q188" s="44"/>
      <c r="R188" s="44"/>
      <c r="S188" s="44"/>
      <c r="T188" s="44"/>
      <c r="U188" s="44"/>
      <c r="V188" s="44"/>
      <c r="W188" s="44"/>
      <c r="X188" s="44"/>
      <c r="Y188" s="44"/>
      <c r="Z188" s="44"/>
      <c r="AA188" s="44"/>
      <c r="AB188" s="44"/>
      <c r="AC188" s="44"/>
      <c r="AD188" s="44"/>
      <c r="AE188" s="44"/>
      <c r="AF188" s="44"/>
      <c r="AG188" s="44"/>
      <c r="AH188" s="44"/>
      <c r="AI188" s="44"/>
      <c r="AJ188" s="4"/>
      <c r="AK188" s="4"/>
      <c r="AL188" s="4"/>
      <c r="AM188" s="4"/>
      <c r="AN188" s="4"/>
      <c r="AO188" s="4"/>
      <c r="AP188" s="4"/>
      <c r="AQ188" s="4"/>
      <c r="AR188" s="4"/>
      <c r="AS188" s="4"/>
      <c r="AT188" s="4"/>
      <c r="AU188" s="4"/>
      <c r="AV188" s="4"/>
      <c r="AW188" s="4"/>
    </row>
    <row r="189" spans="2:49" ht="23.25">
      <c r="B189" s="15">
        <f t="shared" si="19"/>
        <v>73</v>
      </c>
      <c r="C189" s="15">
        <v>4</v>
      </c>
      <c r="D189" s="16">
        <v>10</v>
      </c>
      <c r="E189" s="26">
        <v>9</v>
      </c>
      <c r="F189" s="29">
        <f>IF(ISBLANK(E189),0,IF(E189=Answers!E189,1,-1))</f>
        <v>1</v>
      </c>
      <c r="G189" s="62" t="s">
        <v>121</v>
      </c>
      <c r="H189" s="44"/>
      <c r="I189" s="46"/>
      <c r="J189" s="46"/>
      <c r="K189" s="46"/>
      <c r="L189" s="46"/>
      <c r="M189" s="46"/>
      <c r="N189" s="46"/>
      <c r="O189" s="46"/>
      <c r="P189" s="46"/>
      <c r="Q189" s="44"/>
      <c r="R189" s="44"/>
      <c r="S189" s="44"/>
      <c r="T189" s="44"/>
      <c r="U189" s="44"/>
      <c r="V189" s="44"/>
      <c r="W189" s="44"/>
      <c r="X189" s="44"/>
      <c r="Y189" s="44"/>
      <c r="Z189" s="44"/>
      <c r="AA189" s="44"/>
      <c r="AB189" s="44"/>
      <c r="AC189" s="44"/>
      <c r="AD189" s="44"/>
      <c r="AE189" s="44"/>
      <c r="AF189" s="44"/>
      <c r="AG189" s="44"/>
      <c r="AH189" s="44"/>
      <c r="AI189" s="44"/>
      <c r="AJ189" s="4"/>
      <c r="AK189" s="4"/>
      <c r="AL189" s="4"/>
      <c r="AM189" s="4"/>
      <c r="AN189" s="4"/>
      <c r="AO189" s="4"/>
      <c r="AP189" s="4"/>
      <c r="AQ189" s="4"/>
      <c r="AR189" s="4"/>
      <c r="AS189" s="4"/>
      <c r="AT189" s="4"/>
      <c r="AU189" s="4"/>
      <c r="AV189" s="4"/>
      <c r="AW189" s="4"/>
    </row>
    <row r="190" spans="2:49" ht="23.25">
      <c r="B190" s="15">
        <f t="shared" si="19"/>
        <v>74</v>
      </c>
      <c r="C190" s="15">
        <v>4</v>
      </c>
      <c r="D190" s="16">
        <v>10</v>
      </c>
      <c r="E190" s="26">
        <v>117</v>
      </c>
      <c r="F190" s="29">
        <f>IF(ISBLANK(E190),0,IF(E190=Answers!E190,1,-1))</f>
        <v>1</v>
      </c>
      <c r="G190" s="62" t="s">
        <v>122</v>
      </c>
      <c r="H190" s="44"/>
      <c r="I190" s="46"/>
      <c r="J190" s="46"/>
      <c r="K190" s="46"/>
      <c r="L190" s="46"/>
      <c r="M190" s="46"/>
      <c r="N190" s="46"/>
      <c r="O190" s="46"/>
      <c r="P190" s="46"/>
      <c r="Q190" s="44"/>
      <c r="R190" s="44"/>
      <c r="S190" s="44"/>
      <c r="T190" s="44"/>
      <c r="U190" s="44"/>
      <c r="V190" s="44"/>
      <c r="W190" s="44"/>
      <c r="X190" s="44"/>
      <c r="Y190" s="44"/>
      <c r="Z190" s="44"/>
      <c r="AA190" s="44"/>
      <c r="AB190" s="44"/>
      <c r="AC190" s="44"/>
      <c r="AD190" s="44"/>
      <c r="AE190" s="44"/>
      <c r="AF190" s="44"/>
      <c r="AG190" s="44"/>
      <c r="AH190" s="44"/>
      <c r="AI190" s="44"/>
      <c r="AJ190" s="4"/>
      <c r="AK190" s="4"/>
      <c r="AL190" s="4"/>
      <c r="AM190" s="4"/>
      <c r="AN190" s="4"/>
      <c r="AO190" s="4"/>
      <c r="AP190" s="4"/>
      <c r="AQ190" s="4"/>
      <c r="AR190" s="4"/>
      <c r="AS190" s="4"/>
      <c r="AT190" s="4"/>
      <c r="AU190" s="4"/>
      <c r="AV190" s="4"/>
      <c r="AW190" s="4"/>
    </row>
    <row r="191" spans="2:49" ht="23.25">
      <c r="B191" s="15">
        <f t="shared" si="19"/>
        <v>75</v>
      </c>
      <c r="C191" s="15">
        <v>4</v>
      </c>
      <c r="D191" s="16">
        <v>10</v>
      </c>
      <c r="E191" s="26">
        <v>5</v>
      </c>
      <c r="F191" s="29">
        <f>IF(ISBLANK(E191),0,IF(E191=Answers!E191,1,-1))</f>
        <v>1</v>
      </c>
      <c r="G191" s="62" t="s">
        <v>123</v>
      </c>
      <c r="H191" s="44"/>
      <c r="I191" s="46"/>
      <c r="J191" s="46"/>
      <c r="K191" s="46"/>
      <c r="L191" s="46"/>
      <c r="M191" s="46"/>
      <c r="N191" s="46"/>
      <c r="O191" s="46"/>
      <c r="P191" s="46"/>
      <c r="Q191" s="44"/>
      <c r="R191" s="44"/>
      <c r="S191" s="44"/>
      <c r="T191" s="44"/>
      <c r="U191" s="44"/>
      <c r="V191" s="44"/>
      <c r="W191" s="44"/>
      <c r="X191" s="44"/>
      <c r="Y191" s="44"/>
      <c r="Z191" s="44"/>
      <c r="AA191" s="44"/>
      <c r="AB191" s="44"/>
      <c r="AC191" s="44"/>
      <c r="AD191" s="44"/>
      <c r="AE191" s="44"/>
      <c r="AF191" s="44"/>
      <c r="AG191" s="44"/>
      <c r="AH191" s="44"/>
      <c r="AI191" s="44"/>
      <c r="AJ191" s="4"/>
      <c r="AK191" s="4"/>
      <c r="AL191" s="4"/>
      <c r="AM191" s="4"/>
      <c r="AN191" s="4"/>
      <c r="AO191" s="4"/>
      <c r="AP191" s="4"/>
      <c r="AQ191" s="4"/>
      <c r="AR191" s="4"/>
      <c r="AS191" s="4"/>
      <c r="AT191" s="4"/>
      <c r="AU191" s="4"/>
      <c r="AV191" s="4"/>
      <c r="AW191" s="4"/>
    </row>
    <row r="192" spans="2:49" ht="23.25">
      <c r="B192" s="15">
        <f t="shared" si="19"/>
        <v>76</v>
      </c>
      <c r="C192" s="15">
        <v>4</v>
      </c>
      <c r="D192" s="16">
        <v>10</v>
      </c>
      <c r="E192" s="26">
        <v>233</v>
      </c>
      <c r="F192" s="29">
        <f>IF(ISBLANK(E192),0,IF(E192=Answers!E192,1,-1))</f>
        <v>1</v>
      </c>
      <c r="G192" s="62" t="s">
        <v>124</v>
      </c>
      <c r="H192" s="44"/>
      <c r="I192" s="46"/>
      <c r="J192" s="46"/>
      <c r="K192" s="46"/>
      <c r="L192" s="46"/>
      <c r="M192" s="46"/>
      <c r="N192" s="46"/>
      <c r="O192" s="46"/>
      <c r="P192" s="46"/>
      <c r="Q192" s="44"/>
      <c r="R192" s="44"/>
      <c r="S192" s="44"/>
      <c r="T192" s="44"/>
      <c r="U192" s="44"/>
      <c r="V192" s="44"/>
      <c r="W192" s="44"/>
      <c r="X192" s="44"/>
      <c r="Y192" s="44"/>
      <c r="Z192" s="44"/>
      <c r="AA192" s="44"/>
      <c r="AB192" s="44"/>
      <c r="AC192" s="44"/>
      <c r="AD192" s="44"/>
      <c r="AE192" s="44"/>
      <c r="AF192" s="44"/>
      <c r="AG192" s="44"/>
      <c r="AH192" s="44"/>
      <c r="AI192" s="44"/>
      <c r="AJ192" s="4"/>
      <c r="AK192" s="4"/>
      <c r="AL192" s="4"/>
      <c r="AM192" s="4"/>
      <c r="AN192" s="4"/>
      <c r="AO192" s="4"/>
      <c r="AP192" s="4"/>
      <c r="AQ192" s="4"/>
      <c r="AR192" s="4"/>
      <c r="AS192" s="4"/>
      <c r="AT192" s="4"/>
      <c r="AU192" s="4"/>
      <c r="AV192" s="4"/>
      <c r="AW192" s="4"/>
    </row>
    <row r="193" spans="2:49" ht="23.25">
      <c r="B193" s="15">
        <f t="shared" si="19"/>
        <v>77</v>
      </c>
      <c r="C193" s="15">
        <v>4</v>
      </c>
      <c r="D193" s="16">
        <v>10</v>
      </c>
      <c r="E193" s="26">
        <v>35</v>
      </c>
      <c r="F193" s="29">
        <f>IF(ISBLANK(E193),0,IF(E193=Answers!E193,1,-1))</f>
        <v>1</v>
      </c>
      <c r="G193" s="62" t="s">
        <v>125</v>
      </c>
      <c r="H193" s="44"/>
      <c r="I193" s="46"/>
      <c r="J193" s="46"/>
      <c r="K193" s="46"/>
      <c r="L193" s="46"/>
      <c r="M193" s="46"/>
      <c r="N193" s="46"/>
      <c r="O193" s="46"/>
      <c r="P193" s="46"/>
      <c r="Q193" s="44"/>
      <c r="R193" s="44"/>
      <c r="S193" s="44"/>
      <c r="T193" s="44"/>
      <c r="U193" s="44"/>
      <c r="V193" s="44"/>
      <c r="W193" s="44"/>
      <c r="X193" s="44"/>
      <c r="Y193" s="44"/>
      <c r="Z193" s="44"/>
      <c r="AA193" s="44"/>
      <c r="AB193" s="44"/>
      <c r="AC193" s="44"/>
      <c r="AD193" s="44"/>
      <c r="AE193" s="44"/>
      <c r="AF193" s="44"/>
      <c r="AG193" s="44"/>
      <c r="AH193" s="44"/>
      <c r="AI193" s="44"/>
      <c r="AJ193" s="4"/>
      <c r="AK193" s="4"/>
      <c r="AL193" s="4"/>
      <c r="AM193" s="4"/>
      <c r="AN193" s="4"/>
      <c r="AO193" s="4"/>
      <c r="AP193" s="4"/>
      <c r="AQ193" s="4"/>
      <c r="AR193" s="4"/>
      <c r="AS193" s="4"/>
      <c r="AT193" s="4"/>
      <c r="AU193" s="4"/>
      <c r="AV193" s="4"/>
      <c r="AW193" s="4"/>
    </row>
    <row r="194" spans="2:49" ht="23.25">
      <c r="B194" s="15">
        <f t="shared" si="19"/>
        <v>78</v>
      </c>
      <c r="C194" s="15">
        <v>4</v>
      </c>
      <c r="D194" s="16">
        <v>10</v>
      </c>
      <c r="E194" s="26">
        <v>0</v>
      </c>
      <c r="F194" s="29">
        <f>IF(ISBLANK(E194),0,IF(E194=Answers!E194,1,-1))</f>
        <v>1</v>
      </c>
      <c r="G194" s="62" t="s">
        <v>126</v>
      </c>
      <c r="H194" s="44"/>
      <c r="I194" s="46"/>
      <c r="J194" s="46"/>
      <c r="K194" s="46"/>
      <c r="L194" s="46"/>
      <c r="M194" s="46"/>
      <c r="N194" s="46"/>
      <c r="O194" s="46"/>
      <c r="P194" s="46"/>
      <c r="Q194" s="44"/>
      <c r="R194" s="44"/>
      <c r="S194" s="44"/>
      <c r="T194" s="44"/>
      <c r="U194" s="44"/>
      <c r="V194" s="44"/>
      <c r="W194" s="44"/>
      <c r="X194" s="44"/>
      <c r="Y194" s="44"/>
      <c r="Z194" s="44"/>
      <c r="AA194" s="44"/>
      <c r="AB194" s="44"/>
      <c r="AC194" s="44"/>
      <c r="AD194" s="44"/>
      <c r="AE194" s="44"/>
      <c r="AF194" s="44"/>
      <c r="AG194" s="44"/>
      <c r="AH194" s="44"/>
      <c r="AI194" s="44"/>
      <c r="AJ194" s="4"/>
      <c r="AK194" s="4"/>
      <c r="AL194" s="4"/>
      <c r="AM194" s="4"/>
      <c r="AN194" s="4"/>
      <c r="AO194" s="4"/>
      <c r="AP194" s="4"/>
      <c r="AQ194" s="4"/>
      <c r="AR194" s="4"/>
      <c r="AS194" s="4"/>
      <c r="AT194" s="4"/>
      <c r="AU194" s="4"/>
      <c r="AV194" s="4"/>
      <c r="AW194" s="4"/>
    </row>
    <row r="195" spans="2:49" ht="23.25">
      <c r="B195" s="15">
        <f t="shared" si="19"/>
        <v>79</v>
      </c>
      <c r="C195" s="15">
        <v>4</v>
      </c>
      <c r="D195" s="16">
        <v>10</v>
      </c>
      <c r="E195" s="26">
        <v>3</v>
      </c>
      <c r="F195" s="29">
        <f>IF(ISBLANK(E195),0,IF(E195=Answers!E195,1,-1))</f>
        <v>1</v>
      </c>
      <c r="G195" s="62" t="s">
        <v>127</v>
      </c>
      <c r="H195" s="44"/>
      <c r="I195" s="46"/>
      <c r="J195" s="46"/>
      <c r="K195" s="46"/>
      <c r="L195" s="46"/>
      <c r="M195" s="46"/>
      <c r="N195" s="46"/>
      <c r="O195" s="46"/>
      <c r="P195" s="46"/>
      <c r="Q195" s="44"/>
      <c r="R195" s="44"/>
      <c r="S195" s="44"/>
      <c r="T195" s="44"/>
      <c r="U195" s="44"/>
      <c r="V195" s="44"/>
      <c r="W195" s="44"/>
      <c r="X195" s="44"/>
      <c r="Y195" s="44"/>
      <c r="Z195" s="44"/>
      <c r="AA195" s="44"/>
      <c r="AB195" s="44"/>
      <c r="AC195" s="44"/>
      <c r="AD195" s="44"/>
      <c r="AE195" s="44"/>
      <c r="AF195" s="44"/>
      <c r="AG195" s="44"/>
      <c r="AH195" s="44"/>
      <c r="AI195" s="44"/>
      <c r="AJ195" s="4"/>
      <c r="AK195" s="4"/>
      <c r="AL195" s="4"/>
      <c r="AM195" s="4"/>
      <c r="AN195" s="4"/>
      <c r="AO195" s="4"/>
      <c r="AP195" s="4"/>
      <c r="AQ195" s="4"/>
      <c r="AR195" s="4"/>
      <c r="AS195" s="4"/>
      <c r="AT195" s="4"/>
      <c r="AU195" s="4"/>
      <c r="AV195" s="4"/>
      <c r="AW195" s="4"/>
    </row>
    <row r="196" spans="2:49" ht="23.25">
      <c r="B196" s="15">
        <f t="shared" si="19"/>
        <v>80</v>
      </c>
      <c r="C196" s="15">
        <v>4</v>
      </c>
      <c r="D196" s="16">
        <v>10</v>
      </c>
      <c r="E196" s="26">
        <v>8</v>
      </c>
      <c r="F196" s="29">
        <f>IF(ISBLANK(E196),0,IF(E196=Answers!E196,1,-1))</f>
        <v>1</v>
      </c>
      <c r="G196" s="62" t="s">
        <v>128</v>
      </c>
      <c r="H196" s="44"/>
      <c r="I196" s="46"/>
      <c r="J196" s="46"/>
      <c r="K196" s="46"/>
      <c r="L196" s="46"/>
      <c r="M196" s="46"/>
      <c r="N196" s="46"/>
      <c r="O196" s="46"/>
      <c r="P196" s="46"/>
      <c r="Q196" s="44"/>
      <c r="R196" s="44"/>
      <c r="S196" s="44"/>
      <c r="T196" s="44"/>
      <c r="U196" s="44"/>
      <c r="V196" s="44"/>
      <c r="W196" s="44"/>
      <c r="X196" s="44"/>
      <c r="Y196" s="44"/>
      <c r="Z196" s="44"/>
      <c r="AA196" s="44"/>
      <c r="AB196" s="44"/>
      <c r="AC196" s="44"/>
      <c r="AD196" s="44"/>
      <c r="AE196" s="44"/>
      <c r="AF196" s="44"/>
      <c r="AG196" s="44"/>
      <c r="AH196" s="44"/>
      <c r="AI196" s="44"/>
      <c r="AJ196" s="4"/>
      <c r="AK196" s="4"/>
      <c r="AL196" s="4"/>
      <c r="AM196" s="4"/>
      <c r="AN196" s="4"/>
      <c r="AO196" s="4"/>
      <c r="AP196" s="4"/>
      <c r="AQ196" s="4"/>
      <c r="AR196" s="4"/>
      <c r="AS196" s="4"/>
      <c r="AT196" s="4"/>
      <c r="AU196" s="4"/>
      <c r="AV196" s="4"/>
      <c r="AW196" s="4"/>
    </row>
    <row r="197" spans="2:49" ht="15.75">
      <c r="G197" s="46"/>
      <c r="H197" s="46"/>
      <c r="I197" s="46"/>
      <c r="J197" s="46"/>
      <c r="K197" s="46"/>
      <c r="L197" s="46"/>
      <c r="M197" s="46"/>
      <c r="N197" s="46"/>
      <c r="O197" s="46"/>
      <c r="P197" s="46"/>
      <c r="AQ197" s="4"/>
      <c r="AR197" s="4"/>
      <c r="AS197" s="4"/>
      <c r="AT197" s="4"/>
      <c r="AU197" s="4"/>
      <c r="AV197" s="4"/>
      <c r="AW197" s="4"/>
    </row>
    <row r="198" spans="2:49" ht="16.5" thickBot="1">
      <c r="G198" s="46"/>
      <c r="H198" s="46"/>
      <c r="I198" s="46"/>
      <c r="J198" s="46"/>
      <c r="K198" s="46"/>
      <c r="L198" s="46"/>
      <c r="M198" s="46"/>
      <c r="N198" s="46"/>
      <c r="O198" s="46"/>
      <c r="P198" s="46"/>
      <c r="AQ198" s="4"/>
      <c r="AR198" s="4"/>
      <c r="AS198" s="4"/>
      <c r="AT198" s="4"/>
      <c r="AU198" s="4"/>
      <c r="AV198" s="4"/>
      <c r="AW198" s="4"/>
    </row>
    <row r="199" spans="2:49" ht="20.25" thickTop="1" thickBot="1">
      <c r="B199" s="19" t="s">
        <v>129</v>
      </c>
      <c r="C199" s="9" t="s">
        <v>130</v>
      </c>
      <c r="D199" s="4"/>
      <c r="E199" s="33"/>
      <c r="F199" s="5"/>
      <c r="G199" s="45"/>
      <c r="H199" s="45"/>
      <c r="I199" s="45"/>
      <c r="J199" s="46"/>
      <c r="K199" s="46"/>
      <c r="L199" s="46"/>
      <c r="M199" s="46"/>
      <c r="N199" s="46"/>
      <c r="O199" s="46"/>
      <c r="P199" s="46"/>
      <c r="AE199" s="4"/>
      <c r="AF199" s="4"/>
      <c r="AG199" s="4"/>
      <c r="AH199" s="4"/>
      <c r="AI199" s="4"/>
      <c r="AJ199" s="4"/>
      <c r="AK199" s="4"/>
      <c r="AL199" s="4"/>
      <c r="AM199" s="4"/>
      <c r="AN199" s="4"/>
      <c r="AO199" s="4"/>
      <c r="AP199" s="4"/>
      <c r="AQ199" s="4"/>
      <c r="AR199" s="4"/>
      <c r="AS199" s="4"/>
      <c r="AT199" s="4"/>
      <c r="AU199" s="4"/>
      <c r="AV199" s="4"/>
      <c r="AW199" s="4"/>
    </row>
    <row r="200" spans="2:49" ht="16.5" thickTop="1">
      <c r="B200" s="18"/>
      <c r="C200" s="4"/>
      <c r="D200" s="4"/>
      <c r="E200" s="33"/>
      <c r="F200" s="5"/>
      <c r="G200" s="45"/>
      <c r="H200" s="45"/>
      <c r="I200" s="45"/>
      <c r="J200" s="46"/>
      <c r="K200" s="46"/>
      <c r="L200" s="46"/>
      <c r="M200" s="46"/>
      <c r="N200" s="46"/>
      <c r="O200" s="46"/>
      <c r="P200" s="46"/>
      <c r="AE200" s="4"/>
      <c r="AF200" s="4"/>
      <c r="AG200" s="4"/>
      <c r="AH200" s="4"/>
      <c r="AI200" s="4"/>
      <c r="AJ200" s="4"/>
      <c r="AK200" s="4"/>
      <c r="AL200" s="4"/>
      <c r="AM200" s="4"/>
      <c r="AN200" s="4"/>
      <c r="AO200" s="4"/>
      <c r="AP200" s="4"/>
      <c r="AQ200" s="4"/>
      <c r="AR200" s="4"/>
      <c r="AS200" s="4"/>
      <c r="AT200" s="4"/>
      <c r="AU200" s="4"/>
      <c r="AV200" s="4"/>
      <c r="AW200" s="4"/>
    </row>
    <row r="201" spans="2:49" ht="15.75">
      <c r="B201" s="18" t="s">
        <v>131</v>
      </c>
      <c r="C201" s="4"/>
      <c r="D201" s="4"/>
      <c r="E201" s="33"/>
      <c r="F201" s="5"/>
      <c r="G201" s="45"/>
      <c r="H201" s="45"/>
      <c r="I201" s="45"/>
      <c r="J201" s="46"/>
      <c r="K201" s="46"/>
      <c r="L201" s="46"/>
      <c r="M201" s="46"/>
      <c r="N201" s="46"/>
      <c r="O201" s="46"/>
      <c r="P201" s="46"/>
      <c r="AE201" s="4"/>
      <c r="AF201" s="4"/>
      <c r="AG201" s="4"/>
      <c r="AH201" s="4"/>
      <c r="AI201" s="4"/>
      <c r="AJ201" s="4"/>
      <c r="AK201" s="4"/>
      <c r="AL201" s="4"/>
      <c r="AM201" s="4"/>
      <c r="AN201" s="4"/>
      <c r="AO201" s="4"/>
      <c r="AP201" s="4"/>
      <c r="AQ201" s="4"/>
      <c r="AR201" s="4"/>
      <c r="AS201" s="4"/>
      <c r="AT201" s="4"/>
      <c r="AU201" s="4"/>
      <c r="AV201" s="4"/>
      <c r="AW201" s="4"/>
    </row>
    <row r="202" spans="2:49" ht="15.75">
      <c r="B202" s="18" t="s">
        <v>132</v>
      </c>
      <c r="C202" s="4"/>
      <c r="D202" s="4"/>
      <c r="E202" s="33"/>
      <c r="F202" s="5"/>
      <c r="G202" s="45"/>
      <c r="H202" s="45"/>
      <c r="I202" s="45"/>
      <c r="J202" s="46"/>
      <c r="K202" s="46"/>
      <c r="L202" s="46"/>
      <c r="M202" s="46"/>
      <c r="N202" s="46"/>
      <c r="O202" s="46"/>
      <c r="P202" s="46"/>
      <c r="AE202" s="4"/>
      <c r="AF202" s="4"/>
      <c r="AG202" s="4"/>
      <c r="AH202" s="4"/>
      <c r="AI202" s="4"/>
      <c r="AJ202" s="4"/>
      <c r="AK202" s="4"/>
      <c r="AL202" s="4"/>
      <c r="AM202" s="4"/>
      <c r="AN202" s="4"/>
      <c r="AO202" s="4"/>
      <c r="AP202" s="4"/>
      <c r="AQ202" s="4"/>
      <c r="AR202" s="4"/>
      <c r="AS202" s="4"/>
      <c r="AT202" s="4"/>
      <c r="AU202" s="4"/>
      <c r="AV202" s="4"/>
      <c r="AW202" s="4"/>
    </row>
    <row r="203" spans="2:49" ht="15.75">
      <c r="B203" s="18" t="s">
        <v>133</v>
      </c>
      <c r="C203" s="1"/>
      <c r="D203" s="1"/>
      <c r="E203" s="31"/>
      <c r="G203" s="46"/>
      <c r="H203" s="46"/>
      <c r="I203" s="46"/>
      <c r="J203" s="46"/>
      <c r="K203" s="46"/>
      <c r="L203" s="46"/>
      <c r="M203" s="46"/>
      <c r="N203" s="46"/>
      <c r="O203" s="46"/>
      <c r="P203" s="46"/>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row>
    <row r="204" spans="2:49" ht="15.75">
      <c r="B204" s="18" t="s">
        <v>134</v>
      </c>
      <c r="C204" s="1"/>
      <c r="D204" s="1"/>
      <c r="E204" s="31"/>
      <c r="G204" s="46"/>
      <c r="H204" s="46"/>
      <c r="I204" s="46"/>
      <c r="J204" s="46"/>
      <c r="K204" s="46"/>
      <c r="L204" s="46"/>
      <c r="M204" s="46"/>
      <c r="N204" s="46" t="s">
        <v>98</v>
      </c>
      <c r="O204" s="46"/>
      <c r="P204" s="46"/>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row>
    <row r="205" spans="2:49" ht="15.75">
      <c r="B205" s="18" t="s">
        <v>135</v>
      </c>
      <c r="C205" s="43"/>
      <c r="D205" s="1"/>
      <c r="E205" s="31"/>
      <c r="G205" s="46"/>
      <c r="H205" s="46"/>
      <c r="I205" s="46"/>
      <c r="J205" s="46"/>
      <c r="K205" s="46"/>
      <c r="L205" s="46"/>
      <c r="M205" s="46"/>
      <c r="N205" s="142" t="s">
        <v>334</v>
      </c>
      <c r="O205" s="46"/>
      <c r="P205" s="46"/>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row>
    <row r="206" spans="2:49" ht="15.75">
      <c r="B206" s="18"/>
      <c r="C206" s="43"/>
      <c r="D206" s="1"/>
      <c r="E206" s="31"/>
      <c r="G206" s="46"/>
      <c r="H206" s="46"/>
      <c r="I206" s="46"/>
      <c r="J206" s="46"/>
      <c r="K206" s="46"/>
      <c r="L206" s="46"/>
      <c r="M206" s="46"/>
      <c r="N206" s="46"/>
      <c r="O206" s="46"/>
      <c r="P206" s="46"/>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row>
    <row r="207" spans="2:49" ht="15.75">
      <c r="B207" s="18" t="s">
        <v>136</v>
      </c>
      <c r="C207" s="1"/>
      <c r="D207" s="1"/>
      <c r="E207" s="31"/>
      <c r="G207" s="46"/>
      <c r="H207" s="46"/>
      <c r="I207" s="46"/>
      <c r="J207" s="46"/>
      <c r="K207" s="46"/>
      <c r="L207" s="46"/>
      <c r="M207" s="46"/>
      <c r="N207" s="46"/>
      <c r="O207" s="46"/>
      <c r="P207" s="46"/>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row>
    <row r="208" spans="2:49" ht="15.75">
      <c r="B208" s="18"/>
      <c r="C208" s="64" t="s">
        <v>90</v>
      </c>
      <c r="D208" s="1"/>
      <c r="E208" s="31"/>
      <c r="G208" s="46"/>
      <c r="H208" s="46"/>
      <c r="I208" s="46"/>
      <c r="J208" s="46"/>
      <c r="K208" s="46"/>
      <c r="L208" s="46"/>
      <c r="M208" s="46"/>
      <c r="N208" s="46"/>
      <c r="O208" s="46"/>
      <c r="P208" s="46"/>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row>
    <row r="209" spans="2:90" ht="15.75">
      <c r="B209" s="4"/>
      <c r="C209" s="4"/>
      <c r="D209" s="4"/>
      <c r="E209" s="33"/>
      <c r="F209" s="5"/>
      <c r="G209" s="44"/>
      <c r="H209" s="46"/>
      <c r="I209" s="46"/>
      <c r="J209" s="46"/>
      <c r="K209" s="46"/>
      <c r="L209" s="47"/>
      <c r="M209" s="47"/>
      <c r="N209" s="47"/>
      <c r="O209" s="47"/>
      <c r="P209" s="47"/>
      <c r="AE209" s="4"/>
      <c r="AF209" s="4"/>
      <c r="AG209" s="4"/>
      <c r="AH209" s="4"/>
      <c r="AI209" s="4"/>
      <c r="AJ209" s="4"/>
      <c r="AK209" s="4"/>
      <c r="AL209" s="4"/>
      <c r="AM209" s="4"/>
      <c r="AN209" s="4"/>
      <c r="AO209" s="4"/>
      <c r="AP209" s="4"/>
      <c r="AQ209" s="4"/>
      <c r="AR209" s="4"/>
      <c r="AS209" s="4"/>
      <c r="AT209" s="4"/>
      <c r="AU209" s="4"/>
      <c r="AV209" s="4"/>
      <c r="AW209" s="4"/>
    </row>
    <row r="210" spans="2:90" ht="16.5" thickBot="1">
      <c r="B210" s="4"/>
      <c r="C210" s="4"/>
      <c r="D210" s="4"/>
      <c r="E210" s="33"/>
      <c r="F210" s="5"/>
      <c r="G210" s="44"/>
      <c r="H210" s="46"/>
      <c r="I210" s="98" t="s">
        <v>137</v>
      </c>
      <c r="J210" s="46"/>
      <c r="K210" s="46"/>
      <c r="L210" s="47"/>
      <c r="M210" s="47"/>
      <c r="N210" s="98" t="s">
        <v>138</v>
      </c>
      <c r="O210" s="46"/>
      <c r="P210" s="46"/>
      <c r="Q210" s="47"/>
      <c r="AE210" s="4"/>
      <c r="AF210" s="4"/>
      <c r="AG210" s="4"/>
      <c r="AH210" s="4"/>
      <c r="AI210" s="4"/>
      <c r="AJ210" s="4"/>
      <c r="AK210" s="4"/>
      <c r="AL210" s="4"/>
      <c r="AM210" s="4"/>
      <c r="AN210" s="4"/>
      <c r="AO210" s="4"/>
      <c r="AP210" s="4"/>
      <c r="AQ210" s="4"/>
      <c r="AR210" s="4"/>
      <c r="AS210" s="4"/>
      <c r="AT210" s="4"/>
      <c r="AU210" s="4"/>
      <c r="AV210" s="4"/>
      <c r="AW210" s="4"/>
    </row>
    <row r="211" spans="2:90" ht="25.5" customHeight="1" thickTop="1" thickBot="1">
      <c r="B211" s="17" t="s">
        <v>41</v>
      </c>
      <c r="C211" s="17" t="s">
        <v>74</v>
      </c>
      <c r="D211" s="17" t="s">
        <v>43</v>
      </c>
      <c r="E211" s="36" t="s">
        <v>44</v>
      </c>
      <c r="G211" s="44"/>
      <c r="H211" s="44"/>
      <c r="I211" s="99" t="s">
        <v>32</v>
      </c>
      <c r="J211" s="100" t="s">
        <v>33</v>
      </c>
      <c r="K211" s="101" t="s">
        <v>34</v>
      </c>
      <c r="L211" s="102" t="s">
        <v>35</v>
      </c>
      <c r="M211" s="44"/>
      <c r="N211" s="49">
        <v>1</v>
      </c>
      <c r="O211" s="49">
        <v>2</v>
      </c>
      <c r="P211" s="49">
        <v>3</v>
      </c>
      <c r="Q211" s="49">
        <v>4</v>
      </c>
      <c r="R211" s="49">
        <v>5</v>
      </c>
      <c r="S211" s="49">
        <v>6</v>
      </c>
      <c r="T211" s="49">
        <v>7</v>
      </c>
      <c r="U211" s="49">
        <v>8</v>
      </c>
      <c r="V211" s="49">
        <v>9</v>
      </c>
      <c r="W211" s="49">
        <v>10</v>
      </c>
      <c r="X211" s="44"/>
      <c r="Y211" s="44"/>
      <c r="Z211" s="44"/>
      <c r="AA211" s="44"/>
      <c r="AB211" s="44"/>
      <c r="AC211" s="44"/>
      <c r="AD211" s="44"/>
      <c r="AE211" s="44"/>
      <c r="AF211" s="44"/>
      <c r="AG211" s="44"/>
      <c r="AV211" s="4"/>
      <c r="AW211" s="4"/>
    </row>
    <row r="212" spans="2:90" ht="16.5" thickTop="1">
      <c r="B212" s="1"/>
      <c r="C212" s="1"/>
      <c r="D212" s="1"/>
      <c r="E212" s="31"/>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row>
    <row r="213" spans="2:90" ht="24" customHeight="1">
      <c r="B213" s="15" t="s">
        <v>139</v>
      </c>
      <c r="C213" s="15">
        <v>5</v>
      </c>
      <c r="D213" s="16">
        <v>0</v>
      </c>
      <c r="E213" s="26">
        <v>567</v>
      </c>
      <c r="F213" s="29">
        <f>IF(ISBLANK(E213),0,IF(E213=Answers!E213,1,-1))</f>
        <v>1</v>
      </c>
      <c r="G213" s="44"/>
      <c r="H213" s="44"/>
      <c r="I213" s="62">
        <v>5</v>
      </c>
      <c r="J213" s="62">
        <v>4</v>
      </c>
      <c r="K213" s="62">
        <v>0</v>
      </c>
      <c r="L213" s="62">
        <v>2</v>
      </c>
      <c r="M213" s="44"/>
      <c r="N213" s="62" t="s">
        <v>108</v>
      </c>
      <c r="O213" s="62" t="s">
        <v>140</v>
      </c>
      <c r="P213" s="62" t="s">
        <v>120</v>
      </c>
      <c r="Q213" s="62" t="s">
        <v>121</v>
      </c>
      <c r="R213" s="62" t="s">
        <v>141</v>
      </c>
      <c r="S213" s="62" t="s">
        <v>122</v>
      </c>
      <c r="T213" s="62" t="s">
        <v>116</v>
      </c>
      <c r="U213" s="62" t="s">
        <v>110</v>
      </c>
      <c r="V213" s="62" t="s">
        <v>128</v>
      </c>
      <c r="W213" s="62" t="s">
        <v>125</v>
      </c>
      <c r="X213" s="44"/>
      <c r="Y213" s="44"/>
      <c r="Z213" s="44"/>
      <c r="AA213" s="44"/>
      <c r="AB213" s="44"/>
      <c r="AC213" s="44"/>
      <c r="AD213" s="44"/>
      <c r="AE213" s="44"/>
      <c r="AF213" s="44"/>
      <c r="AG213" s="44"/>
      <c r="AX213" s="1"/>
      <c r="AY213" s="1"/>
      <c r="AZ213" s="1"/>
      <c r="BA213" s="1"/>
      <c r="BB213" s="1"/>
      <c r="BC213" s="1"/>
      <c r="BD213" s="1"/>
      <c r="BE213" s="1"/>
      <c r="BF213" s="1"/>
    </row>
    <row r="214" spans="2:90" ht="15.75">
      <c r="B214" s="1"/>
      <c r="C214" s="1"/>
      <c r="D214" s="1"/>
      <c r="E214" s="31"/>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X214" s="1"/>
      <c r="AY214" s="1"/>
      <c r="AZ214" s="1"/>
      <c r="BA214" s="1"/>
      <c r="BB214" s="1"/>
      <c r="BC214" s="1"/>
      <c r="BD214" s="1"/>
      <c r="BE214" s="1"/>
      <c r="BF214" s="1"/>
    </row>
    <row r="215" spans="2:90" ht="23.25">
      <c r="B215" s="15">
        <v>81</v>
      </c>
      <c r="C215" s="15">
        <v>5</v>
      </c>
      <c r="D215" s="16">
        <v>11</v>
      </c>
      <c r="E215" s="26">
        <v>974</v>
      </c>
      <c r="F215" s="29">
        <f>IF(ISBLANK(E215),0,IF(E215=Answers!E215,1,-1))</f>
        <v>1</v>
      </c>
      <c r="G215" s="44"/>
      <c r="H215" s="44"/>
      <c r="I215" s="62">
        <v>0</v>
      </c>
      <c r="J215" s="62">
        <v>4</v>
      </c>
      <c r="K215" s="62">
        <v>0</v>
      </c>
      <c r="L215" s="62">
        <v>4</v>
      </c>
      <c r="M215" s="44"/>
      <c r="N215" s="62" t="s">
        <v>127</v>
      </c>
      <c r="O215" s="62" t="s">
        <v>121</v>
      </c>
      <c r="P215" s="62" t="s">
        <v>141</v>
      </c>
      <c r="Q215" s="62" t="s">
        <v>122</v>
      </c>
      <c r="R215" s="62" t="s">
        <v>114</v>
      </c>
      <c r="S215" s="62" t="s">
        <v>142</v>
      </c>
      <c r="T215" s="62" t="s">
        <v>109</v>
      </c>
      <c r="U215" s="62" t="s">
        <v>124</v>
      </c>
      <c r="V215" s="62" t="s">
        <v>143</v>
      </c>
      <c r="W215" s="62" t="s">
        <v>123</v>
      </c>
      <c r="X215" s="44"/>
      <c r="Y215" s="44"/>
      <c r="Z215" s="44"/>
      <c r="AA215" s="44"/>
      <c r="AB215" s="44"/>
      <c r="AC215" s="44"/>
      <c r="AD215" s="44"/>
      <c r="AE215" s="44"/>
      <c r="AF215" s="44"/>
      <c r="AG215" s="44"/>
      <c r="AX215" s="1"/>
      <c r="AY215" s="1"/>
      <c r="AZ215" s="1"/>
      <c r="BA215" s="1"/>
      <c r="BB215" s="1"/>
      <c r="BC215" s="1"/>
      <c r="BD215" s="1"/>
      <c r="BE215" s="1"/>
      <c r="BF215" s="1"/>
    </row>
    <row r="216" spans="2:90" ht="23.25">
      <c r="B216" s="15">
        <f t="shared" ref="B216:B234" si="20">B215+1</f>
        <v>82</v>
      </c>
      <c r="C216" s="15">
        <v>5</v>
      </c>
      <c r="D216" s="16">
        <v>11</v>
      </c>
      <c r="E216" s="26">
        <v>528</v>
      </c>
      <c r="F216" s="29">
        <f>IF(ISBLANK(E216),0,IF(E216=Answers!E216,1,-1))</f>
        <v>1</v>
      </c>
      <c r="G216" s="44"/>
      <c r="H216" s="44"/>
      <c r="I216" s="62">
        <v>4</v>
      </c>
      <c r="J216" s="62">
        <v>0</v>
      </c>
      <c r="K216" s="62">
        <v>4</v>
      </c>
      <c r="L216" s="62">
        <v>3</v>
      </c>
      <c r="M216" s="44"/>
      <c r="N216" s="62" t="s">
        <v>114</v>
      </c>
      <c r="O216" s="62" t="s">
        <v>144</v>
      </c>
      <c r="P216" s="62" t="s">
        <v>128</v>
      </c>
      <c r="Q216" s="62" t="s">
        <v>116</v>
      </c>
      <c r="R216" s="62" t="s">
        <v>122</v>
      </c>
      <c r="S216" s="62" t="s">
        <v>123</v>
      </c>
      <c r="T216" s="62" t="s">
        <v>140</v>
      </c>
      <c r="U216" s="62" t="s">
        <v>124</v>
      </c>
      <c r="V216" s="62" t="s">
        <v>142</v>
      </c>
      <c r="W216" s="62" t="s">
        <v>110</v>
      </c>
      <c r="X216" s="44"/>
      <c r="Y216" s="44"/>
      <c r="Z216" s="44"/>
      <c r="AA216" s="44"/>
      <c r="AB216" s="44"/>
      <c r="AC216" s="44"/>
      <c r="AD216" s="44"/>
      <c r="AE216" s="44"/>
      <c r="AF216" s="44"/>
      <c r="AG216" s="44"/>
      <c r="AX216" s="1"/>
      <c r="AY216" s="1"/>
      <c r="AZ216" s="1"/>
      <c r="BA216" s="1"/>
      <c r="BB216" s="1"/>
      <c r="BC216" s="1"/>
      <c r="BD216" s="1"/>
      <c r="BE216" s="1"/>
      <c r="BF216" s="1"/>
    </row>
    <row r="217" spans="2:90" ht="23.25">
      <c r="B217" s="15">
        <f t="shared" si="20"/>
        <v>83</v>
      </c>
      <c r="C217" s="15">
        <v>5</v>
      </c>
      <c r="D217" s="16">
        <v>11</v>
      </c>
      <c r="E217" s="26">
        <v>795</v>
      </c>
      <c r="F217" s="29">
        <f>IF(ISBLANK(E217),0,IF(E217=Answers!E217,1,-1))</f>
        <v>1</v>
      </c>
      <c r="G217" s="44"/>
      <c r="H217" s="44"/>
      <c r="I217" s="62">
        <v>5</v>
      </c>
      <c r="J217" s="62">
        <v>1</v>
      </c>
      <c r="K217" s="62">
        <v>2</v>
      </c>
      <c r="L217" s="62">
        <v>0</v>
      </c>
      <c r="M217" s="44"/>
      <c r="N217" s="62" t="s">
        <v>127</v>
      </c>
      <c r="O217" s="62" t="s">
        <v>116</v>
      </c>
      <c r="P217" s="62" t="s">
        <v>128</v>
      </c>
      <c r="Q217" s="62" t="s">
        <v>108</v>
      </c>
      <c r="R217" s="62" t="s">
        <v>112</v>
      </c>
      <c r="S217" s="62" t="s">
        <v>124</v>
      </c>
      <c r="T217" s="62" t="s">
        <v>143</v>
      </c>
      <c r="U217" s="62" t="s">
        <v>113</v>
      </c>
      <c r="V217" s="62" t="s">
        <v>109</v>
      </c>
      <c r="W217" s="62" t="s">
        <v>145</v>
      </c>
      <c r="X217" s="44"/>
      <c r="Y217" s="44"/>
      <c r="Z217" s="44"/>
      <c r="AA217" s="44"/>
      <c r="AB217" s="44"/>
      <c r="AC217" s="44"/>
      <c r="AD217" s="44"/>
      <c r="AE217" s="44"/>
      <c r="AF217" s="44"/>
      <c r="AG217" s="44"/>
      <c r="AX217" s="1"/>
      <c r="AY217" s="1"/>
      <c r="AZ217" s="1"/>
      <c r="BA217" s="1"/>
      <c r="BB217" s="1"/>
      <c r="BC217" s="1"/>
      <c r="BD217" s="1"/>
      <c r="BE217" s="1"/>
      <c r="BF217" s="1"/>
    </row>
    <row r="218" spans="2:90" ht="23.25">
      <c r="B218" s="15">
        <f t="shared" si="20"/>
        <v>84</v>
      </c>
      <c r="C218" s="15">
        <v>5</v>
      </c>
      <c r="D218" s="16">
        <v>11</v>
      </c>
      <c r="E218" s="26">
        <v>831</v>
      </c>
      <c r="F218" s="29">
        <f>IF(ISBLANK(E218),0,IF(E218=Answers!E218,1,-1))</f>
        <v>1</v>
      </c>
      <c r="G218" s="44"/>
      <c r="H218" s="44"/>
      <c r="I218" s="62">
        <v>2</v>
      </c>
      <c r="J218" s="62">
        <v>4</v>
      </c>
      <c r="K218" s="62">
        <v>5</v>
      </c>
      <c r="L218" s="62">
        <v>2</v>
      </c>
      <c r="M218" s="44"/>
      <c r="N218" s="62" t="s">
        <v>145</v>
      </c>
      <c r="O218" s="62" t="s">
        <v>116</v>
      </c>
      <c r="P218" s="62" t="s">
        <v>124</v>
      </c>
      <c r="Q218" s="62" t="s">
        <v>110</v>
      </c>
      <c r="R218" s="62" t="s">
        <v>118</v>
      </c>
      <c r="S218" s="62" t="s">
        <v>121</v>
      </c>
      <c r="T218" s="62" t="s">
        <v>120</v>
      </c>
      <c r="U218" s="62" t="s">
        <v>109</v>
      </c>
      <c r="V218" s="62" t="s">
        <v>144</v>
      </c>
      <c r="W218" s="62" t="s">
        <v>112</v>
      </c>
      <c r="X218" s="44"/>
      <c r="Y218" s="44"/>
      <c r="Z218" s="44"/>
      <c r="AA218" s="44"/>
      <c r="AB218" s="44"/>
      <c r="AC218" s="44"/>
      <c r="AD218" s="44"/>
      <c r="AE218" s="44"/>
      <c r="AF218" s="44"/>
      <c r="AG218" s="44"/>
      <c r="AX218" s="1"/>
      <c r="AY218" s="1"/>
      <c r="AZ218" s="1"/>
      <c r="BA218" s="1"/>
      <c r="BB218" s="1"/>
      <c r="BC218" s="1"/>
      <c r="BD218" s="1"/>
      <c r="BE218" s="1"/>
      <c r="BF218" s="1"/>
    </row>
    <row r="219" spans="2:90" ht="23.25">
      <c r="B219" s="15">
        <f t="shared" si="20"/>
        <v>85</v>
      </c>
      <c r="C219" s="15">
        <v>5</v>
      </c>
      <c r="D219" s="16">
        <v>11</v>
      </c>
      <c r="E219" s="26">
        <v>949</v>
      </c>
      <c r="F219" s="29">
        <f>IF(ISBLANK(E219),0,IF(E219=Answers!E219,1,-1))</f>
        <v>1</v>
      </c>
      <c r="G219" s="44"/>
      <c r="H219" s="44"/>
      <c r="I219" s="62">
        <v>0</v>
      </c>
      <c r="J219" s="62">
        <v>5</v>
      </c>
      <c r="K219" s="62">
        <v>4</v>
      </c>
      <c r="L219" s="62">
        <v>3</v>
      </c>
      <c r="M219" s="44"/>
      <c r="N219" s="62" t="s">
        <v>124</v>
      </c>
      <c r="O219" s="62" t="s">
        <v>120</v>
      </c>
      <c r="P219" s="62" t="s">
        <v>145</v>
      </c>
      <c r="Q219" s="62" t="s">
        <v>110</v>
      </c>
      <c r="R219" s="62" t="s">
        <v>118</v>
      </c>
      <c r="S219" s="62" t="s">
        <v>141</v>
      </c>
      <c r="T219" s="62" t="s">
        <v>112</v>
      </c>
      <c r="U219" s="62" t="s">
        <v>122</v>
      </c>
      <c r="V219" s="62" t="s">
        <v>108</v>
      </c>
      <c r="W219" s="62" t="s">
        <v>116</v>
      </c>
      <c r="X219" s="44"/>
      <c r="Y219" s="44"/>
      <c r="Z219" s="44"/>
      <c r="AA219" s="44"/>
      <c r="AB219" s="44"/>
      <c r="AC219" s="44"/>
      <c r="AD219" s="44"/>
      <c r="AE219" s="44"/>
      <c r="AF219" s="44"/>
      <c r="AG219" s="44"/>
      <c r="AX219" s="1"/>
      <c r="AY219" s="1"/>
      <c r="AZ219" s="1"/>
      <c r="BA219" s="1"/>
      <c r="BB219" s="1"/>
      <c r="BC219" s="1"/>
      <c r="BD219" s="1"/>
      <c r="BE219" s="1"/>
      <c r="BF219" s="1"/>
    </row>
    <row r="220" spans="2:90" ht="23.25">
      <c r="B220" s="15">
        <f t="shared" si="20"/>
        <v>86</v>
      </c>
      <c r="C220" s="15">
        <v>5</v>
      </c>
      <c r="D220" s="16">
        <v>11</v>
      </c>
      <c r="E220" s="26">
        <v>823</v>
      </c>
      <c r="F220" s="29">
        <f>IF(ISBLANK(E220),0,IF(E220=Answers!E220,1,-1))</f>
        <v>1</v>
      </c>
      <c r="G220" s="44"/>
      <c r="H220" s="44"/>
      <c r="I220" s="62">
        <v>1</v>
      </c>
      <c r="J220" s="62">
        <v>5</v>
      </c>
      <c r="K220" s="62">
        <v>1</v>
      </c>
      <c r="L220" s="62">
        <v>2</v>
      </c>
      <c r="M220" s="44"/>
      <c r="N220" s="62" t="s">
        <v>124</v>
      </c>
      <c r="O220" s="62" t="s">
        <v>117</v>
      </c>
      <c r="P220" s="62" t="s">
        <v>114</v>
      </c>
      <c r="Q220" s="62" t="s">
        <v>143</v>
      </c>
      <c r="R220" s="62" t="s">
        <v>116</v>
      </c>
      <c r="S220" s="62" t="s">
        <v>122</v>
      </c>
      <c r="T220" s="62" t="s">
        <v>112</v>
      </c>
      <c r="U220" s="62" t="s">
        <v>141</v>
      </c>
      <c r="V220" s="62" t="s">
        <v>108</v>
      </c>
      <c r="W220" s="62" t="s">
        <v>145</v>
      </c>
      <c r="X220" s="44"/>
      <c r="Y220" s="44"/>
      <c r="Z220" s="44"/>
      <c r="AA220" s="44"/>
      <c r="AB220" s="44"/>
      <c r="AC220" s="44"/>
      <c r="AD220" s="44"/>
      <c r="AE220" s="44"/>
      <c r="AF220" s="44"/>
      <c r="AG220" s="44"/>
      <c r="AX220" s="1"/>
      <c r="AY220" s="1"/>
      <c r="AZ220" s="1"/>
      <c r="BA220" s="1"/>
      <c r="BB220" s="1"/>
      <c r="BC220" s="1"/>
      <c r="BD220" s="1"/>
      <c r="BE220" s="1"/>
      <c r="BF220" s="1"/>
    </row>
    <row r="221" spans="2:90" ht="23.25">
      <c r="B221" s="15">
        <f t="shared" si="20"/>
        <v>87</v>
      </c>
      <c r="C221" s="15">
        <v>5</v>
      </c>
      <c r="D221" s="16">
        <v>11</v>
      </c>
      <c r="E221" s="26">
        <v>841</v>
      </c>
      <c r="F221" s="29">
        <f>IF(ISBLANK(E221),0,IF(E221=Answers!E221,1,-1))</f>
        <v>1</v>
      </c>
      <c r="G221" s="44"/>
      <c r="H221" s="44"/>
      <c r="I221" s="62">
        <v>3</v>
      </c>
      <c r="J221" s="62">
        <v>4</v>
      </c>
      <c r="K221" s="62">
        <v>5</v>
      </c>
      <c r="L221" s="62">
        <v>2</v>
      </c>
      <c r="M221" s="44"/>
      <c r="N221" s="62" t="s">
        <v>124</v>
      </c>
      <c r="O221" s="62" t="s">
        <v>110</v>
      </c>
      <c r="P221" s="62" t="s">
        <v>142</v>
      </c>
      <c r="Q221" s="62" t="s">
        <v>143</v>
      </c>
      <c r="R221" s="62" t="s">
        <v>145</v>
      </c>
      <c r="S221" s="62" t="s">
        <v>117</v>
      </c>
      <c r="T221" s="62" t="s">
        <v>144</v>
      </c>
      <c r="U221" s="62" t="s">
        <v>114</v>
      </c>
      <c r="V221" s="62" t="s">
        <v>109</v>
      </c>
      <c r="W221" s="62" t="s">
        <v>116</v>
      </c>
      <c r="X221" s="44"/>
      <c r="Y221" s="44"/>
      <c r="Z221" s="44"/>
      <c r="AA221" s="44"/>
      <c r="AB221" s="44"/>
      <c r="AC221" s="44"/>
      <c r="AD221" s="44"/>
      <c r="AE221" s="44"/>
      <c r="AF221" s="44"/>
      <c r="AG221" s="44"/>
      <c r="AX221" s="1"/>
      <c r="AY221" s="1"/>
      <c r="AZ221" s="1"/>
      <c r="BA221" s="1"/>
      <c r="BB221" s="1"/>
      <c r="BC221" s="1"/>
      <c r="BD221" s="1"/>
      <c r="BE221" s="1"/>
      <c r="BF221" s="1"/>
    </row>
    <row r="222" spans="2:90" ht="23.25">
      <c r="B222" s="15">
        <f t="shared" si="20"/>
        <v>88</v>
      </c>
      <c r="C222" s="15">
        <v>5</v>
      </c>
      <c r="D222" s="16">
        <v>11</v>
      </c>
      <c r="E222" s="26">
        <v>456</v>
      </c>
      <c r="F222" s="29">
        <f>IF(ISBLANK(E222),0,IF(E222=Answers!E222,1,-1))</f>
        <v>1</v>
      </c>
      <c r="G222" s="44"/>
      <c r="H222" s="44"/>
      <c r="I222" s="62">
        <v>2</v>
      </c>
      <c r="J222" s="62">
        <v>0</v>
      </c>
      <c r="K222" s="62">
        <v>0</v>
      </c>
      <c r="L222" s="62">
        <v>2</v>
      </c>
      <c r="M222" s="44"/>
      <c r="N222" s="62" t="s">
        <v>121</v>
      </c>
      <c r="O222" s="62" t="s">
        <v>122</v>
      </c>
      <c r="P222" s="62" t="s">
        <v>112</v>
      </c>
      <c r="Q222" s="62" t="s">
        <v>128</v>
      </c>
      <c r="R222" s="62" t="s">
        <v>116</v>
      </c>
      <c r="S222" s="62" t="s">
        <v>124</v>
      </c>
      <c r="T222" s="62" t="s">
        <v>143</v>
      </c>
      <c r="U222" s="62" t="s">
        <v>144</v>
      </c>
      <c r="V222" s="62" t="s">
        <v>125</v>
      </c>
      <c r="W222" s="62" t="s">
        <v>142</v>
      </c>
      <c r="X222" s="44"/>
      <c r="Y222" s="44"/>
      <c r="Z222" s="44"/>
      <c r="AA222" s="44"/>
      <c r="AB222" s="44"/>
      <c r="AC222" s="44"/>
      <c r="AD222" s="44"/>
      <c r="AE222" s="44"/>
      <c r="AF222" s="44"/>
      <c r="AG222" s="44"/>
      <c r="AX222" s="1"/>
      <c r="AY222" s="1"/>
      <c r="AZ222" s="1"/>
      <c r="BA222" s="1"/>
      <c r="BB222" s="1"/>
      <c r="BC222" s="1"/>
      <c r="BD222" s="1"/>
      <c r="BE222" s="1"/>
      <c r="BF222" s="1"/>
    </row>
    <row r="223" spans="2:90" ht="23.25">
      <c r="B223" s="15">
        <f t="shared" si="20"/>
        <v>89</v>
      </c>
      <c r="C223" s="15">
        <v>5</v>
      </c>
      <c r="D223" s="16">
        <v>11</v>
      </c>
      <c r="E223" s="26">
        <v>694</v>
      </c>
      <c r="F223" s="29">
        <f>IF(ISBLANK(E223),0,IF(E223=Answers!E223,1,-1))</f>
        <v>1</v>
      </c>
      <c r="G223" s="44"/>
      <c r="H223" s="44"/>
      <c r="I223" s="62">
        <v>2</v>
      </c>
      <c r="J223" s="62">
        <v>2</v>
      </c>
      <c r="K223" s="62">
        <v>0</v>
      </c>
      <c r="L223" s="62">
        <v>1</v>
      </c>
      <c r="M223" s="44"/>
      <c r="N223" s="62" t="s">
        <v>143</v>
      </c>
      <c r="O223" s="62" t="s">
        <v>145</v>
      </c>
      <c r="P223" s="62" t="s">
        <v>112</v>
      </c>
      <c r="Q223" s="62" t="s">
        <v>113</v>
      </c>
      <c r="R223" s="62" t="s">
        <v>118</v>
      </c>
      <c r="S223" s="62" t="s">
        <v>116</v>
      </c>
      <c r="T223" s="62" t="s">
        <v>124</v>
      </c>
      <c r="U223" s="62" t="s">
        <v>127</v>
      </c>
      <c r="V223" s="62" t="s">
        <v>142</v>
      </c>
      <c r="W223" s="62" t="s">
        <v>125</v>
      </c>
      <c r="X223" s="44"/>
      <c r="Y223" s="44"/>
      <c r="Z223" s="44"/>
      <c r="AA223" s="44"/>
      <c r="AB223" s="44"/>
      <c r="AC223" s="44"/>
      <c r="AD223" s="44"/>
      <c r="AE223" s="44"/>
      <c r="AF223" s="44"/>
      <c r="AG223" s="44"/>
      <c r="AX223" s="1"/>
      <c r="AY223" s="1"/>
      <c r="AZ223" s="1"/>
      <c r="BA223" s="1"/>
      <c r="BB223" s="1"/>
      <c r="BC223" s="1"/>
      <c r="BD223" s="1"/>
      <c r="BE223" s="1"/>
      <c r="BF223" s="1"/>
    </row>
    <row r="224" spans="2:90" ht="23.25">
      <c r="B224" s="15">
        <f t="shared" si="20"/>
        <v>90</v>
      </c>
      <c r="C224" s="15">
        <v>5</v>
      </c>
      <c r="D224" s="16">
        <v>11</v>
      </c>
      <c r="E224" s="26">
        <v>720</v>
      </c>
      <c r="F224" s="29">
        <f>IF(ISBLANK(E224),0,IF(E224=Answers!E224,1,-1))</f>
        <v>1</v>
      </c>
      <c r="G224" s="44"/>
      <c r="H224" s="44"/>
      <c r="I224" s="62">
        <v>2</v>
      </c>
      <c r="J224" s="62">
        <v>0</v>
      </c>
      <c r="K224" s="62">
        <v>4</v>
      </c>
      <c r="L224" s="62">
        <v>0</v>
      </c>
      <c r="M224" s="44"/>
      <c r="N224" s="62" t="s">
        <v>113</v>
      </c>
      <c r="O224" s="62" t="s">
        <v>145</v>
      </c>
      <c r="P224" s="62" t="s">
        <v>122</v>
      </c>
      <c r="Q224" s="62" t="s">
        <v>123</v>
      </c>
      <c r="R224" s="62" t="s">
        <v>117</v>
      </c>
      <c r="S224" s="62" t="s">
        <v>143</v>
      </c>
      <c r="T224" s="62" t="s">
        <v>121</v>
      </c>
      <c r="U224" s="62" t="s">
        <v>118</v>
      </c>
      <c r="V224" s="62" t="s">
        <v>142</v>
      </c>
      <c r="W224" s="62" t="s">
        <v>125</v>
      </c>
      <c r="X224" s="44"/>
      <c r="Y224" s="44"/>
      <c r="Z224" s="44"/>
      <c r="AA224" s="44"/>
      <c r="AB224" s="44"/>
      <c r="AC224" s="44"/>
      <c r="AD224" s="44"/>
      <c r="AE224" s="44"/>
      <c r="AF224" s="44"/>
      <c r="AG224" s="44"/>
      <c r="AX224" s="1"/>
      <c r="AY224" s="1"/>
      <c r="AZ224" s="1"/>
      <c r="BA224" s="1"/>
      <c r="BB224" s="1"/>
      <c r="BC224" s="1"/>
      <c r="BD224" s="1"/>
      <c r="BE224" s="1"/>
      <c r="BF224" s="1"/>
    </row>
    <row r="225" spans="2:58" ht="23.25">
      <c r="B225" s="15">
        <f t="shared" si="20"/>
        <v>91</v>
      </c>
      <c r="C225" s="15">
        <v>5</v>
      </c>
      <c r="D225" s="16">
        <v>11</v>
      </c>
      <c r="E225" s="26">
        <v>717</v>
      </c>
      <c r="F225" s="29">
        <f>IF(ISBLANK(E225),0,IF(E225=Answers!E225,1,-1))</f>
        <v>1</v>
      </c>
      <c r="G225" s="44"/>
      <c r="H225" s="44"/>
      <c r="I225" s="62">
        <v>0</v>
      </c>
      <c r="J225" s="62">
        <v>3</v>
      </c>
      <c r="K225" s="62">
        <v>4</v>
      </c>
      <c r="L225" s="62">
        <v>2</v>
      </c>
      <c r="M225" s="44"/>
      <c r="N225" s="62" t="s">
        <v>109</v>
      </c>
      <c r="O225" s="62" t="s">
        <v>125</v>
      </c>
      <c r="P225" s="62" t="s">
        <v>116</v>
      </c>
      <c r="Q225" s="62" t="s">
        <v>121</v>
      </c>
      <c r="R225" s="62" t="s">
        <v>117</v>
      </c>
      <c r="S225" s="62" t="s">
        <v>120</v>
      </c>
      <c r="T225" s="62" t="s">
        <v>111</v>
      </c>
      <c r="U225" s="62" t="s">
        <v>127</v>
      </c>
      <c r="V225" s="62" t="s">
        <v>118</v>
      </c>
      <c r="W225" s="62" t="s">
        <v>140</v>
      </c>
      <c r="X225" s="44"/>
      <c r="Y225" s="44"/>
      <c r="Z225" s="44"/>
      <c r="AA225" s="44"/>
      <c r="AB225" s="44"/>
      <c r="AC225" s="44"/>
      <c r="AD225" s="44"/>
      <c r="AE225" s="44"/>
      <c r="AF225" s="44"/>
      <c r="AG225" s="44"/>
      <c r="AX225" s="1"/>
      <c r="AY225" s="1"/>
      <c r="AZ225" s="1"/>
      <c r="BA225" s="1"/>
      <c r="BB225" s="1"/>
      <c r="BC225" s="1"/>
      <c r="BD225" s="1"/>
      <c r="BE225" s="1"/>
      <c r="BF225" s="1"/>
    </row>
    <row r="226" spans="2:58" ht="23.25">
      <c r="B226" s="15">
        <f t="shared" si="20"/>
        <v>92</v>
      </c>
      <c r="C226" s="15">
        <v>5</v>
      </c>
      <c r="D226" s="16">
        <v>11</v>
      </c>
      <c r="E226" s="26">
        <v>932</v>
      </c>
      <c r="F226" s="29">
        <f>IF(ISBLANK(E226),0,IF(E226=Answers!E226,1,-1))</f>
        <v>1</v>
      </c>
      <c r="G226" s="44"/>
      <c r="H226" s="44"/>
      <c r="I226" s="62">
        <v>3</v>
      </c>
      <c r="J226" s="62">
        <v>4</v>
      </c>
      <c r="K226" s="62">
        <v>0</v>
      </c>
      <c r="L226" s="62">
        <v>2</v>
      </c>
      <c r="M226" s="44"/>
      <c r="N226" s="62" t="s">
        <v>128</v>
      </c>
      <c r="O226" s="62" t="s">
        <v>125</v>
      </c>
      <c r="P226" s="62" t="s">
        <v>110</v>
      </c>
      <c r="Q226" s="62" t="s">
        <v>121</v>
      </c>
      <c r="R226" s="62" t="s">
        <v>117</v>
      </c>
      <c r="S226" s="62" t="s">
        <v>113</v>
      </c>
      <c r="T226" s="62" t="s">
        <v>109</v>
      </c>
      <c r="U226" s="62" t="s">
        <v>120</v>
      </c>
      <c r="V226" s="62" t="s">
        <v>144</v>
      </c>
      <c r="W226" s="62" t="s">
        <v>123</v>
      </c>
      <c r="X226" s="44"/>
      <c r="Y226" s="44"/>
      <c r="Z226" s="44"/>
      <c r="AA226" s="44"/>
      <c r="AB226" s="44"/>
      <c r="AC226" s="44"/>
      <c r="AD226" s="44"/>
      <c r="AE226" s="44"/>
      <c r="AF226" s="44"/>
      <c r="AG226" s="44"/>
      <c r="AX226" s="1"/>
      <c r="AY226" s="1"/>
      <c r="AZ226" s="1"/>
      <c r="BA226" s="1"/>
      <c r="BB226" s="1"/>
      <c r="BC226" s="1"/>
      <c r="BD226" s="1"/>
      <c r="BE226" s="1"/>
      <c r="BF226" s="1"/>
    </row>
    <row r="227" spans="2:58" ht="23.25">
      <c r="B227" s="15">
        <f t="shared" si="20"/>
        <v>93</v>
      </c>
      <c r="C227" s="15">
        <v>5</v>
      </c>
      <c r="D227" s="16">
        <v>11</v>
      </c>
      <c r="E227" s="26">
        <v>933</v>
      </c>
      <c r="F227" s="29">
        <f>IF(ISBLANK(E227),0,IF(E227=Answers!E227,1,-1))</f>
        <v>1</v>
      </c>
      <c r="G227" s="44"/>
      <c r="H227" s="44"/>
      <c r="I227" s="62">
        <v>2</v>
      </c>
      <c r="J227" s="62">
        <v>4</v>
      </c>
      <c r="K227" s="62">
        <v>5</v>
      </c>
      <c r="L227" s="62">
        <v>3</v>
      </c>
      <c r="M227" s="44"/>
      <c r="N227" s="62" t="s">
        <v>123</v>
      </c>
      <c r="O227" s="62" t="s">
        <v>122</v>
      </c>
      <c r="P227" s="62" t="s">
        <v>110</v>
      </c>
      <c r="Q227" s="62" t="s">
        <v>113</v>
      </c>
      <c r="R227" s="62" t="s">
        <v>117</v>
      </c>
      <c r="S227" s="62" t="s">
        <v>112</v>
      </c>
      <c r="T227" s="62" t="s">
        <v>120</v>
      </c>
      <c r="U227" s="62" t="s">
        <v>121</v>
      </c>
      <c r="V227" s="62" t="s">
        <v>144</v>
      </c>
      <c r="W227" s="62" t="s">
        <v>142</v>
      </c>
      <c r="X227" s="44"/>
      <c r="Y227" s="44"/>
      <c r="Z227" s="44"/>
      <c r="AA227" s="44"/>
      <c r="AB227" s="44"/>
      <c r="AC227" s="44"/>
      <c r="AD227" s="44"/>
      <c r="AE227" s="44"/>
      <c r="AF227" s="44"/>
      <c r="AG227" s="44"/>
      <c r="AX227" s="1"/>
      <c r="AY227" s="1"/>
      <c r="AZ227" s="1"/>
      <c r="BA227" s="1"/>
      <c r="BB227" s="1"/>
      <c r="BC227" s="1"/>
      <c r="BD227" s="1"/>
      <c r="BE227" s="1"/>
      <c r="BF227" s="1"/>
    </row>
    <row r="228" spans="2:58" ht="23.25">
      <c r="B228" s="15">
        <f t="shared" si="20"/>
        <v>94</v>
      </c>
      <c r="C228" s="15">
        <v>5</v>
      </c>
      <c r="D228" s="16">
        <v>11</v>
      </c>
      <c r="E228" s="26">
        <v>618</v>
      </c>
      <c r="F228" s="29">
        <f>IF(ISBLANK(E228),0,IF(E228=Answers!E228,1,-1))</f>
        <v>1</v>
      </c>
      <c r="G228" s="44"/>
      <c r="H228" s="44"/>
      <c r="I228" s="62">
        <v>0</v>
      </c>
      <c r="J228" s="62">
        <v>1</v>
      </c>
      <c r="K228" s="62">
        <v>4</v>
      </c>
      <c r="L228" s="62">
        <v>3</v>
      </c>
      <c r="M228" s="44"/>
      <c r="N228" s="62" t="s">
        <v>143</v>
      </c>
      <c r="O228" s="62" t="s">
        <v>142</v>
      </c>
      <c r="P228" s="62" t="s">
        <v>122</v>
      </c>
      <c r="Q228" s="62" t="s">
        <v>121</v>
      </c>
      <c r="R228" s="62" t="s">
        <v>109</v>
      </c>
      <c r="S228" s="62" t="s">
        <v>112</v>
      </c>
      <c r="T228" s="62" t="s">
        <v>145</v>
      </c>
      <c r="U228" s="62" t="s">
        <v>111</v>
      </c>
      <c r="V228" s="62" t="s">
        <v>114</v>
      </c>
      <c r="W228" s="62" t="s">
        <v>120</v>
      </c>
      <c r="X228" s="44"/>
      <c r="Y228" s="44"/>
      <c r="Z228" s="44"/>
      <c r="AA228" s="44"/>
      <c r="AB228" s="44"/>
      <c r="AC228" s="44"/>
      <c r="AD228" s="44"/>
      <c r="AE228" s="44"/>
      <c r="AF228" s="44"/>
      <c r="AG228" s="44"/>
      <c r="AX228" s="1"/>
      <c r="AY228" s="1"/>
      <c r="AZ228" s="1"/>
      <c r="BA228" s="1"/>
      <c r="BB228" s="1"/>
      <c r="BC228" s="1"/>
      <c r="BD228" s="1"/>
      <c r="BE228" s="1"/>
      <c r="BF228" s="1"/>
    </row>
    <row r="229" spans="2:58" ht="23.25">
      <c r="B229" s="15">
        <f t="shared" si="20"/>
        <v>95</v>
      </c>
      <c r="C229" s="15">
        <v>5</v>
      </c>
      <c r="D229" s="16">
        <v>11</v>
      </c>
      <c r="E229" s="26">
        <v>647</v>
      </c>
      <c r="F229" s="29">
        <f>IF(ISBLANK(E229),0,IF(E229=Answers!E229,1,-1))</f>
        <v>1</v>
      </c>
      <c r="G229" s="44"/>
      <c r="H229" s="44"/>
      <c r="I229" s="62">
        <v>3</v>
      </c>
      <c r="J229" s="62">
        <v>2</v>
      </c>
      <c r="K229" s="62">
        <v>1</v>
      </c>
      <c r="L229" s="62">
        <v>4</v>
      </c>
      <c r="M229" s="44"/>
      <c r="N229" s="62" t="s">
        <v>123</v>
      </c>
      <c r="O229" s="62" t="s">
        <v>142</v>
      </c>
      <c r="P229" s="62" t="s">
        <v>117</v>
      </c>
      <c r="Q229" s="62" t="s">
        <v>128</v>
      </c>
      <c r="R229" s="62" t="s">
        <v>118</v>
      </c>
      <c r="S229" s="62" t="s">
        <v>122</v>
      </c>
      <c r="T229" s="62" t="s">
        <v>121</v>
      </c>
      <c r="U229" s="62" t="s">
        <v>111</v>
      </c>
      <c r="V229" s="62" t="s">
        <v>110</v>
      </c>
      <c r="W229" s="62" t="s">
        <v>143</v>
      </c>
      <c r="X229" s="44"/>
      <c r="Y229" s="44"/>
      <c r="Z229" s="44"/>
      <c r="AA229" s="44"/>
      <c r="AB229" s="44"/>
      <c r="AC229" s="44"/>
      <c r="AD229" s="44"/>
      <c r="AE229" s="44"/>
      <c r="AF229" s="44"/>
      <c r="AG229" s="44"/>
      <c r="AX229" s="1"/>
      <c r="AY229" s="1"/>
      <c r="AZ229" s="1"/>
      <c r="BA229" s="1"/>
      <c r="BB229" s="1"/>
      <c r="BC229" s="1"/>
      <c r="BD229" s="1"/>
      <c r="BE229" s="1"/>
      <c r="BF229" s="1"/>
    </row>
    <row r="230" spans="2:58" ht="23.25">
      <c r="B230" s="15">
        <f t="shared" si="20"/>
        <v>96</v>
      </c>
      <c r="C230" s="15">
        <v>5</v>
      </c>
      <c r="D230" s="16">
        <v>11</v>
      </c>
      <c r="E230" s="26">
        <v>649</v>
      </c>
      <c r="F230" s="29">
        <f>IF(ISBLANK(E230),0,IF(E230=Answers!E230,1,-1))</f>
        <v>1</v>
      </c>
      <c r="G230" s="44"/>
      <c r="H230" s="44"/>
      <c r="I230" s="62">
        <v>2</v>
      </c>
      <c r="J230" s="62">
        <v>1</v>
      </c>
      <c r="K230" s="62">
        <v>2</v>
      </c>
      <c r="L230" s="62">
        <v>5</v>
      </c>
      <c r="M230" s="44"/>
      <c r="N230" s="62" t="s">
        <v>122</v>
      </c>
      <c r="O230" s="62" t="s">
        <v>127</v>
      </c>
      <c r="P230" s="62" t="s">
        <v>117</v>
      </c>
      <c r="Q230" s="62" t="s">
        <v>114</v>
      </c>
      <c r="R230" s="62" t="s">
        <v>121</v>
      </c>
      <c r="S230" s="62" t="s">
        <v>123</v>
      </c>
      <c r="T230" s="62" t="s">
        <v>143</v>
      </c>
      <c r="U230" s="62" t="s">
        <v>112</v>
      </c>
      <c r="V230" s="62" t="s">
        <v>110</v>
      </c>
      <c r="W230" s="62" t="s">
        <v>111</v>
      </c>
      <c r="X230" s="44"/>
      <c r="Y230" s="44"/>
      <c r="Z230" s="44"/>
      <c r="AA230" s="44"/>
      <c r="AB230" s="44"/>
      <c r="AC230" s="44"/>
      <c r="AD230" s="44"/>
      <c r="AE230" s="44"/>
      <c r="AF230" s="44"/>
      <c r="AG230" s="44"/>
      <c r="AX230" s="1"/>
      <c r="AY230" s="1"/>
      <c r="AZ230" s="1"/>
      <c r="BA230" s="1"/>
      <c r="BB230" s="1"/>
      <c r="BC230" s="1"/>
      <c r="BD230" s="1"/>
      <c r="BE230" s="1"/>
      <c r="BF230" s="1"/>
    </row>
    <row r="231" spans="2:58" ht="23.25">
      <c r="B231" s="15">
        <f t="shared" si="20"/>
        <v>97</v>
      </c>
      <c r="C231" s="15">
        <v>5</v>
      </c>
      <c r="D231" s="16">
        <v>11</v>
      </c>
      <c r="E231" s="26">
        <v>881</v>
      </c>
      <c r="F231" s="29">
        <f>IF(ISBLANK(E231),0,IF(E231=Answers!E231,1,-1))</f>
        <v>1</v>
      </c>
      <c r="G231" s="44"/>
      <c r="H231" s="44"/>
      <c r="I231" s="62">
        <v>3</v>
      </c>
      <c r="J231" s="62">
        <v>4</v>
      </c>
      <c r="K231" s="62">
        <v>5</v>
      </c>
      <c r="L231" s="62">
        <v>1</v>
      </c>
      <c r="M231" s="44"/>
      <c r="N231" s="62" t="s">
        <v>110</v>
      </c>
      <c r="O231" s="62" t="s">
        <v>127</v>
      </c>
      <c r="P231" s="62" t="s">
        <v>117</v>
      </c>
      <c r="Q231" s="62" t="s">
        <v>116</v>
      </c>
      <c r="R231" s="62" t="s">
        <v>121</v>
      </c>
      <c r="S231" s="62" t="s">
        <v>122</v>
      </c>
      <c r="T231" s="62" t="s">
        <v>143</v>
      </c>
      <c r="U231" s="62" t="s">
        <v>112</v>
      </c>
      <c r="V231" s="62" t="s">
        <v>111</v>
      </c>
      <c r="W231" s="62" t="s">
        <v>109</v>
      </c>
      <c r="X231" s="44"/>
      <c r="Y231" s="44"/>
      <c r="Z231" s="44"/>
      <c r="AA231" s="44"/>
      <c r="AB231" s="44"/>
      <c r="AC231" s="44"/>
      <c r="AD231" s="44"/>
      <c r="AE231" s="44"/>
      <c r="AF231" s="44"/>
      <c r="AG231" s="44"/>
      <c r="AX231" s="1"/>
      <c r="AY231" s="1"/>
      <c r="AZ231" s="1"/>
      <c r="BA231" s="1"/>
      <c r="BB231" s="1"/>
      <c r="BC231" s="1"/>
      <c r="BD231" s="1"/>
      <c r="BE231" s="1"/>
      <c r="BF231" s="1"/>
    </row>
    <row r="232" spans="2:58" ht="23.25">
      <c r="B232" s="15">
        <f t="shared" si="20"/>
        <v>98</v>
      </c>
      <c r="C232" s="15">
        <v>5</v>
      </c>
      <c r="D232" s="16">
        <v>11</v>
      </c>
      <c r="E232" s="26">
        <v>583</v>
      </c>
      <c r="F232" s="29">
        <f>IF(ISBLANK(E232),0,IF(E232=Answers!E232,1,-1))</f>
        <v>1</v>
      </c>
      <c r="G232" s="44"/>
      <c r="H232" s="44"/>
      <c r="I232" s="62">
        <v>5</v>
      </c>
      <c r="J232" s="62">
        <v>1</v>
      </c>
      <c r="K232" s="62">
        <v>4</v>
      </c>
      <c r="L232" s="62">
        <v>1</v>
      </c>
      <c r="M232" s="44"/>
      <c r="N232" s="62" t="s">
        <v>121</v>
      </c>
      <c r="O232" s="62" t="s">
        <v>123</v>
      </c>
      <c r="P232" s="62" t="s">
        <v>122</v>
      </c>
      <c r="Q232" s="62" t="s">
        <v>116</v>
      </c>
      <c r="R232" s="62" t="s">
        <v>120</v>
      </c>
      <c r="S232" s="62" t="s">
        <v>145</v>
      </c>
      <c r="T232" s="62" t="s">
        <v>142</v>
      </c>
      <c r="U232" s="62" t="s">
        <v>111</v>
      </c>
      <c r="V232" s="62" t="s">
        <v>110</v>
      </c>
      <c r="W232" s="62" t="s">
        <v>124</v>
      </c>
      <c r="X232" s="44"/>
      <c r="Y232" s="44"/>
      <c r="Z232" s="44"/>
      <c r="AA232" s="44"/>
      <c r="AB232" s="44"/>
      <c r="AC232" s="44"/>
      <c r="AD232" s="44"/>
      <c r="AE232" s="44"/>
      <c r="AF232" s="44"/>
      <c r="AG232" s="44"/>
      <c r="AX232" s="1"/>
      <c r="AY232" s="1"/>
      <c r="AZ232" s="1"/>
      <c r="BA232" s="1"/>
      <c r="BB232" s="1"/>
      <c r="BC232" s="1"/>
      <c r="BD232" s="1"/>
      <c r="BE232" s="1"/>
      <c r="BF232" s="1"/>
    </row>
    <row r="233" spans="2:58" ht="23.25">
      <c r="B233" s="15">
        <f t="shared" si="20"/>
        <v>99</v>
      </c>
      <c r="C233" s="15">
        <v>5</v>
      </c>
      <c r="D233" s="16">
        <v>11</v>
      </c>
      <c r="E233" s="26">
        <v>1336</v>
      </c>
      <c r="F233" s="29">
        <f>IF(ISBLANK(E233),0,IF(E233=Answers!E233,1,-1))</f>
        <v>1</v>
      </c>
      <c r="G233" s="44"/>
      <c r="H233" s="44"/>
      <c r="I233" s="62">
        <v>1</v>
      </c>
      <c r="J233" s="62">
        <v>2</v>
      </c>
      <c r="K233" s="62">
        <v>3</v>
      </c>
      <c r="L233" s="62">
        <v>5</v>
      </c>
      <c r="M233" s="44"/>
      <c r="N233" s="62" t="s">
        <v>111</v>
      </c>
      <c r="O233" s="62" t="s">
        <v>114</v>
      </c>
      <c r="P233" s="62" t="s">
        <v>113</v>
      </c>
      <c r="Q233" s="62" t="s">
        <v>110</v>
      </c>
      <c r="R233" s="62" t="s">
        <v>145</v>
      </c>
      <c r="S233" s="62" t="s">
        <v>141</v>
      </c>
      <c r="T233" s="62" t="s">
        <v>109</v>
      </c>
      <c r="U233" s="62" t="s">
        <v>121</v>
      </c>
      <c r="V233" s="62" t="s">
        <v>120</v>
      </c>
      <c r="W233" s="62" t="s">
        <v>116</v>
      </c>
      <c r="X233" s="44"/>
      <c r="Y233" s="44"/>
      <c r="Z233" s="44"/>
      <c r="AA233" s="44"/>
      <c r="AB233" s="44"/>
      <c r="AC233" s="44"/>
      <c r="AD233" s="44"/>
      <c r="AE233" s="44"/>
      <c r="AF233" s="44"/>
      <c r="AG233" s="44"/>
      <c r="AX233" s="1"/>
      <c r="AY233" s="1"/>
      <c r="AZ233" s="1"/>
      <c r="BA233" s="1"/>
      <c r="BB233" s="1"/>
      <c r="BC233" s="1"/>
      <c r="BD233" s="1"/>
      <c r="BE233" s="1"/>
      <c r="BF233" s="1"/>
    </row>
    <row r="234" spans="2:58" ht="23.25">
      <c r="B234" s="15">
        <f t="shared" si="20"/>
        <v>100</v>
      </c>
      <c r="C234" s="15">
        <v>5</v>
      </c>
      <c r="D234" s="16">
        <v>11</v>
      </c>
      <c r="E234" s="26">
        <v>899</v>
      </c>
      <c r="F234" s="29">
        <f>IF(ISBLANK(E234),0,IF(E234=Answers!E234,1,-1))</f>
        <v>1</v>
      </c>
      <c r="G234" s="44"/>
      <c r="H234" s="44"/>
      <c r="I234" s="62">
        <v>4</v>
      </c>
      <c r="J234" s="62">
        <v>4</v>
      </c>
      <c r="K234" s="62">
        <v>3</v>
      </c>
      <c r="L234" s="62">
        <v>4</v>
      </c>
      <c r="M234" s="44"/>
      <c r="N234" s="62" t="s">
        <v>140</v>
      </c>
      <c r="O234" s="62" t="s">
        <v>114</v>
      </c>
      <c r="P234" s="62" t="s">
        <v>128</v>
      </c>
      <c r="Q234" s="62" t="s">
        <v>124</v>
      </c>
      <c r="R234" s="62" t="s">
        <v>145</v>
      </c>
      <c r="S234" s="62" t="s">
        <v>117</v>
      </c>
      <c r="T234" s="62" t="s">
        <v>127</v>
      </c>
      <c r="U234" s="62" t="s">
        <v>122</v>
      </c>
      <c r="V234" s="62" t="s">
        <v>141</v>
      </c>
      <c r="W234" s="62" t="s">
        <v>144</v>
      </c>
      <c r="X234" s="44"/>
      <c r="Y234" s="44"/>
      <c r="Z234" s="44"/>
      <c r="AA234" s="44"/>
      <c r="AB234" s="44"/>
      <c r="AC234" s="44"/>
      <c r="AD234" s="44"/>
      <c r="AE234" s="44"/>
      <c r="AF234" s="44"/>
      <c r="AG234" s="44"/>
      <c r="AX234" s="1"/>
      <c r="AY234" s="1"/>
      <c r="AZ234" s="1"/>
      <c r="BA234" s="1"/>
      <c r="BB234" s="1"/>
      <c r="BC234" s="1"/>
      <c r="BD234" s="1"/>
      <c r="BE234" s="1"/>
      <c r="BF234" s="1"/>
    </row>
    <row r="235" spans="2:58" ht="15.75">
      <c r="B235" s="4"/>
      <c r="C235" s="4"/>
      <c r="D235" s="4"/>
      <c r="E235" s="33"/>
      <c r="F235" s="5"/>
      <c r="G235" s="46"/>
      <c r="H235" s="46"/>
      <c r="I235" s="46"/>
      <c r="J235" s="46"/>
      <c r="K235" s="46"/>
      <c r="L235" s="46"/>
      <c r="M235" s="46"/>
      <c r="N235" s="46"/>
      <c r="O235" s="46"/>
      <c r="P235" s="46"/>
      <c r="AM235" s="4"/>
      <c r="AN235" s="4"/>
      <c r="AO235" s="4"/>
      <c r="AP235" s="4"/>
      <c r="AQ235" s="4"/>
      <c r="AR235" s="4"/>
      <c r="AS235" s="4"/>
      <c r="AT235" s="4"/>
      <c r="AU235" s="4"/>
      <c r="AV235" s="4"/>
      <c r="AW235" s="4"/>
    </row>
    <row r="236" spans="2:58" ht="16.5" thickBot="1">
      <c r="G236" s="46"/>
      <c r="H236" s="46"/>
      <c r="I236" s="46"/>
      <c r="J236" s="46"/>
      <c r="K236" s="46"/>
      <c r="L236" s="46"/>
      <c r="M236" s="46"/>
      <c r="N236" s="46"/>
      <c r="O236" s="46"/>
      <c r="P236" s="46"/>
    </row>
    <row r="237" spans="2:58" ht="20.25" thickTop="1" thickBot="1">
      <c r="B237" s="19" t="s">
        <v>146</v>
      </c>
      <c r="C237" s="9" t="s">
        <v>130</v>
      </c>
      <c r="D237" s="4"/>
      <c r="E237" s="33"/>
      <c r="F237" s="5"/>
      <c r="G237" s="45"/>
      <c r="H237" s="45"/>
      <c r="I237" s="45"/>
      <c r="J237" s="46"/>
      <c r="K237" s="46"/>
      <c r="L237" s="46"/>
      <c r="M237" s="46"/>
      <c r="N237" s="46"/>
      <c r="O237" s="46"/>
      <c r="P237" s="46"/>
      <c r="AE237" s="4"/>
      <c r="AF237" s="4"/>
      <c r="AG237" s="4"/>
      <c r="AH237" s="4"/>
      <c r="AI237" s="4"/>
      <c r="AJ237" s="4"/>
      <c r="AK237" s="4"/>
      <c r="AL237" s="4"/>
      <c r="AM237" s="4"/>
      <c r="AN237" s="4"/>
      <c r="AO237" s="4"/>
      <c r="AP237" s="4"/>
      <c r="AQ237" s="4"/>
      <c r="AR237" s="4"/>
      <c r="AS237" s="4"/>
      <c r="AT237" s="4"/>
      <c r="AU237" s="4"/>
      <c r="AV237" s="4"/>
      <c r="AW237" s="4"/>
    </row>
    <row r="238" spans="2:58" ht="16.5" thickTop="1">
      <c r="B238" s="18"/>
      <c r="C238" s="4"/>
      <c r="D238" s="4"/>
      <c r="E238" s="33"/>
      <c r="F238" s="5"/>
      <c r="G238" s="45"/>
      <c r="H238" s="45"/>
      <c r="I238" s="45"/>
      <c r="J238" s="46"/>
      <c r="K238" s="46"/>
      <c r="L238" s="46"/>
      <c r="M238" s="46"/>
      <c r="N238" s="46"/>
      <c r="O238" s="46"/>
      <c r="P238" s="46"/>
      <c r="AE238" s="4"/>
      <c r="AF238" s="4"/>
      <c r="AG238" s="4"/>
      <c r="AH238" s="4"/>
      <c r="AI238" s="4"/>
      <c r="AJ238" s="4"/>
      <c r="AK238" s="4"/>
      <c r="AL238" s="4"/>
      <c r="AM238" s="4"/>
      <c r="AN238" s="4"/>
      <c r="AO238" s="4"/>
      <c r="AP238" s="4"/>
      <c r="AQ238" s="4"/>
      <c r="AR238" s="4"/>
      <c r="AS238" s="4"/>
      <c r="AT238" s="4"/>
      <c r="AU238" s="4"/>
      <c r="AV238" s="4"/>
      <c r="AW238" s="4"/>
    </row>
    <row r="239" spans="2:58" ht="15.75">
      <c r="B239" s="18" t="s">
        <v>147</v>
      </c>
      <c r="C239" s="1"/>
      <c r="D239" s="1"/>
      <c r="E239" s="31"/>
      <c r="G239" s="46"/>
      <c r="H239" s="46"/>
      <c r="I239" s="46"/>
      <c r="J239" s="46"/>
      <c r="K239" s="46"/>
      <c r="L239" s="46"/>
      <c r="M239" s="46"/>
      <c r="N239" s="46"/>
      <c r="O239" s="46"/>
      <c r="P239" s="46"/>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row>
    <row r="240" spans="2:58" ht="15.75">
      <c r="B240" s="18" t="s">
        <v>148</v>
      </c>
      <c r="C240" s="1"/>
      <c r="D240" s="1"/>
      <c r="E240" s="31"/>
      <c r="G240" s="46"/>
      <c r="H240" s="46"/>
      <c r="I240" s="46"/>
      <c r="J240" s="46"/>
      <c r="K240" s="46"/>
      <c r="L240" s="46"/>
      <c r="M240" s="46"/>
      <c r="N240" s="46"/>
      <c r="O240" s="46"/>
      <c r="P240" s="46"/>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row>
    <row r="241" spans="2:90" ht="15.75">
      <c r="B241" s="18" t="s">
        <v>149</v>
      </c>
      <c r="C241" s="1"/>
      <c r="D241" s="1"/>
      <c r="E241" s="31"/>
      <c r="G241" s="46"/>
      <c r="H241" s="46"/>
      <c r="I241" s="46"/>
      <c r="J241" s="46"/>
      <c r="K241" s="46"/>
      <c r="L241" s="46"/>
      <c r="M241" s="46"/>
      <c r="N241" s="46"/>
      <c r="O241" s="46"/>
      <c r="P241" s="46"/>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row>
    <row r="242" spans="2:90" ht="15.75">
      <c r="B242" s="18"/>
      <c r="C242" s="1" t="s">
        <v>150</v>
      </c>
      <c r="D242" s="1"/>
      <c r="E242" s="31"/>
      <c r="G242" s="46"/>
      <c r="H242" s="46"/>
      <c r="I242" s="46"/>
      <c r="J242" s="46"/>
      <c r="K242" s="46"/>
      <c r="L242" s="46"/>
      <c r="M242" s="46"/>
      <c r="N242" s="46"/>
      <c r="O242" s="46"/>
      <c r="P242" s="46"/>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row>
    <row r="243" spans="2:90" ht="15.75">
      <c r="B243" s="18"/>
      <c r="C243" s="1" t="s">
        <v>151</v>
      </c>
      <c r="D243" s="1"/>
      <c r="E243" s="31"/>
      <c r="G243" s="46"/>
      <c r="H243" s="46"/>
      <c r="I243" s="46"/>
      <c r="J243" s="46"/>
      <c r="K243" s="46"/>
      <c r="L243" s="46"/>
      <c r="M243" s="46"/>
      <c r="N243" s="46"/>
      <c r="O243" s="46"/>
      <c r="P243" s="46"/>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row>
    <row r="244" spans="2:90" ht="15.75">
      <c r="B244" s="18" t="s">
        <v>152</v>
      </c>
      <c r="C244" s="43"/>
      <c r="D244" s="1"/>
      <c r="E244" s="31"/>
      <c r="G244" s="46"/>
      <c r="H244" s="46"/>
      <c r="I244" s="46"/>
      <c r="J244" s="46"/>
      <c r="K244" s="46"/>
      <c r="L244" s="46"/>
      <c r="M244" s="46"/>
      <c r="N244" s="46"/>
      <c r="O244" s="46"/>
      <c r="P244" s="46"/>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row>
    <row r="245" spans="2:90" ht="15.75">
      <c r="B245" s="18"/>
      <c r="C245" s="1" t="s">
        <v>153</v>
      </c>
      <c r="D245" s="1"/>
      <c r="E245" s="31"/>
      <c r="G245" s="46"/>
      <c r="H245" s="46"/>
      <c r="I245" s="46"/>
      <c r="J245" s="46"/>
      <c r="K245" s="46"/>
      <c r="L245" s="46"/>
      <c r="M245" s="46"/>
      <c r="N245" s="46"/>
      <c r="O245" s="46"/>
      <c r="P245" s="46"/>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row>
    <row r="246" spans="2:90" ht="15.75">
      <c r="B246" s="18" t="s">
        <v>154</v>
      </c>
      <c r="C246" s="43"/>
      <c r="D246" s="1"/>
      <c r="E246" s="31"/>
      <c r="G246" s="46"/>
      <c r="H246" s="46"/>
      <c r="I246" s="46"/>
      <c r="J246" s="46"/>
      <c r="K246" s="46"/>
      <c r="L246" s="46"/>
      <c r="M246" s="46"/>
      <c r="N246" s="46"/>
      <c r="O246" s="46"/>
      <c r="P246" s="46"/>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row>
    <row r="247" spans="2:90" ht="15.75">
      <c r="B247" s="18" t="s">
        <v>155</v>
      </c>
      <c r="C247" s="43"/>
      <c r="D247" s="1"/>
      <c r="E247" s="31"/>
      <c r="G247" s="46"/>
      <c r="H247" s="46"/>
      <c r="I247" s="46"/>
      <c r="J247" s="46"/>
      <c r="K247" s="46"/>
      <c r="L247" s="46"/>
      <c r="M247" s="46"/>
      <c r="N247" s="46"/>
      <c r="O247" s="46"/>
      <c r="P247" s="46"/>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row>
    <row r="248" spans="2:90" ht="15.75">
      <c r="B248" s="18" t="s">
        <v>156</v>
      </c>
      <c r="C248" s="43"/>
      <c r="D248" s="1"/>
      <c r="E248" s="31"/>
      <c r="G248" s="46"/>
      <c r="H248" s="46"/>
      <c r="I248" s="46"/>
      <c r="J248" s="46"/>
      <c r="K248" s="46"/>
      <c r="L248" s="46"/>
      <c r="M248" s="46"/>
      <c r="N248" s="46"/>
      <c r="O248" s="46"/>
      <c r="P248" s="46"/>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row>
    <row r="249" spans="2:90" ht="15.75">
      <c r="B249" s="18" t="s">
        <v>157</v>
      </c>
      <c r="C249" s="43"/>
      <c r="D249" s="1"/>
      <c r="E249" s="31"/>
      <c r="G249" s="46"/>
      <c r="H249" s="46"/>
      <c r="I249" s="46"/>
      <c r="J249" s="46"/>
      <c r="K249" s="46"/>
      <c r="L249" s="46"/>
      <c r="M249" s="46"/>
      <c r="N249" s="46"/>
      <c r="O249" s="46"/>
      <c r="P249" s="46"/>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row>
    <row r="250" spans="2:90" ht="15.75">
      <c r="B250" s="18"/>
      <c r="C250" s="43"/>
      <c r="D250" s="1"/>
      <c r="E250" s="31"/>
      <c r="G250" s="46"/>
      <c r="H250" s="46"/>
      <c r="I250" s="46"/>
      <c r="J250" s="46"/>
      <c r="K250" s="46"/>
      <c r="L250" s="46"/>
      <c r="M250" s="46"/>
      <c r="N250" s="46"/>
      <c r="O250" s="46"/>
      <c r="P250" s="46"/>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row>
    <row r="251" spans="2:90" ht="15.75">
      <c r="B251" s="18" t="s">
        <v>158</v>
      </c>
      <c r="C251" s="1"/>
      <c r="D251" s="1"/>
      <c r="E251" s="31"/>
      <c r="G251" s="46"/>
      <c r="H251" s="46"/>
      <c r="I251" s="46"/>
      <c r="J251" s="46"/>
      <c r="K251" s="46"/>
      <c r="L251" s="46"/>
      <c r="M251" s="46"/>
      <c r="N251" s="46"/>
      <c r="O251" s="46"/>
      <c r="P251" s="46"/>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row>
    <row r="252" spans="2:90" ht="15.75">
      <c r="B252" s="18"/>
      <c r="C252" s="64" t="s">
        <v>90</v>
      </c>
      <c r="D252" s="1"/>
      <c r="E252" s="31"/>
      <c r="G252" s="46"/>
      <c r="H252" s="46"/>
      <c r="I252" s="46"/>
      <c r="J252" s="46"/>
      <c r="K252" s="46"/>
      <c r="L252" s="46"/>
      <c r="M252" s="46"/>
      <c r="N252" s="46"/>
      <c r="O252" s="46"/>
      <c r="P252" s="46"/>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row>
    <row r="253" spans="2:90" ht="15.75">
      <c r="B253" s="18"/>
      <c r="C253" s="64"/>
      <c r="D253" s="1"/>
      <c r="E253" s="31"/>
      <c r="G253" s="46"/>
      <c r="H253" s="46"/>
      <c r="I253" s="46"/>
      <c r="J253" s="46"/>
      <c r="K253" s="46"/>
      <c r="L253" s="46"/>
      <c r="M253" s="46"/>
      <c r="N253" s="46"/>
      <c r="O253" s="46"/>
      <c r="P253" s="46"/>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row>
    <row r="254" spans="2:90" ht="16.5" thickBot="1">
      <c r="B254" s="4"/>
      <c r="C254" s="4"/>
      <c r="D254" s="4"/>
      <c r="E254" s="33"/>
      <c r="F254" s="5"/>
      <c r="G254" s="44"/>
      <c r="H254" s="46"/>
      <c r="I254" s="98" t="s">
        <v>137</v>
      </c>
      <c r="J254" s="46"/>
      <c r="K254" s="46"/>
      <c r="L254" s="47"/>
      <c r="M254" s="47"/>
      <c r="N254" s="46"/>
      <c r="O254" s="46"/>
      <c r="P254" s="46"/>
      <c r="Q254" s="47"/>
      <c r="AE254" s="4"/>
      <c r="AF254" s="4"/>
      <c r="AG254" s="4"/>
      <c r="AH254" s="4"/>
      <c r="AI254" s="4"/>
      <c r="AJ254" s="4"/>
      <c r="AK254" s="4"/>
      <c r="AL254" s="4"/>
      <c r="AM254" s="4"/>
      <c r="AN254" s="4"/>
      <c r="AO254" s="4"/>
      <c r="AP254" s="4"/>
      <c r="AQ254" s="4"/>
      <c r="AR254" s="4"/>
      <c r="AS254" s="4"/>
      <c r="AT254" s="4"/>
      <c r="AU254" s="4"/>
      <c r="AV254" s="4"/>
      <c r="AW254" s="4"/>
    </row>
    <row r="255" spans="2:90" ht="25.5" customHeight="1" thickTop="1" thickBot="1">
      <c r="B255" s="17" t="s">
        <v>41</v>
      </c>
      <c r="C255" s="17" t="s">
        <v>74</v>
      </c>
      <c r="D255" s="17" t="s">
        <v>43</v>
      </c>
      <c r="E255" s="36" t="s">
        <v>44</v>
      </c>
      <c r="G255" s="44"/>
      <c r="H255" s="44"/>
      <c r="I255" s="99" t="s">
        <v>32</v>
      </c>
      <c r="J255" s="100" t="s">
        <v>33</v>
      </c>
      <c r="K255" s="101" t="s">
        <v>34</v>
      </c>
      <c r="L255" s="102" t="s">
        <v>35</v>
      </c>
      <c r="M255" s="44"/>
      <c r="N255" s="46"/>
      <c r="O255" s="46"/>
      <c r="P255" s="142" t="s">
        <v>159</v>
      </c>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row>
    <row r="256" spans="2:90" ht="16.5" thickTop="1">
      <c r="B256" s="1"/>
      <c r="C256" s="1"/>
      <c r="D256" s="1"/>
      <c r="E256" s="31"/>
      <c r="G256" s="44"/>
      <c r="H256" s="44"/>
      <c r="I256" s="44"/>
      <c r="J256" s="44"/>
      <c r="K256" s="44"/>
      <c r="L256" s="44"/>
      <c r="M256" s="44"/>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row>
    <row r="257" spans="2:58" ht="24" customHeight="1">
      <c r="B257" s="15" t="s">
        <v>160</v>
      </c>
      <c r="C257" s="15">
        <v>7</v>
      </c>
      <c r="D257" s="16">
        <v>0</v>
      </c>
      <c r="E257" s="26">
        <v>1365</v>
      </c>
      <c r="F257" s="29">
        <f>IF(ISBLANK(E257),0,IF(E257=Answers!E257,1,-1))</f>
        <v>1</v>
      </c>
      <c r="G257" s="44"/>
      <c r="H257" s="44"/>
      <c r="I257" s="62">
        <v>5</v>
      </c>
      <c r="J257" s="62">
        <v>4</v>
      </c>
      <c r="K257" s="62">
        <v>0</v>
      </c>
      <c r="L257" s="62">
        <v>2</v>
      </c>
      <c r="M257" s="44"/>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X257" s="1"/>
      <c r="AY257" s="1"/>
      <c r="AZ257" s="1"/>
      <c r="BA257" s="1"/>
      <c r="BB257" s="1"/>
      <c r="BC257" s="1"/>
      <c r="BD257" s="1"/>
      <c r="BE257" s="1"/>
      <c r="BF257" s="1"/>
    </row>
    <row r="258" spans="2:58" ht="15.75">
      <c r="B258" s="1"/>
      <c r="C258" s="1"/>
      <c r="D258" s="1"/>
      <c r="E258" s="31"/>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X258" s="1"/>
      <c r="AY258" s="1"/>
      <c r="AZ258" s="1"/>
      <c r="BA258" s="1"/>
      <c r="BB258" s="1"/>
      <c r="BC258" s="1"/>
      <c r="BD258" s="1"/>
      <c r="BE258" s="1"/>
      <c r="BF258" s="1"/>
    </row>
    <row r="259" spans="2:58" ht="23.25">
      <c r="B259" s="15">
        <v>101</v>
      </c>
      <c r="C259" s="15">
        <v>6</v>
      </c>
      <c r="D259" s="16">
        <v>12</v>
      </c>
      <c r="E259" s="26">
        <v>1365</v>
      </c>
      <c r="F259" s="29">
        <f>IF(ISBLANK(E259),0,IF(E259=Answers!E259,1,-1))</f>
        <v>1</v>
      </c>
      <c r="G259" s="44"/>
      <c r="H259" s="44"/>
      <c r="I259" s="62">
        <v>0</v>
      </c>
      <c r="J259" s="62">
        <v>4</v>
      </c>
      <c r="K259" s="62">
        <v>0</v>
      </c>
      <c r="L259" s="62">
        <v>4</v>
      </c>
      <c r="M259" s="44"/>
      <c r="N259" s="44"/>
      <c r="O259" s="44"/>
      <c r="P259" s="44"/>
      <c r="Q259" s="44"/>
      <c r="R259" s="44"/>
      <c r="S259" s="44"/>
      <c r="T259" s="44"/>
      <c r="U259" s="44"/>
      <c r="V259" s="44"/>
      <c r="W259" s="44"/>
      <c r="X259" s="44"/>
      <c r="Y259" s="44"/>
      <c r="Z259" s="44"/>
      <c r="AA259" s="44"/>
      <c r="AB259" s="44"/>
      <c r="AC259" s="44"/>
      <c r="AD259" s="44"/>
      <c r="AE259" s="44"/>
      <c r="AF259" s="44"/>
      <c r="AG259" s="44"/>
      <c r="AH259" s="44"/>
      <c r="AX259" s="1"/>
      <c r="AY259" s="1"/>
      <c r="AZ259" s="1"/>
      <c r="BA259" s="1"/>
      <c r="BB259" s="1"/>
      <c r="BC259" s="1"/>
      <c r="BD259" s="1"/>
      <c r="BE259" s="1"/>
      <c r="BF259" s="1"/>
    </row>
    <row r="260" spans="2:58" ht="23.25">
      <c r="B260" s="15">
        <f t="shared" ref="B260:B278" si="21">B259+1</f>
        <v>102</v>
      </c>
      <c r="C260" s="15">
        <v>6</v>
      </c>
      <c r="D260" s="16">
        <v>12</v>
      </c>
      <c r="E260" s="26">
        <v>1386</v>
      </c>
      <c r="F260" s="29">
        <f>IF(ISBLANK(E260),0,IF(E260=Answers!E260,1,-1))</f>
        <v>1</v>
      </c>
      <c r="G260" s="44"/>
      <c r="H260" s="44"/>
      <c r="I260" s="62">
        <v>4</v>
      </c>
      <c r="J260" s="62">
        <v>0</v>
      </c>
      <c r="K260" s="62">
        <v>4</v>
      </c>
      <c r="L260" s="62">
        <v>3</v>
      </c>
      <c r="M260" s="44"/>
      <c r="N260" s="44"/>
      <c r="O260" s="44"/>
      <c r="P260" s="44"/>
      <c r="Q260" s="44"/>
      <c r="R260" s="44"/>
      <c r="S260" s="44"/>
      <c r="T260" s="44"/>
      <c r="U260" s="44"/>
      <c r="V260" s="44"/>
      <c r="W260" s="44"/>
      <c r="X260" s="44"/>
      <c r="Y260" s="44"/>
      <c r="Z260" s="44"/>
      <c r="AA260" s="44"/>
      <c r="AB260" s="44"/>
      <c r="AC260" s="44"/>
      <c r="AD260" s="44"/>
      <c r="AE260" s="44"/>
      <c r="AF260" s="44"/>
      <c r="AG260" s="44"/>
      <c r="AH260" s="44"/>
      <c r="AX260" s="1"/>
      <c r="AY260" s="1"/>
      <c r="AZ260" s="1"/>
      <c r="BA260" s="1"/>
      <c r="BB260" s="1"/>
      <c r="BC260" s="1"/>
      <c r="BD260" s="1"/>
      <c r="BE260" s="1"/>
      <c r="BF260" s="1"/>
    </row>
    <row r="261" spans="2:58" ht="23.25">
      <c r="B261" s="15">
        <f t="shared" si="21"/>
        <v>103</v>
      </c>
      <c r="C261" s="15">
        <v>6</v>
      </c>
      <c r="D261" s="16">
        <v>12</v>
      </c>
      <c r="E261" s="26">
        <v>1371</v>
      </c>
      <c r="F261" s="29">
        <f>IF(ISBLANK(E261),0,IF(E261=Answers!E261,1,-1))</f>
        <v>1</v>
      </c>
      <c r="G261" s="44"/>
      <c r="H261" s="44"/>
      <c r="I261" s="62">
        <v>5</v>
      </c>
      <c r="J261" s="62">
        <v>1</v>
      </c>
      <c r="K261" s="62">
        <v>2</v>
      </c>
      <c r="L261" s="62">
        <v>0</v>
      </c>
      <c r="M261" s="44"/>
      <c r="N261" s="44"/>
      <c r="O261" s="44"/>
      <c r="P261" s="44"/>
      <c r="Q261" s="44"/>
      <c r="R261" s="44"/>
      <c r="S261" s="44"/>
      <c r="T261" s="44"/>
      <c r="U261" s="44"/>
      <c r="V261" s="44"/>
      <c r="W261" s="44"/>
      <c r="X261" s="44"/>
      <c r="Y261" s="44"/>
      <c r="Z261" s="44"/>
      <c r="AA261" s="44"/>
      <c r="AB261" s="44"/>
      <c r="AC261" s="44"/>
      <c r="AD261" s="44"/>
      <c r="AE261" s="44"/>
      <c r="AF261" s="44"/>
      <c r="AG261" s="44"/>
      <c r="AH261" s="44"/>
      <c r="AX261" s="1"/>
      <c r="AY261" s="1"/>
      <c r="AZ261" s="1"/>
      <c r="BA261" s="1"/>
      <c r="BB261" s="1"/>
      <c r="BC261" s="1"/>
      <c r="BD261" s="1"/>
      <c r="BE261" s="1"/>
      <c r="BF261" s="1"/>
    </row>
    <row r="262" spans="2:58" ht="23.25">
      <c r="B262" s="15">
        <f t="shared" si="21"/>
        <v>104</v>
      </c>
      <c r="C262" s="15">
        <v>6</v>
      </c>
      <c r="D262" s="16">
        <v>12</v>
      </c>
      <c r="E262" s="26">
        <v>1389</v>
      </c>
      <c r="F262" s="29">
        <f>IF(ISBLANK(E262),0,IF(E262=Answers!E262,1,-1))</f>
        <v>1</v>
      </c>
      <c r="G262" s="44"/>
      <c r="H262" s="44"/>
      <c r="I262" s="62">
        <v>2</v>
      </c>
      <c r="J262" s="62">
        <v>4</v>
      </c>
      <c r="K262" s="62">
        <v>5</v>
      </c>
      <c r="L262" s="62">
        <v>2</v>
      </c>
      <c r="M262" s="44"/>
      <c r="N262" s="44"/>
      <c r="O262" s="44"/>
      <c r="P262" s="44"/>
      <c r="Q262" s="44"/>
      <c r="R262" s="44"/>
      <c r="S262" s="44"/>
      <c r="T262" s="44"/>
      <c r="U262" s="44"/>
      <c r="V262" s="44"/>
      <c r="W262" s="44"/>
      <c r="X262" s="44"/>
      <c r="Y262" s="44"/>
      <c r="Z262" s="44"/>
      <c r="AA262" s="44"/>
      <c r="AB262" s="44"/>
      <c r="AC262" s="44"/>
      <c r="AD262" s="44"/>
      <c r="AE262" s="44"/>
      <c r="AF262" s="44"/>
      <c r="AG262" s="44"/>
      <c r="AH262" s="44"/>
      <c r="AX262" s="1"/>
      <c r="AY262" s="1"/>
      <c r="AZ262" s="1"/>
      <c r="BA262" s="1"/>
      <c r="BB262" s="1"/>
      <c r="BC262" s="1"/>
      <c r="BD262" s="1"/>
      <c r="BE262" s="1"/>
      <c r="BF262" s="1"/>
    </row>
    <row r="263" spans="2:58" ht="23.25">
      <c r="B263" s="15">
        <f t="shared" si="21"/>
        <v>105</v>
      </c>
      <c r="C263" s="15">
        <v>6</v>
      </c>
      <c r="D263" s="16">
        <v>12</v>
      </c>
      <c r="E263" s="26">
        <v>1386</v>
      </c>
      <c r="F263" s="29">
        <f>IF(ISBLANK(E263),0,IF(E263=Answers!E263,1,-1))</f>
        <v>1</v>
      </c>
      <c r="G263" s="44"/>
      <c r="H263" s="44"/>
      <c r="I263" s="62">
        <v>0</v>
      </c>
      <c r="J263" s="62">
        <v>5</v>
      </c>
      <c r="K263" s="62">
        <v>4</v>
      </c>
      <c r="L263" s="62">
        <v>3</v>
      </c>
      <c r="M263" s="44"/>
      <c r="N263" s="44"/>
      <c r="O263" s="44"/>
      <c r="P263" s="44"/>
      <c r="Q263" s="44"/>
      <c r="R263" s="44"/>
      <c r="S263" s="44"/>
      <c r="T263" s="44"/>
      <c r="U263" s="44"/>
      <c r="V263" s="44"/>
      <c r="W263" s="44"/>
      <c r="X263" s="44"/>
      <c r="Y263" s="44"/>
      <c r="Z263" s="44"/>
      <c r="AA263" s="44"/>
      <c r="AB263" s="44"/>
      <c r="AC263" s="44"/>
      <c r="AD263" s="44"/>
      <c r="AE263" s="44"/>
      <c r="AF263" s="44"/>
      <c r="AG263" s="44"/>
      <c r="AH263" s="44"/>
      <c r="AX263" s="1"/>
      <c r="AY263" s="1"/>
      <c r="AZ263" s="1"/>
      <c r="BA263" s="1"/>
      <c r="BB263" s="1"/>
      <c r="BC263" s="1"/>
      <c r="BD263" s="1"/>
      <c r="BE263" s="1"/>
      <c r="BF263" s="1"/>
    </row>
    <row r="264" spans="2:58" ht="23.25">
      <c r="B264" s="15">
        <f t="shared" si="21"/>
        <v>106</v>
      </c>
      <c r="C264" s="15">
        <v>6</v>
      </c>
      <c r="D264" s="16">
        <v>12</v>
      </c>
      <c r="E264" s="26">
        <v>1370</v>
      </c>
      <c r="F264" s="29">
        <f>IF(ISBLANK(E264),0,IF(E264=Answers!E264,1,-1))</f>
        <v>1</v>
      </c>
      <c r="G264" s="44"/>
      <c r="H264" s="44"/>
      <c r="I264" s="62">
        <v>1</v>
      </c>
      <c r="J264" s="62">
        <v>5</v>
      </c>
      <c r="K264" s="62">
        <v>1</v>
      </c>
      <c r="L264" s="62">
        <v>2</v>
      </c>
      <c r="M264" s="44"/>
      <c r="N264" s="44"/>
      <c r="O264" s="44"/>
      <c r="P264" s="44"/>
      <c r="Q264" s="44"/>
      <c r="R264" s="44"/>
      <c r="S264" s="44"/>
      <c r="T264" s="44"/>
      <c r="U264" s="44"/>
      <c r="V264" s="44"/>
      <c r="W264" s="44"/>
      <c r="X264" s="44"/>
      <c r="Y264" s="44"/>
      <c r="Z264" s="44"/>
      <c r="AA264" s="44"/>
      <c r="AB264" s="44"/>
      <c r="AC264" s="44"/>
      <c r="AD264" s="44"/>
      <c r="AE264" s="44"/>
      <c r="AF264" s="44"/>
      <c r="AG264" s="44"/>
      <c r="AH264" s="44"/>
      <c r="AX264" s="1"/>
      <c r="AY264" s="1"/>
      <c r="AZ264" s="1"/>
      <c r="BA264" s="1"/>
      <c r="BB264" s="1"/>
      <c r="BC264" s="1"/>
      <c r="BD264" s="1"/>
      <c r="BE264" s="1"/>
      <c r="BF264" s="1"/>
    </row>
    <row r="265" spans="2:58" ht="23.25">
      <c r="B265" s="15">
        <f t="shared" si="21"/>
        <v>107</v>
      </c>
      <c r="C265" s="15">
        <v>6</v>
      </c>
      <c r="D265" s="16">
        <v>12</v>
      </c>
      <c r="E265" s="26">
        <v>1389</v>
      </c>
      <c r="F265" s="29">
        <f>IF(ISBLANK(E265),0,IF(E265=Answers!E265,1,-1))</f>
        <v>1</v>
      </c>
      <c r="G265" s="44"/>
      <c r="H265" s="44"/>
      <c r="I265" s="62">
        <v>3</v>
      </c>
      <c r="J265" s="62">
        <v>4</v>
      </c>
      <c r="K265" s="62">
        <v>5</v>
      </c>
      <c r="L265" s="62">
        <v>2</v>
      </c>
      <c r="M265" s="44"/>
      <c r="N265" s="44"/>
      <c r="O265" s="44"/>
      <c r="P265" s="44"/>
      <c r="Q265" s="44"/>
      <c r="R265" s="44"/>
      <c r="S265" s="44"/>
      <c r="T265" s="44"/>
      <c r="U265" s="44"/>
      <c r="V265" s="44"/>
      <c r="W265" s="44"/>
      <c r="X265" s="44"/>
      <c r="Y265" s="44"/>
      <c r="Z265" s="44"/>
      <c r="AA265" s="44"/>
      <c r="AB265" s="44"/>
      <c r="AC265" s="44"/>
      <c r="AD265" s="44"/>
      <c r="AE265" s="44"/>
      <c r="AF265" s="44"/>
      <c r="AG265" s="44"/>
      <c r="AH265" s="44"/>
      <c r="AX265" s="1"/>
      <c r="AY265" s="1"/>
      <c r="AZ265" s="1"/>
      <c r="BA265" s="1"/>
      <c r="BB265" s="1"/>
      <c r="BC265" s="1"/>
      <c r="BD265" s="1"/>
      <c r="BE265" s="1"/>
      <c r="BF265" s="1"/>
    </row>
    <row r="266" spans="2:58" ht="23.25">
      <c r="B266" s="15">
        <f t="shared" si="21"/>
        <v>108</v>
      </c>
      <c r="C266" s="15">
        <v>6</v>
      </c>
      <c r="D266" s="16">
        <v>12</v>
      </c>
      <c r="E266" s="26">
        <v>1365</v>
      </c>
      <c r="F266" s="29">
        <f>IF(ISBLANK(E266),0,IF(E266=Answers!E266,1,-1))</f>
        <v>1</v>
      </c>
      <c r="G266" s="44"/>
      <c r="H266" s="44"/>
      <c r="I266" s="62">
        <v>2</v>
      </c>
      <c r="J266" s="62">
        <v>0</v>
      </c>
      <c r="K266" s="62">
        <v>0</v>
      </c>
      <c r="L266" s="62">
        <v>2</v>
      </c>
      <c r="M266" s="44"/>
      <c r="N266" s="44"/>
      <c r="O266" s="44"/>
      <c r="P266" s="44"/>
      <c r="Q266" s="44"/>
      <c r="R266" s="44"/>
      <c r="S266" s="44"/>
      <c r="T266" s="44"/>
      <c r="U266" s="44"/>
      <c r="V266" s="44"/>
      <c r="W266" s="44"/>
      <c r="X266" s="44"/>
      <c r="Y266" s="44"/>
      <c r="Z266" s="44"/>
      <c r="AA266" s="44"/>
      <c r="AB266" s="44"/>
      <c r="AC266" s="44"/>
      <c r="AD266" s="44"/>
      <c r="AE266" s="44"/>
      <c r="AF266" s="44"/>
      <c r="AG266" s="44"/>
      <c r="AH266" s="44"/>
      <c r="AX266" s="1"/>
      <c r="AY266" s="1"/>
      <c r="AZ266" s="1"/>
      <c r="BA266" s="1"/>
      <c r="BB266" s="1"/>
      <c r="BC266" s="1"/>
      <c r="BD266" s="1"/>
      <c r="BE266" s="1"/>
      <c r="BF266" s="1"/>
    </row>
    <row r="267" spans="2:58" ht="23.25">
      <c r="B267" s="15">
        <f t="shared" si="21"/>
        <v>109</v>
      </c>
      <c r="C267" s="15">
        <v>6</v>
      </c>
      <c r="D267" s="16">
        <v>12</v>
      </c>
      <c r="E267" s="26">
        <v>1365</v>
      </c>
      <c r="F267" s="29">
        <f>IF(ISBLANK(E267),0,IF(E267=Answers!E267,1,-1))</f>
        <v>1</v>
      </c>
      <c r="G267" s="44"/>
      <c r="H267" s="44"/>
      <c r="I267" s="62">
        <v>2</v>
      </c>
      <c r="J267" s="62">
        <v>2</v>
      </c>
      <c r="K267" s="62">
        <v>0</v>
      </c>
      <c r="L267" s="62">
        <v>1</v>
      </c>
      <c r="M267" s="44"/>
      <c r="N267" s="44"/>
      <c r="O267" s="44"/>
      <c r="P267" s="44"/>
      <c r="Q267" s="44"/>
      <c r="R267" s="44"/>
      <c r="S267" s="44"/>
      <c r="T267" s="44"/>
      <c r="U267" s="44"/>
      <c r="V267" s="44"/>
      <c r="W267" s="44"/>
      <c r="X267" s="44"/>
      <c r="Y267" s="44"/>
      <c r="Z267" s="44"/>
      <c r="AA267" s="44"/>
      <c r="AB267" s="44"/>
      <c r="AC267" s="44"/>
      <c r="AD267" s="44"/>
      <c r="AE267" s="44"/>
      <c r="AF267" s="44"/>
      <c r="AG267" s="44"/>
      <c r="AH267" s="44"/>
      <c r="AX267" s="1"/>
      <c r="AY267" s="1"/>
      <c r="AZ267" s="1"/>
      <c r="BA267" s="1"/>
      <c r="BB267" s="1"/>
      <c r="BC267" s="1"/>
      <c r="BD267" s="1"/>
      <c r="BE267" s="1"/>
      <c r="BF267" s="1"/>
    </row>
    <row r="268" spans="2:58" ht="23.25">
      <c r="B268" s="15">
        <f t="shared" si="21"/>
        <v>110</v>
      </c>
      <c r="C268" s="15">
        <v>6</v>
      </c>
      <c r="D268" s="16">
        <v>12</v>
      </c>
      <c r="E268" s="26">
        <v>1384</v>
      </c>
      <c r="F268" s="29">
        <f>IF(ISBLANK(E268),0,IF(E268=Answers!E268,1,-1))</f>
        <v>1</v>
      </c>
      <c r="G268" s="44"/>
      <c r="H268" s="44"/>
      <c r="I268" s="62">
        <v>2</v>
      </c>
      <c r="J268" s="62">
        <v>0</v>
      </c>
      <c r="K268" s="62">
        <v>4</v>
      </c>
      <c r="L268" s="62">
        <v>0</v>
      </c>
      <c r="M268" s="44"/>
      <c r="N268" s="44"/>
      <c r="O268" s="44"/>
      <c r="P268" s="44"/>
      <c r="Q268" s="44"/>
      <c r="R268" s="44"/>
      <c r="S268" s="44"/>
      <c r="T268" s="44"/>
      <c r="U268" s="44"/>
      <c r="V268" s="44"/>
      <c r="W268" s="44"/>
      <c r="X268" s="44"/>
      <c r="Y268" s="44"/>
      <c r="Z268" s="44"/>
      <c r="AA268" s="44"/>
      <c r="AB268" s="44"/>
      <c r="AC268" s="44"/>
      <c r="AD268" s="44"/>
      <c r="AE268" s="44"/>
      <c r="AF268" s="44"/>
      <c r="AG268" s="44"/>
      <c r="AH268" s="44"/>
      <c r="AX268" s="1"/>
      <c r="AY268" s="1"/>
      <c r="AZ268" s="1"/>
      <c r="BA268" s="1"/>
      <c r="BB268" s="1"/>
      <c r="BC268" s="1"/>
      <c r="BD268" s="1"/>
      <c r="BE268" s="1"/>
      <c r="BF268" s="1"/>
    </row>
    <row r="269" spans="2:58" ht="23.25">
      <c r="B269" s="15">
        <f t="shared" si="21"/>
        <v>111</v>
      </c>
      <c r="C269" s="15">
        <v>6</v>
      </c>
      <c r="D269" s="16">
        <v>12</v>
      </c>
      <c r="E269" s="26">
        <v>1384</v>
      </c>
      <c r="F269" s="29">
        <f>IF(ISBLANK(E269),0,IF(E269=Answers!E269,1,-1))</f>
        <v>1</v>
      </c>
      <c r="G269" s="44"/>
      <c r="H269" s="44"/>
      <c r="I269" s="62">
        <v>0</v>
      </c>
      <c r="J269" s="62">
        <v>3</v>
      </c>
      <c r="K269" s="62">
        <v>4</v>
      </c>
      <c r="L269" s="62">
        <v>2</v>
      </c>
      <c r="M269" s="44"/>
      <c r="N269" s="44"/>
      <c r="O269" s="44"/>
      <c r="P269" s="44"/>
      <c r="Q269" s="44"/>
      <c r="R269" s="44"/>
      <c r="S269" s="44"/>
      <c r="T269" s="44"/>
      <c r="U269" s="44"/>
      <c r="V269" s="44"/>
      <c r="W269" s="44"/>
      <c r="X269" s="44"/>
      <c r="Y269" s="44"/>
      <c r="Z269" s="44"/>
      <c r="AA269" s="44"/>
      <c r="AB269" s="44"/>
      <c r="AC269" s="44"/>
      <c r="AD269" s="44"/>
      <c r="AE269" s="44"/>
      <c r="AF269" s="44"/>
      <c r="AG269" s="44"/>
      <c r="AH269" s="44"/>
      <c r="AX269" s="1"/>
      <c r="AY269" s="1"/>
      <c r="AZ269" s="1"/>
      <c r="BA269" s="1"/>
      <c r="BB269" s="1"/>
      <c r="BC269" s="1"/>
      <c r="BD269" s="1"/>
      <c r="BE269" s="1"/>
      <c r="BF269" s="1"/>
    </row>
    <row r="270" spans="2:58" ht="23.25">
      <c r="B270" s="15">
        <f t="shared" si="21"/>
        <v>112</v>
      </c>
      <c r="C270" s="15">
        <v>6</v>
      </c>
      <c r="D270" s="16">
        <v>12</v>
      </c>
      <c r="E270" s="26">
        <v>1365</v>
      </c>
      <c r="F270" s="29">
        <f>IF(ISBLANK(E270),0,IF(E270=Answers!E270,1,-1))</f>
        <v>1</v>
      </c>
      <c r="G270" s="44"/>
      <c r="H270" s="44"/>
      <c r="I270" s="62">
        <v>3</v>
      </c>
      <c r="J270" s="62">
        <v>4</v>
      </c>
      <c r="K270" s="62">
        <v>0</v>
      </c>
      <c r="L270" s="62">
        <v>2</v>
      </c>
      <c r="M270" s="44"/>
      <c r="N270" s="44"/>
      <c r="O270" s="44"/>
      <c r="P270" s="44"/>
      <c r="Q270" s="44"/>
      <c r="R270" s="44"/>
      <c r="S270" s="44"/>
      <c r="T270" s="44"/>
      <c r="U270" s="44"/>
      <c r="V270" s="44"/>
      <c r="W270" s="44"/>
      <c r="X270" s="44"/>
      <c r="Y270" s="44"/>
      <c r="Z270" s="44"/>
      <c r="AA270" s="44"/>
      <c r="AB270" s="44"/>
      <c r="AC270" s="44"/>
      <c r="AD270" s="44"/>
      <c r="AE270" s="44"/>
      <c r="AF270" s="44"/>
      <c r="AG270" s="44"/>
      <c r="AH270" s="44"/>
      <c r="AX270" s="1"/>
      <c r="AY270" s="1"/>
      <c r="AZ270" s="1"/>
      <c r="BA270" s="1"/>
      <c r="BB270" s="1"/>
      <c r="BC270" s="1"/>
      <c r="BD270" s="1"/>
      <c r="BE270" s="1"/>
      <c r="BF270" s="1"/>
    </row>
    <row r="271" spans="2:58" ht="23.25">
      <c r="B271" s="15">
        <f t="shared" si="21"/>
        <v>113</v>
      </c>
      <c r="C271" s="15">
        <v>6</v>
      </c>
      <c r="D271" s="16">
        <v>12</v>
      </c>
      <c r="E271" s="26">
        <v>1391</v>
      </c>
      <c r="F271" s="29">
        <f>IF(ISBLANK(E271),0,IF(E271=Answers!E271,1,-1))</f>
        <v>1</v>
      </c>
      <c r="G271" s="44"/>
      <c r="H271" s="44"/>
      <c r="I271" s="62">
        <v>2</v>
      </c>
      <c r="J271" s="62">
        <v>4</v>
      </c>
      <c r="K271" s="62">
        <v>5</v>
      </c>
      <c r="L271" s="62">
        <v>3</v>
      </c>
      <c r="M271" s="44"/>
      <c r="N271" s="44"/>
      <c r="O271" s="44"/>
      <c r="P271" s="44"/>
      <c r="Q271" s="44"/>
      <c r="R271" s="44"/>
      <c r="S271" s="44"/>
      <c r="T271" s="44"/>
      <c r="U271" s="44"/>
      <c r="V271" s="44"/>
      <c r="W271" s="44"/>
      <c r="X271" s="44"/>
      <c r="Y271" s="44"/>
      <c r="Z271" s="44"/>
      <c r="AA271" s="44"/>
      <c r="AB271" s="44"/>
      <c r="AC271" s="44"/>
      <c r="AD271" s="44"/>
      <c r="AE271" s="44"/>
      <c r="AF271" s="44"/>
      <c r="AG271" s="44"/>
      <c r="AH271" s="44"/>
      <c r="AX271" s="1"/>
      <c r="AY271" s="1"/>
      <c r="AZ271" s="1"/>
      <c r="BA271" s="1"/>
      <c r="BB271" s="1"/>
      <c r="BC271" s="1"/>
      <c r="BD271" s="1"/>
      <c r="BE271" s="1"/>
      <c r="BF271" s="1"/>
    </row>
    <row r="272" spans="2:58" ht="23.25">
      <c r="B272" s="15">
        <f t="shared" si="21"/>
        <v>114</v>
      </c>
      <c r="C272" s="15">
        <v>6</v>
      </c>
      <c r="D272" s="16">
        <v>12</v>
      </c>
      <c r="E272" s="26">
        <v>1386</v>
      </c>
      <c r="F272" s="29">
        <f>IF(ISBLANK(E272),0,IF(E272=Answers!E272,1,-1))</f>
        <v>1</v>
      </c>
      <c r="G272" s="44"/>
      <c r="H272" s="44"/>
      <c r="I272" s="62">
        <v>0</v>
      </c>
      <c r="J272" s="62">
        <v>1</v>
      </c>
      <c r="K272" s="62">
        <v>4</v>
      </c>
      <c r="L272" s="62">
        <v>3</v>
      </c>
      <c r="M272" s="44"/>
      <c r="N272" s="44"/>
      <c r="O272" s="44"/>
      <c r="P272" s="44"/>
      <c r="Q272" s="44"/>
      <c r="R272" s="44"/>
      <c r="S272" s="44"/>
      <c r="T272" s="44"/>
      <c r="U272" s="44"/>
      <c r="V272" s="44"/>
      <c r="W272" s="44"/>
      <c r="X272" s="44"/>
      <c r="Y272" s="44"/>
      <c r="Z272" s="44"/>
      <c r="AA272" s="44"/>
      <c r="AB272" s="44"/>
      <c r="AC272" s="44"/>
      <c r="AD272" s="44"/>
      <c r="AE272" s="44"/>
      <c r="AF272" s="44"/>
      <c r="AG272" s="44"/>
      <c r="AH272" s="44"/>
      <c r="AX272" s="1"/>
      <c r="AY272" s="1"/>
      <c r="AZ272" s="1"/>
      <c r="BA272" s="1"/>
      <c r="BB272" s="1"/>
      <c r="BC272" s="1"/>
      <c r="BD272" s="1"/>
      <c r="BE272" s="1"/>
      <c r="BF272" s="1"/>
    </row>
    <row r="273" spans="2:58" ht="23.25">
      <c r="B273" s="15">
        <f t="shared" si="21"/>
        <v>115</v>
      </c>
      <c r="C273" s="15">
        <v>6</v>
      </c>
      <c r="D273" s="16">
        <v>12</v>
      </c>
      <c r="E273" s="26">
        <v>1372</v>
      </c>
      <c r="F273" s="29">
        <f>IF(ISBLANK(E273),0,IF(E273=Answers!E273,1,-1))</f>
        <v>1</v>
      </c>
      <c r="G273" s="44"/>
      <c r="H273" s="44"/>
      <c r="I273" s="62">
        <v>3</v>
      </c>
      <c r="J273" s="62">
        <v>2</v>
      </c>
      <c r="K273" s="62">
        <v>1</v>
      </c>
      <c r="L273" s="62">
        <v>4</v>
      </c>
      <c r="M273" s="44"/>
      <c r="N273" s="44"/>
      <c r="O273" s="44"/>
      <c r="P273" s="44"/>
      <c r="Q273" s="44"/>
      <c r="R273" s="44"/>
      <c r="S273" s="44"/>
      <c r="T273" s="44"/>
      <c r="U273" s="44"/>
      <c r="V273" s="44"/>
      <c r="W273" s="44"/>
      <c r="X273" s="44"/>
      <c r="Y273" s="44"/>
      <c r="Z273" s="44"/>
      <c r="AA273" s="44"/>
      <c r="AB273" s="44"/>
      <c r="AC273" s="44"/>
      <c r="AD273" s="44"/>
      <c r="AE273" s="44"/>
      <c r="AF273" s="44"/>
      <c r="AG273" s="44"/>
      <c r="AH273" s="44"/>
      <c r="AX273" s="1"/>
      <c r="AY273" s="1"/>
      <c r="AZ273" s="1"/>
      <c r="BA273" s="1"/>
      <c r="BB273" s="1"/>
      <c r="BC273" s="1"/>
      <c r="BD273" s="1"/>
      <c r="BE273" s="1"/>
      <c r="BF273" s="1"/>
    </row>
    <row r="274" spans="2:58" ht="23.25">
      <c r="B274" s="15">
        <f t="shared" si="21"/>
        <v>116</v>
      </c>
      <c r="C274" s="15">
        <v>6</v>
      </c>
      <c r="D274" s="16">
        <v>12</v>
      </c>
      <c r="E274" s="26">
        <v>1377</v>
      </c>
      <c r="F274" s="29">
        <f>IF(ISBLANK(E274),0,IF(E274=Answers!E274,1,-1))</f>
        <v>1</v>
      </c>
      <c r="G274" s="44"/>
      <c r="H274" s="44"/>
      <c r="I274" s="62">
        <v>2</v>
      </c>
      <c r="J274" s="62">
        <v>1</v>
      </c>
      <c r="K274" s="62">
        <v>2</v>
      </c>
      <c r="L274" s="62">
        <v>5</v>
      </c>
      <c r="M274" s="44"/>
      <c r="N274" s="44"/>
      <c r="O274" s="44"/>
      <c r="P274" s="44"/>
      <c r="Q274" s="44"/>
      <c r="R274" s="44"/>
      <c r="S274" s="44"/>
      <c r="T274" s="44"/>
      <c r="U274" s="44"/>
      <c r="V274" s="44"/>
      <c r="W274" s="44"/>
      <c r="X274" s="44"/>
      <c r="Y274" s="44"/>
      <c r="Z274" s="44"/>
      <c r="AA274" s="44"/>
      <c r="AB274" s="44"/>
      <c r="AC274" s="44"/>
      <c r="AD274" s="44"/>
      <c r="AE274" s="44"/>
      <c r="AF274" s="44"/>
      <c r="AG274" s="44"/>
      <c r="AH274" s="44"/>
      <c r="AX274" s="1"/>
      <c r="AY274" s="1"/>
      <c r="AZ274" s="1"/>
      <c r="BA274" s="1"/>
      <c r="BB274" s="1"/>
      <c r="BC274" s="1"/>
      <c r="BD274" s="1"/>
      <c r="BE274" s="1"/>
      <c r="BF274" s="1"/>
    </row>
    <row r="275" spans="2:58" ht="23.25">
      <c r="B275" s="15">
        <f t="shared" si="21"/>
        <v>117</v>
      </c>
      <c r="C275" s="15">
        <v>6</v>
      </c>
      <c r="D275" s="16">
        <v>12</v>
      </c>
      <c r="E275" s="26">
        <v>1389</v>
      </c>
      <c r="F275" s="29">
        <f>IF(ISBLANK(E275),0,IF(E275=Answers!E275,1,-1))</f>
        <v>1</v>
      </c>
      <c r="G275" s="44"/>
      <c r="H275" s="44"/>
      <c r="I275" s="62">
        <v>3</v>
      </c>
      <c r="J275" s="62">
        <v>4</v>
      </c>
      <c r="K275" s="62">
        <v>5</v>
      </c>
      <c r="L275" s="62">
        <v>1</v>
      </c>
      <c r="M275" s="44"/>
      <c r="N275" s="44"/>
      <c r="O275" s="44"/>
      <c r="P275" s="44"/>
      <c r="Q275" s="44"/>
      <c r="R275" s="44"/>
      <c r="S275" s="44"/>
      <c r="T275" s="44"/>
      <c r="U275" s="44"/>
      <c r="V275" s="44"/>
      <c r="W275" s="44"/>
      <c r="X275" s="44"/>
      <c r="Y275" s="44"/>
      <c r="Z275" s="44"/>
      <c r="AA275" s="44"/>
      <c r="AB275" s="44"/>
      <c r="AC275" s="44"/>
      <c r="AD275" s="44"/>
      <c r="AE275" s="44"/>
      <c r="AF275" s="44"/>
      <c r="AG275" s="44"/>
      <c r="AH275" s="44"/>
      <c r="AX275" s="1"/>
      <c r="AY275" s="1"/>
      <c r="AZ275" s="1"/>
      <c r="BA275" s="1"/>
      <c r="BB275" s="1"/>
      <c r="BC275" s="1"/>
      <c r="BD275" s="1"/>
      <c r="BE275" s="1"/>
      <c r="BF275" s="1"/>
    </row>
    <row r="276" spans="2:58" ht="23.25">
      <c r="B276" s="15">
        <f t="shared" si="21"/>
        <v>118</v>
      </c>
      <c r="C276" s="15">
        <v>6</v>
      </c>
      <c r="D276" s="16">
        <v>12</v>
      </c>
      <c r="E276" s="26">
        <v>1384</v>
      </c>
      <c r="F276" s="29">
        <f>IF(ISBLANK(E276),0,IF(E276=Answers!E276,1,-1))</f>
        <v>1</v>
      </c>
      <c r="G276" s="44"/>
      <c r="H276" s="44"/>
      <c r="I276" s="62">
        <v>5</v>
      </c>
      <c r="J276" s="62">
        <v>1</v>
      </c>
      <c r="K276" s="62">
        <v>4</v>
      </c>
      <c r="L276" s="62">
        <v>1</v>
      </c>
      <c r="M276" s="44"/>
      <c r="N276" s="44"/>
      <c r="O276" s="44"/>
      <c r="P276" s="44"/>
      <c r="Q276" s="44"/>
      <c r="R276" s="44"/>
      <c r="S276" s="44"/>
      <c r="T276" s="44"/>
      <c r="U276" s="44"/>
      <c r="V276" s="44"/>
      <c r="W276" s="44"/>
      <c r="X276" s="44"/>
      <c r="Y276" s="44"/>
      <c r="Z276" s="44"/>
      <c r="AA276" s="44"/>
      <c r="AB276" s="44"/>
      <c r="AC276" s="44"/>
      <c r="AD276" s="44"/>
      <c r="AE276" s="44"/>
      <c r="AF276" s="44"/>
      <c r="AG276" s="44"/>
      <c r="AH276" s="44"/>
      <c r="AX276" s="1"/>
      <c r="AY276" s="1"/>
      <c r="AZ276" s="1"/>
      <c r="BA276" s="1"/>
      <c r="BB276" s="1"/>
      <c r="BC276" s="1"/>
      <c r="BD276" s="1"/>
      <c r="BE276" s="1"/>
      <c r="BF276" s="1"/>
    </row>
    <row r="277" spans="2:58" ht="23.25">
      <c r="B277" s="15">
        <f t="shared" si="21"/>
        <v>119</v>
      </c>
      <c r="C277" s="15">
        <v>6</v>
      </c>
      <c r="D277" s="16">
        <v>12</v>
      </c>
      <c r="E277" s="26">
        <v>1381</v>
      </c>
      <c r="F277" s="29">
        <f>IF(ISBLANK(E277),0,IF(E277=Answers!E277,1,-1))</f>
        <v>1</v>
      </c>
      <c r="G277" s="44"/>
      <c r="H277" s="44"/>
      <c r="I277" s="62">
        <v>1</v>
      </c>
      <c r="J277" s="62">
        <v>2</v>
      </c>
      <c r="K277" s="62">
        <v>3</v>
      </c>
      <c r="L277" s="62">
        <v>5</v>
      </c>
      <c r="M277" s="44"/>
      <c r="N277" s="44"/>
      <c r="O277" s="44"/>
      <c r="P277" s="44"/>
      <c r="Q277" s="44"/>
      <c r="R277" s="44"/>
      <c r="S277" s="44"/>
      <c r="T277" s="44"/>
      <c r="U277" s="44"/>
      <c r="V277" s="44"/>
      <c r="W277" s="44"/>
      <c r="X277" s="44"/>
      <c r="Y277" s="44"/>
      <c r="Z277" s="44"/>
      <c r="AA277" s="44"/>
      <c r="AB277" s="44"/>
      <c r="AC277" s="44"/>
      <c r="AD277" s="44"/>
      <c r="AE277" s="44"/>
      <c r="AF277" s="44"/>
      <c r="AG277" s="44"/>
      <c r="AH277" s="44"/>
      <c r="AX277" s="1"/>
      <c r="AY277" s="1"/>
      <c r="AZ277" s="1"/>
      <c r="BA277" s="1"/>
      <c r="BB277" s="1"/>
      <c r="BC277" s="1"/>
      <c r="BD277" s="1"/>
      <c r="BE277" s="1"/>
      <c r="BF277" s="1"/>
    </row>
    <row r="278" spans="2:58" ht="23.25">
      <c r="B278" s="15">
        <f t="shared" si="21"/>
        <v>120</v>
      </c>
      <c r="C278" s="15">
        <v>6</v>
      </c>
      <c r="D278" s="16">
        <v>12</v>
      </c>
      <c r="E278" s="26">
        <v>1381</v>
      </c>
      <c r="F278" s="29">
        <f>IF(ISBLANK(E278),0,IF(E278=Answers!E278,1,-1))</f>
        <v>1</v>
      </c>
      <c r="G278" s="44"/>
      <c r="H278" s="44"/>
      <c r="I278" s="62">
        <v>4</v>
      </c>
      <c r="J278" s="62">
        <v>4</v>
      </c>
      <c r="K278" s="62">
        <v>3</v>
      </c>
      <c r="L278" s="62">
        <v>4</v>
      </c>
      <c r="M278" s="44"/>
      <c r="N278" s="44"/>
      <c r="O278" s="44"/>
      <c r="P278" s="44"/>
      <c r="Q278" s="44"/>
      <c r="R278" s="44"/>
      <c r="S278" s="44"/>
      <c r="T278" s="44"/>
      <c r="U278" s="44"/>
      <c r="V278" s="44"/>
      <c r="W278" s="44"/>
      <c r="X278" s="44"/>
      <c r="Y278" s="44"/>
      <c r="Z278" s="44"/>
      <c r="AA278" s="44"/>
      <c r="AB278" s="44"/>
      <c r="AC278" s="44"/>
      <c r="AD278" s="44"/>
      <c r="AE278" s="44"/>
      <c r="AF278" s="44"/>
      <c r="AG278" s="44"/>
      <c r="AH278" s="44"/>
      <c r="AX278" s="1"/>
      <c r="AY278" s="1"/>
      <c r="AZ278" s="1"/>
      <c r="BA278" s="1"/>
      <c r="BB278" s="1"/>
      <c r="BC278" s="1"/>
      <c r="BD278" s="1"/>
      <c r="BE278" s="1"/>
      <c r="BF278" s="1"/>
    </row>
    <row r="279" spans="2:58" ht="15.75">
      <c r="G279" s="46"/>
      <c r="H279" s="46"/>
      <c r="I279" s="46"/>
      <c r="J279" s="46"/>
      <c r="K279" s="46"/>
      <c r="L279" s="46"/>
      <c r="M279" s="46"/>
      <c r="N279" s="46"/>
      <c r="O279" s="46"/>
      <c r="P279" s="46"/>
    </row>
    <row r="280" spans="2:58" ht="16.5" thickBot="1">
      <c r="G280" s="46"/>
      <c r="H280" s="46"/>
      <c r="I280" s="46"/>
      <c r="J280" s="46"/>
      <c r="K280" s="46"/>
      <c r="L280" s="46"/>
      <c r="M280" s="46"/>
      <c r="N280" s="46"/>
      <c r="O280" s="46"/>
      <c r="P280" s="46"/>
    </row>
    <row r="281" spans="2:58" ht="20.25" thickTop="1" thickBot="1">
      <c r="B281" s="19" t="s">
        <v>161</v>
      </c>
      <c r="C281" s="9" t="s">
        <v>130</v>
      </c>
      <c r="D281" s="4"/>
      <c r="E281" s="33"/>
      <c r="F281" s="5"/>
      <c r="G281" s="45"/>
      <c r="H281" s="45"/>
      <c r="I281" s="45"/>
      <c r="J281" s="46"/>
      <c r="K281" s="46"/>
      <c r="L281" s="46"/>
      <c r="M281" s="46"/>
      <c r="N281" s="46"/>
      <c r="O281" s="142" t="s">
        <v>325</v>
      </c>
      <c r="P281" s="46"/>
      <c r="AE281" s="4"/>
      <c r="AF281" s="4"/>
      <c r="AG281" s="4"/>
      <c r="AH281" s="4"/>
      <c r="AI281" s="4"/>
      <c r="AJ281" s="4"/>
      <c r="AK281" s="4"/>
      <c r="AL281" s="4"/>
      <c r="AM281" s="4"/>
      <c r="AN281" s="4"/>
      <c r="AO281" s="4"/>
      <c r="AP281" s="4"/>
      <c r="AQ281" s="4"/>
      <c r="AR281" s="4"/>
      <c r="AS281" s="4"/>
      <c r="AT281" s="4"/>
      <c r="AU281" s="4"/>
      <c r="AV281" s="4"/>
      <c r="AW281" s="4"/>
    </row>
    <row r="282" spans="2:58" ht="16.5" thickTop="1">
      <c r="B282" s="18"/>
      <c r="C282" s="4"/>
      <c r="D282" s="4"/>
      <c r="E282" s="33"/>
      <c r="F282" s="5"/>
      <c r="G282" s="45"/>
      <c r="H282" s="45"/>
      <c r="I282" s="45"/>
      <c r="J282" s="46"/>
      <c r="K282" s="46"/>
      <c r="L282" s="46"/>
      <c r="M282" s="46"/>
      <c r="N282" s="46"/>
      <c r="O282" s="46"/>
      <c r="P282" s="46"/>
      <c r="AE282" s="4"/>
      <c r="AF282" s="4"/>
      <c r="AG282" s="4"/>
      <c r="AH282" s="4"/>
      <c r="AI282" s="4"/>
      <c r="AJ282" s="4"/>
      <c r="AK282" s="4"/>
      <c r="AL282" s="4"/>
      <c r="AM282" s="4"/>
      <c r="AN282" s="4"/>
      <c r="AO282" s="4"/>
      <c r="AP282" s="4"/>
      <c r="AQ282" s="4"/>
      <c r="AR282" s="4"/>
      <c r="AS282" s="4"/>
      <c r="AT282" s="4"/>
      <c r="AU282" s="4"/>
      <c r="AV282" s="4"/>
      <c r="AW282" s="4"/>
    </row>
    <row r="283" spans="2:58" ht="15.75">
      <c r="B283" s="18" t="s">
        <v>162</v>
      </c>
      <c r="C283" s="1"/>
      <c r="D283" s="1"/>
      <c r="E283" s="31"/>
      <c r="G283" s="46"/>
      <c r="H283" s="46"/>
      <c r="I283" s="46"/>
      <c r="J283" s="46"/>
      <c r="K283" s="46"/>
      <c r="L283" s="46"/>
      <c r="M283" s="46"/>
      <c r="N283" s="46"/>
      <c r="O283" s="46"/>
      <c r="P283" s="46"/>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row>
    <row r="284" spans="2:58" ht="15.75">
      <c r="B284" s="18" t="s">
        <v>163</v>
      </c>
      <c r="C284" s="43"/>
      <c r="D284" s="1"/>
      <c r="E284" s="31"/>
      <c r="G284" s="46"/>
      <c r="H284" s="46"/>
      <c r="I284" s="46"/>
      <c r="J284" s="46"/>
      <c r="K284" s="46"/>
      <c r="L284" s="46"/>
      <c r="M284" s="46"/>
      <c r="N284" s="46"/>
      <c r="O284" s="46"/>
      <c r="P284" s="46"/>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row>
    <row r="285" spans="2:58" ht="15.75">
      <c r="B285" s="18" t="s">
        <v>164</v>
      </c>
      <c r="C285" s="43"/>
      <c r="D285" s="1"/>
      <c r="E285" s="31"/>
      <c r="G285" s="46"/>
      <c r="H285" s="46"/>
      <c r="I285" s="46"/>
      <c r="J285" s="46"/>
      <c r="K285" s="46"/>
      <c r="L285" s="46"/>
      <c r="M285" s="46"/>
      <c r="N285" s="46"/>
      <c r="O285" s="46"/>
      <c r="P285" s="46"/>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row>
    <row r="286" spans="2:58" ht="15.75">
      <c r="B286" s="18" t="s">
        <v>165</v>
      </c>
      <c r="C286" s="43"/>
      <c r="D286" s="1"/>
      <c r="E286" s="31"/>
      <c r="G286" s="46"/>
      <c r="H286" s="46"/>
      <c r="I286" s="46"/>
      <c r="J286" s="46"/>
      <c r="K286" s="46"/>
      <c r="L286" s="46"/>
      <c r="M286" s="46"/>
      <c r="N286" s="46"/>
      <c r="O286" s="46"/>
      <c r="P286" s="46"/>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row>
    <row r="287" spans="2:58" ht="15.75">
      <c r="B287" s="18" t="s">
        <v>166</v>
      </c>
      <c r="C287" s="43"/>
      <c r="D287" s="1"/>
      <c r="E287" s="31"/>
      <c r="G287" s="46"/>
      <c r="H287" s="46"/>
      <c r="I287" s="46"/>
      <c r="J287" s="46"/>
      <c r="K287" s="46"/>
      <c r="L287" s="46"/>
      <c r="M287" s="46"/>
      <c r="N287" s="46"/>
      <c r="O287" s="46"/>
      <c r="P287" s="46"/>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row>
    <row r="288" spans="2:58" ht="15.75">
      <c r="B288" s="18"/>
      <c r="C288" s="43"/>
      <c r="D288" s="1"/>
      <c r="E288" s="31"/>
      <c r="G288" s="46"/>
      <c r="H288" s="46"/>
      <c r="I288" s="46"/>
      <c r="J288" s="46"/>
      <c r="K288" s="46"/>
      <c r="L288" s="46"/>
      <c r="M288" s="46"/>
      <c r="N288" s="46"/>
      <c r="O288" s="46"/>
      <c r="P288" s="46"/>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row>
    <row r="289" spans="2:114" ht="15.75">
      <c r="B289" s="18" t="s">
        <v>167</v>
      </c>
      <c r="C289" s="43"/>
      <c r="D289" s="1"/>
      <c r="E289" s="31"/>
      <c r="G289" s="46"/>
      <c r="H289" s="46"/>
      <c r="I289" s="46"/>
      <c r="J289" s="46"/>
      <c r="K289" s="46"/>
      <c r="L289" s="46"/>
      <c r="M289" s="46"/>
      <c r="N289" s="46"/>
      <c r="O289" s="46"/>
      <c r="P289" s="46"/>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row>
    <row r="290" spans="2:114" ht="15.75">
      <c r="B290" s="18" t="s">
        <v>168</v>
      </c>
      <c r="C290" s="43"/>
      <c r="D290" s="1"/>
      <c r="E290" s="31"/>
      <c r="G290" s="46"/>
      <c r="H290" s="46"/>
      <c r="I290" s="46"/>
      <c r="J290" s="46"/>
      <c r="K290" s="46"/>
      <c r="L290" s="46"/>
      <c r="M290" s="46"/>
      <c r="N290" s="46"/>
      <c r="O290" s="46"/>
      <c r="P290" s="46"/>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row>
    <row r="291" spans="2:114" ht="15.75">
      <c r="B291" s="18"/>
      <c r="C291" s="1" t="s">
        <v>169</v>
      </c>
      <c r="D291" s="1"/>
      <c r="E291" s="31"/>
      <c r="G291" s="46"/>
      <c r="H291" s="46"/>
      <c r="I291" s="46"/>
      <c r="J291" s="46"/>
      <c r="K291" s="46"/>
      <c r="L291" s="46"/>
      <c r="M291" s="46"/>
      <c r="N291" s="46"/>
      <c r="O291" s="46"/>
      <c r="P291" s="46"/>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row>
    <row r="292" spans="2:114" ht="15.75">
      <c r="B292" s="18"/>
      <c r="C292" s="1"/>
      <c r="D292" s="1"/>
      <c r="E292" s="31"/>
      <c r="G292" s="46"/>
      <c r="H292" s="46"/>
      <c r="I292" s="46"/>
      <c r="J292" s="46"/>
      <c r="K292" s="46"/>
      <c r="L292" s="46"/>
      <c r="M292" s="46"/>
      <c r="N292" s="46"/>
      <c r="O292" s="46"/>
      <c r="P292" s="46"/>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row>
    <row r="293" spans="2:114" ht="16.5" thickBot="1">
      <c r="B293" s="4"/>
      <c r="C293" s="4"/>
      <c r="D293" s="4"/>
      <c r="E293" s="33"/>
      <c r="F293" s="5"/>
      <c r="G293" s="44"/>
      <c r="H293" s="46"/>
      <c r="I293" s="98" t="s">
        <v>137</v>
      </c>
      <c r="J293" s="46"/>
      <c r="K293" s="46"/>
      <c r="L293" s="47"/>
      <c r="M293" s="47"/>
      <c r="N293" s="98" t="s">
        <v>170</v>
      </c>
      <c r="O293" s="47"/>
      <c r="P293" s="47"/>
      <c r="AE293" s="4"/>
      <c r="AF293" s="4"/>
      <c r="AG293" s="4"/>
      <c r="AH293" s="4"/>
      <c r="AI293" s="4"/>
      <c r="AJ293" s="4"/>
      <c r="AK293" s="4"/>
      <c r="AL293" s="4"/>
      <c r="AM293" s="4"/>
      <c r="AN293" s="4"/>
      <c r="AO293" s="4"/>
      <c r="AP293" s="4"/>
      <c r="AQ293" s="4"/>
      <c r="AR293" s="4"/>
      <c r="AS293" s="4"/>
      <c r="AT293" s="4"/>
      <c r="AU293" s="4"/>
      <c r="AV293" s="4"/>
      <c r="AW293" s="4"/>
    </row>
    <row r="294" spans="2:114" ht="25.5" customHeight="1" thickTop="1" thickBot="1">
      <c r="B294" s="17" t="s">
        <v>41</v>
      </c>
      <c r="C294" s="17" t="s">
        <v>74</v>
      </c>
      <c r="D294" s="17" t="s">
        <v>43</v>
      </c>
      <c r="E294" s="36" t="s">
        <v>44</v>
      </c>
      <c r="G294" s="44"/>
      <c r="H294" s="44"/>
      <c r="I294" s="99" t="s">
        <v>32</v>
      </c>
      <c r="J294" s="100" t="s">
        <v>33</v>
      </c>
      <c r="K294" s="101" t="s">
        <v>34</v>
      </c>
      <c r="L294" s="102" t="s">
        <v>35</v>
      </c>
      <c r="M294" s="44"/>
      <c r="N294" s="49">
        <v>1</v>
      </c>
      <c r="O294" s="49">
        <v>2</v>
      </c>
      <c r="P294" s="49">
        <v>3</v>
      </c>
      <c r="Q294" s="49">
        <v>4</v>
      </c>
      <c r="R294" s="49">
        <v>5</v>
      </c>
      <c r="S294" s="49">
        <v>6</v>
      </c>
      <c r="T294" s="49">
        <v>7</v>
      </c>
      <c r="U294" s="49">
        <v>8</v>
      </c>
      <c r="V294" s="49">
        <v>9</v>
      </c>
      <c r="W294" s="49">
        <v>10</v>
      </c>
      <c r="X294" s="49">
        <v>11</v>
      </c>
      <c r="Y294" s="49">
        <v>12</v>
      </c>
      <c r="Z294" s="49">
        <v>13</v>
      </c>
      <c r="AA294" s="49">
        <v>14</v>
      </c>
      <c r="AB294" s="49">
        <v>15</v>
      </c>
      <c r="AC294" s="49">
        <v>16</v>
      </c>
      <c r="AD294" s="49">
        <v>17</v>
      </c>
      <c r="AE294" s="49">
        <v>18</v>
      </c>
      <c r="AF294" s="49">
        <v>19</v>
      </c>
      <c r="AG294" s="49">
        <v>20</v>
      </c>
      <c r="AH294" s="49">
        <v>21</v>
      </c>
      <c r="AI294" s="49">
        <v>22</v>
      </c>
      <c r="AJ294" s="49">
        <v>23</v>
      </c>
      <c r="AK294" s="49">
        <v>24</v>
      </c>
      <c r="AL294" s="49">
        <v>25</v>
      </c>
      <c r="AM294" s="49">
        <v>26</v>
      </c>
      <c r="AN294" s="49">
        <v>27</v>
      </c>
      <c r="AO294" s="49">
        <v>28</v>
      </c>
      <c r="AP294" s="49">
        <v>29</v>
      </c>
      <c r="AQ294" s="49">
        <v>30</v>
      </c>
      <c r="AR294" s="49">
        <v>31</v>
      </c>
      <c r="AS294" s="49">
        <v>32</v>
      </c>
      <c r="AT294" s="49">
        <v>33</v>
      </c>
      <c r="AU294" s="49">
        <v>34</v>
      </c>
      <c r="AV294" s="49">
        <v>35</v>
      </c>
      <c r="AW294" s="49">
        <v>36</v>
      </c>
      <c r="AX294" s="49">
        <v>37</v>
      </c>
      <c r="AY294" s="49">
        <v>38</v>
      </c>
      <c r="AZ294" s="49">
        <v>39</v>
      </c>
      <c r="BA294" s="49">
        <v>40</v>
      </c>
      <c r="BB294" s="49">
        <v>41</v>
      </c>
      <c r="BC294" s="49">
        <v>42</v>
      </c>
      <c r="BD294" s="49">
        <v>43</v>
      </c>
      <c r="BE294" s="49">
        <v>44</v>
      </c>
      <c r="BF294" s="49">
        <v>45</v>
      </c>
      <c r="BG294" s="49">
        <v>46</v>
      </c>
      <c r="BH294" s="49">
        <v>47</v>
      </c>
      <c r="BI294" s="49">
        <v>48</v>
      </c>
      <c r="BJ294" s="49">
        <v>49</v>
      </c>
      <c r="BK294" s="49">
        <v>50</v>
      </c>
      <c r="BM294" s="49">
        <v>1</v>
      </c>
      <c r="BN294" s="49">
        <v>2</v>
      </c>
      <c r="BO294" s="49">
        <v>3</v>
      </c>
      <c r="BP294" s="49">
        <v>4</v>
      </c>
      <c r="BQ294" s="49">
        <v>5</v>
      </c>
      <c r="BR294" s="49">
        <v>6</v>
      </c>
      <c r="BS294" s="49">
        <v>7</v>
      </c>
      <c r="BT294" s="49">
        <v>8</v>
      </c>
      <c r="BU294" s="49">
        <v>9</v>
      </c>
      <c r="BV294" s="49">
        <v>10</v>
      </c>
      <c r="BW294" s="49">
        <v>11</v>
      </c>
      <c r="BX294" s="49">
        <v>12</v>
      </c>
      <c r="BY294" s="49">
        <v>13</v>
      </c>
      <c r="BZ294" s="49">
        <v>14</v>
      </c>
      <c r="CA294" s="49">
        <v>15</v>
      </c>
      <c r="CB294" s="49">
        <v>16</v>
      </c>
      <c r="CC294" s="49">
        <v>17</v>
      </c>
      <c r="CD294" s="49">
        <v>18</v>
      </c>
      <c r="CE294" s="49">
        <v>19</v>
      </c>
      <c r="CF294" s="49">
        <v>20</v>
      </c>
      <c r="CG294" s="49">
        <v>21</v>
      </c>
      <c r="CH294" s="49">
        <v>22</v>
      </c>
      <c r="CI294" s="49">
        <v>23</v>
      </c>
      <c r="CJ294" s="49">
        <v>24</v>
      </c>
      <c r="CK294" s="49">
        <v>25</v>
      </c>
      <c r="CL294" s="49">
        <v>26</v>
      </c>
      <c r="CM294" s="49">
        <v>27</v>
      </c>
      <c r="CN294" s="49">
        <v>28</v>
      </c>
      <c r="CO294" s="49">
        <v>29</v>
      </c>
      <c r="CP294" s="49">
        <v>30</v>
      </c>
      <c r="CQ294" s="49">
        <v>31</v>
      </c>
      <c r="CR294" s="49">
        <v>32</v>
      </c>
      <c r="CS294" s="49">
        <v>33</v>
      </c>
      <c r="CT294" s="49">
        <v>34</v>
      </c>
      <c r="CU294" s="49">
        <v>35</v>
      </c>
      <c r="CV294" s="49">
        <v>36</v>
      </c>
      <c r="CW294" s="49">
        <v>37</v>
      </c>
      <c r="CX294" s="49">
        <v>38</v>
      </c>
      <c r="CY294" s="49">
        <v>39</v>
      </c>
      <c r="CZ294" s="49">
        <v>40</v>
      </c>
      <c r="DA294" s="49">
        <v>41</v>
      </c>
      <c r="DB294" s="49">
        <v>42</v>
      </c>
      <c r="DC294" s="49">
        <v>43</v>
      </c>
      <c r="DD294" s="49">
        <v>44</v>
      </c>
      <c r="DE294" s="49">
        <v>45</v>
      </c>
      <c r="DF294" s="49">
        <v>46</v>
      </c>
      <c r="DG294" s="49">
        <v>47</v>
      </c>
      <c r="DH294" s="49">
        <v>48</v>
      </c>
      <c r="DI294" s="49">
        <v>49</v>
      </c>
      <c r="DJ294" s="49">
        <v>50</v>
      </c>
    </row>
    <row r="295" spans="2:114" ht="16.5" thickTop="1">
      <c r="B295" s="1"/>
      <c r="C295" s="1"/>
      <c r="D295" s="1"/>
      <c r="E295" s="31"/>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row>
    <row r="296" spans="2:114" ht="24" customHeight="1">
      <c r="B296" s="15" t="s">
        <v>171</v>
      </c>
      <c r="C296" s="15">
        <v>7</v>
      </c>
      <c r="D296" s="16">
        <v>0</v>
      </c>
      <c r="E296" s="26" t="s">
        <v>172</v>
      </c>
      <c r="F296" s="29">
        <f>IF(ISBLANK(E296),0,IF(E296=Answers!E296,1,-1))</f>
        <v>1</v>
      </c>
      <c r="G296" s="44"/>
      <c r="H296" s="44"/>
      <c r="I296" s="62">
        <v>0</v>
      </c>
      <c r="J296" s="62">
        <v>0</v>
      </c>
      <c r="K296" s="62">
        <v>3</v>
      </c>
      <c r="L296" s="62">
        <v>3</v>
      </c>
      <c r="M296" s="44"/>
      <c r="N296" s="103">
        <v>6</v>
      </c>
      <c r="O296" s="103">
        <v>1</v>
      </c>
      <c r="P296" s="105">
        <v>3</v>
      </c>
      <c r="Q296" s="106">
        <v>5</v>
      </c>
      <c r="R296" s="105">
        <v>7</v>
      </c>
      <c r="S296" s="105">
        <v>5</v>
      </c>
      <c r="T296" s="104">
        <v>4</v>
      </c>
      <c r="U296" s="103">
        <v>4</v>
      </c>
      <c r="V296" s="104">
        <v>2</v>
      </c>
      <c r="W296" s="103">
        <v>7</v>
      </c>
      <c r="X296" s="103">
        <v>4</v>
      </c>
      <c r="Y296" s="104">
        <v>7</v>
      </c>
      <c r="Z296" s="106">
        <v>3</v>
      </c>
      <c r="AA296" s="105">
        <v>2</v>
      </c>
      <c r="AB296" s="103">
        <v>6</v>
      </c>
      <c r="AC296" s="106">
        <v>2</v>
      </c>
      <c r="AD296" s="106">
        <v>7</v>
      </c>
      <c r="AE296" s="106">
        <v>3</v>
      </c>
      <c r="AF296" s="105">
        <v>3</v>
      </c>
      <c r="AG296" s="104">
        <v>5</v>
      </c>
      <c r="AH296" s="104">
        <v>4</v>
      </c>
      <c r="AI296" s="106">
        <v>7</v>
      </c>
      <c r="AJ296" s="103">
        <v>3</v>
      </c>
      <c r="AK296" s="103">
        <v>3</v>
      </c>
      <c r="AL296" s="104">
        <v>6</v>
      </c>
      <c r="AM296" s="106">
        <v>7</v>
      </c>
      <c r="AN296" s="106">
        <v>5</v>
      </c>
      <c r="AO296" s="104">
        <v>5</v>
      </c>
      <c r="AP296" s="103">
        <v>1</v>
      </c>
      <c r="AQ296" s="106">
        <v>7</v>
      </c>
      <c r="AR296" s="103">
        <v>4</v>
      </c>
      <c r="AS296" s="105">
        <v>5</v>
      </c>
      <c r="AT296" s="105">
        <v>1</v>
      </c>
      <c r="AU296" s="106">
        <v>5</v>
      </c>
      <c r="AV296" s="103">
        <v>2</v>
      </c>
      <c r="AW296" s="104">
        <v>3</v>
      </c>
      <c r="AX296" s="104">
        <v>6</v>
      </c>
      <c r="AY296" s="103">
        <v>4</v>
      </c>
      <c r="AZ296" s="105">
        <v>7</v>
      </c>
      <c r="BA296" s="103">
        <v>1</v>
      </c>
      <c r="BB296" s="105">
        <v>7</v>
      </c>
      <c r="BC296" s="103">
        <v>4</v>
      </c>
      <c r="BD296" s="105">
        <v>2</v>
      </c>
      <c r="BE296" s="104">
        <v>5</v>
      </c>
      <c r="BF296" s="105">
        <v>6</v>
      </c>
      <c r="BG296" s="106">
        <v>2</v>
      </c>
      <c r="BH296" s="105">
        <v>1</v>
      </c>
      <c r="BI296" s="106">
        <v>1</v>
      </c>
      <c r="BJ296" s="105">
        <v>6</v>
      </c>
      <c r="BK296" s="103">
        <v>1</v>
      </c>
      <c r="BM296" s="103" t="s">
        <v>173</v>
      </c>
      <c r="BN296" s="103" t="s">
        <v>173</v>
      </c>
      <c r="BO296" s="105" t="s">
        <v>174</v>
      </c>
      <c r="BP296" s="106" t="s">
        <v>175</v>
      </c>
      <c r="BQ296" s="105" t="s">
        <v>174</v>
      </c>
      <c r="BR296" s="105" t="s">
        <v>174</v>
      </c>
      <c r="BS296" s="104" t="s">
        <v>176</v>
      </c>
      <c r="BT296" s="103" t="s">
        <v>173</v>
      </c>
      <c r="BU296" s="104" t="s">
        <v>176</v>
      </c>
      <c r="BV296" s="103" t="s">
        <v>173</v>
      </c>
      <c r="BW296" s="103" t="s">
        <v>173</v>
      </c>
      <c r="BX296" s="104" t="s">
        <v>176</v>
      </c>
      <c r="BY296" s="106" t="s">
        <v>175</v>
      </c>
      <c r="BZ296" s="105" t="s">
        <v>174</v>
      </c>
      <c r="CA296" s="103" t="s">
        <v>173</v>
      </c>
      <c r="CB296" s="106" t="s">
        <v>175</v>
      </c>
      <c r="CC296" s="106" t="s">
        <v>175</v>
      </c>
      <c r="CD296" s="106" t="s">
        <v>175</v>
      </c>
      <c r="CE296" s="105" t="s">
        <v>174</v>
      </c>
      <c r="CF296" s="104" t="s">
        <v>176</v>
      </c>
      <c r="CG296" s="104" t="s">
        <v>176</v>
      </c>
      <c r="CH296" s="106" t="s">
        <v>175</v>
      </c>
      <c r="CI296" s="103" t="s">
        <v>173</v>
      </c>
      <c r="CJ296" s="103" t="s">
        <v>173</v>
      </c>
      <c r="CK296" s="104" t="s">
        <v>176</v>
      </c>
      <c r="CL296" s="106" t="s">
        <v>175</v>
      </c>
      <c r="CM296" s="106" t="s">
        <v>175</v>
      </c>
      <c r="CN296" s="104" t="s">
        <v>176</v>
      </c>
      <c r="CO296" s="103" t="s">
        <v>173</v>
      </c>
      <c r="CP296" s="106" t="s">
        <v>175</v>
      </c>
      <c r="CQ296" s="103" t="s">
        <v>173</v>
      </c>
      <c r="CR296" s="105" t="s">
        <v>174</v>
      </c>
      <c r="CS296" s="105" t="s">
        <v>174</v>
      </c>
      <c r="CT296" s="106" t="s">
        <v>175</v>
      </c>
      <c r="CU296" s="103" t="s">
        <v>173</v>
      </c>
      <c r="CV296" s="104" t="s">
        <v>176</v>
      </c>
      <c r="CW296" s="104" t="s">
        <v>176</v>
      </c>
      <c r="CX296" s="103" t="s">
        <v>173</v>
      </c>
      <c r="CY296" s="105" t="s">
        <v>174</v>
      </c>
      <c r="CZ296" s="103" t="s">
        <v>173</v>
      </c>
      <c r="DA296" s="105" t="s">
        <v>174</v>
      </c>
      <c r="DB296" s="103" t="s">
        <v>173</v>
      </c>
      <c r="DC296" s="105" t="s">
        <v>174</v>
      </c>
      <c r="DD296" s="104" t="s">
        <v>176</v>
      </c>
      <c r="DE296" s="105" t="s">
        <v>174</v>
      </c>
      <c r="DF296" s="106" t="s">
        <v>175</v>
      </c>
      <c r="DG296" s="105" t="s">
        <v>174</v>
      </c>
      <c r="DH296" s="106" t="s">
        <v>175</v>
      </c>
      <c r="DI296" s="105" t="s">
        <v>174</v>
      </c>
      <c r="DJ296" s="103" t="s">
        <v>173</v>
      </c>
    </row>
    <row r="297" spans="2:114" ht="15.75">
      <c r="B297" s="1"/>
      <c r="C297" s="1"/>
      <c r="D297" s="1"/>
      <c r="E297" s="31"/>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c r="BR297" s="44"/>
      <c r="BS297" s="44"/>
      <c r="BT297" s="44"/>
      <c r="BU297" s="44"/>
      <c r="BV297" s="44"/>
      <c r="BW297" s="44"/>
      <c r="BX297" s="44"/>
      <c r="BY297" s="44"/>
      <c r="BZ297" s="44"/>
      <c r="CA297" s="44"/>
      <c r="CB297" s="44"/>
      <c r="CC297" s="44"/>
      <c r="CD297" s="44"/>
      <c r="CE297" s="44"/>
      <c r="CF297" s="44"/>
      <c r="CG297" s="44"/>
      <c r="CH297" s="44"/>
      <c r="CI297" s="44"/>
      <c r="CJ297" s="44"/>
      <c r="CK297" s="44"/>
      <c r="CL297" s="44"/>
      <c r="CM297" s="44"/>
      <c r="CN297" s="44"/>
      <c r="CO297" s="44"/>
      <c r="CP297" s="44"/>
      <c r="CQ297" s="44"/>
      <c r="CR297" s="44"/>
      <c r="CS297" s="44"/>
      <c r="CT297" s="44"/>
      <c r="CU297" s="44"/>
      <c r="CV297" s="44"/>
      <c r="CW297" s="44"/>
      <c r="CX297" s="44"/>
      <c r="CY297" s="44"/>
      <c r="CZ297" s="44"/>
      <c r="DA297" s="44"/>
      <c r="DB297" s="44"/>
      <c r="DC297" s="44"/>
      <c r="DD297" s="44"/>
      <c r="DE297" s="44"/>
      <c r="DF297" s="44"/>
      <c r="DG297" s="44"/>
      <c r="DH297" s="44"/>
      <c r="DI297" s="44"/>
      <c r="DJ297" s="44"/>
    </row>
    <row r="298" spans="2:114" ht="23.25">
      <c r="B298" s="15">
        <v>121</v>
      </c>
      <c r="C298" s="15">
        <v>7</v>
      </c>
      <c r="D298" s="16">
        <v>14</v>
      </c>
      <c r="E298" s="26" t="s">
        <v>177</v>
      </c>
      <c r="F298" s="29">
        <f>IF(ISBLANK(E298),0,IF(E298=Answers!E298,1,-1))</f>
        <v>1</v>
      </c>
      <c r="G298" s="44"/>
      <c r="H298" s="44"/>
      <c r="I298" s="62">
        <v>0</v>
      </c>
      <c r="J298" s="62">
        <v>3</v>
      </c>
      <c r="K298" s="62">
        <v>0</v>
      </c>
      <c r="L298" s="62">
        <v>1</v>
      </c>
      <c r="M298" s="44"/>
      <c r="N298" s="105">
        <v>7</v>
      </c>
      <c r="O298" s="106">
        <v>4</v>
      </c>
      <c r="P298" s="106">
        <v>1</v>
      </c>
      <c r="Q298" s="105">
        <v>6</v>
      </c>
      <c r="R298" s="105">
        <v>3</v>
      </c>
      <c r="S298" s="104">
        <v>1</v>
      </c>
      <c r="T298" s="106">
        <v>6</v>
      </c>
      <c r="U298" s="105">
        <v>4</v>
      </c>
      <c r="V298" s="103">
        <v>2</v>
      </c>
      <c r="W298" s="106">
        <v>3</v>
      </c>
      <c r="X298" s="105">
        <v>6</v>
      </c>
      <c r="Y298" s="103">
        <v>4</v>
      </c>
      <c r="Z298" s="104">
        <v>4</v>
      </c>
      <c r="AA298" s="103">
        <v>1</v>
      </c>
      <c r="AB298" s="103">
        <v>6</v>
      </c>
      <c r="AC298" s="103">
        <v>6</v>
      </c>
      <c r="AD298" s="105">
        <v>4</v>
      </c>
      <c r="AE298" s="104">
        <v>7</v>
      </c>
      <c r="AF298" s="104">
        <v>1</v>
      </c>
      <c r="AG298" s="105">
        <v>5</v>
      </c>
      <c r="AH298" s="103">
        <v>2</v>
      </c>
      <c r="AI298" s="104">
        <v>4</v>
      </c>
      <c r="AJ298" s="104">
        <v>1</v>
      </c>
      <c r="AK298" s="104">
        <v>5</v>
      </c>
      <c r="AL298" s="105">
        <v>4</v>
      </c>
      <c r="AM298" s="106">
        <v>1</v>
      </c>
      <c r="AN298" s="106">
        <v>2</v>
      </c>
      <c r="AO298" s="103">
        <v>2</v>
      </c>
      <c r="AP298" s="106">
        <v>4</v>
      </c>
      <c r="AQ298" s="104">
        <v>6</v>
      </c>
      <c r="AR298" s="104">
        <v>6</v>
      </c>
      <c r="AS298" s="104">
        <v>4</v>
      </c>
      <c r="AT298" s="105">
        <v>5</v>
      </c>
      <c r="AU298" s="105">
        <v>5</v>
      </c>
      <c r="AV298" s="106">
        <v>6</v>
      </c>
      <c r="AW298" s="106">
        <v>1</v>
      </c>
      <c r="AX298" s="104">
        <v>6</v>
      </c>
      <c r="AY298" s="106">
        <v>6</v>
      </c>
      <c r="AZ298" s="103">
        <v>1</v>
      </c>
      <c r="BA298" s="103">
        <v>4</v>
      </c>
      <c r="BB298" s="103">
        <v>4</v>
      </c>
      <c r="BC298" s="103">
        <v>6</v>
      </c>
      <c r="BD298" s="105">
        <v>5</v>
      </c>
      <c r="BE298" s="103">
        <v>4</v>
      </c>
      <c r="BF298" s="103">
        <v>4</v>
      </c>
      <c r="BG298" s="103">
        <v>4</v>
      </c>
      <c r="BH298" s="105">
        <v>3</v>
      </c>
      <c r="BI298" s="106">
        <v>4</v>
      </c>
      <c r="BJ298" s="106">
        <v>1</v>
      </c>
      <c r="BK298" s="104">
        <v>5</v>
      </c>
      <c r="BM298" s="105" t="s">
        <v>174</v>
      </c>
      <c r="BN298" s="106" t="s">
        <v>175</v>
      </c>
      <c r="BO298" s="106" t="s">
        <v>175</v>
      </c>
      <c r="BP298" s="105" t="s">
        <v>174</v>
      </c>
      <c r="BQ298" s="105" t="s">
        <v>174</v>
      </c>
      <c r="BR298" s="104" t="s">
        <v>176</v>
      </c>
      <c r="BS298" s="106" t="s">
        <v>175</v>
      </c>
      <c r="BT298" s="105" t="s">
        <v>174</v>
      </c>
      <c r="BU298" s="103" t="s">
        <v>173</v>
      </c>
      <c r="BV298" s="106" t="s">
        <v>175</v>
      </c>
      <c r="BW298" s="105" t="s">
        <v>174</v>
      </c>
      <c r="BX298" s="103" t="s">
        <v>173</v>
      </c>
      <c r="BY298" s="104" t="s">
        <v>176</v>
      </c>
      <c r="BZ298" s="103" t="s">
        <v>173</v>
      </c>
      <c r="CA298" s="103" t="s">
        <v>173</v>
      </c>
      <c r="CB298" s="103" t="s">
        <v>173</v>
      </c>
      <c r="CC298" s="105" t="s">
        <v>174</v>
      </c>
      <c r="CD298" s="104" t="s">
        <v>176</v>
      </c>
      <c r="CE298" s="104" t="s">
        <v>176</v>
      </c>
      <c r="CF298" s="105" t="s">
        <v>174</v>
      </c>
      <c r="CG298" s="103" t="s">
        <v>173</v>
      </c>
      <c r="CH298" s="104" t="s">
        <v>176</v>
      </c>
      <c r="CI298" s="104" t="s">
        <v>176</v>
      </c>
      <c r="CJ298" s="104" t="s">
        <v>176</v>
      </c>
      <c r="CK298" s="105" t="s">
        <v>174</v>
      </c>
      <c r="CL298" s="106" t="s">
        <v>175</v>
      </c>
      <c r="CM298" s="106" t="s">
        <v>175</v>
      </c>
      <c r="CN298" s="103" t="s">
        <v>173</v>
      </c>
      <c r="CO298" s="106" t="s">
        <v>175</v>
      </c>
      <c r="CP298" s="104" t="s">
        <v>176</v>
      </c>
      <c r="CQ298" s="104" t="s">
        <v>176</v>
      </c>
      <c r="CR298" s="104" t="s">
        <v>176</v>
      </c>
      <c r="CS298" s="105" t="s">
        <v>174</v>
      </c>
      <c r="CT298" s="105" t="s">
        <v>174</v>
      </c>
      <c r="CU298" s="106" t="s">
        <v>175</v>
      </c>
      <c r="CV298" s="106" t="s">
        <v>175</v>
      </c>
      <c r="CW298" s="104" t="s">
        <v>176</v>
      </c>
      <c r="CX298" s="106" t="s">
        <v>175</v>
      </c>
      <c r="CY298" s="103" t="s">
        <v>173</v>
      </c>
      <c r="CZ298" s="103" t="s">
        <v>173</v>
      </c>
      <c r="DA298" s="103" t="s">
        <v>173</v>
      </c>
      <c r="DB298" s="103" t="s">
        <v>173</v>
      </c>
      <c r="DC298" s="105" t="s">
        <v>174</v>
      </c>
      <c r="DD298" s="103" t="s">
        <v>173</v>
      </c>
      <c r="DE298" s="103" t="s">
        <v>173</v>
      </c>
      <c r="DF298" s="103" t="s">
        <v>173</v>
      </c>
      <c r="DG298" s="105" t="s">
        <v>174</v>
      </c>
      <c r="DH298" s="106" t="s">
        <v>175</v>
      </c>
      <c r="DI298" s="106" t="s">
        <v>175</v>
      </c>
      <c r="DJ298" s="104" t="s">
        <v>176</v>
      </c>
    </row>
    <row r="299" spans="2:114" ht="23.25">
      <c r="B299" s="15">
        <f t="shared" ref="B299:B327" si="22">B298+1</f>
        <v>122</v>
      </c>
      <c r="C299" s="15">
        <v>7</v>
      </c>
      <c r="D299" s="16">
        <v>14</v>
      </c>
      <c r="E299" s="26" t="s">
        <v>178</v>
      </c>
      <c r="F299" s="29">
        <f>IF(ISBLANK(E299),0,IF(E299=Answers!E299,1,-1))</f>
        <v>1</v>
      </c>
      <c r="G299" s="44"/>
      <c r="H299" s="44"/>
      <c r="I299" s="62">
        <v>3</v>
      </c>
      <c r="J299" s="62">
        <v>5</v>
      </c>
      <c r="K299" s="62">
        <v>4</v>
      </c>
      <c r="L299" s="62">
        <v>5</v>
      </c>
      <c r="M299" s="44"/>
      <c r="N299" s="103">
        <v>7</v>
      </c>
      <c r="O299" s="103">
        <v>3</v>
      </c>
      <c r="P299" s="103">
        <v>4</v>
      </c>
      <c r="Q299" s="106">
        <v>3</v>
      </c>
      <c r="R299" s="105">
        <v>3</v>
      </c>
      <c r="S299" s="103">
        <v>1</v>
      </c>
      <c r="T299" s="104">
        <v>6</v>
      </c>
      <c r="U299" s="106">
        <v>2</v>
      </c>
      <c r="V299" s="104">
        <v>4</v>
      </c>
      <c r="W299" s="106">
        <v>4</v>
      </c>
      <c r="X299" s="105">
        <v>1</v>
      </c>
      <c r="Y299" s="104">
        <v>3</v>
      </c>
      <c r="Z299" s="104">
        <v>5</v>
      </c>
      <c r="AA299" s="103">
        <v>5</v>
      </c>
      <c r="AB299" s="104">
        <v>3</v>
      </c>
      <c r="AC299" s="103">
        <v>4</v>
      </c>
      <c r="AD299" s="105">
        <v>4</v>
      </c>
      <c r="AE299" s="103">
        <v>2</v>
      </c>
      <c r="AF299" s="105">
        <v>1</v>
      </c>
      <c r="AG299" s="104">
        <v>3</v>
      </c>
      <c r="AH299" s="103">
        <v>2</v>
      </c>
      <c r="AI299" s="104">
        <v>1</v>
      </c>
      <c r="AJ299" s="106">
        <v>1</v>
      </c>
      <c r="AK299" s="104">
        <v>7</v>
      </c>
      <c r="AL299" s="103">
        <v>2</v>
      </c>
      <c r="AM299" s="104">
        <v>6</v>
      </c>
      <c r="AN299" s="103">
        <v>6</v>
      </c>
      <c r="AO299" s="106">
        <v>4</v>
      </c>
      <c r="AP299" s="103">
        <v>7</v>
      </c>
      <c r="AQ299" s="105">
        <v>1</v>
      </c>
      <c r="AR299" s="103">
        <v>2</v>
      </c>
      <c r="AS299" s="103">
        <v>6</v>
      </c>
      <c r="AT299" s="106">
        <v>2</v>
      </c>
      <c r="AU299" s="105">
        <v>2</v>
      </c>
      <c r="AV299" s="104">
        <v>1</v>
      </c>
      <c r="AW299" s="106">
        <v>2</v>
      </c>
      <c r="AX299" s="105">
        <v>1</v>
      </c>
      <c r="AY299" s="103">
        <v>6</v>
      </c>
      <c r="AZ299" s="104">
        <v>1</v>
      </c>
      <c r="BA299" s="103">
        <v>6</v>
      </c>
      <c r="BB299" s="105">
        <v>4</v>
      </c>
      <c r="BC299" s="103">
        <v>5</v>
      </c>
      <c r="BD299" s="104">
        <v>3</v>
      </c>
      <c r="BE299" s="104">
        <v>1</v>
      </c>
      <c r="BF299" s="105">
        <v>5</v>
      </c>
      <c r="BG299" s="103">
        <v>7</v>
      </c>
      <c r="BH299" s="103">
        <v>3</v>
      </c>
      <c r="BI299" s="105">
        <v>5</v>
      </c>
      <c r="BJ299" s="103">
        <v>5</v>
      </c>
      <c r="BK299" s="103">
        <v>7</v>
      </c>
      <c r="BM299" s="103" t="s">
        <v>173</v>
      </c>
      <c r="BN299" s="103" t="s">
        <v>173</v>
      </c>
      <c r="BO299" s="103" t="s">
        <v>173</v>
      </c>
      <c r="BP299" s="106" t="s">
        <v>175</v>
      </c>
      <c r="BQ299" s="105" t="s">
        <v>174</v>
      </c>
      <c r="BR299" s="103" t="s">
        <v>173</v>
      </c>
      <c r="BS299" s="104" t="s">
        <v>176</v>
      </c>
      <c r="BT299" s="106" t="s">
        <v>175</v>
      </c>
      <c r="BU299" s="104" t="s">
        <v>176</v>
      </c>
      <c r="BV299" s="106" t="s">
        <v>175</v>
      </c>
      <c r="BW299" s="105" t="s">
        <v>174</v>
      </c>
      <c r="BX299" s="104" t="s">
        <v>176</v>
      </c>
      <c r="BY299" s="104" t="s">
        <v>176</v>
      </c>
      <c r="BZ299" s="103" t="s">
        <v>173</v>
      </c>
      <c r="CA299" s="104" t="s">
        <v>176</v>
      </c>
      <c r="CB299" s="103" t="s">
        <v>173</v>
      </c>
      <c r="CC299" s="105" t="s">
        <v>174</v>
      </c>
      <c r="CD299" s="103" t="s">
        <v>173</v>
      </c>
      <c r="CE299" s="105" t="s">
        <v>174</v>
      </c>
      <c r="CF299" s="104" t="s">
        <v>176</v>
      </c>
      <c r="CG299" s="103" t="s">
        <v>173</v>
      </c>
      <c r="CH299" s="104" t="s">
        <v>176</v>
      </c>
      <c r="CI299" s="106" t="s">
        <v>175</v>
      </c>
      <c r="CJ299" s="104" t="s">
        <v>176</v>
      </c>
      <c r="CK299" s="103" t="s">
        <v>173</v>
      </c>
      <c r="CL299" s="104" t="s">
        <v>176</v>
      </c>
      <c r="CM299" s="103" t="s">
        <v>173</v>
      </c>
      <c r="CN299" s="106" t="s">
        <v>175</v>
      </c>
      <c r="CO299" s="103" t="s">
        <v>173</v>
      </c>
      <c r="CP299" s="105" t="s">
        <v>174</v>
      </c>
      <c r="CQ299" s="103" t="s">
        <v>173</v>
      </c>
      <c r="CR299" s="103" t="s">
        <v>173</v>
      </c>
      <c r="CS299" s="106" t="s">
        <v>175</v>
      </c>
      <c r="CT299" s="105" t="s">
        <v>174</v>
      </c>
      <c r="CU299" s="104" t="s">
        <v>176</v>
      </c>
      <c r="CV299" s="106" t="s">
        <v>175</v>
      </c>
      <c r="CW299" s="105" t="s">
        <v>174</v>
      </c>
      <c r="CX299" s="103" t="s">
        <v>173</v>
      </c>
      <c r="CY299" s="104" t="s">
        <v>176</v>
      </c>
      <c r="CZ299" s="103" t="s">
        <v>173</v>
      </c>
      <c r="DA299" s="105" t="s">
        <v>174</v>
      </c>
      <c r="DB299" s="103" t="s">
        <v>173</v>
      </c>
      <c r="DC299" s="104" t="s">
        <v>176</v>
      </c>
      <c r="DD299" s="104" t="s">
        <v>176</v>
      </c>
      <c r="DE299" s="105" t="s">
        <v>174</v>
      </c>
      <c r="DF299" s="103" t="s">
        <v>173</v>
      </c>
      <c r="DG299" s="103" t="s">
        <v>173</v>
      </c>
      <c r="DH299" s="105" t="s">
        <v>174</v>
      </c>
      <c r="DI299" s="103" t="s">
        <v>173</v>
      </c>
      <c r="DJ299" s="103" t="s">
        <v>173</v>
      </c>
    </row>
    <row r="300" spans="2:114" ht="23.25">
      <c r="B300" s="15">
        <f t="shared" si="22"/>
        <v>123</v>
      </c>
      <c r="C300" s="15">
        <v>7</v>
      </c>
      <c r="D300" s="16">
        <v>14</v>
      </c>
      <c r="E300" s="26" t="s">
        <v>179</v>
      </c>
      <c r="F300" s="29">
        <f>IF(ISBLANK(E300),0,IF(E300=Answers!E300,1,-1))</f>
        <v>1</v>
      </c>
      <c r="G300" s="44"/>
      <c r="H300" s="44"/>
      <c r="I300" s="62">
        <v>0</v>
      </c>
      <c r="J300" s="62">
        <v>4</v>
      </c>
      <c r="K300" s="62">
        <v>1</v>
      </c>
      <c r="L300" s="62">
        <v>1</v>
      </c>
      <c r="M300" s="44"/>
      <c r="N300" s="103">
        <v>6</v>
      </c>
      <c r="O300" s="105">
        <v>3</v>
      </c>
      <c r="P300" s="104">
        <v>5</v>
      </c>
      <c r="Q300" s="103">
        <v>5</v>
      </c>
      <c r="R300" s="103">
        <v>7</v>
      </c>
      <c r="S300" s="105">
        <v>7</v>
      </c>
      <c r="T300" s="103">
        <v>4</v>
      </c>
      <c r="U300" s="104">
        <v>2</v>
      </c>
      <c r="V300" s="104">
        <v>6</v>
      </c>
      <c r="W300" s="105">
        <v>1</v>
      </c>
      <c r="X300" s="104">
        <v>5</v>
      </c>
      <c r="Y300" s="105">
        <v>5</v>
      </c>
      <c r="Z300" s="106">
        <v>5</v>
      </c>
      <c r="AA300" s="106">
        <v>3</v>
      </c>
      <c r="AB300" s="104">
        <v>1</v>
      </c>
      <c r="AC300" s="105">
        <v>6</v>
      </c>
      <c r="AD300" s="106">
        <v>2</v>
      </c>
      <c r="AE300" s="104">
        <v>4</v>
      </c>
      <c r="AF300" s="103">
        <v>2</v>
      </c>
      <c r="AG300" s="103">
        <v>7</v>
      </c>
      <c r="AH300" s="105">
        <v>2</v>
      </c>
      <c r="AI300" s="106">
        <v>6</v>
      </c>
      <c r="AJ300" s="103">
        <v>5</v>
      </c>
      <c r="AK300" s="105">
        <v>2</v>
      </c>
      <c r="AL300" s="105">
        <v>5</v>
      </c>
      <c r="AM300" s="106">
        <v>3</v>
      </c>
      <c r="AN300" s="105">
        <v>5</v>
      </c>
      <c r="AO300" s="103">
        <v>5</v>
      </c>
      <c r="AP300" s="104">
        <v>3</v>
      </c>
      <c r="AQ300" s="106">
        <v>3</v>
      </c>
      <c r="AR300" s="105">
        <v>7</v>
      </c>
      <c r="AS300" s="105">
        <v>3</v>
      </c>
      <c r="AT300" s="103">
        <v>6</v>
      </c>
      <c r="AU300" s="103">
        <v>3</v>
      </c>
      <c r="AV300" s="106">
        <v>1</v>
      </c>
      <c r="AW300" s="105">
        <v>7</v>
      </c>
      <c r="AX300" s="104">
        <v>7</v>
      </c>
      <c r="AY300" s="104">
        <v>1</v>
      </c>
      <c r="AZ300" s="104">
        <v>2</v>
      </c>
      <c r="BA300" s="106">
        <v>4</v>
      </c>
      <c r="BB300" s="103">
        <v>2</v>
      </c>
      <c r="BC300" s="103">
        <v>6</v>
      </c>
      <c r="BD300" s="103">
        <v>6</v>
      </c>
      <c r="BE300" s="104">
        <v>4</v>
      </c>
      <c r="BF300" s="105">
        <v>4</v>
      </c>
      <c r="BG300" s="106">
        <v>7</v>
      </c>
      <c r="BH300" s="104">
        <v>5</v>
      </c>
      <c r="BI300" s="106">
        <v>5</v>
      </c>
      <c r="BJ300" s="105">
        <v>5</v>
      </c>
      <c r="BK300" s="104">
        <v>3</v>
      </c>
      <c r="BM300" s="103" t="s">
        <v>173</v>
      </c>
      <c r="BN300" s="105" t="s">
        <v>174</v>
      </c>
      <c r="BO300" s="104" t="s">
        <v>176</v>
      </c>
      <c r="BP300" s="103" t="s">
        <v>173</v>
      </c>
      <c r="BQ300" s="103" t="s">
        <v>173</v>
      </c>
      <c r="BR300" s="105" t="s">
        <v>174</v>
      </c>
      <c r="BS300" s="103" t="s">
        <v>173</v>
      </c>
      <c r="BT300" s="104" t="s">
        <v>176</v>
      </c>
      <c r="BU300" s="104" t="s">
        <v>176</v>
      </c>
      <c r="BV300" s="105" t="s">
        <v>174</v>
      </c>
      <c r="BW300" s="104" t="s">
        <v>176</v>
      </c>
      <c r="BX300" s="105" t="s">
        <v>174</v>
      </c>
      <c r="BY300" s="106" t="s">
        <v>175</v>
      </c>
      <c r="BZ300" s="106" t="s">
        <v>175</v>
      </c>
      <c r="CA300" s="104" t="s">
        <v>176</v>
      </c>
      <c r="CB300" s="105" t="s">
        <v>174</v>
      </c>
      <c r="CC300" s="106" t="s">
        <v>175</v>
      </c>
      <c r="CD300" s="104" t="s">
        <v>176</v>
      </c>
      <c r="CE300" s="103" t="s">
        <v>173</v>
      </c>
      <c r="CF300" s="103" t="s">
        <v>173</v>
      </c>
      <c r="CG300" s="105" t="s">
        <v>174</v>
      </c>
      <c r="CH300" s="106" t="s">
        <v>175</v>
      </c>
      <c r="CI300" s="103" t="s">
        <v>173</v>
      </c>
      <c r="CJ300" s="105" t="s">
        <v>174</v>
      </c>
      <c r="CK300" s="105" t="s">
        <v>174</v>
      </c>
      <c r="CL300" s="106" t="s">
        <v>175</v>
      </c>
      <c r="CM300" s="105" t="s">
        <v>174</v>
      </c>
      <c r="CN300" s="103" t="s">
        <v>173</v>
      </c>
      <c r="CO300" s="104" t="s">
        <v>176</v>
      </c>
      <c r="CP300" s="106" t="s">
        <v>175</v>
      </c>
      <c r="CQ300" s="105" t="s">
        <v>174</v>
      </c>
      <c r="CR300" s="105" t="s">
        <v>174</v>
      </c>
      <c r="CS300" s="103" t="s">
        <v>173</v>
      </c>
      <c r="CT300" s="103" t="s">
        <v>173</v>
      </c>
      <c r="CU300" s="106" t="s">
        <v>175</v>
      </c>
      <c r="CV300" s="105" t="s">
        <v>174</v>
      </c>
      <c r="CW300" s="104" t="s">
        <v>176</v>
      </c>
      <c r="CX300" s="104" t="s">
        <v>176</v>
      </c>
      <c r="CY300" s="104" t="s">
        <v>176</v>
      </c>
      <c r="CZ300" s="106" t="s">
        <v>175</v>
      </c>
      <c r="DA300" s="103" t="s">
        <v>173</v>
      </c>
      <c r="DB300" s="103" t="s">
        <v>173</v>
      </c>
      <c r="DC300" s="103" t="s">
        <v>173</v>
      </c>
      <c r="DD300" s="104" t="s">
        <v>176</v>
      </c>
      <c r="DE300" s="105" t="s">
        <v>174</v>
      </c>
      <c r="DF300" s="106" t="s">
        <v>175</v>
      </c>
      <c r="DG300" s="104" t="s">
        <v>176</v>
      </c>
      <c r="DH300" s="106" t="s">
        <v>175</v>
      </c>
      <c r="DI300" s="105" t="s">
        <v>174</v>
      </c>
      <c r="DJ300" s="104" t="s">
        <v>176</v>
      </c>
    </row>
    <row r="301" spans="2:114" ht="23.25">
      <c r="B301" s="15">
        <f t="shared" si="22"/>
        <v>124</v>
      </c>
      <c r="C301" s="15">
        <v>7</v>
      </c>
      <c r="D301" s="16">
        <v>14</v>
      </c>
      <c r="E301" s="26" t="s">
        <v>180</v>
      </c>
      <c r="F301" s="29">
        <f>IF(ISBLANK(E301),0,IF(E301=Answers!E301,1,-1))</f>
        <v>1</v>
      </c>
      <c r="G301" s="44"/>
      <c r="H301" s="44"/>
      <c r="I301" s="62">
        <v>2</v>
      </c>
      <c r="J301" s="62">
        <v>1</v>
      </c>
      <c r="K301" s="62">
        <v>0</v>
      </c>
      <c r="L301" s="62">
        <v>4</v>
      </c>
      <c r="M301" s="44"/>
      <c r="N301" s="105">
        <v>3</v>
      </c>
      <c r="O301" s="105">
        <v>7</v>
      </c>
      <c r="P301" s="105">
        <v>5</v>
      </c>
      <c r="Q301" s="105">
        <v>2</v>
      </c>
      <c r="R301" s="104">
        <v>3</v>
      </c>
      <c r="S301" s="105">
        <v>4</v>
      </c>
      <c r="T301" s="104">
        <v>5</v>
      </c>
      <c r="U301" s="106">
        <v>5</v>
      </c>
      <c r="V301" s="104">
        <v>5</v>
      </c>
      <c r="W301" s="106">
        <v>4</v>
      </c>
      <c r="X301" s="105">
        <v>2</v>
      </c>
      <c r="Y301" s="106">
        <v>5</v>
      </c>
      <c r="Z301" s="106">
        <v>4</v>
      </c>
      <c r="AA301" s="103">
        <v>5</v>
      </c>
      <c r="AB301" s="105">
        <v>7</v>
      </c>
      <c r="AC301" s="105">
        <v>3</v>
      </c>
      <c r="AD301" s="104">
        <v>4</v>
      </c>
      <c r="AE301" s="106">
        <v>2</v>
      </c>
      <c r="AF301" s="106">
        <v>1</v>
      </c>
      <c r="AG301" s="106">
        <v>7</v>
      </c>
      <c r="AH301" s="106">
        <v>6</v>
      </c>
      <c r="AI301" s="106">
        <v>2</v>
      </c>
      <c r="AJ301" s="106">
        <v>4</v>
      </c>
      <c r="AK301" s="104">
        <v>1</v>
      </c>
      <c r="AL301" s="105">
        <v>2</v>
      </c>
      <c r="AM301" s="104">
        <v>7</v>
      </c>
      <c r="AN301" s="106">
        <v>2</v>
      </c>
      <c r="AO301" s="105">
        <v>1</v>
      </c>
      <c r="AP301" s="105">
        <v>3</v>
      </c>
      <c r="AQ301" s="106">
        <v>4</v>
      </c>
      <c r="AR301" s="105">
        <v>1</v>
      </c>
      <c r="AS301" s="104">
        <v>5</v>
      </c>
      <c r="AT301" s="105">
        <v>4</v>
      </c>
      <c r="AU301" s="103">
        <v>5</v>
      </c>
      <c r="AV301" s="104">
        <v>3</v>
      </c>
      <c r="AW301" s="103">
        <v>7</v>
      </c>
      <c r="AX301" s="104">
        <v>5</v>
      </c>
      <c r="AY301" s="105">
        <v>7</v>
      </c>
      <c r="AZ301" s="103">
        <v>6</v>
      </c>
      <c r="BA301" s="105">
        <v>5</v>
      </c>
      <c r="BB301" s="104">
        <v>7</v>
      </c>
      <c r="BC301" s="103">
        <v>3</v>
      </c>
      <c r="BD301" s="106">
        <v>2</v>
      </c>
      <c r="BE301" s="104">
        <v>1</v>
      </c>
      <c r="BF301" s="103">
        <v>1</v>
      </c>
      <c r="BG301" s="106">
        <v>6</v>
      </c>
      <c r="BH301" s="106">
        <v>5</v>
      </c>
      <c r="BI301" s="103">
        <v>1</v>
      </c>
      <c r="BJ301" s="104">
        <v>3</v>
      </c>
      <c r="BK301" s="105">
        <v>6</v>
      </c>
      <c r="BM301" s="105" t="s">
        <v>174</v>
      </c>
      <c r="BN301" s="105" t="s">
        <v>174</v>
      </c>
      <c r="BO301" s="105" t="s">
        <v>174</v>
      </c>
      <c r="BP301" s="105" t="s">
        <v>174</v>
      </c>
      <c r="BQ301" s="104" t="s">
        <v>176</v>
      </c>
      <c r="BR301" s="105" t="s">
        <v>174</v>
      </c>
      <c r="BS301" s="104" t="s">
        <v>176</v>
      </c>
      <c r="BT301" s="106" t="s">
        <v>175</v>
      </c>
      <c r="BU301" s="104" t="s">
        <v>176</v>
      </c>
      <c r="BV301" s="106" t="s">
        <v>175</v>
      </c>
      <c r="BW301" s="105" t="s">
        <v>174</v>
      </c>
      <c r="BX301" s="106" t="s">
        <v>175</v>
      </c>
      <c r="BY301" s="106" t="s">
        <v>175</v>
      </c>
      <c r="BZ301" s="103" t="s">
        <v>173</v>
      </c>
      <c r="CA301" s="105" t="s">
        <v>174</v>
      </c>
      <c r="CB301" s="105" t="s">
        <v>174</v>
      </c>
      <c r="CC301" s="104" t="s">
        <v>176</v>
      </c>
      <c r="CD301" s="106" t="s">
        <v>175</v>
      </c>
      <c r="CE301" s="106" t="s">
        <v>175</v>
      </c>
      <c r="CF301" s="106" t="s">
        <v>175</v>
      </c>
      <c r="CG301" s="106" t="s">
        <v>175</v>
      </c>
      <c r="CH301" s="106" t="s">
        <v>175</v>
      </c>
      <c r="CI301" s="106" t="s">
        <v>175</v>
      </c>
      <c r="CJ301" s="104" t="s">
        <v>176</v>
      </c>
      <c r="CK301" s="105" t="s">
        <v>174</v>
      </c>
      <c r="CL301" s="104" t="s">
        <v>176</v>
      </c>
      <c r="CM301" s="106" t="s">
        <v>175</v>
      </c>
      <c r="CN301" s="105" t="s">
        <v>174</v>
      </c>
      <c r="CO301" s="105" t="s">
        <v>174</v>
      </c>
      <c r="CP301" s="106" t="s">
        <v>175</v>
      </c>
      <c r="CQ301" s="105" t="s">
        <v>174</v>
      </c>
      <c r="CR301" s="104" t="s">
        <v>176</v>
      </c>
      <c r="CS301" s="105" t="s">
        <v>174</v>
      </c>
      <c r="CT301" s="103" t="s">
        <v>173</v>
      </c>
      <c r="CU301" s="104" t="s">
        <v>176</v>
      </c>
      <c r="CV301" s="103" t="s">
        <v>173</v>
      </c>
      <c r="CW301" s="104" t="s">
        <v>176</v>
      </c>
      <c r="CX301" s="105" t="s">
        <v>174</v>
      </c>
      <c r="CY301" s="103" t="s">
        <v>173</v>
      </c>
      <c r="CZ301" s="105" t="s">
        <v>174</v>
      </c>
      <c r="DA301" s="104" t="s">
        <v>176</v>
      </c>
      <c r="DB301" s="103" t="s">
        <v>173</v>
      </c>
      <c r="DC301" s="106" t="s">
        <v>175</v>
      </c>
      <c r="DD301" s="104" t="s">
        <v>176</v>
      </c>
      <c r="DE301" s="103" t="s">
        <v>173</v>
      </c>
      <c r="DF301" s="106" t="s">
        <v>175</v>
      </c>
      <c r="DG301" s="106" t="s">
        <v>175</v>
      </c>
      <c r="DH301" s="103" t="s">
        <v>173</v>
      </c>
      <c r="DI301" s="104" t="s">
        <v>176</v>
      </c>
      <c r="DJ301" s="105" t="s">
        <v>174</v>
      </c>
    </row>
    <row r="302" spans="2:114" ht="23.25">
      <c r="B302" s="15">
        <f t="shared" si="22"/>
        <v>125</v>
      </c>
      <c r="C302" s="15">
        <v>7</v>
      </c>
      <c r="D302" s="16">
        <v>14</v>
      </c>
      <c r="E302" s="26" t="s">
        <v>181</v>
      </c>
      <c r="F302" s="29">
        <f>IF(ISBLANK(E302),0,IF(E302=Answers!E302,1,-1))</f>
        <v>1</v>
      </c>
      <c r="G302" s="44"/>
      <c r="H302" s="44"/>
      <c r="I302" s="62">
        <v>4</v>
      </c>
      <c r="J302" s="62">
        <v>4</v>
      </c>
      <c r="K302" s="62">
        <v>1</v>
      </c>
      <c r="L302" s="62">
        <v>2</v>
      </c>
      <c r="M302" s="44"/>
      <c r="N302" s="106">
        <v>6</v>
      </c>
      <c r="O302" s="105">
        <v>5</v>
      </c>
      <c r="P302" s="106">
        <v>3</v>
      </c>
      <c r="Q302" s="106">
        <v>1</v>
      </c>
      <c r="R302" s="105">
        <v>4</v>
      </c>
      <c r="S302" s="105">
        <v>6</v>
      </c>
      <c r="T302" s="103">
        <v>5</v>
      </c>
      <c r="U302" s="104">
        <v>2</v>
      </c>
      <c r="V302" s="106">
        <v>6</v>
      </c>
      <c r="W302" s="104">
        <v>4</v>
      </c>
      <c r="X302" s="104">
        <v>4</v>
      </c>
      <c r="Y302" s="106">
        <v>7</v>
      </c>
      <c r="Z302" s="103">
        <v>1</v>
      </c>
      <c r="AA302" s="103">
        <v>3</v>
      </c>
      <c r="AB302" s="105">
        <v>6</v>
      </c>
      <c r="AC302" s="104">
        <v>7</v>
      </c>
      <c r="AD302" s="105">
        <v>2</v>
      </c>
      <c r="AE302" s="106">
        <v>5</v>
      </c>
      <c r="AF302" s="106">
        <v>4</v>
      </c>
      <c r="AG302" s="106">
        <v>5</v>
      </c>
      <c r="AH302" s="105">
        <v>4</v>
      </c>
      <c r="AI302" s="104">
        <v>6</v>
      </c>
      <c r="AJ302" s="106">
        <v>6</v>
      </c>
      <c r="AK302" s="106">
        <v>7</v>
      </c>
      <c r="AL302" s="104">
        <v>7</v>
      </c>
      <c r="AM302" s="103">
        <v>3</v>
      </c>
      <c r="AN302" s="104">
        <v>5</v>
      </c>
      <c r="AO302" s="106">
        <v>6</v>
      </c>
      <c r="AP302" s="103">
        <v>4</v>
      </c>
      <c r="AQ302" s="106">
        <v>7</v>
      </c>
      <c r="AR302" s="106">
        <v>6</v>
      </c>
      <c r="AS302" s="103">
        <v>5</v>
      </c>
      <c r="AT302" s="105">
        <v>4</v>
      </c>
      <c r="AU302" s="106">
        <v>5</v>
      </c>
      <c r="AV302" s="105">
        <v>6</v>
      </c>
      <c r="AW302" s="104">
        <v>7</v>
      </c>
      <c r="AX302" s="105">
        <v>5</v>
      </c>
      <c r="AY302" s="103">
        <v>2</v>
      </c>
      <c r="AZ302" s="104">
        <v>1</v>
      </c>
      <c r="BA302" s="103">
        <v>1</v>
      </c>
      <c r="BB302" s="103">
        <v>6</v>
      </c>
      <c r="BC302" s="105">
        <v>5</v>
      </c>
      <c r="BD302" s="103">
        <v>1</v>
      </c>
      <c r="BE302" s="106">
        <v>3</v>
      </c>
      <c r="BF302" s="103">
        <v>1</v>
      </c>
      <c r="BG302" s="105">
        <v>7</v>
      </c>
      <c r="BH302" s="103">
        <v>7</v>
      </c>
      <c r="BI302" s="106">
        <v>7</v>
      </c>
      <c r="BJ302" s="106">
        <v>7</v>
      </c>
      <c r="BK302" s="103">
        <v>7</v>
      </c>
      <c r="BM302" s="106" t="s">
        <v>175</v>
      </c>
      <c r="BN302" s="105" t="s">
        <v>174</v>
      </c>
      <c r="BO302" s="106" t="s">
        <v>175</v>
      </c>
      <c r="BP302" s="106" t="s">
        <v>175</v>
      </c>
      <c r="BQ302" s="105" t="s">
        <v>174</v>
      </c>
      <c r="BR302" s="105" t="s">
        <v>174</v>
      </c>
      <c r="BS302" s="103" t="s">
        <v>173</v>
      </c>
      <c r="BT302" s="104" t="s">
        <v>176</v>
      </c>
      <c r="BU302" s="106" t="s">
        <v>175</v>
      </c>
      <c r="BV302" s="104" t="s">
        <v>176</v>
      </c>
      <c r="BW302" s="104" t="s">
        <v>176</v>
      </c>
      <c r="BX302" s="106" t="s">
        <v>175</v>
      </c>
      <c r="BY302" s="103" t="s">
        <v>173</v>
      </c>
      <c r="BZ302" s="103" t="s">
        <v>173</v>
      </c>
      <c r="CA302" s="105" t="s">
        <v>174</v>
      </c>
      <c r="CB302" s="104" t="s">
        <v>176</v>
      </c>
      <c r="CC302" s="105" t="s">
        <v>174</v>
      </c>
      <c r="CD302" s="106" t="s">
        <v>175</v>
      </c>
      <c r="CE302" s="106" t="s">
        <v>175</v>
      </c>
      <c r="CF302" s="106" t="s">
        <v>175</v>
      </c>
      <c r="CG302" s="105" t="s">
        <v>174</v>
      </c>
      <c r="CH302" s="104" t="s">
        <v>176</v>
      </c>
      <c r="CI302" s="106" t="s">
        <v>175</v>
      </c>
      <c r="CJ302" s="106" t="s">
        <v>175</v>
      </c>
      <c r="CK302" s="104" t="s">
        <v>176</v>
      </c>
      <c r="CL302" s="103" t="s">
        <v>173</v>
      </c>
      <c r="CM302" s="104" t="s">
        <v>176</v>
      </c>
      <c r="CN302" s="106" t="s">
        <v>175</v>
      </c>
      <c r="CO302" s="103" t="s">
        <v>173</v>
      </c>
      <c r="CP302" s="106" t="s">
        <v>175</v>
      </c>
      <c r="CQ302" s="106" t="s">
        <v>175</v>
      </c>
      <c r="CR302" s="103" t="s">
        <v>173</v>
      </c>
      <c r="CS302" s="105" t="s">
        <v>174</v>
      </c>
      <c r="CT302" s="106" t="s">
        <v>175</v>
      </c>
      <c r="CU302" s="105" t="s">
        <v>174</v>
      </c>
      <c r="CV302" s="104" t="s">
        <v>176</v>
      </c>
      <c r="CW302" s="105" t="s">
        <v>174</v>
      </c>
      <c r="CX302" s="103" t="s">
        <v>173</v>
      </c>
      <c r="CY302" s="104" t="s">
        <v>176</v>
      </c>
      <c r="CZ302" s="103" t="s">
        <v>173</v>
      </c>
      <c r="DA302" s="103" t="s">
        <v>173</v>
      </c>
      <c r="DB302" s="105" t="s">
        <v>174</v>
      </c>
      <c r="DC302" s="103" t="s">
        <v>173</v>
      </c>
      <c r="DD302" s="106" t="s">
        <v>175</v>
      </c>
      <c r="DE302" s="103" t="s">
        <v>173</v>
      </c>
      <c r="DF302" s="105" t="s">
        <v>174</v>
      </c>
      <c r="DG302" s="103" t="s">
        <v>173</v>
      </c>
      <c r="DH302" s="106" t="s">
        <v>175</v>
      </c>
      <c r="DI302" s="106" t="s">
        <v>175</v>
      </c>
      <c r="DJ302" s="103" t="s">
        <v>173</v>
      </c>
    </row>
    <row r="303" spans="2:114" ht="23.25">
      <c r="B303" s="15">
        <f t="shared" si="22"/>
        <v>126</v>
      </c>
      <c r="C303" s="15">
        <v>7</v>
      </c>
      <c r="D303" s="16">
        <v>14</v>
      </c>
      <c r="E303" s="26" t="s">
        <v>182</v>
      </c>
      <c r="F303" s="29">
        <f>IF(ISBLANK(E303),0,IF(E303=Answers!E303,1,-1))</f>
        <v>1</v>
      </c>
      <c r="G303" s="44"/>
      <c r="H303" s="44"/>
      <c r="I303" s="62">
        <v>0</v>
      </c>
      <c r="J303" s="62">
        <v>2</v>
      </c>
      <c r="K303" s="62">
        <v>1</v>
      </c>
      <c r="L303" s="62">
        <v>5</v>
      </c>
      <c r="M303" s="44"/>
      <c r="N303" s="103">
        <v>1</v>
      </c>
      <c r="O303" s="105">
        <v>5</v>
      </c>
      <c r="P303" s="106">
        <v>7</v>
      </c>
      <c r="Q303" s="103">
        <v>3</v>
      </c>
      <c r="R303" s="103">
        <v>1</v>
      </c>
      <c r="S303" s="105">
        <v>6</v>
      </c>
      <c r="T303" s="105">
        <v>4</v>
      </c>
      <c r="U303" s="103">
        <v>6</v>
      </c>
      <c r="V303" s="105">
        <v>6</v>
      </c>
      <c r="W303" s="103">
        <v>2</v>
      </c>
      <c r="X303" s="106">
        <v>3</v>
      </c>
      <c r="Y303" s="103">
        <v>7</v>
      </c>
      <c r="Z303" s="103">
        <v>7</v>
      </c>
      <c r="AA303" s="106">
        <v>5</v>
      </c>
      <c r="AB303" s="105">
        <v>7</v>
      </c>
      <c r="AC303" s="104">
        <v>3</v>
      </c>
      <c r="AD303" s="106">
        <v>5</v>
      </c>
      <c r="AE303" s="105">
        <v>7</v>
      </c>
      <c r="AF303" s="103">
        <v>5</v>
      </c>
      <c r="AG303" s="103">
        <v>1</v>
      </c>
      <c r="AH303" s="106">
        <v>4</v>
      </c>
      <c r="AI303" s="106">
        <v>4</v>
      </c>
      <c r="AJ303" s="104">
        <v>7</v>
      </c>
      <c r="AK303" s="104">
        <v>7</v>
      </c>
      <c r="AL303" s="103">
        <v>1</v>
      </c>
      <c r="AM303" s="103">
        <v>3</v>
      </c>
      <c r="AN303" s="105">
        <v>3</v>
      </c>
      <c r="AO303" s="105">
        <v>4</v>
      </c>
      <c r="AP303" s="106">
        <v>3</v>
      </c>
      <c r="AQ303" s="106">
        <v>6</v>
      </c>
      <c r="AR303" s="106">
        <v>2</v>
      </c>
      <c r="AS303" s="106">
        <v>6</v>
      </c>
      <c r="AT303" s="105">
        <v>7</v>
      </c>
      <c r="AU303" s="106">
        <v>7</v>
      </c>
      <c r="AV303" s="106">
        <v>3</v>
      </c>
      <c r="AW303" s="103">
        <v>2</v>
      </c>
      <c r="AX303" s="104">
        <v>2</v>
      </c>
      <c r="AY303" s="103">
        <v>1</v>
      </c>
      <c r="AZ303" s="103">
        <v>3</v>
      </c>
      <c r="BA303" s="106">
        <v>5</v>
      </c>
      <c r="BB303" s="106">
        <v>7</v>
      </c>
      <c r="BC303" s="104">
        <v>3</v>
      </c>
      <c r="BD303" s="104">
        <v>2</v>
      </c>
      <c r="BE303" s="105">
        <v>7</v>
      </c>
      <c r="BF303" s="105">
        <v>6</v>
      </c>
      <c r="BG303" s="105">
        <v>2</v>
      </c>
      <c r="BH303" s="106">
        <v>2</v>
      </c>
      <c r="BI303" s="106">
        <v>4</v>
      </c>
      <c r="BJ303" s="103">
        <v>1</v>
      </c>
      <c r="BK303" s="104">
        <v>2</v>
      </c>
      <c r="BM303" s="103" t="s">
        <v>173</v>
      </c>
      <c r="BN303" s="105" t="s">
        <v>174</v>
      </c>
      <c r="BO303" s="106" t="s">
        <v>175</v>
      </c>
      <c r="BP303" s="103" t="s">
        <v>173</v>
      </c>
      <c r="BQ303" s="103" t="s">
        <v>173</v>
      </c>
      <c r="BR303" s="105" t="s">
        <v>174</v>
      </c>
      <c r="BS303" s="105" t="s">
        <v>174</v>
      </c>
      <c r="BT303" s="103" t="s">
        <v>173</v>
      </c>
      <c r="BU303" s="105" t="s">
        <v>174</v>
      </c>
      <c r="BV303" s="103" t="s">
        <v>173</v>
      </c>
      <c r="BW303" s="106" t="s">
        <v>175</v>
      </c>
      <c r="BX303" s="103" t="s">
        <v>173</v>
      </c>
      <c r="BY303" s="103" t="s">
        <v>173</v>
      </c>
      <c r="BZ303" s="106" t="s">
        <v>175</v>
      </c>
      <c r="CA303" s="105" t="s">
        <v>174</v>
      </c>
      <c r="CB303" s="104" t="s">
        <v>176</v>
      </c>
      <c r="CC303" s="106" t="s">
        <v>175</v>
      </c>
      <c r="CD303" s="105" t="s">
        <v>174</v>
      </c>
      <c r="CE303" s="103" t="s">
        <v>173</v>
      </c>
      <c r="CF303" s="103" t="s">
        <v>173</v>
      </c>
      <c r="CG303" s="106" t="s">
        <v>175</v>
      </c>
      <c r="CH303" s="106" t="s">
        <v>175</v>
      </c>
      <c r="CI303" s="104" t="s">
        <v>176</v>
      </c>
      <c r="CJ303" s="104" t="s">
        <v>176</v>
      </c>
      <c r="CK303" s="103" t="s">
        <v>173</v>
      </c>
      <c r="CL303" s="103" t="s">
        <v>173</v>
      </c>
      <c r="CM303" s="105" t="s">
        <v>174</v>
      </c>
      <c r="CN303" s="105" t="s">
        <v>174</v>
      </c>
      <c r="CO303" s="106" t="s">
        <v>175</v>
      </c>
      <c r="CP303" s="106" t="s">
        <v>175</v>
      </c>
      <c r="CQ303" s="106" t="s">
        <v>175</v>
      </c>
      <c r="CR303" s="106" t="s">
        <v>175</v>
      </c>
      <c r="CS303" s="105" t="s">
        <v>174</v>
      </c>
      <c r="CT303" s="106" t="s">
        <v>175</v>
      </c>
      <c r="CU303" s="106" t="s">
        <v>175</v>
      </c>
      <c r="CV303" s="103" t="s">
        <v>173</v>
      </c>
      <c r="CW303" s="104" t="s">
        <v>176</v>
      </c>
      <c r="CX303" s="103" t="s">
        <v>173</v>
      </c>
      <c r="CY303" s="103" t="s">
        <v>173</v>
      </c>
      <c r="CZ303" s="106" t="s">
        <v>175</v>
      </c>
      <c r="DA303" s="106" t="s">
        <v>175</v>
      </c>
      <c r="DB303" s="104" t="s">
        <v>176</v>
      </c>
      <c r="DC303" s="104" t="s">
        <v>176</v>
      </c>
      <c r="DD303" s="105" t="s">
        <v>174</v>
      </c>
      <c r="DE303" s="105" t="s">
        <v>174</v>
      </c>
      <c r="DF303" s="105" t="s">
        <v>174</v>
      </c>
      <c r="DG303" s="106" t="s">
        <v>175</v>
      </c>
      <c r="DH303" s="106" t="s">
        <v>175</v>
      </c>
      <c r="DI303" s="103" t="s">
        <v>173</v>
      </c>
      <c r="DJ303" s="104" t="s">
        <v>176</v>
      </c>
    </row>
    <row r="304" spans="2:114" ht="23.25">
      <c r="B304" s="15">
        <f t="shared" si="22"/>
        <v>127</v>
      </c>
      <c r="C304" s="15">
        <v>7</v>
      </c>
      <c r="D304" s="16">
        <v>14</v>
      </c>
      <c r="E304" s="26" t="s">
        <v>183</v>
      </c>
      <c r="F304" s="29">
        <f>IF(ISBLANK(E304),0,IF(E304=Answers!E304,1,-1))</f>
        <v>1</v>
      </c>
      <c r="G304" s="44"/>
      <c r="H304" s="44"/>
      <c r="I304" s="62">
        <v>2</v>
      </c>
      <c r="J304" s="62">
        <v>5</v>
      </c>
      <c r="K304" s="62">
        <v>2</v>
      </c>
      <c r="L304" s="62">
        <v>1</v>
      </c>
      <c r="M304" s="44"/>
      <c r="N304" s="106">
        <v>6</v>
      </c>
      <c r="O304" s="106">
        <v>6</v>
      </c>
      <c r="P304" s="103">
        <v>6</v>
      </c>
      <c r="Q304" s="103">
        <v>1</v>
      </c>
      <c r="R304" s="103">
        <v>5</v>
      </c>
      <c r="S304" s="105">
        <v>7</v>
      </c>
      <c r="T304" s="103">
        <v>4</v>
      </c>
      <c r="U304" s="106">
        <v>1</v>
      </c>
      <c r="V304" s="104">
        <v>1</v>
      </c>
      <c r="W304" s="104">
        <v>6</v>
      </c>
      <c r="X304" s="103">
        <v>2</v>
      </c>
      <c r="Y304" s="103">
        <v>7</v>
      </c>
      <c r="Z304" s="104">
        <v>6</v>
      </c>
      <c r="AA304" s="106">
        <v>5</v>
      </c>
      <c r="AB304" s="103">
        <v>6</v>
      </c>
      <c r="AC304" s="105">
        <v>7</v>
      </c>
      <c r="AD304" s="104">
        <v>5</v>
      </c>
      <c r="AE304" s="103">
        <v>4</v>
      </c>
      <c r="AF304" s="104">
        <v>1</v>
      </c>
      <c r="AG304" s="104">
        <v>4</v>
      </c>
      <c r="AH304" s="104">
        <v>2</v>
      </c>
      <c r="AI304" s="103">
        <v>6</v>
      </c>
      <c r="AJ304" s="106">
        <v>1</v>
      </c>
      <c r="AK304" s="103">
        <v>1</v>
      </c>
      <c r="AL304" s="105">
        <v>2</v>
      </c>
      <c r="AM304" s="104">
        <v>6</v>
      </c>
      <c r="AN304" s="104">
        <v>1</v>
      </c>
      <c r="AO304" s="106">
        <v>5</v>
      </c>
      <c r="AP304" s="106">
        <v>6</v>
      </c>
      <c r="AQ304" s="103">
        <v>1</v>
      </c>
      <c r="AR304" s="105">
        <v>4</v>
      </c>
      <c r="AS304" s="103">
        <v>3</v>
      </c>
      <c r="AT304" s="103">
        <v>4</v>
      </c>
      <c r="AU304" s="103">
        <v>1</v>
      </c>
      <c r="AV304" s="105">
        <v>3</v>
      </c>
      <c r="AW304" s="103">
        <v>3</v>
      </c>
      <c r="AX304" s="105">
        <v>1</v>
      </c>
      <c r="AY304" s="105">
        <v>3</v>
      </c>
      <c r="AZ304" s="105">
        <v>5</v>
      </c>
      <c r="BA304" s="105">
        <v>1</v>
      </c>
      <c r="BB304" s="105">
        <v>5</v>
      </c>
      <c r="BC304" s="104">
        <v>4</v>
      </c>
      <c r="BD304" s="104">
        <v>4</v>
      </c>
      <c r="BE304" s="103">
        <v>2</v>
      </c>
      <c r="BF304" s="104">
        <v>4</v>
      </c>
      <c r="BG304" s="104">
        <v>3</v>
      </c>
      <c r="BH304" s="103">
        <v>5</v>
      </c>
      <c r="BI304" s="104">
        <v>3</v>
      </c>
      <c r="BJ304" s="104">
        <v>1</v>
      </c>
      <c r="BK304" s="105">
        <v>4</v>
      </c>
      <c r="BM304" s="106" t="s">
        <v>175</v>
      </c>
      <c r="BN304" s="106" t="s">
        <v>175</v>
      </c>
      <c r="BO304" s="103" t="s">
        <v>173</v>
      </c>
      <c r="BP304" s="103" t="s">
        <v>173</v>
      </c>
      <c r="BQ304" s="103" t="s">
        <v>173</v>
      </c>
      <c r="BR304" s="105" t="s">
        <v>174</v>
      </c>
      <c r="BS304" s="103" t="s">
        <v>173</v>
      </c>
      <c r="BT304" s="106" t="s">
        <v>175</v>
      </c>
      <c r="BU304" s="104" t="s">
        <v>176</v>
      </c>
      <c r="BV304" s="104" t="s">
        <v>176</v>
      </c>
      <c r="BW304" s="103" t="s">
        <v>173</v>
      </c>
      <c r="BX304" s="103" t="s">
        <v>173</v>
      </c>
      <c r="BY304" s="104" t="s">
        <v>176</v>
      </c>
      <c r="BZ304" s="106" t="s">
        <v>175</v>
      </c>
      <c r="CA304" s="103" t="s">
        <v>173</v>
      </c>
      <c r="CB304" s="105" t="s">
        <v>174</v>
      </c>
      <c r="CC304" s="104" t="s">
        <v>176</v>
      </c>
      <c r="CD304" s="103" t="s">
        <v>173</v>
      </c>
      <c r="CE304" s="104" t="s">
        <v>176</v>
      </c>
      <c r="CF304" s="104" t="s">
        <v>176</v>
      </c>
      <c r="CG304" s="104" t="s">
        <v>176</v>
      </c>
      <c r="CH304" s="103" t="s">
        <v>173</v>
      </c>
      <c r="CI304" s="106" t="s">
        <v>175</v>
      </c>
      <c r="CJ304" s="103" t="s">
        <v>173</v>
      </c>
      <c r="CK304" s="105" t="s">
        <v>174</v>
      </c>
      <c r="CL304" s="104" t="s">
        <v>176</v>
      </c>
      <c r="CM304" s="104" t="s">
        <v>176</v>
      </c>
      <c r="CN304" s="106" t="s">
        <v>175</v>
      </c>
      <c r="CO304" s="106" t="s">
        <v>175</v>
      </c>
      <c r="CP304" s="103" t="s">
        <v>173</v>
      </c>
      <c r="CQ304" s="105" t="s">
        <v>174</v>
      </c>
      <c r="CR304" s="103" t="s">
        <v>173</v>
      </c>
      <c r="CS304" s="103" t="s">
        <v>173</v>
      </c>
      <c r="CT304" s="103" t="s">
        <v>173</v>
      </c>
      <c r="CU304" s="105" t="s">
        <v>174</v>
      </c>
      <c r="CV304" s="103" t="s">
        <v>173</v>
      </c>
      <c r="CW304" s="105" t="s">
        <v>174</v>
      </c>
      <c r="CX304" s="105" t="s">
        <v>174</v>
      </c>
      <c r="CY304" s="105" t="s">
        <v>174</v>
      </c>
      <c r="CZ304" s="105" t="s">
        <v>174</v>
      </c>
      <c r="DA304" s="105" t="s">
        <v>174</v>
      </c>
      <c r="DB304" s="104" t="s">
        <v>176</v>
      </c>
      <c r="DC304" s="104" t="s">
        <v>176</v>
      </c>
      <c r="DD304" s="103" t="s">
        <v>173</v>
      </c>
      <c r="DE304" s="104" t="s">
        <v>176</v>
      </c>
      <c r="DF304" s="104" t="s">
        <v>176</v>
      </c>
      <c r="DG304" s="103" t="s">
        <v>173</v>
      </c>
      <c r="DH304" s="104" t="s">
        <v>176</v>
      </c>
      <c r="DI304" s="104" t="s">
        <v>176</v>
      </c>
      <c r="DJ304" s="105" t="s">
        <v>174</v>
      </c>
    </row>
    <row r="305" spans="2:114" ht="23.25">
      <c r="B305" s="15">
        <f t="shared" si="22"/>
        <v>128</v>
      </c>
      <c r="C305" s="15">
        <v>7</v>
      </c>
      <c r="D305" s="16">
        <v>14</v>
      </c>
      <c r="E305" s="26" t="s">
        <v>184</v>
      </c>
      <c r="F305" s="29">
        <f>IF(ISBLANK(E305),0,IF(E305=Answers!E305,1,-1))</f>
        <v>1</v>
      </c>
      <c r="G305" s="44"/>
      <c r="H305" s="44"/>
      <c r="I305" s="62">
        <v>4</v>
      </c>
      <c r="J305" s="62">
        <v>3</v>
      </c>
      <c r="K305" s="62">
        <v>3</v>
      </c>
      <c r="L305" s="62">
        <v>0</v>
      </c>
      <c r="M305" s="44"/>
      <c r="N305" s="103">
        <v>3</v>
      </c>
      <c r="O305" s="104">
        <v>4</v>
      </c>
      <c r="P305" s="103">
        <v>1</v>
      </c>
      <c r="Q305" s="104">
        <v>4</v>
      </c>
      <c r="R305" s="104">
        <v>4</v>
      </c>
      <c r="S305" s="105">
        <v>1</v>
      </c>
      <c r="T305" s="106">
        <v>4</v>
      </c>
      <c r="U305" s="106">
        <v>1</v>
      </c>
      <c r="V305" s="103">
        <v>1</v>
      </c>
      <c r="W305" s="106">
        <v>2</v>
      </c>
      <c r="X305" s="105">
        <v>7</v>
      </c>
      <c r="Y305" s="106">
        <v>6</v>
      </c>
      <c r="Z305" s="105">
        <v>5</v>
      </c>
      <c r="AA305" s="105">
        <v>5</v>
      </c>
      <c r="AB305" s="104">
        <v>1</v>
      </c>
      <c r="AC305" s="104">
        <v>5</v>
      </c>
      <c r="AD305" s="106">
        <v>4</v>
      </c>
      <c r="AE305" s="106">
        <v>3</v>
      </c>
      <c r="AF305" s="103">
        <v>4</v>
      </c>
      <c r="AG305" s="103">
        <v>4</v>
      </c>
      <c r="AH305" s="103">
        <v>7</v>
      </c>
      <c r="AI305" s="104">
        <v>2</v>
      </c>
      <c r="AJ305" s="103">
        <v>6</v>
      </c>
      <c r="AK305" s="106">
        <v>4</v>
      </c>
      <c r="AL305" s="105">
        <v>3</v>
      </c>
      <c r="AM305" s="103">
        <v>3</v>
      </c>
      <c r="AN305" s="106">
        <v>2</v>
      </c>
      <c r="AO305" s="106">
        <v>2</v>
      </c>
      <c r="AP305" s="106">
        <v>4</v>
      </c>
      <c r="AQ305" s="103">
        <v>7</v>
      </c>
      <c r="AR305" s="103">
        <v>7</v>
      </c>
      <c r="AS305" s="104">
        <v>3</v>
      </c>
      <c r="AT305" s="104">
        <v>2</v>
      </c>
      <c r="AU305" s="106">
        <v>5</v>
      </c>
      <c r="AV305" s="104">
        <v>4</v>
      </c>
      <c r="AW305" s="106">
        <v>5</v>
      </c>
      <c r="AX305" s="106">
        <v>7</v>
      </c>
      <c r="AY305" s="106">
        <v>2</v>
      </c>
      <c r="AZ305" s="103">
        <v>1</v>
      </c>
      <c r="BA305" s="105">
        <v>3</v>
      </c>
      <c r="BB305" s="105">
        <v>1</v>
      </c>
      <c r="BC305" s="104">
        <v>7</v>
      </c>
      <c r="BD305" s="105">
        <v>2</v>
      </c>
      <c r="BE305" s="104">
        <v>2</v>
      </c>
      <c r="BF305" s="104">
        <v>6</v>
      </c>
      <c r="BG305" s="106">
        <v>3</v>
      </c>
      <c r="BH305" s="104">
        <v>6</v>
      </c>
      <c r="BI305" s="104">
        <v>6</v>
      </c>
      <c r="BJ305" s="106">
        <v>2</v>
      </c>
      <c r="BK305" s="104">
        <v>7</v>
      </c>
      <c r="BM305" s="103" t="s">
        <v>173</v>
      </c>
      <c r="BN305" s="104" t="s">
        <v>176</v>
      </c>
      <c r="BO305" s="103" t="s">
        <v>173</v>
      </c>
      <c r="BP305" s="104" t="s">
        <v>176</v>
      </c>
      <c r="BQ305" s="104" t="s">
        <v>176</v>
      </c>
      <c r="BR305" s="105" t="s">
        <v>174</v>
      </c>
      <c r="BS305" s="106" t="s">
        <v>175</v>
      </c>
      <c r="BT305" s="106" t="s">
        <v>175</v>
      </c>
      <c r="BU305" s="103" t="s">
        <v>173</v>
      </c>
      <c r="BV305" s="106" t="s">
        <v>175</v>
      </c>
      <c r="BW305" s="105" t="s">
        <v>174</v>
      </c>
      <c r="BX305" s="106" t="s">
        <v>175</v>
      </c>
      <c r="BY305" s="105" t="s">
        <v>174</v>
      </c>
      <c r="BZ305" s="105" t="s">
        <v>174</v>
      </c>
      <c r="CA305" s="104" t="s">
        <v>176</v>
      </c>
      <c r="CB305" s="104" t="s">
        <v>176</v>
      </c>
      <c r="CC305" s="106" t="s">
        <v>175</v>
      </c>
      <c r="CD305" s="106" t="s">
        <v>175</v>
      </c>
      <c r="CE305" s="103" t="s">
        <v>173</v>
      </c>
      <c r="CF305" s="103" t="s">
        <v>173</v>
      </c>
      <c r="CG305" s="103" t="s">
        <v>173</v>
      </c>
      <c r="CH305" s="104" t="s">
        <v>176</v>
      </c>
      <c r="CI305" s="103" t="s">
        <v>173</v>
      </c>
      <c r="CJ305" s="106" t="s">
        <v>175</v>
      </c>
      <c r="CK305" s="105" t="s">
        <v>174</v>
      </c>
      <c r="CL305" s="103" t="s">
        <v>173</v>
      </c>
      <c r="CM305" s="106" t="s">
        <v>175</v>
      </c>
      <c r="CN305" s="106" t="s">
        <v>175</v>
      </c>
      <c r="CO305" s="106" t="s">
        <v>175</v>
      </c>
      <c r="CP305" s="103" t="s">
        <v>173</v>
      </c>
      <c r="CQ305" s="103" t="s">
        <v>173</v>
      </c>
      <c r="CR305" s="104" t="s">
        <v>176</v>
      </c>
      <c r="CS305" s="104" t="s">
        <v>176</v>
      </c>
      <c r="CT305" s="106" t="s">
        <v>175</v>
      </c>
      <c r="CU305" s="104" t="s">
        <v>176</v>
      </c>
      <c r="CV305" s="106" t="s">
        <v>175</v>
      </c>
      <c r="CW305" s="106" t="s">
        <v>175</v>
      </c>
      <c r="CX305" s="106" t="s">
        <v>175</v>
      </c>
      <c r="CY305" s="103" t="s">
        <v>173</v>
      </c>
      <c r="CZ305" s="105" t="s">
        <v>174</v>
      </c>
      <c r="DA305" s="105" t="s">
        <v>174</v>
      </c>
      <c r="DB305" s="104" t="s">
        <v>176</v>
      </c>
      <c r="DC305" s="105" t="s">
        <v>174</v>
      </c>
      <c r="DD305" s="104" t="s">
        <v>176</v>
      </c>
      <c r="DE305" s="104" t="s">
        <v>176</v>
      </c>
      <c r="DF305" s="106" t="s">
        <v>175</v>
      </c>
      <c r="DG305" s="104" t="s">
        <v>176</v>
      </c>
      <c r="DH305" s="104" t="s">
        <v>176</v>
      </c>
      <c r="DI305" s="106" t="s">
        <v>175</v>
      </c>
      <c r="DJ305" s="104" t="s">
        <v>176</v>
      </c>
    </row>
    <row r="306" spans="2:114" ht="23.25">
      <c r="B306" s="15">
        <f t="shared" si="22"/>
        <v>129</v>
      </c>
      <c r="C306" s="15">
        <v>7</v>
      </c>
      <c r="D306" s="16">
        <v>14</v>
      </c>
      <c r="E306" s="26" t="s">
        <v>185</v>
      </c>
      <c r="F306" s="29">
        <f>IF(ISBLANK(E306),0,IF(E306=Answers!E306,1,-1))</f>
        <v>1</v>
      </c>
      <c r="G306" s="44"/>
      <c r="H306" s="44"/>
      <c r="I306" s="62">
        <v>2</v>
      </c>
      <c r="J306" s="62">
        <v>2</v>
      </c>
      <c r="K306" s="62">
        <v>3</v>
      </c>
      <c r="L306" s="62">
        <v>3</v>
      </c>
      <c r="M306" s="44"/>
      <c r="N306" s="103">
        <v>4</v>
      </c>
      <c r="O306" s="106">
        <v>4</v>
      </c>
      <c r="P306" s="105">
        <v>3</v>
      </c>
      <c r="Q306" s="104">
        <v>1</v>
      </c>
      <c r="R306" s="106">
        <v>6</v>
      </c>
      <c r="S306" s="106">
        <v>7</v>
      </c>
      <c r="T306" s="104">
        <v>7</v>
      </c>
      <c r="U306" s="106">
        <v>2</v>
      </c>
      <c r="V306" s="104">
        <v>3</v>
      </c>
      <c r="W306" s="103">
        <v>1</v>
      </c>
      <c r="X306" s="105">
        <v>1</v>
      </c>
      <c r="Y306" s="104">
        <v>6</v>
      </c>
      <c r="Z306" s="103">
        <v>6</v>
      </c>
      <c r="AA306" s="103">
        <v>5</v>
      </c>
      <c r="AB306" s="104">
        <v>4</v>
      </c>
      <c r="AC306" s="103">
        <v>5</v>
      </c>
      <c r="AD306" s="103">
        <v>7</v>
      </c>
      <c r="AE306" s="103">
        <v>1</v>
      </c>
      <c r="AF306" s="103">
        <v>7</v>
      </c>
      <c r="AG306" s="106">
        <v>7</v>
      </c>
      <c r="AH306" s="103">
        <v>4</v>
      </c>
      <c r="AI306" s="104">
        <v>1</v>
      </c>
      <c r="AJ306" s="104">
        <v>4</v>
      </c>
      <c r="AK306" s="103">
        <v>1</v>
      </c>
      <c r="AL306" s="103">
        <v>2</v>
      </c>
      <c r="AM306" s="106">
        <v>4</v>
      </c>
      <c r="AN306" s="103">
        <v>7</v>
      </c>
      <c r="AO306" s="103">
        <v>6</v>
      </c>
      <c r="AP306" s="106">
        <v>6</v>
      </c>
      <c r="AQ306" s="105">
        <v>7</v>
      </c>
      <c r="AR306" s="103">
        <v>7</v>
      </c>
      <c r="AS306" s="104">
        <v>6</v>
      </c>
      <c r="AT306" s="103">
        <v>3</v>
      </c>
      <c r="AU306" s="104">
        <v>7</v>
      </c>
      <c r="AV306" s="105">
        <v>2</v>
      </c>
      <c r="AW306" s="104">
        <v>3</v>
      </c>
      <c r="AX306" s="103">
        <v>4</v>
      </c>
      <c r="AY306" s="103">
        <v>4</v>
      </c>
      <c r="AZ306" s="103">
        <v>3</v>
      </c>
      <c r="BA306" s="103">
        <v>5</v>
      </c>
      <c r="BB306" s="105">
        <v>6</v>
      </c>
      <c r="BC306" s="106">
        <v>5</v>
      </c>
      <c r="BD306" s="106">
        <v>7</v>
      </c>
      <c r="BE306" s="104">
        <v>2</v>
      </c>
      <c r="BF306" s="106">
        <v>4</v>
      </c>
      <c r="BG306" s="106">
        <v>1</v>
      </c>
      <c r="BH306" s="103">
        <v>2</v>
      </c>
      <c r="BI306" s="105">
        <v>4</v>
      </c>
      <c r="BJ306" s="106">
        <v>6</v>
      </c>
      <c r="BK306" s="106">
        <v>2</v>
      </c>
      <c r="BM306" s="103" t="s">
        <v>173</v>
      </c>
      <c r="BN306" s="106" t="s">
        <v>175</v>
      </c>
      <c r="BO306" s="105" t="s">
        <v>174</v>
      </c>
      <c r="BP306" s="104" t="s">
        <v>176</v>
      </c>
      <c r="BQ306" s="106" t="s">
        <v>175</v>
      </c>
      <c r="BR306" s="106" t="s">
        <v>175</v>
      </c>
      <c r="BS306" s="104" t="s">
        <v>176</v>
      </c>
      <c r="BT306" s="106" t="s">
        <v>175</v>
      </c>
      <c r="BU306" s="104" t="s">
        <v>176</v>
      </c>
      <c r="BV306" s="103" t="s">
        <v>173</v>
      </c>
      <c r="BW306" s="105" t="s">
        <v>174</v>
      </c>
      <c r="BX306" s="104" t="s">
        <v>176</v>
      </c>
      <c r="BY306" s="103" t="s">
        <v>173</v>
      </c>
      <c r="BZ306" s="103" t="s">
        <v>173</v>
      </c>
      <c r="CA306" s="104" t="s">
        <v>176</v>
      </c>
      <c r="CB306" s="103" t="s">
        <v>173</v>
      </c>
      <c r="CC306" s="103" t="s">
        <v>173</v>
      </c>
      <c r="CD306" s="103" t="s">
        <v>173</v>
      </c>
      <c r="CE306" s="103" t="s">
        <v>173</v>
      </c>
      <c r="CF306" s="106" t="s">
        <v>175</v>
      </c>
      <c r="CG306" s="103" t="s">
        <v>173</v>
      </c>
      <c r="CH306" s="104" t="s">
        <v>176</v>
      </c>
      <c r="CI306" s="104" t="s">
        <v>176</v>
      </c>
      <c r="CJ306" s="103" t="s">
        <v>173</v>
      </c>
      <c r="CK306" s="103" t="s">
        <v>173</v>
      </c>
      <c r="CL306" s="106" t="s">
        <v>175</v>
      </c>
      <c r="CM306" s="103" t="s">
        <v>173</v>
      </c>
      <c r="CN306" s="103" t="s">
        <v>173</v>
      </c>
      <c r="CO306" s="106" t="s">
        <v>175</v>
      </c>
      <c r="CP306" s="105" t="s">
        <v>174</v>
      </c>
      <c r="CQ306" s="103" t="s">
        <v>173</v>
      </c>
      <c r="CR306" s="104" t="s">
        <v>176</v>
      </c>
      <c r="CS306" s="103" t="s">
        <v>173</v>
      </c>
      <c r="CT306" s="104" t="s">
        <v>176</v>
      </c>
      <c r="CU306" s="105" t="s">
        <v>174</v>
      </c>
      <c r="CV306" s="104" t="s">
        <v>176</v>
      </c>
      <c r="CW306" s="103" t="s">
        <v>173</v>
      </c>
      <c r="CX306" s="103" t="s">
        <v>173</v>
      </c>
      <c r="CY306" s="103" t="s">
        <v>173</v>
      </c>
      <c r="CZ306" s="103" t="s">
        <v>173</v>
      </c>
      <c r="DA306" s="105" t="s">
        <v>174</v>
      </c>
      <c r="DB306" s="106" t="s">
        <v>175</v>
      </c>
      <c r="DC306" s="106" t="s">
        <v>175</v>
      </c>
      <c r="DD306" s="104" t="s">
        <v>176</v>
      </c>
      <c r="DE306" s="106" t="s">
        <v>175</v>
      </c>
      <c r="DF306" s="106" t="s">
        <v>175</v>
      </c>
      <c r="DG306" s="103" t="s">
        <v>173</v>
      </c>
      <c r="DH306" s="105" t="s">
        <v>174</v>
      </c>
      <c r="DI306" s="106" t="s">
        <v>175</v>
      </c>
      <c r="DJ306" s="106" t="s">
        <v>175</v>
      </c>
    </row>
    <row r="307" spans="2:114" ht="23.25">
      <c r="B307" s="15">
        <f t="shared" si="22"/>
        <v>130</v>
      </c>
      <c r="C307" s="15">
        <v>7</v>
      </c>
      <c r="D307" s="16">
        <v>14</v>
      </c>
      <c r="E307" s="26" t="s">
        <v>186</v>
      </c>
      <c r="F307" s="29">
        <f>IF(ISBLANK(E307),0,IF(E307=Answers!E307,1,-1))</f>
        <v>1</v>
      </c>
      <c r="G307" s="44"/>
      <c r="H307" s="44"/>
      <c r="I307" s="62">
        <v>4</v>
      </c>
      <c r="J307" s="62">
        <v>4</v>
      </c>
      <c r="K307" s="62">
        <v>4</v>
      </c>
      <c r="L307" s="62">
        <v>4</v>
      </c>
      <c r="M307" s="44"/>
      <c r="N307" s="103">
        <v>6</v>
      </c>
      <c r="O307" s="105">
        <v>7</v>
      </c>
      <c r="P307" s="106">
        <v>5</v>
      </c>
      <c r="Q307" s="103">
        <v>5</v>
      </c>
      <c r="R307" s="106">
        <v>6</v>
      </c>
      <c r="S307" s="105">
        <v>2</v>
      </c>
      <c r="T307" s="104">
        <v>3</v>
      </c>
      <c r="U307" s="104">
        <v>5</v>
      </c>
      <c r="V307" s="106">
        <v>6</v>
      </c>
      <c r="W307" s="105">
        <v>3</v>
      </c>
      <c r="X307" s="103">
        <v>1</v>
      </c>
      <c r="Y307" s="105">
        <v>1</v>
      </c>
      <c r="Z307" s="106">
        <v>4</v>
      </c>
      <c r="AA307" s="106">
        <v>2</v>
      </c>
      <c r="AB307" s="104">
        <v>5</v>
      </c>
      <c r="AC307" s="105">
        <v>4</v>
      </c>
      <c r="AD307" s="106">
        <v>1</v>
      </c>
      <c r="AE307" s="103">
        <v>2</v>
      </c>
      <c r="AF307" s="106">
        <v>7</v>
      </c>
      <c r="AG307" s="106">
        <v>5</v>
      </c>
      <c r="AH307" s="106">
        <v>5</v>
      </c>
      <c r="AI307" s="103">
        <v>3</v>
      </c>
      <c r="AJ307" s="106">
        <v>5</v>
      </c>
      <c r="AK307" s="106">
        <v>4</v>
      </c>
      <c r="AL307" s="105">
        <v>4</v>
      </c>
      <c r="AM307" s="105">
        <v>4</v>
      </c>
      <c r="AN307" s="103">
        <v>3</v>
      </c>
      <c r="AO307" s="106">
        <v>3</v>
      </c>
      <c r="AP307" s="105">
        <v>5</v>
      </c>
      <c r="AQ307" s="103">
        <v>5</v>
      </c>
      <c r="AR307" s="106">
        <v>1</v>
      </c>
      <c r="AS307" s="106">
        <v>2</v>
      </c>
      <c r="AT307" s="106">
        <v>2</v>
      </c>
      <c r="AU307" s="105">
        <v>7</v>
      </c>
      <c r="AV307" s="106">
        <v>2</v>
      </c>
      <c r="AW307" s="103">
        <v>6</v>
      </c>
      <c r="AX307" s="103">
        <v>7</v>
      </c>
      <c r="AY307" s="103">
        <v>2</v>
      </c>
      <c r="AZ307" s="103">
        <v>3</v>
      </c>
      <c r="BA307" s="104">
        <v>7</v>
      </c>
      <c r="BB307" s="103">
        <v>4</v>
      </c>
      <c r="BC307" s="106">
        <v>3</v>
      </c>
      <c r="BD307" s="103">
        <v>2</v>
      </c>
      <c r="BE307" s="104">
        <v>4</v>
      </c>
      <c r="BF307" s="103">
        <v>5</v>
      </c>
      <c r="BG307" s="104">
        <v>5</v>
      </c>
      <c r="BH307" s="106">
        <v>7</v>
      </c>
      <c r="BI307" s="104">
        <v>2</v>
      </c>
      <c r="BJ307" s="105">
        <v>3</v>
      </c>
      <c r="BK307" s="105">
        <v>1</v>
      </c>
      <c r="BM307" s="103" t="s">
        <v>173</v>
      </c>
      <c r="BN307" s="105" t="s">
        <v>174</v>
      </c>
      <c r="BO307" s="106" t="s">
        <v>175</v>
      </c>
      <c r="BP307" s="103" t="s">
        <v>173</v>
      </c>
      <c r="BQ307" s="106" t="s">
        <v>175</v>
      </c>
      <c r="BR307" s="105" t="s">
        <v>174</v>
      </c>
      <c r="BS307" s="104" t="s">
        <v>176</v>
      </c>
      <c r="BT307" s="104" t="s">
        <v>176</v>
      </c>
      <c r="BU307" s="106" t="s">
        <v>175</v>
      </c>
      <c r="BV307" s="105" t="s">
        <v>174</v>
      </c>
      <c r="BW307" s="103" t="s">
        <v>173</v>
      </c>
      <c r="BX307" s="105" t="s">
        <v>174</v>
      </c>
      <c r="BY307" s="106" t="s">
        <v>175</v>
      </c>
      <c r="BZ307" s="106" t="s">
        <v>175</v>
      </c>
      <c r="CA307" s="104" t="s">
        <v>176</v>
      </c>
      <c r="CB307" s="105" t="s">
        <v>174</v>
      </c>
      <c r="CC307" s="106" t="s">
        <v>175</v>
      </c>
      <c r="CD307" s="103" t="s">
        <v>173</v>
      </c>
      <c r="CE307" s="106" t="s">
        <v>175</v>
      </c>
      <c r="CF307" s="106" t="s">
        <v>175</v>
      </c>
      <c r="CG307" s="106" t="s">
        <v>175</v>
      </c>
      <c r="CH307" s="103" t="s">
        <v>173</v>
      </c>
      <c r="CI307" s="106" t="s">
        <v>175</v>
      </c>
      <c r="CJ307" s="106" t="s">
        <v>175</v>
      </c>
      <c r="CK307" s="105" t="s">
        <v>174</v>
      </c>
      <c r="CL307" s="105" t="s">
        <v>174</v>
      </c>
      <c r="CM307" s="103" t="s">
        <v>173</v>
      </c>
      <c r="CN307" s="106" t="s">
        <v>175</v>
      </c>
      <c r="CO307" s="105" t="s">
        <v>174</v>
      </c>
      <c r="CP307" s="103" t="s">
        <v>173</v>
      </c>
      <c r="CQ307" s="106" t="s">
        <v>175</v>
      </c>
      <c r="CR307" s="106" t="s">
        <v>175</v>
      </c>
      <c r="CS307" s="106" t="s">
        <v>175</v>
      </c>
      <c r="CT307" s="105" t="s">
        <v>174</v>
      </c>
      <c r="CU307" s="106" t="s">
        <v>175</v>
      </c>
      <c r="CV307" s="103" t="s">
        <v>173</v>
      </c>
      <c r="CW307" s="103" t="s">
        <v>173</v>
      </c>
      <c r="CX307" s="103" t="s">
        <v>173</v>
      </c>
      <c r="CY307" s="103" t="s">
        <v>173</v>
      </c>
      <c r="CZ307" s="104" t="s">
        <v>176</v>
      </c>
      <c r="DA307" s="103" t="s">
        <v>173</v>
      </c>
      <c r="DB307" s="106" t="s">
        <v>175</v>
      </c>
      <c r="DC307" s="103" t="s">
        <v>173</v>
      </c>
      <c r="DD307" s="104" t="s">
        <v>176</v>
      </c>
      <c r="DE307" s="103" t="s">
        <v>173</v>
      </c>
      <c r="DF307" s="104" t="s">
        <v>176</v>
      </c>
      <c r="DG307" s="106" t="s">
        <v>175</v>
      </c>
      <c r="DH307" s="104" t="s">
        <v>176</v>
      </c>
      <c r="DI307" s="105" t="s">
        <v>174</v>
      </c>
      <c r="DJ307" s="105" t="s">
        <v>174</v>
      </c>
    </row>
    <row r="308" spans="2:114" ht="23.25">
      <c r="B308" s="15">
        <f t="shared" si="22"/>
        <v>131</v>
      </c>
      <c r="C308" s="15">
        <v>7</v>
      </c>
      <c r="D308" s="16">
        <v>14</v>
      </c>
      <c r="E308" s="26" t="s">
        <v>187</v>
      </c>
      <c r="F308" s="29">
        <f>IF(ISBLANK(E308),0,IF(E308=Answers!E308,1,-1))</f>
        <v>1</v>
      </c>
      <c r="G308" s="44"/>
      <c r="H308" s="44"/>
      <c r="I308" s="62">
        <v>4</v>
      </c>
      <c r="J308" s="62">
        <v>2</v>
      </c>
      <c r="K308" s="62">
        <v>2</v>
      </c>
      <c r="L308" s="62">
        <v>0</v>
      </c>
      <c r="M308" s="44"/>
      <c r="N308" s="103">
        <v>2</v>
      </c>
      <c r="O308" s="104">
        <v>3</v>
      </c>
      <c r="P308" s="103">
        <v>6</v>
      </c>
      <c r="Q308" s="105">
        <v>6</v>
      </c>
      <c r="R308" s="104">
        <v>1</v>
      </c>
      <c r="S308" s="106">
        <v>1</v>
      </c>
      <c r="T308" s="103">
        <v>1</v>
      </c>
      <c r="U308" s="105">
        <v>3</v>
      </c>
      <c r="V308" s="103">
        <v>7</v>
      </c>
      <c r="W308" s="106">
        <v>2</v>
      </c>
      <c r="X308" s="103">
        <v>5</v>
      </c>
      <c r="Y308" s="106">
        <v>7</v>
      </c>
      <c r="Z308" s="105">
        <v>3</v>
      </c>
      <c r="AA308" s="104">
        <v>7</v>
      </c>
      <c r="AB308" s="104">
        <v>3</v>
      </c>
      <c r="AC308" s="104">
        <v>5</v>
      </c>
      <c r="AD308" s="106">
        <v>2</v>
      </c>
      <c r="AE308" s="106">
        <v>6</v>
      </c>
      <c r="AF308" s="104">
        <v>5</v>
      </c>
      <c r="AG308" s="105">
        <v>4</v>
      </c>
      <c r="AH308" s="104">
        <v>3</v>
      </c>
      <c r="AI308" s="104">
        <v>5</v>
      </c>
      <c r="AJ308" s="105">
        <v>7</v>
      </c>
      <c r="AK308" s="103">
        <v>7</v>
      </c>
      <c r="AL308" s="104">
        <v>6</v>
      </c>
      <c r="AM308" s="103">
        <v>7</v>
      </c>
      <c r="AN308" s="104">
        <v>7</v>
      </c>
      <c r="AO308" s="106">
        <v>4</v>
      </c>
      <c r="AP308" s="105">
        <v>1</v>
      </c>
      <c r="AQ308" s="103">
        <v>7</v>
      </c>
      <c r="AR308" s="105">
        <v>5</v>
      </c>
      <c r="AS308" s="104">
        <v>6</v>
      </c>
      <c r="AT308" s="104">
        <v>4</v>
      </c>
      <c r="AU308" s="103">
        <v>2</v>
      </c>
      <c r="AV308" s="104">
        <v>5</v>
      </c>
      <c r="AW308" s="103">
        <v>7</v>
      </c>
      <c r="AX308" s="103">
        <v>6</v>
      </c>
      <c r="AY308" s="105">
        <v>7</v>
      </c>
      <c r="AZ308" s="103">
        <v>6</v>
      </c>
      <c r="BA308" s="104">
        <v>4</v>
      </c>
      <c r="BB308" s="106">
        <v>2</v>
      </c>
      <c r="BC308" s="104">
        <v>1</v>
      </c>
      <c r="BD308" s="103">
        <v>2</v>
      </c>
      <c r="BE308" s="104">
        <v>5</v>
      </c>
      <c r="BF308" s="106">
        <v>1</v>
      </c>
      <c r="BG308" s="104">
        <v>7</v>
      </c>
      <c r="BH308" s="104">
        <v>4</v>
      </c>
      <c r="BI308" s="104">
        <v>1</v>
      </c>
      <c r="BJ308" s="106">
        <v>3</v>
      </c>
      <c r="BK308" s="104">
        <v>3</v>
      </c>
      <c r="BM308" s="103" t="s">
        <v>173</v>
      </c>
      <c r="BN308" s="104" t="s">
        <v>176</v>
      </c>
      <c r="BO308" s="103" t="s">
        <v>173</v>
      </c>
      <c r="BP308" s="105" t="s">
        <v>174</v>
      </c>
      <c r="BQ308" s="104" t="s">
        <v>176</v>
      </c>
      <c r="BR308" s="106" t="s">
        <v>175</v>
      </c>
      <c r="BS308" s="103" t="s">
        <v>173</v>
      </c>
      <c r="BT308" s="105" t="s">
        <v>174</v>
      </c>
      <c r="BU308" s="103" t="s">
        <v>173</v>
      </c>
      <c r="BV308" s="106" t="s">
        <v>175</v>
      </c>
      <c r="BW308" s="103" t="s">
        <v>173</v>
      </c>
      <c r="BX308" s="106" t="s">
        <v>175</v>
      </c>
      <c r="BY308" s="105" t="s">
        <v>174</v>
      </c>
      <c r="BZ308" s="104" t="s">
        <v>176</v>
      </c>
      <c r="CA308" s="104" t="s">
        <v>176</v>
      </c>
      <c r="CB308" s="104" t="s">
        <v>176</v>
      </c>
      <c r="CC308" s="106" t="s">
        <v>175</v>
      </c>
      <c r="CD308" s="106" t="s">
        <v>175</v>
      </c>
      <c r="CE308" s="104" t="s">
        <v>176</v>
      </c>
      <c r="CF308" s="105" t="s">
        <v>174</v>
      </c>
      <c r="CG308" s="104" t="s">
        <v>176</v>
      </c>
      <c r="CH308" s="104" t="s">
        <v>176</v>
      </c>
      <c r="CI308" s="105" t="s">
        <v>174</v>
      </c>
      <c r="CJ308" s="103" t="s">
        <v>173</v>
      </c>
      <c r="CK308" s="104" t="s">
        <v>176</v>
      </c>
      <c r="CL308" s="103" t="s">
        <v>173</v>
      </c>
      <c r="CM308" s="104" t="s">
        <v>176</v>
      </c>
      <c r="CN308" s="106" t="s">
        <v>175</v>
      </c>
      <c r="CO308" s="105" t="s">
        <v>174</v>
      </c>
      <c r="CP308" s="103" t="s">
        <v>173</v>
      </c>
      <c r="CQ308" s="105" t="s">
        <v>174</v>
      </c>
      <c r="CR308" s="104" t="s">
        <v>176</v>
      </c>
      <c r="CS308" s="104" t="s">
        <v>176</v>
      </c>
      <c r="CT308" s="103" t="s">
        <v>173</v>
      </c>
      <c r="CU308" s="104" t="s">
        <v>176</v>
      </c>
      <c r="CV308" s="103" t="s">
        <v>173</v>
      </c>
      <c r="CW308" s="103" t="s">
        <v>173</v>
      </c>
      <c r="CX308" s="105" t="s">
        <v>174</v>
      </c>
      <c r="CY308" s="103" t="s">
        <v>173</v>
      </c>
      <c r="CZ308" s="104" t="s">
        <v>176</v>
      </c>
      <c r="DA308" s="106" t="s">
        <v>175</v>
      </c>
      <c r="DB308" s="104" t="s">
        <v>176</v>
      </c>
      <c r="DC308" s="103" t="s">
        <v>173</v>
      </c>
      <c r="DD308" s="104" t="s">
        <v>176</v>
      </c>
      <c r="DE308" s="106" t="s">
        <v>175</v>
      </c>
      <c r="DF308" s="104" t="s">
        <v>176</v>
      </c>
      <c r="DG308" s="104" t="s">
        <v>176</v>
      </c>
      <c r="DH308" s="104" t="s">
        <v>176</v>
      </c>
      <c r="DI308" s="106" t="s">
        <v>175</v>
      </c>
      <c r="DJ308" s="104" t="s">
        <v>176</v>
      </c>
    </row>
    <row r="309" spans="2:114" ht="23.25">
      <c r="B309" s="15">
        <f t="shared" si="22"/>
        <v>132</v>
      </c>
      <c r="C309" s="15">
        <v>7</v>
      </c>
      <c r="D309" s="16">
        <v>14</v>
      </c>
      <c r="E309" s="26" t="s">
        <v>188</v>
      </c>
      <c r="F309" s="29">
        <f>IF(ISBLANK(E309),0,IF(E309=Answers!E309,1,-1))</f>
        <v>1</v>
      </c>
      <c r="G309" s="44"/>
      <c r="H309" s="44"/>
      <c r="I309" s="62">
        <v>1</v>
      </c>
      <c r="J309" s="62">
        <v>1</v>
      </c>
      <c r="K309" s="62">
        <v>2</v>
      </c>
      <c r="L309" s="62">
        <v>1</v>
      </c>
      <c r="M309" s="44"/>
      <c r="N309" s="103">
        <v>5</v>
      </c>
      <c r="O309" s="104">
        <v>5</v>
      </c>
      <c r="P309" s="104">
        <v>3</v>
      </c>
      <c r="Q309" s="105">
        <v>3</v>
      </c>
      <c r="R309" s="105">
        <v>5</v>
      </c>
      <c r="S309" s="104">
        <v>4</v>
      </c>
      <c r="T309" s="103">
        <v>7</v>
      </c>
      <c r="U309" s="103">
        <v>3</v>
      </c>
      <c r="V309" s="105">
        <v>3</v>
      </c>
      <c r="W309" s="105">
        <v>5</v>
      </c>
      <c r="X309" s="103">
        <v>1</v>
      </c>
      <c r="Y309" s="106">
        <v>7</v>
      </c>
      <c r="Z309" s="104">
        <v>2</v>
      </c>
      <c r="AA309" s="103">
        <v>3</v>
      </c>
      <c r="AB309" s="106">
        <v>7</v>
      </c>
      <c r="AC309" s="105">
        <v>2</v>
      </c>
      <c r="AD309" s="104">
        <v>3</v>
      </c>
      <c r="AE309" s="104">
        <v>6</v>
      </c>
      <c r="AF309" s="104">
        <v>6</v>
      </c>
      <c r="AG309" s="103">
        <v>4</v>
      </c>
      <c r="AH309" s="106">
        <v>4</v>
      </c>
      <c r="AI309" s="104">
        <v>2</v>
      </c>
      <c r="AJ309" s="105">
        <v>2</v>
      </c>
      <c r="AK309" s="104">
        <v>1</v>
      </c>
      <c r="AL309" s="106">
        <v>5</v>
      </c>
      <c r="AM309" s="106">
        <v>7</v>
      </c>
      <c r="AN309" s="105">
        <v>5</v>
      </c>
      <c r="AO309" s="105">
        <v>4</v>
      </c>
      <c r="AP309" s="106">
        <v>7</v>
      </c>
      <c r="AQ309" s="104">
        <v>4</v>
      </c>
      <c r="AR309" s="105">
        <v>6</v>
      </c>
      <c r="AS309" s="103">
        <v>1</v>
      </c>
      <c r="AT309" s="105">
        <v>7</v>
      </c>
      <c r="AU309" s="104">
        <v>1</v>
      </c>
      <c r="AV309" s="106">
        <v>5</v>
      </c>
      <c r="AW309" s="104">
        <v>2</v>
      </c>
      <c r="AX309" s="106">
        <v>6</v>
      </c>
      <c r="AY309" s="106">
        <v>7</v>
      </c>
      <c r="AZ309" s="105">
        <v>4</v>
      </c>
      <c r="BA309" s="106">
        <v>7</v>
      </c>
      <c r="BB309" s="105">
        <v>3</v>
      </c>
      <c r="BC309" s="104">
        <v>7</v>
      </c>
      <c r="BD309" s="104">
        <v>2</v>
      </c>
      <c r="BE309" s="106">
        <v>3</v>
      </c>
      <c r="BF309" s="106">
        <v>3</v>
      </c>
      <c r="BG309" s="106">
        <v>7</v>
      </c>
      <c r="BH309" s="105">
        <v>7</v>
      </c>
      <c r="BI309" s="103">
        <v>2</v>
      </c>
      <c r="BJ309" s="104">
        <v>3</v>
      </c>
      <c r="BK309" s="103">
        <v>3</v>
      </c>
      <c r="BM309" s="103" t="s">
        <v>173</v>
      </c>
      <c r="BN309" s="104" t="s">
        <v>176</v>
      </c>
      <c r="BO309" s="104" t="s">
        <v>176</v>
      </c>
      <c r="BP309" s="105" t="s">
        <v>174</v>
      </c>
      <c r="BQ309" s="105" t="s">
        <v>174</v>
      </c>
      <c r="BR309" s="104" t="s">
        <v>176</v>
      </c>
      <c r="BS309" s="103" t="s">
        <v>173</v>
      </c>
      <c r="BT309" s="103" t="s">
        <v>173</v>
      </c>
      <c r="BU309" s="105" t="s">
        <v>174</v>
      </c>
      <c r="BV309" s="105" t="s">
        <v>174</v>
      </c>
      <c r="BW309" s="103" t="s">
        <v>173</v>
      </c>
      <c r="BX309" s="106" t="s">
        <v>175</v>
      </c>
      <c r="BY309" s="104" t="s">
        <v>176</v>
      </c>
      <c r="BZ309" s="103" t="s">
        <v>173</v>
      </c>
      <c r="CA309" s="106" t="s">
        <v>175</v>
      </c>
      <c r="CB309" s="105" t="s">
        <v>174</v>
      </c>
      <c r="CC309" s="104" t="s">
        <v>176</v>
      </c>
      <c r="CD309" s="104" t="s">
        <v>176</v>
      </c>
      <c r="CE309" s="104" t="s">
        <v>176</v>
      </c>
      <c r="CF309" s="103" t="s">
        <v>173</v>
      </c>
      <c r="CG309" s="106" t="s">
        <v>175</v>
      </c>
      <c r="CH309" s="104" t="s">
        <v>176</v>
      </c>
      <c r="CI309" s="105" t="s">
        <v>174</v>
      </c>
      <c r="CJ309" s="104" t="s">
        <v>176</v>
      </c>
      <c r="CK309" s="106" t="s">
        <v>175</v>
      </c>
      <c r="CL309" s="106" t="s">
        <v>175</v>
      </c>
      <c r="CM309" s="105" t="s">
        <v>174</v>
      </c>
      <c r="CN309" s="105" t="s">
        <v>174</v>
      </c>
      <c r="CO309" s="106" t="s">
        <v>175</v>
      </c>
      <c r="CP309" s="104" t="s">
        <v>176</v>
      </c>
      <c r="CQ309" s="105" t="s">
        <v>174</v>
      </c>
      <c r="CR309" s="103" t="s">
        <v>173</v>
      </c>
      <c r="CS309" s="105" t="s">
        <v>174</v>
      </c>
      <c r="CT309" s="104" t="s">
        <v>176</v>
      </c>
      <c r="CU309" s="106" t="s">
        <v>175</v>
      </c>
      <c r="CV309" s="104" t="s">
        <v>176</v>
      </c>
      <c r="CW309" s="106" t="s">
        <v>175</v>
      </c>
      <c r="CX309" s="106" t="s">
        <v>175</v>
      </c>
      <c r="CY309" s="105" t="s">
        <v>174</v>
      </c>
      <c r="CZ309" s="106" t="s">
        <v>175</v>
      </c>
      <c r="DA309" s="105" t="s">
        <v>174</v>
      </c>
      <c r="DB309" s="104" t="s">
        <v>176</v>
      </c>
      <c r="DC309" s="104" t="s">
        <v>176</v>
      </c>
      <c r="DD309" s="106" t="s">
        <v>175</v>
      </c>
      <c r="DE309" s="106" t="s">
        <v>175</v>
      </c>
      <c r="DF309" s="106" t="s">
        <v>175</v>
      </c>
      <c r="DG309" s="105" t="s">
        <v>174</v>
      </c>
      <c r="DH309" s="103" t="s">
        <v>173</v>
      </c>
      <c r="DI309" s="104" t="s">
        <v>176</v>
      </c>
      <c r="DJ309" s="103" t="s">
        <v>173</v>
      </c>
    </row>
    <row r="310" spans="2:114" ht="23.25">
      <c r="B310" s="15">
        <f t="shared" si="22"/>
        <v>133</v>
      </c>
      <c r="C310" s="15">
        <v>7</v>
      </c>
      <c r="D310" s="16">
        <v>14</v>
      </c>
      <c r="E310" s="26" t="s">
        <v>189</v>
      </c>
      <c r="F310" s="29">
        <f>IF(ISBLANK(E310),0,IF(E310=Answers!E310,1,-1))</f>
        <v>1</v>
      </c>
      <c r="G310" s="44"/>
      <c r="H310" s="44"/>
      <c r="I310" s="62">
        <v>0</v>
      </c>
      <c r="J310" s="62">
        <v>2</v>
      </c>
      <c r="K310" s="62">
        <v>1</v>
      </c>
      <c r="L310" s="62">
        <v>3</v>
      </c>
      <c r="M310" s="44"/>
      <c r="N310" s="106">
        <v>2</v>
      </c>
      <c r="O310" s="104">
        <v>1</v>
      </c>
      <c r="P310" s="103">
        <v>2</v>
      </c>
      <c r="Q310" s="104">
        <v>6</v>
      </c>
      <c r="R310" s="105">
        <v>2</v>
      </c>
      <c r="S310" s="103">
        <v>2</v>
      </c>
      <c r="T310" s="104">
        <v>4</v>
      </c>
      <c r="U310" s="104">
        <v>1</v>
      </c>
      <c r="V310" s="103">
        <v>5</v>
      </c>
      <c r="W310" s="104">
        <v>5</v>
      </c>
      <c r="X310" s="103">
        <v>6</v>
      </c>
      <c r="Y310" s="104">
        <v>4</v>
      </c>
      <c r="Z310" s="106">
        <v>2</v>
      </c>
      <c r="AA310" s="105">
        <v>7</v>
      </c>
      <c r="AB310" s="104">
        <v>5</v>
      </c>
      <c r="AC310" s="105">
        <v>7</v>
      </c>
      <c r="AD310" s="104">
        <v>7</v>
      </c>
      <c r="AE310" s="104">
        <v>6</v>
      </c>
      <c r="AF310" s="103">
        <v>4</v>
      </c>
      <c r="AG310" s="104">
        <v>3</v>
      </c>
      <c r="AH310" s="106">
        <v>3</v>
      </c>
      <c r="AI310" s="104">
        <v>7</v>
      </c>
      <c r="AJ310" s="106">
        <v>6</v>
      </c>
      <c r="AK310" s="104">
        <v>7</v>
      </c>
      <c r="AL310" s="106">
        <v>7</v>
      </c>
      <c r="AM310" s="104">
        <v>7</v>
      </c>
      <c r="AN310" s="104">
        <v>2</v>
      </c>
      <c r="AO310" s="104">
        <v>2</v>
      </c>
      <c r="AP310" s="105">
        <v>4</v>
      </c>
      <c r="AQ310" s="105">
        <v>4</v>
      </c>
      <c r="AR310" s="103">
        <v>5</v>
      </c>
      <c r="AS310" s="104">
        <v>5</v>
      </c>
      <c r="AT310" s="104">
        <v>2</v>
      </c>
      <c r="AU310" s="105">
        <v>5</v>
      </c>
      <c r="AV310" s="105">
        <v>5</v>
      </c>
      <c r="AW310" s="106">
        <v>1</v>
      </c>
      <c r="AX310" s="104">
        <v>6</v>
      </c>
      <c r="AY310" s="105">
        <v>7</v>
      </c>
      <c r="AZ310" s="103">
        <v>4</v>
      </c>
      <c r="BA310" s="106">
        <v>5</v>
      </c>
      <c r="BB310" s="106">
        <v>7</v>
      </c>
      <c r="BC310" s="106">
        <v>3</v>
      </c>
      <c r="BD310" s="103">
        <v>7</v>
      </c>
      <c r="BE310" s="105">
        <v>6</v>
      </c>
      <c r="BF310" s="103">
        <v>7</v>
      </c>
      <c r="BG310" s="106">
        <v>3</v>
      </c>
      <c r="BH310" s="103">
        <v>7</v>
      </c>
      <c r="BI310" s="105">
        <v>5</v>
      </c>
      <c r="BJ310" s="106">
        <v>6</v>
      </c>
      <c r="BK310" s="104">
        <v>2</v>
      </c>
      <c r="BM310" s="106" t="s">
        <v>175</v>
      </c>
      <c r="BN310" s="104" t="s">
        <v>176</v>
      </c>
      <c r="BO310" s="103" t="s">
        <v>173</v>
      </c>
      <c r="BP310" s="104" t="s">
        <v>176</v>
      </c>
      <c r="BQ310" s="105" t="s">
        <v>174</v>
      </c>
      <c r="BR310" s="103" t="s">
        <v>173</v>
      </c>
      <c r="BS310" s="104" t="s">
        <v>176</v>
      </c>
      <c r="BT310" s="104" t="s">
        <v>176</v>
      </c>
      <c r="BU310" s="103" t="s">
        <v>173</v>
      </c>
      <c r="BV310" s="104" t="s">
        <v>176</v>
      </c>
      <c r="BW310" s="103" t="s">
        <v>173</v>
      </c>
      <c r="BX310" s="104" t="s">
        <v>176</v>
      </c>
      <c r="BY310" s="106" t="s">
        <v>175</v>
      </c>
      <c r="BZ310" s="105" t="s">
        <v>174</v>
      </c>
      <c r="CA310" s="104" t="s">
        <v>176</v>
      </c>
      <c r="CB310" s="105" t="s">
        <v>174</v>
      </c>
      <c r="CC310" s="104" t="s">
        <v>176</v>
      </c>
      <c r="CD310" s="104" t="s">
        <v>176</v>
      </c>
      <c r="CE310" s="103" t="s">
        <v>173</v>
      </c>
      <c r="CF310" s="104" t="s">
        <v>176</v>
      </c>
      <c r="CG310" s="106" t="s">
        <v>175</v>
      </c>
      <c r="CH310" s="104" t="s">
        <v>176</v>
      </c>
      <c r="CI310" s="106" t="s">
        <v>175</v>
      </c>
      <c r="CJ310" s="104" t="s">
        <v>176</v>
      </c>
      <c r="CK310" s="106" t="s">
        <v>175</v>
      </c>
      <c r="CL310" s="104" t="s">
        <v>176</v>
      </c>
      <c r="CM310" s="104" t="s">
        <v>176</v>
      </c>
      <c r="CN310" s="104" t="s">
        <v>176</v>
      </c>
      <c r="CO310" s="105" t="s">
        <v>174</v>
      </c>
      <c r="CP310" s="105" t="s">
        <v>174</v>
      </c>
      <c r="CQ310" s="103" t="s">
        <v>173</v>
      </c>
      <c r="CR310" s="104" t="s">
        <v>176</v>
      </c>
      <c r="CS310" s="104" t="s">
        <v>176</v>
      </c>
      <c r="CT310" s="105" t="s">
        <v>174</v>
      </c>
      <c r="CU310" s="105" t="s">
        <v>174</v>
      </c>
      <c r="CV310" s="106" t="s">
        <v>175</v>
      </c>
      <c r="CW310" s="104" t="s">
        <v>176</v>
      </c>
      <c r="CX310" s="105" t="s">
        <v>174</v>
      </c>
      <c r="CY310" s="103" t="s">
        <v>173</v>
      </c>
      <c r="CZ310" s="106" t="s">
        <v>175</v>
      </c>
      <c r="DA310" s="106" t="s">
        <v>175</v>
      </c>
      <c r="DB310" s="106" t="s">
        <v>175</v>
      </c>
      <c r="DC310" s="103" t="s">
        <v>173</v>
      </c>
      <c r="DD310" s="105" t="s">
        <v>174</v>
      </c>
      <c r="DE310" s="103" t="s">
        <v>173</v>
      </c>
      <c r="DF310" s="106" t="s">
        <v>175</v>
      </c>
      <c r="DG310" s="103" t="s">
        <v>173</v>
      </c>
      <c r="DH310" s="105" t="s">
        <v>174</v>
      </c>
      <c r="DI310" s="106" t="s">
        <v>175</v>
      </c>
      <c r="DJ310" s="104" t="s">
        <v>176</v>
      </c>
    </row>
    <row r="311" spans="2:114" ht="23.25">
      <c r="B311" s="15">
        <f t="shared" si="22"/>
        <v>134</v>
      </c>
      <c r="C311" s="15">
        <v>7</v>
      </c>
      <c r="D311" s="16">
        <v>14</v>
      </c>
      <c r="E311" s="26" t="s">
        <v>190</v>
      </c>
      <c r="F311" s="29">
        <f>IF(ISBLANK(E311),0,IF(E311=Answers!E311,1,-1))</f>
        <v>1</v>
      </c>
      <c r="G311" s="44"/>
      <c r="H311" s="44"/>
      <c r="I311" s="62">
        <v>0</v>
      </c>
      <c r="J311" s="62">
        <v>4</v>
      </c>
      <c r="K311" s="62">
        <v>4</v>
      </c>
      <c r="L311" s="62">
        <v>2</v>
      </c>
      <c r="M311" s="44"/>
      <c r="N311" s="103">
        <v>7</v>
      </c>
      <c r="O311" s="104">
        <v>6</v>
      </c>
      <c r="P311" s="106">
        <v>6</v>
      </c>
      <c r="Q311" s="103">
        <v>7</v>
      </c>
      <c r="R311" s="104">
        <v>6</v>
      </c>
      <c r="S311" s="106">
        <v>6</v>
      </c>
      <c r="T311" s="106">
        <v>2</v>
      </c>
      <c r="U311" s="106">
        <v>3</v>
      </c>
      <c r="V311" s="103">
        <v>6</v>
      </c>
      <c r="W311" s="106">
        <v>6</v>
      </c>
      <c r="X311" s="103">
        <v>3</v>
      </c>
      <c r="Y311" s="106">
        <v>5</v>
      </c>
      <c r="Z311" s="105">
        <v>3</v>
      </c>
      <c r="AA311" s="106">
        <v>1</v>
      </c>
      <c r="AB311" s="106">
        <v>5</v>
      </c>
      <c r="AC311" s="103">
        <v>6</v>
      </c>
      <c r="AD311" s="105">
        <v>5</v>
      </c>
      <c r="AE311" s="106">
        <v>5</v>
      </c>
      <c r="AF311" s="104">
        <v>2</v>
      </c>
      <c r="AG311" s="103">
        <v>1</v>
      </c>
      <c r="AH311" s="105">
        <v>5</v>
      </c>
      <c r="AI311" s="103">
        <v>4</v>
      </c>
      <c r="AJ311" s="103">
        <v>4</v>
      </c>
      <c r="AK311" s="106">
        <v>2</v>
      </c>
      <c r="AL311" s="103">
        <v>2</v>
      </c>
      <c r="AM311" s="106">
        <v>2</v>
      </c>
      <c r="AN311" s="104">
        <v>2</v>
      </c>
      <c r="AO311" s="103">
        <v>7</v>
      </c>
      <c r="AP311" s="104">
        <v>3</v>
      </c>
      <c r="AQ311" s="106">
        <v>6</v>
      </c>
      <c r="AR311" s="106">
        <v>6</v>
      </c>
      <c r="AS311" s="105">
        <v>5</v>
      </c>
      <c r="AT311" s="105">
        <v>7</v>
      </c>
      <c r="AU311" s="103">
        <v>7</v>
      </c>
      <c r="AV311" s="104">
        <v>4</v>
      </c>
      <c r="AW311" s="104">
        <v>1</v>
      </c>
      <c r="AX311" s="103">
        <v>1</v>
      </c>
      <c r="AY311" s="103">
        <v>1</v>
      </c>
      <c r="AZ311" s="105">
        <v>7</v>
      </c>
      <c r="BA311" s="105">
        <v>3</v>
      </c>
      <c r="BB311" s="105">
        <v>3</v>
      </c>
      <c r="BC311" s="103">
        <v>7</v>
      </c>
      <c r="BD311" s="105">
        <v>3</v>
      </c>
      <c r="BE311" s="104">
        <v>4</v>
      </c>
      <c r="BF311" s="103">
        <v>7</v>
      </c>
      <c r="BG311" s="105">
        <v>2</v>
      </c>
      <c r="BH311" s="104">
        <v>3</v>
      </c>
      <c r="BI311" s="103">
        <v>4</v>
      </c>
      <c r="BJ311" s="106">
        <v>2</v>
      </c>
      <c r="BK311" s="103">
        <v>3</v>
      </c>
      <c r="BM311" s="103" t="s">
        <v>173</v>
      </c>
      <c r="BN311" s="104" t="s">
        <v>176</v>
      </c>
      <c r="BO311" s="106" t="s">
        <v>175</v>
      </c>
      <c r="BP311" s="103" t="s">
        <v>173</v>
      </c>
      <c r="BQ311" s="104" t="s">
        <v>176</v>
      </c>
      <c r="BR311" s="106" t="s">
        <v>175</v>
      </c>
      <c r="BS311" s="106" t="s">
        <v>175</v>
      </c>
      <c r="BT311" s="106" t="s">
        <v>175</v>
      </c>
      <c r="BU311" s="103" t="s">
        <v>173</v>
      </c>
      <c r="BV311" s="106" t="s">
        <v>175</v>
      </c>
      <c r="BW311" s="103" t="s">
        <v>173</v>
      </c>
      <c r="BX311" s="106" t="s">
        <v>175</v>
      </c>
      <c r="BY311" s="105" t="s">
        <v>174</v>
      </c>
      <c r="BZ311" s="106" t="s">
        <v>175</v>
      </c>
      <c r="CA311" s="106" t="s">
        <v>175</v>
      </c>
      <c r="CB311" s="103" t="s">
        <v>173</v>
      </c>
      <c r="CC311" s="105" t="s">
        <v>174</v>
      </c>
      <c r="CD311" s="106" t="s">
        <v>175</v>
      </c>
      <c r="CE311" s="104" t="s">
        <v>176</v>
      </c>
      <c r="CF311" s="103" t="s">
        <v>173</v>
      </c>
      <c r="CG311" s="105" t="s">
        <v>174</v>
      </c>
      <c r="CH311" s="103" t="s">
        <v>173</v>
      </c>
      <c r="CI311" s="103" t="s">
        <v>173</v>
      </c>
      <c r="CJ311" s="106" t="s">
        <v>175</v>
      </c>
      <c r="CK311" s="103" t="s">
        <v>173</v>
      </c>
      <c r="CL311" s="106" t="s">
        <v>175</v>
      </c>
      <c r="CM311" s="104" t="s">
        <v>176</v>
      </c>
      <c r="CN311" s="103" t="s">
        <v>173</v>
      </c>
      <c r="CO311" s="104" t="s">
        <v>176</v>
      </c>
      <c r="CP311" s="106" t="s">
        <v>175</v>
      </c>
      <c r="CQ311" s="106" t="s">
        <v>175</v>
      </c>
      <c r="CR311" s="105" t="s">
        <v>174</v>
      </c>
      <c r="CS311" s="105" t="s">
        <v>174</v>
      </c>
      <c r="CT311" s="103" t="s">
        <v>173</v>
      </c>
      <c r="CU311" s="104" t="s">
        <v>176</v>
      </c>
      <c r="CV311" s="104" t="s">
        <v>176</v>
      </c>
      <c r="CW311" s="103" t="s">
        <v>173</v>
      </c>
      <c r="CX311" s="103" t="s">
        <v>173</v>
      </c>
      <c r="CY311" s="105" t="s">
        <v>174</v>
      </c>
      <c r="CZ311" s="105" t="s">
        <v>174</v>
      </c>
      <c r="DA311" s="105" t="s">
        <v>174</v>
      </c>
      <c r="DB311" s="103" t="s">
        <v>173</v>
      </c>
      <c r="DC311" s="105" t="s">
        <v>174</v>
      </c>
      <c r="DD311" s="104" t="s">
        <v>176</v>
      </c>
      <c r="DE311" s="103" t="s">
        <v>173</v>
      </c>
      <c r="DF311" s="105" t="s">
        <v>174</v>
      </c>
      <c r="DG311" s="104" t="s">
        <v>176</v>
      </c>
      <c r="DH311" s="103" t="s">
        <v>173</v>
      </c>
      <c r="DI311" s="106" t="s">
        <v>175</v>
      </c>
      <c r="DJ311" s="103" t="s">
        <v>173</v>
      </c>
    </row>
    <row r="312" spans="2:114" ht="23.25">
      <c r="B312" s="15">
        <f t="shared" si="22"/>
        <v>135</v>
      </c>
      <c r="C312" s="15">
        <v>7</v>
      </c>
      <c r="D312" s="16">
        <v>14</v>
      </c>
      <c r="E312" s="26" t="s">
        <v>191</v>
      </c>
      <c r="F312" s="29">
        <f>IF(ISBLANK(E312),0,IF(E312=Answers!E312,1,-1))</f>
        <v>1</v>
      </c>
      <c r="G312" s="44"/>
      <c r="H312" s="44"/>
      <c r="I312" s="62">
        <v>5</v>
      </c>
      <c r="J312" s="62">
        <v>5</v>
      </c>
      <c r="K312" s="62">
        <v>0</v>
      </c>
      <c r="L312" s="62">
        <v>1</v>
      </c>
      <c r="M312" s="44"/>
      <c r="N312" s="105">
        <v>6</v>
      </c>
      <c r="O312" s="106">
        <v>7</v>
      </c>
      <c r="P312" s="105">
        <v>2</v>
      </c>
      <c r="Q312" s="104">
        <v>3</v>
      </c>
      <c r="R312" s="104">
        <v>3</v>
      </c>
      <c r="S312" s="106">
        <v>2</v>
      </c>
      <c r="T312" s="106">
        <v>4</v>
      </c>
      <c r="U312" s="106">
        <v>6</v>
      </c>
      <c r="V312" s="104">
        <v>2</v>
      </c>
      <c r="W312" s="103">
        <v>6</v>
      </c>
      <c r="X312" s="105">
        <v>4</v>
      </c>
      <c r="Y312" s="106">
        <v>3</v>
      </c>
      <c r="Z312" s="106">
        <v>4</v>
      </c>
      <c r="AA312" s="106">
        <v>1</v>
      </c>
      <c r="AB312" s="105">
        <v>4</v>
      </c>
      <c r="AC312" s="105">
        <v>3</v>
      </c>
      <c r="AD312" s="104">
        <v>4</v>
      </c>
      <c r="AE312" s="103">
        <v>5</v>
      </c>
      <c r="AF312" s="106">
        <v>3</v>
      </c>
      <c r="AG312" s="106">
        <v>1</v>
      </c>
      <c r="AH312" s="103">
        <v>5</v>
      </c>
      <c r="AI312" s="104">
        <v>3</v>
      </c>
      <c r="AJ312" s="105">
        <v>7</v>
      </c>
      <c r="AK312" s="103">
        <v>6</v>
      </c>
      <c r="AL312" s="104">
        <v>5</v>
      </c>
      <c r="AM312" s="106">
        <v>1</v>
      </c>
      <c r="AN312" s="104">
        <v>1</v>
      </c>
      <c r="AO312" s="106">
        <v>2</v>
      </c>
      <c r="AP312" s="103">
        <v>2</v>
      </c>
      <c r="AQ312" s="103">
        <v>2</v>
      </c>
      <c r="AR312" s="103">
        <v>4</v>
      </c>
      <c r="AS312" s="103">
        <v>6</v>
      </c>
      <c r="AT312" s="104">
        <v>1</v>
      </c>
      <c r="AU312" s="103">
        <v>5</v>
      </c>
      <c r="AV312" s="106">
        <v>7</v>
      </c>
      <c r="AW312" s="103">
        <v>2</v>
      </c>
      <c r="AX312" s="104">
        <v>3</v>
      </c>
      <c r="AY312" s="104">
        <v>2</v>
      </c>
      <c r="AZ312" s="105">
        <v>7</v>
      </c>
      <c r="BA312" s="103">
        <v>6</v>
      </c>
      <c r="BB312" s="105">
        <v>4</v>
      </c>
      <c r="BC312" s="103">
        <v>1</v>
      </c>
      <c r="BD312" s="104">
        <v>3</v>
      </c>
      <c r="BE312" s="103">
        <v>6</v>
      </c>
      <c r="BF312" s="103">
        <v>4</v>
      </c>
      <c r="BG312" s="106">
        <v>4</v>
      </c>
      <c r="BH312" s="106">
        <v>7</v>
      </c>
      <c r="BI312" s="106">
        <v>2</v>
      </c>
      <c r="BJ312" s="103">
        <v>7</v>
      </c>
      <c r="BK312" s="104">
        <v>1</v>
      </c>
      <c r="BM312" s="105" t="s">
        <v>174</v>
      </c>
      <c r="BN312" s="106" t="s">
        <v>175</v>
      </c>
      <c r="BO312" s="105" t="s">
        <v>174</v>
      </c>
      <c r="BP312" s="104" t="s">
        <v>176</v>
      </c>
      <c r="BQ312" s="104" t="s">
        <v>176</v>
      </c>
      <c r="BR312" s="106" t="s">
        <v>175</v>
      </c>
      <c r="BS312" s="106" t="s">
        <v>175</v>
      </c>
      <c r="BT312" s="106" t="s">
        <v>175</v>
      </c>
      <c r="BU312" s="104" t="s">
        <v>176</v>
      </c>
      <c r="BV312" s="103" t="s">
        <v>173</v>
      </c>
      <c r="BW312" s="105" t="s">
        <v>174</v>
      </c>
      <c r="BX312" s="106" t="s">
        <v>175</v>
      </c>
      <c r="BY312" s="106" t="s">
        <v>175</v>
      </c>
      <c r="BZ312" s="106" t="s">
        <v>175</v>
      </c>
      <c r="CA312" s="105" t="s">
        <v>174</v>
      </c>
      <c r="CB312" s="105" t="s">
        <v>174</v>
      </c>
      <c r="CC312" s="104" t="s">
        <v>176</v>
      </c>
      <c r="CD312" s="103" t="s">
        <v>173</v>
      </c>
      <c r="CE312" s="106" t="s">
        <v>175</v>
      </c>
      <c r="CF312" s="106" t="s">
        <v>175</v>
      </c>
      <c r="CG312" s="103" t="s">
        <v>173</v>
      </c>
      <c r="CH312" s="104" t="s">
        <v>176</v>
      </c>
      <c r="CI312" s="105" t="s">
        <v>174</v>
      </c>
      <c r="CJ312" s="103" t="s">
        <v>173</v>
      </c>
      <c r="CK312" s="104" t="s">
        <v>176</v>
      </c>
      <c r="CL312" s="106" t="s">
        <v>175</v>
      </c>
      <c r="CM312" s="104" t="s">
        <v>176</v>
      </c>
      <c r="CN312" s="106" t="s">
        <v>175</v>
      </c>
      <c r="CO312" s="103" t="s">
        <v>173</v>
      </c>
      <c r="CP312" s="103" t="s">
        <v>173</v>
      </c>
      <c r="CQ312" s="103" t="s">
        <v>173</v>
      </c>
      <c r="CR312" s="103" t="s">
        <v>173</v>
      </c>
      <c r="CS312" s="104" t="s">
        <v>176</v>
      </c>
      <c r="CT312" s="103" t="s">
        <v>173</v>
      </c>
      <c r="CU312" s="106" t="s">
        <v>175</v>
      </c>
      <c r="CV312" s="103" t="s">
        <v>173</v>
      </c>
      <c r="CW312" s="104" t="s">
        <v>176</v>
      </c>
      <c r="CX312" s="104" t="s">
        <v>176</v>
      </c>
      <c r="CY312" s="105" t="s">
        <v>174</v>
      </c>
      <c r="CZ312" s="103" t="s">
        <v>173</v>
      </c>
      <c r="DA312" s="105" t="s">
        <v>174</v>
      </c>
      <c r="DB312" s="103" t="s">
        <v>173</v>
      </c>
      <c r="DC312" s="104" t="s">
        <v>176</v>
      </c>
      <c r="DD312" s="103" t="s">
        <v>173</v>
      </c>
      <c r="DE312" s="103" t="s">
        <v>173</v>
      </c>
      <c r="DF312" s="106" t="s">
        <v>175</v>
      </c>
      <c r="DG312" s="106" t="s">
        <v>175</v>
      </c>
      <c r="DH312" s="106" t="s">
        <v>175</v>
      </c>
      <c r="DI312" s="103" t="s">
        <v>173</v>
      </c>
      <c r="DJ312" s="104" t="s">
        <v>176</v>
      </c>
    </row>
    <row r="313" spans="2:114" ht="23.25">
      <c r="B313" s="15">
        <f t="shared" si="22"/>
        <v>136</v>
      </c>
      <c r="C313" s="15">
        <v>7</v>
      </c>
      <c r="D313" s="16">
        <v>14</v>
      </c>
      <c r="E313" s="26" t="s">
        <v>192</v>
      </c>
      <c r="F313" s="29">
        <f>IF(ISBLANK(E313),0,IF(E313=Answers!E313,1,-1))</f>
        <v>1</v>
      </c>
      <c r="G313" s="44"/>
      <c r="H313" s="44"/>
      <c r="I313" s="62">
        <v>1</v>
      </c>
      <c r="J313" s="62">
        <v>2</v>
      </c>
      <c r="K313" s="62">
        <v>4</v>
      </c>
      <c r="L313" s="62">
        <v>1</v>
      </c>
      <c r="M313" s="44"/>
      <c r="N313" s="105">
        <v>2</v>
      </c>
      <c r="O313" s="105">
        <v>2</v>
      </c>
      <c r="P313" s="103">
        <v>7</v>
      </c>
      <c r="Q313" s="106">
        <v>7</v>
      </c>
      <c r="R313" s="103">
        <v>2</v>
      </c>
      <c r="S313" s="106">
        <v>2</v>
      </c>
      <c r="T313" s="105">
        <v>3</v>
      </c>
      <c r="U313" s="106">
        <v>3</v>
      </c>
      <c r="V313" s="105">
        <v>7</v>
      </c>
      <c r="W313" s="103">
        <v>3</v>
      </c>
      <c r="X313" s="103">
        <v>5</v>
      </c>
      <c r="Y313" s="105">
        <v>4</v>
      </c>
      <c r="Z313" s="106">
        <v>2</v>
      </c>
      <c r="AA313" s="104">
        <v>4</v>
      </c>
      <c r="AB313" s="106">
        <v>7</v>
      </c>
      <c r="AC313" s="106">
        <v>6</v>
      </c>
      <c r="AD313" s="103">
        <v>7</v>
      </c>
      <c r="AE313" s="105">
        <v>6</v>
      </c>
      <c r="AF313" s="103">
        <v>3</v>
      </c>
      <c r="AG313" s="105">
        <v>1</v>
      </c>
      <c r="AH313" s="105">
        <v>5</v>
      </c>
      <c r="AI313" s="104">
        <v>4</v>
      </c>
      <c r="AJ313" s="104">
        <v>6</v>
      </c>
      <c r="AK313" s="106">
        <v>2</v>
      </c>
      <c r="AL313" s="106">
        <v>1</v>
      </c>
      <c r="AM313" s="104">
        <v>7</v>
      </c>
      <c r="AN313" s="105">
        <v>5</v>
      </c>
      <c r="AO313" s="106">
        <v>1</v>
      </c>
      <c r="AP313" s="103">
        <v>7</v>
      </c>
      <c r="AQ313" s="106">
        <v>3</v>
      </c>
      <c r="AR313" s="105">
        <v>7</v>
      </c>
      <c r="AS313" s="105">
        <v>4</v>
      </c>
      <c r="AT313" s="103">
        <v>2</v>
      </c>
      <c r="AU313" s="105">
        <v>6</v>
      </c>
      <c r="AV313" s="106">
        <v>3</v>
      </c>
      <c r="AW313" s="104">
        <v>2</v>
      </c>
      <c r="AX313" s="104">
        <v>7</v>
      </c>
      <c r="AY313" s="106">
        <v>1</v>
      </c>
      <c r="AZ313" s="103">
        <v>6</v>
      </c>
      <c r="BA313" s="105">
        <v>3</v>
      </c>
      <c r="BB313" s="105">
        <v>7</v>
      </c>
      <c r="BC313" s="105">
        <v>7</v>
      </c>
      <c r="BD313" s="106">
        <v>5</v>
      </c>
      <c r="BE313" s="104">
        <v>6</v>
      </c>
      <c r="BF313" s="105">
        <v>3</v>
      </c>
      <c r="BG313" s="105">
        <v>4</v>
      </c>
      <c r="BH313" s="104">
        <v>6</v>
      </c>
      <c r="BI313" s="103">
        <v>4</v>
      </c>
      <c r="BJ313" s="106">
        <v>6</v>
      </c>
      <c r="BK313" s="103">
        <v>2</v>
      </c>
      <c r="BM313" s="105" t="s">
        <v>174</v>
      </c>
      <c r="BN313" s="105" t="s">
        <v>174</v>
      </c>
      <c r="BO313" s="103" t="s">
        <v>173</v>
      </c>
      <c r="BP313" s="106" t="s">
        <v>175</v>
      </c>
      <c r="BQ313" s="103" t="s">
        <v>173</v>
      </c>
      <c r="BR313" s="106" t="s">
        <v>175</v>
      </c>
      <c r="BS313" s="105" t="s">
        <v>174</v>
      </c>
      <c r="BT313" s="106" t="s">
        <v>175</v>
      </c>
      <c r="BU313" s="105" t="s">
        <v>174</v>
      </c>
      <c r="BV313" s="103" t="s">
        <v>173</v>
      </c>
      <c r="BW313" s="103" t="s">
        <v>173</v>
      </c>
      <c r="BX313" s="105" t="s">
        <v>174</v>
      </c>
      <c r="BY313" s="106" t="s">
        <v>175</v>
      </c>
      <c r="BZ313" s="104" t="s">
        <v>176</v>
      </c>
      <c r="CA313" s="106" t="s">
        <v>175</v>
      </c>
      <c r="CB313" s="106" t="s">
        <v>175</v>
      </c>
      <c r="CC313" s="103" t="s">
        <v>173</v>
      </c>
      <c r="CD313" s="105" t="s">
        <v>174</v>
      </c>
      <c r="CE313" s="103" t="s">
        <v>173</v>
      </c>
      <c r="CF313" s="105" t="s">
        <v>174</v>
      </c>
      <c r="CG313" s="105" t="s">
        <v>174</v>
      </c>
      <c r="CH313" s="104" t="s">
        <v>176</v>
      </c>
      <c r="CI313" s="104" t="s">
        <v>176</v>
      </c>
      <c r="CJ313" s="106" t="s">
        <v>175</v>
      </c>
      <c r="CK313" s="106" t="s">
        <v>175</v>
      </c>
      <c r="CL313" s="104" t="s">
        <v>176</v>
      </c>
      <c r="CM313" s="105" t="s">
        <v>174</v>
      </c>
      <c r="CN313" s="106" t="s">
        <v>175</v>
      </c>
      <c r="CO313" s="103" t="s">
        <v>173</v>
      </c>
      <c r="CP313" s="106" t="s">
        <v>175</v>
      </c>
      <c r="CQ313" s="105" t="s">
        <v>174</v>
      </c>
      <c r="CR313" s="105" t="s">
        <v>174</v>
      </c>
      <c r="CS313" s="103" t="s">
        <v>173</v>
      </c>
      <c r="CT313" s="105" t="s">
        <v>174</v>
      </c>
      <c r="CU313" s="106" t="s">
        <v>175</v>
      </c>
      <c r="CV313" s="104" t="s">
        <v>176</v>
      </c>
      <c r="CW313" s="104" t="s">
        <v>176</v>
      </c>
      <c r="CX313" s="106" t="s">
        <v>175</v>
      </c>
      <c r="CY313" s="103" t="s">
        <v>173</v>
      </c>
      <c r="CZ313" s="105" t="s">
        <v>174</v>
      </c>
      <c r="DA313" s="105" t="s">
        <v>174</v>
      </c>
      <c r="DB313" s="105" t="s">
        <v>174</v>
      </c>
      <c r="DC313" s="106" t="s">
        <v>175</v>
      </c>
      <c r="DD313" s="104" t="s">
        <v>176</v>
      </c>
      <c r="DE313" s="105" t="s">
        <v>174</v>
      </c>
      <c r="DF313" s="105" t="s">
        <v>174</v>
      </c>
      <c r="DG313" s="104" t="s">
        <v>176</v>
      </c>
      <c r="DH313" s="103" t="s">
        <v>173</v>
      </c>
      <c r="DI313" s="106" t="s">
        <v>175</v>
      </c>
      <c r="DJ313" s="103" t="s">
        <v>173</v>
      </c>
    </row>
    <row r="314" spans="2:114" ht="23.25">
      <c r="B314" s="15">
        <f t="shared" si="22"/>
        <v>137</v>
      </c>
      <c r="C314" s="15">
        <v>7</v>
      </c>
      <c r="D314" s="16">
        <v>14</v>
      </c>
      <c r="E314" s="26" t="s">
        <v>193</v>
      </c>
      <c r="F314" s="29">
        <f>IF(ISBLANK(E314),0,IF(E314=Answers!E314,1,-1))</f>
        <v>1</v>
      </c>
      <c r="G314" s="44"/>
      <c r="H314" s="44"/>
      <c r="I314" s="62">
        <v>0</v>
      </c>
      <c r="J314" s="62">
        <v>5</v>
      </c>
      <c r="K314" s="62">
        <v>3</v>
      </c>
      <c r="L314" s="62">
        <v>2</v>
      </c>
      <c r="M314" s="44"/>
      <c r="N314" s="105">
        <v>5</v>
      </c>
      <c r="O314" s="106">
        <v>1</v>
      </c>
      <c r="P314" s="105">
        <v>7</v>
      </c>
      <c r="Q314" s="106">
        <v>3</v>
      </c>
      <c r="R314" s="103">
        <v>4</v>
      </c>
      <c r="S314" s="104">
        <v>4</v>
      </c>
      <c r="T314" s="103">
        <v>5</v>
      </c>
      <c r="U314" s="103">
        <v>6</v>
      </c>
      <c r="V314" s="103">
        <v>3</v>
      </c>
      <c r="W314" s="104">
        <v>2</v>
      </c>
      <c r="X314" s="104">
        <v>1</v>
      </c>
      <c r="Y314" s="105">
        <v>5</v>
      </c>
      <c r="Z314" s="106">
        <v>3</v>
      </c>
      <c r="AA314" s="104">
        <v>5</v>
      </c>
      <c r="AB314" s="103">
        <v>2</v>
      </c>
      <c r="AC314" s="104">
        <v>6</v>
      </c>
      <c r="AD314" s="105">
        <v>6</v>
      </c>
      <c r="AE314" s="105">
        <v>3</v>
      </c>
      <c r="AF314" s="105">
        <v>4</v>
      </c>
      <c r="AG314" s="105">
        <v>4</v>
      </c>
      <c r="AH314" s="103">
        <v>5</v>
      </c>
      <c r="AI314" s="103">
        <v>6</v>
      </c>
      <c r="AJ314" s="104">
        <v>2</v>
      </c>
      <c r="AK314" s="105">
        <v>4</v>
      </c>
      <c r="AL314" s="103">
        <v>4</v>
      </c>
      <c r="AM314" s="103">
        <v>3</v>
      </c>
      <c r="AN314" s="106">
        <v>7</v>
      </c>
      <c r="AO314" s="105">
        <v>5</v>
      </c>
      <c r="AP314" s="104">
        <v>6</v>
      </c>
      <c r="AQ314" s="103">
        <v>2</v>
      </c>
      <c r="AR314" s="105">
        <v>5</v>
      </c>
      <c r="AS314" s="106">
        <v>3</v>
      </c>
      <c r="AT314" s="105">
        <v>7</v>
      </c>
      <c r="AU314" s="104">
        <v>1</v>
      </c>
      <c r="AV314" s="106">
        <v>5</v>
      </c>
      <c r="AW314" s="104">
        <v>5</v>
      </c>
      <c r="AX314" s="103">
        <v>4</v>
      </c>
      <c r="AY314" s="103">
        <v>6</v>
      </c>
      <c r="AZ314" s="105">
        <v>7</v>
      </c>
      <c r="BA314" s="105">
        <v>7</v>
      </c>
      <c r="BB314" s="104">
        <v>1</v>
      </c>
      <c r="BC314" s="103">
        <v>1</v>
      </c>
      <c r="BD314" s="106">
        <v>1</v>
      </c>
      <c r="BE314" s="105">
        <v>6</v>
      </c>
      <c r="BF314" s="105">
        <v>1</v>
      </c>
      <c r="BG314" s="103">
        <v>2</v>
      </c>
      <c r="BH314" s="104">
        <v>1</v>
      </c>
      <c r="BI314" s="104">
        <v>5</v>
      </c>
      <c r="BJ314" s="106">
        <v>4</v>
      </c>
      <c r="BK314" s="106">
        <v>1</v>
      </c>
      <c r="BM314" s="105" t="s">
        <v>174</v>
      </c>
      <c r="BN314" s="106" t="s">
        <v>175</v>
      </c>
      <c r="BO314" s="105" t="s">
        <v>174</v>
      </c>
      <c r="BP314" s="106" t="s">
        <v>175</v>
      </c>
      <c r="BQ314" s="103" t="s">
        <v>173</v>
      </c>
      <c r="BR314" s="104" t="s">
        <v>176</v>
      </c>
      <c r="BS314" s="103" t="s">
        <v>173</v>
      </c>
      <c r="BT314" s="103" t="s">
        <v>173</v>
      </c>
      <c r="BU314" s="103" t="s">
        <v>173</v>
      </c>
      <c r="BV314" s="104" t="s">
        <v>176</v>
      </c>
      <c r="BW314" s="104" t="s">
        <v>176</v>
      </c>
      <c r="BX314" s="105" t="s">
        <v>174</v>
      </c>
      <c r="BY314" s="106" t="s">
        <v>175</v>
      </c>
      <c r="BZ314" s="104" t="s">
        <v>176</v>
      </c>
      <c r="CA314" s="103" t="s">
        <v>173</v>
      </c>
      <c r="CB314" s="104" t="s">
        <v>176</v>
      </c>
      <c r="CC314" s="105" t="s">
        <v>174</v>
      </c>
      <c r="CD314" s="105" t="s">
        <v>174</v>
      </c>
      <c r="CE314" s="105" t="s">
        <v>174</v>
      </c>
      <c r="CF314" s="105" t="s">
        <v>174</v>
      </c>
      <c r="CG314" s="103" t="s">
        <v>173</v>
      </c>
      <c r="CH314" s="103" t="s">
        <v>173</v>
      </c>
      <c r="CI314" s="104" t="s">
        <v>176</v>
      </c>
      <c r="CJ314" s="105" t="s">
        <v>174</v>
      </c>
      <c r="CK314" s="103" t="s">
        <v>173</v>
      </c>
      <c r="CL314" s="103" t="s">
        <v>173</v>
      </c>
      <c r="CM314" s="106" t="s">
        <v>175</v>
      </c>
      <c r="CN314" s="105" t="s">
        <v>174</v>
      </c>
      <c r="CO314" s="104" t="s">
        <v>176</v>
      </c>
      <c r="CP314" s="103" t="s">
        <v>173</v>
      </c>
      <c r="CQ314" s="105" t="s">
        <v>174</v>
      </c>
      <c r="CR314" s="106" t="s">
        <v>175</v>
      </c>
      <c r="CS314" s="105" t="s">
        <v>174</v>
      </c>
      <c r="CT314" s="104" t="s">
        <v>176</v>
      </c>
      <c r="CU314" s="106" t="s">
        <v>175</v>
      </c>
      <c r="CV314" s="104" t="s">
        <v>176</v>
      </c>
      <c r="CW314" s="103" t="s">
        <v>173</v>
      </c>
      <c r="CX314" s="103" t="s">
        <v>173</v>
      </c>
      <c r="CY314" s="105" t="s">
        <v>174</v>
      </c>
      <c r="CZ314" s="105" t="s">
        <v>174</v>
      </c>
      <c r="DA314" s="104" t="s">
        <v>176</v>
      </c>
      <c r="DB314" s="103" t="s">
        <v>173</v>
      </c>
      <c r="DC314" s="106" t="s">
        <v>175</v>
      </c>
      <c r="DD314" s="105" t="s">
        <v>174</v>
      </c>
      <c r="DE314" s="105" t="s">
        <v>174</v>
      </c>
      <c r="DF314" s="103" t="s">
        <v>173</v>
      </c>
      <c r="DG314" s="104" t="s">
        <v>176</v>
      </c>
      <c r="DH314" s="104" t="s">
        <v>176</v>
      </c>
      <c r="DI314" s="106" t="s">
        <v>175</v>
      </c>
      <c r="DJ314" s="106" t="s">
        <v>175</v>
      </c>
    </row>
    <row r="315" spans="2:114" ht="23.25">
      <c r="B315" s="15">
        <f t="shared" si="22"/>
        <v>138</v>
      </c>
      <c r="C315" s="15">
        <v>7</v>
      </c>
      <c r="D315" s="16">
        <v>14</v>
      </c>
      <c r="E315" s="26" t="s">
        <v>194</v>
      </c>
      <c r="F315" s="29">
        <f>IF(ISBLANK(E315),0,IF(E315=Answers!E315,1,-1))</f>
        <v>1</v>
      </c>
      <c r="G315" s="44"/>
      <c r="H315" s="44"/>
      <c r="I315" s="62">
        <v>2</v>
      </c>
      <c r="J315" s="62">
        <v>0</v>
      </c>
      <c r="K315" s="62">
        <v>2</v>
      </c>
      <c r="L315" s="62">
        <v>2</v>
      </c>
      <c r="M315" s="44"/>
      <c r="N315" s="106">
        <v>7</v>
      </c>
      <c r="O315" s="106">
        <v>7</v>
      </c>
      <c r="P315" s="103">
        <v>1</v>
      </c>
      <c r="Q315" s="106">
        <v>1</v>
      </c>
      <c r="R315" s="104">
        <v>5</v>
      </c>
      <c r="S315" s="103">
        <v>7</v>
      </c>
      <c r="T315" s="103">
        <v>5</v>
      </c>
      <c r="U315" s="106">
        <v>4</v>
      </c>
      <c r="V315" s="104">
        <v>4</v>
      </c>
      <c r="W315" s="103">
        <v>3</v>
      </c>
      <c r="X315" s="106">
        <v>2</v>
      </c>
      <c r="Y315" s="106">
        <v>7</v>
      </c>
      <c r="Z315" s="104">
        <v>2</v>
      </c>
      <c r="AA315" s="103">
        <v>1</v>
      </c>
      <c r="AB315" s="104">
        <v>3</v>
      </c>
      <c r="AC315" s="106">
        <v>4</v>
      </c>
      <c r="AD315" s="104">
        <v>5</v>
      </c>
      <c r="AE315" s="103">
        <v>7</v>
      </c>
      <c r="AF315" s="103">
        <v>1</v>
      </c>
      <c r="AG315" s="105">
        <v>4</v>
      </c>
      <c r="AH315" s="106">
        <v>4</v>
      </c>
      <c r="AI315" s="106">
        <v>6</v>
      </c>
      <c r="AJ315" s="105">
        <v>2</v>
      </c>
      <c r="AK315" s="105">
        <v>7</v>
      </c>
      <c r="AL315" s="104">
        <v>2</v>
      </c>
      <c r="AM315" s="106">
        <v>4</v>
      </c>
      <c r="AN315" s="103">
        <v>5</v>
      </c>
      <c r="AO315" s="104">
        <v>1</v>
      </c>
      <c r="AP315" s="104">
        <v>2</v>
      </c>
      <c r="AQ315" s="103">
        <v>5</v>
      </c>
      <c r="AR315" s="106">
        <v>3</v>
      </c>
      <c r="AS315" s="104">
        <v>2</v>
      </c>
      <c r="AT315" s="106">
        <v>1</v>
      </c>
      <c r="AU315" s="105">
        <v>3</v>
      </c>
      <c r="AV315" s="105">
        <v>6</v>
      </c>
      <c r="AW315" s="104">
        <v>2</v>
      </c>
      <c r="AX315" s="105">
        <v>3</v>
      </c>
      <c r="AY315" s="104">
        <v>2</v>
      </c>
      <c r="AZ315" s="106">
        <v>7</v>
      </c>
      <c r="BA315" s="105">
        <v>2</v>
      </c>
      <c r="BB315" s="103">
        <v>4</v>
      </c>
      <c r="BC315" s="103">
        <v>2</v>
      </c>
      <c r="BD315" s="106">
        <v>5</v>
      </c>
      <c r="BE315" s="105">
        <v>5</v>
      </c>
      <c r="BF315" s="105">
        <v>3</v>
      </c>
      <c r="BG315" s="103">
        <v>1</v>
      </c>
      <c r="BH315" s="104">
        <v>5</v>
      </c>
      <c r="BI315" s="105">
        <v>1</v>
      </c>
      <c r="BJ315" s="104">
        <v>7</v>
      </c>
      <c r="BK315" s="104">
        <v>2</v>
      </c>
      <c r="BM315" s="106" t="s">
        <v>175</v>
      </c>
      <c r="BN315" s="106" t="s">
        <v>175</v>
      </c>
      <c r="BO315" s="103" t="s">
        <v>173</v>
      </c>
      <c r="BP315" s="106" t="s">
        <v>175</v>
      </c>
      <c r="BQ315" s="104" t="s">
        <v>176</v>
      </c>
      <c r="BR315" s="103" t="s">
        <v>173</v>
      </c>
      <c r="BS315" s="103" t="s">
        <v>173</v>
      </c>
      <c r="BT315" s="106" t="s">
        <v>175</v>
      </c>
      <c r="BU315" s="104" t="s">
        <v>176</v>
      </c>
      <c r="BV315" s="103" t="s">
        <v>173</v>
      </c>
      <c r="BW315" s="106" t="s">
        <v>175</v>
      </c>
      <c r="BX315" s="106" t="s">
        <v>175</v>
      </c>
      <c r="BY315" s="104" t="s">
        <v>176</v>
      </c>
      <c r="BZ315" s="103" t="s">
        <v>173</v>
      </c>
      <c r="CA315" s="104" t="s">
        <v>176</v>
      </c>
      <c r="CB315" s="106" t="s">
        <v>175</v>
      </c>
      <c r="CC315" s="104" t="s">
        <v>176</v>
      </c>
      <c r="CD315" s="103" t="s">
        <v>173</v>
      </c>
      <c r="CE315" s="103" t="s">
        <v>173</v>
      </c>
      <c r="CF315" s="105" t="s">
        <v>174</v>
      </c>
      <c r="CG315" s="106" t="s">
        <v>175</v>
      </c>
      <c r="CH315" s="106" t="s">
        <v>175</v>
      </c>
      <c r="CI315" s="105" t="s">
        <v>174</v>
      </c>
      <c r="CJ315" s="105" t="s">
        <v>174</v>
      </c>
      <c r="CK315" s="104" t="s">
        <v>176</v>
      </c>
      <c r="CL315" s="106" t="s">
        <v>175</v>
      </c>
      <c r="CM315" s="103" t="s">
        <v>173</v>
      </c>
      <c r="CN315" s="104" t="s">
        <v>176</v>
      </c>
      <c r="CO315" s="104" t="s">
        <v>176</v>
      </c>
      <c r="CP315" s="103" t="s">
        <v>173</v>
      </c>
      <c r="CQ315" s="106" t="s">
        <v>175</v>
      </c>
      <c r="CR315" s="104" t="s">
        <v>176</v>
      </c>
      <c r="CS315" s="106" t="s">
        <v>175</v>
      </c>
      <c r="CT315" s="105" t="s">
        <v>174</v>
      </c>
      <c r="CU315" s="105" t="s">
        <v>174</v>
      </c>
      <c r="CV315" s="104" t="s">
        <v>176</v>
      </c>
      <c r="CW315" s="105" t="s">
        <v>174</v>
      </c>
      <c r="CX315" s="104" t="s">
        <v>176</v>
      </c>
      <c r="CY315" s="106" t="s">
        <v>175</v>
      </c>
      <c r="CZ315" s="105" t="s">
        <v>174</v>
      </c>
      <c r="DA315" s="103" t="s">
        <v>173</v>
      </c>
      <c r="DB315" s="103" t="s">
        <v>173</v>
      </c>
      <c r="DC315" s="106" t="s">
        <v>175</v>
      </c>
      <c r="DD315" s="105" t="s">
        <v>174</v>
      </c>
      <c r="DE315" s="105" t="s">
        <v>174</v>
      </c>
      <c r="DF315" s="103" t="s">
        <v>173</v>
      </c>
      <c r="DG315" s="104" t="s">
        <v>176</v>
      </c>
      <c r="DH315" s="105" t="s">
        <v>174</v>
      </c>
      <c r="DI315" s="104" t="s">
        <v>176</v>
      </c>
      <c r="DJ315" s="104" t="s">
        <v>176</v>
      </c>
    </row>
    <row r="316" spans="2:114" ht="23.25">
      <c r="B316" s="15">
        <f t="shared" si="22"/>
        <v>139</v>
      </c>
      <c r="C316" s="15">
        <v>7</v>
      </c>
      <c r="D316" s="16">
        <v>14</v>
      </c>
      <c r="E316" s="26" t="s">
        <v>195</v>
      </c>
      <c r="F316" s="29">
        <f>IF(ISBLANK(E316),0,IF(E316=Answers!E316,1,-1))</f>
        <v>1</v>
      </c>
      <c r="G316" s="44"/>
      <c r="H316" s="44"/>
      <c r="I316" s="62">
        <v>4</v>
      </c>
      <c r="J316" s="62">
        <v>0</v>
      </c>
      <c r="K316" s="62">
        <v>0</v>
      </c>
      <c r="L316" s="62">
        <v>2</v>
      </c>
      <c r="M316" s="44"/>
      <c r="N316" s="105">
        <v>3</v>
      </c>
      <c r="O316" s="105">
        <v>6</v>
      </c>
      <c r="P316" s="104">
        <v>4</v>
      </c>
      <c r="Q316" s="103">
        <v>7</v>
      </c>
      <c r="R316" s="105">
        <v>7</v>
      </c>
      <c r="S316" s="104">
        <v>2</v>
      </c>
      <c r="T316" s="105">
        <v>2</v>
      </c>
      <c r="U316" s="104">
        <v>5</v>
      </c>
      <c r="V316" s="105">
        <v>7</v>
      </c>
      <c r="W316" s="103">
        <v>1</v>
      </c>
      <c r="X316" s="106">
        <v>1</v>
      </c>
      <c r="Y316" s="104">
        <v>5</v>
      </c>
      <c r="Z316" s="104">
        <v>6</v>
      </c>
      <c r="AA316" s="106">
        <v>2</v>
      </c>
      <c r="AB316" s="104">
        <v>7</v>
      </c>
      <c r="AC316" s="106">
        <v>4</v>
      </c>
      <c r="AD316" s="105">
        <v>7</v>
      </c>
      <c r="AE316" s="103">
        <v>6</v>
      </c>
      <c r="AF316" s="105">
        <v>3</v>
      </c>
      <c r="AG316" s="105">
        <v>4</v>
      </c>
      <c r="AH316" s="104">
        <v>3</v>
      </c>
      <c r="AI316" s="106">
        <v>1</v>
      </c>
      <c r="AJ316" s="106">
        <v>4</v>
      </c>
      <c r="AK316" s="105">
        <v>4</v>
      </c>
      <c r="AL316" s="106">
        <v>2</v>
      </c>
      <c r="AM316" s="104">
        <v>7</v>
      </c>
      <c r="AN316" s="106">
        <v>7</v>
      </c>
      <c r="AO316" s="104">
        <v>2</v>
      </c>
      <c r="AP316" s="106">
        <v>5</v>
      </c>
      <c r="AQ316" s="103">
        <v>6</v>
      </c>
      <c r="AR316" s="106">
        <v>5</v>
      </c>
      <c r="AS316" s="106">
        <v>6</v>
      </c>
      <c r="AT316" s="105">
        <v>2</v>
      </c>
      <c r="AU316" s="106">
        <v>4</v>
      </c>
      <c r="AV316" s="104">
        <v>7</v>
      </c>
      <c r="AW316" s="103">
        <v>2</v>
      </c>
      <c r="AX316" s="103">
        <v>1</v>
      </c>
      <c r="AY316" s="105">
        <v>5</v>
      </c>
      <c r="AZ316" s="105">
        <v>7</v>
      </c>
      <c r="BA316" s="106">
        <v>2</v>
      </c>
      <c r="BB316" s="106">
        <v>1</v>
      </c>
      <c r="BC316" s="104">
        <v>4</v>
      </c>
      <c r="BD316" s="106">
        <v>7</v>
      </c>
      <c r="BE316" s="106">
        <v>1</v>
      </c>
      <c r="BF316" s="106">
        <v>2</v>
      </c>
      <c r="BG316" s="103">
        <v>4</v>
      </c>
      <c r="BH316" s="105">
        <v>5</v>
      </c>
      <c r="BI316" s="103">
        <v>1</v>
      </c>
      <c r="BJ316" s="103">
        <v>6</v>
      </c>
      <c r="BK316" s="103">
        <v>6</v>
      </c>
      <c r="BM316" s="105" t="s">
        <v>174</v>
      </c>
      <c r="BN316" s="105" t="s">
        <v>174</v>
      </c>
      <c r="BO316" s="104" t="s">
        <v>176</v>
      </c>
      <c r="BP316" s="103" t="s">
        <v>173</v>
      </c>
      <c r="BQ316" s="105" t="s">
        <v>174</v>
      </c>
      <c r="BR316" s="104" t="s">
        <v>176</v>
      </c>
      <c r="BS316" s="105" t="s">
        <v>174</v>
      </c>
      <c r="BT316" s="104" t="s">
        <v>176</v>
      </c>
      <c r="BU316" s="105" t="s">
        <v>174</v>
      </c>
      <c r="BV316" s="103" t="s">
        <v>173</v>
      </c>
      <c r="BW316" s="106" t="s">
        <v>175</v>
      </c>
      <c r="BX316" s="104" t="s">
        <v>176</v>
      </c>
      <c r="BY316" s="104" t="s">
        <v>176</v>
      </c>
      <c r="BZ316" s="106" t="s">
        <v>175</v>
      </c>
      <c r="CA316" s="104" t="s">
        <v>176</v>
      </c>
      <c r="CB316" s="106" t="s">
        <v>175</v>
      </c>
      <c r="CC316" s="105" t="s">
        <v>174</v>
      </c>
      <c r="CD316" s="103" t="s">
        <v>173</v>
      </c>
      <c r="CE316" s="105" t="s">
        <v>174</v>
      </c>
      <c r="CF316" s="105" t="s">
        <v>174</v>
      </c>
      <c r="CG316" s="104" t="s">
        <v>176</v>
      </c>
      <c r="CH316" s="106" t="s">
        <v>175</v>
      </c>
      <c r="CI316" s="106" t="s">
        <v>175</v>
      </c>
      <c r="CJ316" s="105" t="s">
        <v>174</v>
      </c>
      <c r="CK316" s="106" t="s">
        <v>175</v>
      </c>
      <c r="CL316" s="104" t="s">
        <v>176</v>
      </c>
      <c r="CM316" s="106" t="s">
        <v>175</v>
      </c>
      <c r="CN316" s="104" t="s">
        <v>176</v>
      </c>
      <c r="CO316" s="106" t="s">
        <v>175</v>
      </c>
      <c r="CP316" s="103" t="s">
        <v>173</v>
      </c>
      <c r="CQ316" s="106" t="s">
        <v>175</v>
      </c>
      <c r="CR316" s="106" t="s">
        <v>175</v>
      </c>
      <c r="CS316" s="105" t="s">
        <v>174</v>
      </c>
      <c r="CT316" s="106" t="s">
        <v>175</v>
      </c>
      <c r="CU316" s="104" t="s">
        <v>176</v>
      </c>
      <c r="CV316" s="103" t="s">
        <v>173</v>
      </c>
      <c r="CW316" s="103" t="s">
        <v>173</v>
      </c>
      <c r="CX316" s="105" t="s">
        <v>174</v>
      </c>
      <c r="CY316" s="105" t="s">
        <v>174</v>
      </c>
      <c r="CZ316" s="106" t="s">
        <v>175</v>
      </c>
      <c r="DA316" s="106" t="s">
        <v>175</v>
      </c>
      <c r="DB316" s="104" t="s">
        <v>176</v>
      </c>
      <c r="DC316" s="106" t="s">
        <v>175</v>
      </c>
      <c r="DD316" s="106" t="s">
        <v>175</v>
      </c>
      <c r="DE316" s="106" t="s">
        <v>175</v>
      </c>
      <c r="DF316" s="103" t="s">
        <v>173</v>
      </c>
      <c r="DG316" s="105" t="s">
        <v>174</v>
      </c>
      <c r="DH316" s="103" t="s">
        <v>173</v>
      </c>
      <c r="DI316" s="103" t="s">
        <v>173</v>
      </c>
      <c r="DJ316" s="103" t="s">
        <v>173</v>
      </c>
    </row>
    <row r="317" spans="2:114" ht="23.25">
      <c r="B317" s="15">
        <f t="shared" si="22"/>
        <v>140</v>
      </c>
      <c r="C317" s="15">
        <v>7</v>
      </c>
      <c r="D317" s="16">
        <v>14</v>
      </c>
      <c r="E317" s="26" t="s">
        <v>196</v>
      </c>
      <c r="F317" s="29">
        <f>IF(ISBLANK(E317),0,IF(E317=Answers!E317,1,-1))</f>
        <v>1</v>
      </c>
      <c r="G317" s="44"/>
      <c r="H317" s="44"/>
      <c r="I317" s="62">
        <v>0</v>
      </c>
      <c r="J317" s="62">
        <v>0</v>
      </c>
      <c r="K317" s="62">
        <v>3</v>
      </c>
      <c r="L317" s="62">
        <v>2</v>
      </c>
      <c r="M317" s="44"/>
      <c r="N317" s="105">
        <v>2</v>
      </c>
      <c r="O317" s="105">
        <v>7</v>
      </c>
      <c r="P317" s="106">
        <v>7</v>
      </c>
      <c r="Q317" s="104">
        <v>6</v>
      </c>
      <c r="R317" s="103">
        <v>6</v>
      </c>
      <c r="S317" s="106">
        <v>3</v>
      </c>
      <c r="T317" s="105">
        <v>2</v>
      </c>
      <c r="U317" s="103">
        <v>1</v>
      </c>
      <c r="V317" s="105">
        <v>4</v>
      </c>
      <c r="W317" s="105">
        <v>7</v>
      </c>
      <c r="X317" s="104">
        <v>6</v>
      </c>
      <c r="Y317" s="104">
        <v>1</v>
      </c>
      <c r="Z317" s="105">
        <v>6</v>
      </c>
      <c r="AA317" s="104">
        <v>5</v>
      </c>
      <c r="AB317" s="104">
        <v>6</v>
      </c>
      <c r="AC317" s="105">
        <v>2</v>
      </c>
      <c r="AD317" s="106">
        <v>7</v>
      </c>
      <c r="AE317" s="106">
        <v>5</v>
      </c>
      <c r="AF317" s="104">
        <v>6</v>
      </c>
      <c r="AG317" s="103">
        <v>1</v>
      </c>
      <c r="AH317" s="104">
        <v>5</v>
      </c>
      <c r="AI317" s="105">
        <v>4</v>
      </c>
      <c r="AJ317" s="104">
        <v>5</v>
      </c>
      <c r="AK317" s="105">
        <v>2</v>
      </c>
      <c r="AL317" s="105">
        <v>7</v>
      </c>
      <c r="AM317" s="104">
        <v>2</v>
      </c>
      <c r="AN317" s="105">
        <v>4</v>
      </c>
      <c r="AO317" s="103">
        <v>5</v>
      </c>
      <c r="AP317" s="104">
        <v>2</v>
      </c>
      <c r="AQ317" s="104">
        <v>1</v>
      </c>
      <c r="AR317" s="103">
        <v>1</v>
      </c>
      <c r="AS317" s="105">
        <v>1</v>
      </c>
      <c r="AT317" s="103">
        <v>4</v>
      </c>
      <c r="AU317" s="106">
        <v>1</v>
      </c>
      <c r="AV317" s="106">
        <v>1</v>
      </c>
      <c r="AW317" s="104">
        <v>6</v>
      </c>
      <c r="AX317" s="105">
        <v>3</v>
      </c>
      <c r="AY317" s="106">
        <v>7</v>
      </c>
      <c r="AZ317" s="106">
        <v>6</v>
      </c>
      <c r="BA317" s="103">
        <v>7</v>
      </c>
      <c r="BB317" s="105">
        <v>4</v>
      </c>
      <c r="BC317" s="106">
        <v>7</v>
      </c>
      <c r="BD317" s="105">
        <v>7</v>
      </c>
      <c r="BE317" s="104">
        <v>7</v>
      </c>
      <c r="BF317" s="104">
        <v>5</v>
      </c>
      <c r="BG317" s="105">
        <v>6</v>
      </c>
      <c r="BH317" s="105">
        <v>1</v>
      </c>
      <c r="BI317" s="105">
        <v>7</v>
      </c>
      <c r="BJ317" s="105">
        <v>3</v>
      </c>
      <c r="BK317" s="106">
        <v>3</v>
      </c>
      <c r="BM317" s="105" t="s">
        <v>174</v>
      </c>
      <c r="BN317" s="105" t="s">
        <v>174</v>
      </c>
      <c r="BO317" s="106" t="s">
        <v>175</v>
      </c>
      <c r="BP317" s="104" t="s">
        <v>176</v>
      </c>
      <c r="BQ317" s="103" t="s">
        <v>173</v>
      </c>
      <c r="BR317" s="106" t="s">
        <v>175</v>
      </c>
      <c r="BS317" s="105" t="s">
        <v>174</v>
      </c>
      <c r="BT317" s="103" t="s">
        <v>173</v>
      </c>
      <c r="BU317" s="105" t="s">
        <v>174</v>
      </c>
      <c r="BV317" s="105" t="s">
        <v>174</v>
      </c>
      <c r="BW317" s="104" t="s">
        <v>176</v>
      </c>
      <c r="BX317" s="104" t="s">
        <v>176</v>
      </c>
      <c r="BY317" s="105" t="s">
        <v>174</v>
      </c>
      <c r="BZ317" s="104" t="s">
        <v>176</v>
      </c>
      <c r="CA317" s="104" t="s">
        <v>176</v>
      </c>
      <c r="CB317" s="105" t="s">
        <v>174</v>
      </c>
      <c r="CC317" s="106" t="s">
        <v>175</v>
      </c>
      <c r="CD317" s="106" t="s">
        <v>175</v>
      </c>
      <c r="CE317" s="104" t="s">
        <v>176</v>
      </c>
      <c r="CF317" s="103" t="s">
        <v>173</v>
      </c>
      <c r="CG317" s="104" t="s">
        <v>176</v>
      </c>
      <c r="CH317" s="105" t="s">
        <v>174</v>
      </c>
      <c r="CI317" s="104" t="s">
        <v>176</v>
      </c>
      <c r="CJ317" s="105" t="s">
        <v>174</v>
      </c>
      <c r="CK317" s="105" t="s">
        <v>174</v>
      </c>
      <c r="CL317" s="104" t="s">
        <v>176</v>
      </c>
      <c r="CM317" s="105" t="s">
        <v>174</v>
      </c>
      <c r="CN317" s="103" t="s">
        <v>173</v>
      </c>
      <c r="CO317" s="104" t="s">
        <v>176</v>
      </c>
      <c r="CP317" s="104" t="s">
        <v>176</v>
      </c>
      <c r="CQ317" s="103" t="s">
        <v>173</v>
      </c>
      <c r="CR317" s="105" t="s">
        <v>174</v>
      </c>
      <c r="CS317" s="103" t="s">
        <v>173</v>
      </c>
      <c r="CT317" s="106" t="s">
        <v>175</v>
      </c>
      <c r="CU317" s="106" t="s">
        <v>175</v>
      </c>
      <c r="CV317" s="104" t="s">
        <v>176</v>
      </c>
      <c r="CW317" s="105" t="s">
        <v>174</v>
      </c>
      <c r="CX317" s="106" t="s">
        <v>175</v>
      </c>
      <c r="CY317" s="106" t="s">
        <v>175</v>
      </c>
      <c r="CZ317" s="103" t="s">
        <v>173</v>
      </c>
      <c r="DA317" s="105" t="s">
        <v>174</v>
      </c>
      <c r="DB317" s="106" t="s">
        <v>175</v>
      </c>
      <c r="DC317" s="105" t="s">
        <v>174</v>
      </c>
      <c r="DD317" s="104" t="s">
        <v>176</v>
      </c>
      <c r="DE317" s="104" t="s">
        <v>176</v>
      </c>
      <c r="DF317" s="105" t="s">
        <v>174</v>
      </c>
      <c r="DG317" s="105" t="s">
        <v>174</v>
      </c>
      <c r="DH317" s="105" t="s">
        <v>174</v>
      </c>
      <c r="DI317" s="105" t="s">
        <v>174</v>
      </c>
      <c r="DJ317" s="106" t="s">
        <v>175</v>
      </c>
    </row>
    <row r="318" spans="2:114" ht="23.25">
      <c r="B318" s="15">
        <f t="shared" si="22"/>
        <v>141</v>
      </c>
      <c r="C318" s="15">
        <v>7</v>
      </c>
      <c r="D318" s="16">
        <v>14</v>
      </c>
      <c r="E318" s="26" t="s">
        <v>197</v>
      </c>
      <c r="F318" s="29">
        <f>IF(ISBLANK(E318),0,IF(E318=Answers!E318,1,-1))</f>
        <v>1</v>
      </c>
      <c r="G318" s="44"/>
      <c r="H318" s="44"/>
      <c r="I318" s="62">
        <v>0</v>
      </c>
      <c r="J318" s="62">
        <v>4</v>
      </c>
      <c r="K318" s="62">
        <v>0</v>
      </c>
      <c r="L318" s="62">
        <v>5</v>
      </c>
      <c r="M318" s="44"/>
      <c r="N318" s="106">
        <v>6</v>
      </c>
      <c r="O318" s="104">
        <v>5</v>
      </c>
      <c r="P318" s="106">
        <v>5</v>
      </c>
      <c r="Q318" s="103">
        <v>4</v>
      </c>
      <c r="R318" s="104">
        <v>2</v>
      </c>
      <c r="S318" s="106">
        <v>7</v>
      </c>
      <c r="T318" s="103">
        <v>6</v>
      </c>
      <c r="U318" s="105">
        <v>2</v>
      </c>
      <c r="V318" s="105">
        <v>7</v>
      </c>
      <c r="W318" s="104">
        <v>5</v>
      </c>
      <c r="X318" s="106">
        <v>6</v>
      </c>
      <c r="Y318" s="103">
        <v>7</v>
      </c>
      <c r="Z318" s="104">
        <v>4</v>
      </c>
      <c r="AA318" s="103">
        <v>3</v>
      </c>
      <c r="AB318" s="104">
        <v>3</v>
      </c>
      <c r="AC318" s="104">
        <v>4</v>
      </c>
      <c r="AD318" s="103">
        <v>1</v>
      </c>
      <c r="AE318" s="106">
        <v>3</v>
      </c>
      <c r="AF318" s="103">
        <v>6</v>
      </c>
      <c r="AG318" s="104">
        <v>3</v>
      </c>
      <c r="AH318" s="103">
        <v>7</v>
      </c>
      <c r="AI318" s="106">
        <v>1</v>
      </c>
      <c r="AJ318" s="106">
        <v>2</v>
      </c>
      <c r="AK318" s="105">
        <v>6</v>
      </c>
      <c r="AL318" s="105">
        <v>3</v>
      </c>
      <c r="AM318" s="103">
        <v>4</v>
      </c>
      <c r="AN318" s="104">
        <v>4</v>
      </c>
      <c r="AO318" s="105">
        <v>6</v>
      </c>
      <c r="AP318" s="104">
        <v>3</v>
      </c>
      <c r="AQ318" s="104">
        <v>7</v>
      </c>
      <c r="AR318" s="105">
        <v>5</v>
      </c>
      <c r="AS318" s="106">
        <v>3</v>
      </c>
      <c r="AT318" s="103">
        <v>6</v>
      </c>
      <c r="AU318" s="105">
        <v>5</v>
      </c>
      <c r="AV318" s="104">
        <v>5</v>
      </c>
      <c r="AW318" s="103">
        <v>5</v>
      </c>
      <c r="AX318" s="104">
        <v>7</v>
      </c>
      <c r="AY318" s="105">
        <v>4</v>
      </c>
      <c r="AZ318" s="103">
        <v>4</v>
      </c>
      <c r="BA318" s="105">
        <v>2</v>
      </c>
      <c r="BB318" s="105">
        <v>7</v>
      </c>
      <c r="BC318" s="105">
        <v>5</v>
      </c>
      <c r="BD318" s="103">
        <v>7</v>
      </c>
      <c r="BE318" s="106">
        <v>2</v>
      </c>
      <c r="BF318" s="106">
        <v>7</v>
      </c>
      <c r="BG318" s="104">
        <v>7</v>
      </c>
      <c r="BH318" s="105">
        <v>2</v>
      </c>
      <c r="BI318" s="106">
        <v>7</v>
      </c>
      <c r="BJ318" s="103">
        <v>5</v>
      </c>
      <c r="BK318" s="105">
        <v>2</v>
      </c>
      <c r="BM318" s="106" t="s">
        <v>175</v>
      </c>
      <c r="BN318" s="104" t="s">
        <v>176</v>
      </c>
      <c r="BO318" s="106" t="s">
        <v>175</v>
      </c>
      <c r="BP318" s="103" t="s">
        <v>173</v>
      </c>
      <c r="BQ318" s="104" t="s">
        <v>176</v>
      </c>
      <c r="BR318" s="106" t="s">
        <v>175</v>
      </c>
      <c r="BS318" s="103" t="s">
        <v>173</v>
      </c>
      <c r="BT318" s="105" t="s">
        <v>174</v>
      </c>
      <c r="BU318" s="105" t="s">
        <v>174</v>
      </c>
      <c r="BV318" s="104" t="s">
        <v>176</v>
      </c>
      <c r="BW318" s="106" t="s">
        <v>175</v>
      </c>
      <c r="BX318" s="103" t="s">
        <v>173</v>
      </c>
      <c r="BY318" s="104" t="s">
        <v>176</v>
      </c>
      <c r="BZ318" s="103" t="s">
        <v>173</v>
      </c>
      <c r="CA318" s="104" t="s">
        <v>176</v>
      </c>
      <c r="CB318" s="104" t="s">
        <v>176</v>
      </c>
      <c r="CC318" s="103" t="s">
        <v>173</v>
      </c>
      <c r="CD318" s="106" t="s">
        <v>175</v>
      </c>
      <c r="CE318" s="103" t="s">
        <v>173</v>
      </c>
      <c r="CF318" s="104" t="s">
        <v>176</v>
      </c>
      <c r="CG318" s="103" t="s">
        <v>173</v>
      </c>
      <c r="CH318" s="106" t="s">
        <v>175</v>
      </c>
      <c r="CI318" s="106" t="s">
        <v>175</v>
      </c>
      <c r="CJ318" s="105" t="s">
        <v>174</v>
      </c>
      <c r="CK318" s="105" t="s">
        <v>174</v>
      </c>
      <c r="CL318" s="103" t="s">
        <v>173</v>
      </c>
      <c r="CM318" s="104" t="s">
        <v>176</v>
      </c>
      <c r="CN318" s="105" t="s">
        <v>174</v>
      </c>
      <c r="CO318" s="104" t="s">
        <v>176</v>
      </c>
      <c r="CP318" s="104" t="s">
        <v>176</v>
      </c>
      <c r="CQ318" s="105" t="s">
        <v>174</v>
      </c>
      <c r="CR318" s="106" t="s">
        <v>175</v>
      </c>
      <c r="CS318" s="103" t="s">
        <v>173</v>
      </c>
      <c r="CT318" s="105" t="s">
        <v>174</v>
      </c>
      <c r="CU318" s="104" t="s">
        <v>176</v>
      </c>
      <c r="CV318" s="103" t="s">
        <v>173</v>
      </c>
      <c r="CW318" s="104" t="s">
        <v>176</v>
      </c>
      <c r="CX318" s="105" t="s">
        <v>174</v>
      </c>
      <c r="CY318" s="103" t="s">
        <v>173</v>
      </c>
      <c r="CZ318" s="105" t="s">
        <v>174</v>
      </c>
      <c r="DA318" s="105" t="s">
        <v>174</v>
      </c>
      <c r="DB318" s="105" t="s">
        <v>174</v>
      </c>
      <c r="DC318" s="103" t="s">
        <v>173</v>
      </c>
      <c r="DD318" s="106" t="s">
        <v>175</v>
      </c>
      <c r="DE318" s="106" t="s">
        <v>175</v>
      </c>
      <c r="DF318" s="104" t="s">
        <v>176</v>
      </c>
      <c r="DG318" s="105" t="s">
        <v>174</v>
      </c>
      <c r="DH318" s="106" t="s">
        <v>175</v>
      </c>
      <c r="DI318" s="103" t="s">
        <v>173</v>
      </c>
      <c r="DJ318" s="105" t="s">
        <v>174</v>
      </c>
    </row>
    <row r="319" spans="2:114" ht="23.25">
      <c r="B319" s="15">
        <f t="shared" si="22"/>
        <v>142</v>
      </c>
      <c r="C319" s="15">
        <v>7</v>
      </c>
      <c r="D319" s="16">
        <v>14</v>
      </c>
      <c r="E319" s="26" t="s">
        <v>198</v>
      </c>
      <c r="F319" s="29">
        <f>IF(ISBLANK(E319),0,IF(E319=Answers!E319,1,-1))</f>
        <v>1</v>
      </c>
      <c r="I319" s="62">
        <v>0</v>
      </c>
      <c r="J319" s="62">
        <v>5</v>
      </c>
      <c r="K319" s="62">
        <v>3</v>
      </c>
      <c r="L319" s="62">
        <v>1</v>
      </c>
      <c r="N319" s="103">
        <v>5</v>
      </c>
      <c r="O319" s="105">
        <v>1</v>
      </c>
      <c r="P319" s="103">
        <v>6</v>
      </c>
      <c r="Q319" s="103">
        <v>3</v>
      </c>
      <c r="R319" s="104">
        <v>5</v>
      </c>
      <c r="S319" s="103">
        <v>3</v>
      </c>
      <c r="T319" s="104">
        <v>3</v>
      </c>
      <c r="U319" s="106">
        <v>5</v>
      </c>
      <c r="V319" s="106">
        <v>6</v>
      </c>
      <c r="W319" s="104">
        <v>4</v>
      </c>
      <c r="X319" s="103">
        <v>6</v>
      </c>
      <c r="Y319" s="104">
        <v>6</v>
      </c>
      <c r="Z319" s="104">
        <v>4</v>
      </c>
      <c r="AA319" s="105">
        <v>6</v>
      </c>
      <c r="AB319" s="104">
        <v>5</v>
      </c>
      <c r="AC319" s="106">
        <v>4</v>
      </c>
      <c r="AD319" s="106">
        <v>4</v>
      </c>
      <c r="AE319" s="104">
        <v>3</v>
      </c>
      <c r="AF319" s="104">
        <v>5</v>
      </c>
      <c r="AG319" s="105">
        <v>6</v>
      </c>
      <c r="AH319" s="106">
        <v>3</v>
      </c>
      <c r="AI319" s="104">
        <v>1</v>
      </c>
      <c r="AJ319" s="106">
        <v>3</v>
      </c>
      <c r="AK319" s="105">
        <v>3</v>
      </c>
      <c r="AL319" s="103">
        <v>5</v>
      </c>
      <c r="AM319" s="105">
        <v>2</v>
      </c>
      <c r="AN319" s="104">
        <v>5</v>
      </c>
      <c r="AO319" s="106">
        <v>3</v>
      </c>
      <c r="AP319" s="103">
        <v>7</v>
      </c>
      <c r="AQ319" s="106">
        <v>6</v>
      </c>
      <c r="AR319" s="104">
        <v>5</v>
      </c>
      <c r="AS319" s="103">
        <v>2</v>
      </c>
      <c r="AT319" s="103">
        <v>3</v>
      </c>
      <c r="AU319" s="104">
        <v>5</v>
      </c>
      <c r="AV319" s="105">
        <v>1</v>
      </c>
      <c r="AW319" s="103">
        <v>7</v>
      </c>
      <c r="AX319" s="105">
        <v>6</v>
      </c>
      <c r="AY319" s="103">
        <v>3</v>
      </c>
      <c r="AZ319" s="105">
        <v>3</v>
      </c>
      <c r="BA319" s="103">
        <v>1</v>
      </c>
      <c r="BB319" s="106">
        <v>5</v>
      </c>
      <c r="BC319" s="106">
        <v>4</v>
      </c>
      <c r="BD319" s="106">
        <v>2</v>
      </c>
      <c r="BE319" s="104">
        <v>1</v>
      </c>
      <c r="BF319" s="104">
        <v>5</v>
      </c>
      <c r="BG319" s="104">
        <v>7</v>
      </c>
      <c r="BH319" s="106">
        <v>4</v>
      </c>
      <c r="BI319" s="103">
        <v>5</v>
      </c>
      <c r="BJ319" s="106">
        <v>6</v>
      </c>
      <c r="BK319" s="104">
        <v>4</v>
      </c>
      <c r="BM319" s="103" t="s">
        <v>173</v>
      </c>
      <c r="BN319" s="105" t="s">
        <v>174</v>
      </c>
      <c r="BO319" s="103" t="s">
        <v>173</v>
      </c>
      <c r="BP319" s="103" t="s">
        <v>173</v>
      </c>
      <c r="BQ319" s="104" t="s">
        <v>176</v>
      </c>
      <c r="BR319" s="103" t="s">
        <v>173</v>
      </c>
      <c r="BS319" s="104" t="s">
        <v>176</v>
      </c>
      <c r="BT319" s="106" t="s">
        <v>175</v>
      </c>
      <c r="BU319" s="106" t="s">
        <v>175</v>
      </c>
      <c r="BV319" s="104" t="s">
        <v>176</v>
      </c>
      <c r="BW319" s="103" t="s">
        <v>173</v>
      </c>
      <c r="BX319" s="104" t="s">
        <v>176</v>
      </c>
      <c r="BY319" s="104" t="s">
        <v>176</v>
      </c>
      <c r="BZ319" s="105" t="s">
        <v>174</v>
      </c>
      <c r="CA319" s="104" t="s">
        <v>176</v>
      </c>
      <c r="CB319" s="106" t="s">
        <v>175</v>
      </c>
      <c r="CC319" s="106" t="s">
        <v>175</v>
      </c>
      <c r="CD319" s="104" t="s">
        <v>176</v>
      </c>
      <c r="CE319" s="104" t="s">
        <v>176</v>
      </c>
      <c r="CF319" s="105" t="s">
        <v>174</v>
      </c>
      <c r="CG319" s="106" t="s">
        <v>175</v>
      </c>
      <c r="CH319" s="104" t="s">
        <v>176</v>
      </c>
      <c r="CI319" s="106" t="s">
        <v>175</v>
      </c>
      <c r="CJ319" s="105" t="s">
        <v>174</v>
      </c>
      <c r="CK319" s="103" t="s">
        <v>173</v>
      </c>
      <c r="CL319" s="105" t="s">
        <v>174</v>
      </c>
      <c r="CM319" s="104" t="s">
        <v>176</v>
      </c>
      <c r="CN319" s="106" t="s">
        <v>175</v>
      </c>
      <c r="CO319" s="103" t="s">
        <v>173</v>
      </c>
      <c r="CP319" s="106" t="s">
        <v>175</v>
      </c>
      <c r="CQ319" s="104" t="s">
        <v>176</v>
      </c>
      <c r="CR319" s="103" t="s">
        <v>173</v>
      </c>
      <c r="CS319" s="103" t="s">
        <v>173</v>
      </c>
      <c r="CT319" s="104" t="s">
        <v>176</v>
      </c>
      <c r="CU319" s="105" t="s">
        <v>174</v>
      </c>
      <c r="CV319" s="103" t="s">
        <v>173</v>
      </c>
      <c r="CW319" s="105" t="s">
        <v>174</v>
      </c>
      <c r="CX319" s="103" t="s">
        <v>173</v>
      </c>
      <c r="CY319" s="105" t="s">
        <v>174</v>
      </c>
      <c r="CZ319" s="103" t="s">
        <v>173</v>
      </c>
      <c r="DA319" s="106" t="s">
        <v>175</v>
      </c>
      <c r="DB319" s="106" t="s">
        <v>175</v>
      </c>
      <c r="DC319" s="106" t="s">
        <v>175</v>
      </c>
      <c r="DD319" s="104" t="s">
        <v>176</v>
      </c>
      <c r="DE319" s="104" t="s">
        <v>176</v>
      </c>
      <c r="DF319" s="104" t="s">
        <v>176</v>
      </c>
      <c r="DG319" s="106" t="s">
        <v>175</v>
      </c>
      <c r="DH319" s="103" t="s">
        <v>173</v>
      </c>
      <c r="DI319" s="106" t="s">
        <v>175</v>
      </c>
      <c r="DJ319" s="104" t="s">
        <v>176</v>
      </c>
    </row>
    <row r="320" spans="2:114" ht="23.25">
      <c r="B320" s="15">
        <f t="shared" si="22"/>
        <v>143</v>
      </c>
      <c r="C320" s="15">
        <v>7</v>
      </c>
      <c r="D320" s="16">
        <v>14</v>
      </c>
      <c r="E320" s="26" t="s">
        <v>199</v>
      </c>
      <c r="F320" s="29">
        <f>IF(ISBLANK(E320),0,IF(E320=Answers!E320,1,-1))</f>
        <v>1</v>
      </c>
      <c r="I320" s="62">
        <v>2</v>
      </c>
      <c r="J320" s="62">
        <v>5</v>
      </c>
      <c r="K320" s="62">
        <v>5</v>
      </c>
      <c r="L320" s="62">
        <v>1</v>
      </c>
      <c r="N320" s="105">
        <v>3</v>
      </c>
      <c r="O320" s="103">
        <v>3</v>
      </c>
      <c r="P320" s="103">
        <v>5</v>
      </c>
      <c r="Q320" s="106">
        <v>4</v>
      </c>
      <c r="R320" s="105">
        <v>1</v>
      </c>
      <c r="S320" s="103">
        <v>6</v>
      </c>
      <c r="T320" s="104">
        <v>4</v>
      </c>
      <c r="U320" s="103">
        <v>1</v>
      </c>
      <c r="V320" s="105">
        <v>2</v>
      </c>
      <c r="W320" s="105">
        <v>5</v>
      </c>
      <c r="X320" s="103">
        <v>6</v>
      </c>
      <c r="Y320" s="103">
        <v>3</v>
      </c>
      <c r="Z320" s="104">
        <v>5</v>
      </c>
      <c r="AA320" s="104">
        <v>4</v>
      </c>
      <c r="AB320" s="105">
        <v>5</v>
      </c>
      <c r="AC320" s="103">
        <v>2</v>
      </c>
      <c r="AD320" s="105">
        <v>3</v>
      </c>
      <c r="AE320" s="103">
        <v>5</v>
      </c>
      <c r="AF320" s="105">
        <v>5</v>
      </c>
      <c r="AG320" s="104">
        <v>1</v>
      </c>
      <c r="AH320" s="106">
        <v>1</v>
      </c>
      <c r="AI320" s="104">
        <v>5</v>
      </c>
      <c r="AJ320" s="103">
        <v>6</v>
      </c>
      <c r="AK320" s="106">
        <v>6</v>
      </c>
      <c r="AL320" s="106">
        <v>7</v>
      </c>
      <c r="AM320" s="105">
        <v>5</v>
      </c>
      <c r="AN320" s="103">
        <v>6</v>
      </c>
      <c r="AO320" s="103">
        <v>4</v>
      </c>
      <c r="AP320" s="104">
        <v>3</v>
      </c>
      <c r="AQ320" s="105">
        <v>6</v>
      </c>
      <c r="AR320" s="103">
        <v>4</v>
      </c>
      <c r="AS320" s="104">
        <v>5</v>
      </c>
      <c r="AT320" s="104">
        <v>4</v>
      </c>
      <c r="AU320" s="103">
        <v>2</v>
      </c>
      <c r="AV320" s="103">
        <v>3</v>
      </c>
      <c r="AW320" s="105">
        <v>2</v>
      </c>
      <c r="AX320" s="105">
        <v>5</v>
      </c>
      <c r="AY320" s="105">
        <v>4</v>
      </c>
      <c r="AZ320" s="103">
        <v>3</v>
      </c>
      <c r="BA320" s="106">
        <v>4</v>
      </c>
      <c r="BB320" s="105">
        <v>2</v>
      </c>
      <c r="BC320" s="104">
        <v>2</v>
      </c>
      <c r="BD320" s="103">
        <v>1</v>
      </c>
      <c r="BE320" s="103">
        <v>1</v>
      </c>
      <c r="BF320" s="103">
        <v>2</v>
      </c>
      <c r="BG320" s="103">
        <v>6</v>
      </c>
      <c r="BH320" s="105">
        <v>6</v>
      </c>
      <c r="BI320" s="103">
        <v>4</v>
      </c>
      <c r="BJ320" s="103">
        <v>5</v>
      </c>
      <c r="BK320" s="105">
        <v>5</v>
      </c>
      <c r="BM320" s="105" t="s">
        <v>174</v>
      </c>
      <c r="BN320" s="103" t="s">
        <v>173</v>
      </c>
      <c r="BO320" s="103" t="s">
        <v>173</v>
      </c>
      <c r="BP320" s="106" t="s">
        <v>175</v>
      </c>
      <c r="BQ320" s="105" t="s">
        <v>174</v>
      </c>
      <c r="BR320" s="103" t="s">
        <v>173</v>
      </c>
      <c r="BS320" s="104" t="s">
        <v>176</v>
      </c>
      <c r="BT320" s="103" t="s">
        <v>173</v>
      </c>
      <c r="BU320" s="105" t="s">
        <v>174</v>
      </c>
      <c r="BV320" s="105" t="s">
        <v>174</v>
      </c>
      <c r="BW320" s="103" t="s">
        <v>173</v>
      </c>
      <c r="BX320" s="103" t="s">
        <v>173</v>
      </c>
      <c r="BY320" s="104" t="s">
        <v>176</v>
      </c>
      <c r="BZ320" s="104" t="s">
        <v>176</v>
      </c>
      <c r="CA320" s="105" t="s">
        <v>174</v>
      </c>
      <c r="CB320" s="103" t="s">
        <v>173</v>
      </c>
      <c r="CC320" s="105" t="s">
        <v>174</v>
      </c>
      <c r="CD320" s="103" t="s">
        <v>173</v>
      </c>
      <c r="CE320" s="105" t="s">
        <v>174</v>
      </c>
      <c r="CF320" s="104" t="s">
        <v>176</v>
      </c>
      <c r="CG320" s="106" t="s">
        <v>175</v>
      </c>
      <c r="CH320" s="104" t="s">
        <v>176</v>
      </c>
      <c r="CI320" s="103" t="s">
        <v>173</v>
      </c>
      <c r="CJ320" s="106" t="s">
        <v>175</v>
      </c>
      <c r="CK320" s="106" t="s">
        <v>175</v>
      </c>
      <c r="CL320" s="105" t="s">
        <v>174</v>
      </c>
      <c r="CM320" s="103" t="s">
        <v>173</v>
      </c>
      <c r="CN320" s="103" t="s">
        <v>173</v>
      </c>
      <c r="CO320" s="104" t="s">
        <v>176</v>
      </c>
      <c r="CP320" s="105" t="s">
        <v>174</v>
      </c>
      <c r="CQ320" s="103" t="s">
        <v>173</v>
      </c>
      <c r="CR320" s="104" t="s">
        <v>176</v>
      </c>
      <c r="CS320" s="104" t="s">
        <v>176</v>
      </c>
      <c r="CT320" s="103" t="s">
        <v>173</v>
      </c>
      <c r="CU320" s="103" t="s">
        <v>173</v>
      </c>
      <c r="CV320" s="105" t="s">
        <v>174</v>
      </c>
      <c r="CW320" s="105" t="s">
        <v>174</v>
      </c>
      <c r="CX320" s="105" t="s">
        <v>174</v>
      </c>
      <c r="CY320" s="103" t="s">
        <v>173</v>
      </c>
      <c r="CZ320" s="106" t="s">
        <v>175</v>
      </c>
      <c r="DA320" s="105" t="s">
        <v>174</v>
      </c>
      <c r="DB320" s="104" t="s">
        <v>176</v>
      </c>
      <c r="DC320" s="103" t="s">
        <v>173</v>
      </c>
      <c r="DD320" s="103" t="s">
        <v>173</v>
      </c>
      <c r="DE320" s="103" t="s">
        <v>173</v>
      </c>
      <c r="DF320" s="103" t="s">
        <v>173</v>
      </c>
      <c r="DG320" s="105" t="s">
        <v>174</v>
      </c>
      <c r="DH320" s="103" t="s">
        <v>173</v>
      </c>
      <c r="DI320" s="103" t="s">
        <v>173</v>
      </c>
      <c r="DJ320" s="105" t="s">
        <v>174</v>
      </c>
    </row>
    <row r="321" spans="2:114" ht="23.25">
      <c r="B321" s="15">
        <f t="shared" si="22"/>
        <v>144</v>
      </c>
      <c r="C321" s="15">
        <v>7</v>
      </c>
      <c r="D321" s="16">
        <v>14</v>
      </c>
      <c r="E321" s="26" t="s">
        <v>200</v>
      </c>
      <c r="F321" s="29">
        <f>IF(ISBLANK(E321),0,IF(E321=Answers!E321,1,-1))</f>
        <v>1</v>
      </c>
      <c r="I321" s="62">
        <v>1</v>
      </c>
      <c r="J321" s="62">
        <v>4</v>
      </c>
      <c r="K321" s="62">
        <v>2</v>
      </c>
      <c r="L321" s="62">
        <v>4</v>
      </c>
      <c r="N321" s="105">
        <v>2</v>
      </c>
      <c r="O321" s="105">
        <v>6</v>
      </c>
      <c r="P321" s="104">
        <v>3</v>
      </c>
      <c r="Q321" s="103">
        <v>2</v>
      </c>
      <c r="R321" s="103">
        <v>2</v>
      </c>
      <c r="S321" s="106">
        <v>1</v>
      </c>
      <c r="T321" s="106">
        <v>2</v>
      </c>
      <c r="U321" s="103">
        <v>6</v>
      </c>
      <c r="V321" s="103">
        <v>6</v>
      </c>
      <c r="W321" s="106">
        <v>4</v>
      </c>
      <c r="X321" s="106">
        <v>7</v>
      </c>
      <c r="Y321" s="106">
        <v>2</v>
      </c>
      <c r="Z321" s="106">
        <v>6</v>
      </c>
      <c r="AA321" s="104">
        <v>3</v>
      </c>
      <c r="AB321" s="105">
        <v>2</v>
      </c>
      <c r="AC321" s="104">
        <v>2</v>
      </c>
      <c r="AD321" s="103">
        <v>3</v>
      </c>
      <c r="AE321" s="103">
        <v>6</v>
      </c>
      <c r="AF321" s="106">
        <v>1</v>
      </c>
      <c r="AG321" s="106">
        <v>5</v>
      </c>
      <c r="AH321" s="104">
        <v>5</v>
      </c>
      <c r="AI321" s="106">
        <v>1</v>
      </c>
      <c r="AJ321" s="105">
        <v>5</v>
      </c>
      <c r="AK321" s="106">
        <v>5</v>
      </c>
      <c r="AL321" s="106">
        <v>7</v>
      </c>
      <c r="AM321" s="103">
        <v>3</v>
      </c>
      <c r="AN321" s="106">
        <v>6</v>
      </c>
      <c r="AO321" s="105">
        <v>2</v>
      </c>
      <c r="AP321" s="103">
        <v>2</v>
      </c>
      <c r="AQ321" s="106">
        <v>5</v>
      </c>
      <c r="AR321" s="104">
        <v>7</v>
      </c>
      <c r="AS321" s="104">
        <v>5</v>
      </c>
      <c r="AT321" s="106">
        <v>7</v>
      </c>
      <c r="AU321" s="105">
        <v>1</v>
      </c>
      <c r="AV321" s="105">
        <v>2</v>
      </c>
      <c r="AW321" s="106">
        <v>6</v>
      </c>
      <c r="AX321" s="105">
        <v>2</v>
      </c>
      <c r="AY321" s="105">
        <v>1</v>
      </c>
      <c r="AZ321" s="103">
        <v>3</v>
      </c>
      <c r="BA321" s="106">
        <v>7</v>
      </c>
      <c r="BB321" s="104">
        <v>1</v>
      </c>
      <c r="BC321" s="103">
        <v>7</v>
      </c>
      <c r="BD321" s="105">
        <v>7</v>
      </c>
      <c r="BE321" s="105">
        <v>7</v>
      </c>
      <c r="BF321" s="104">
        <v>2</v>
      </c>
      <c r="BG321" s="104">
        <v>7</v>
      </c>
      <c r="BH321" s="106">
        <v>2</v>
      </c>
      <c r="BI321" s="106">
        <v>7</v>
      </c>
      <c r="BJ321" s="106">
        <v>4</v>
      </c>
      <c r="BK321" s="106">
        <v>5</v>
      </c>
      <c r="BM321" s="105" t="s">
        <v>174</v>
      </c>
      <c r="BN321" s="105" t="s">
        <v>174</v>
      </c>
      <c r="BO321" s="104" t="s">
        <v>176</v>
      </c>
      <c r="BP321" s="103" t="s">
        <v>173</v>
      </c>
      <c r="BQ321" s="103" t="s">
        <v>173</v>
      </c>
      <c r="BR321" s="106" t="s">
        <v>175</v>
      </c>
      <c r="BS321" s="106" t="s">
        <v>175</v>
      </c>
      <c r="BT321" s="103" t="s">
        <v>173</v>
      </c>
      <c r="BU321" s="103" t="s">
        <v>173</v>
      </c>
      <c r="BV321" s="106" t="s">
        <v>175</v>
      </c>
      <c r="BW321" s="106" t="s">
        <v>175</v>
      </c>
      <c r="BX321" s="106" t="s">
        <v>175</v>
      </c>
      <c r="BY321" s="106" t="s">
        <v>175</v>
      </c>
      <c r="BZ321" s="104" t="s">
        <v>176</v>
      </c>
      <c r="CA321" s="105" t="s">
        <v>174</v>
      </c>
      <c r="CB321" s="104" t="s">
        <v>176</v>
      </c>
      <c r="CC321" s="103" t="s">
        <v>173</v>
      </c>
      <c r="CD321" s="103" t="s">
        <v>173</v>
      </c>
      <c r="CE321" s="106" t="s">
        <v>175</v>
      </c>
      <c r="CF321" s="106" t="s">
        <v>175</v>
      </c>
      <c r="CG321" s="104" t="s">
        <v>176</v>
      </c>
      <c r="CH321" s="106" t="s">
        <v>175</v>
      </c>
      <c r="CI321" s="105" t="s">
        <v>174</v>
      </c>
      <c r="CJ321" s="106" t="s">
        <v>175</v>
      </c>
      <c r="CK321" s="106" t="s">
        <v>175</v>
      </c>
      <c r="CL321" s="103" t="s">
        <v>173</v>
      </c>
      <c r="CM321" s="106" t="s">
        <v>175</v>
      </c>
      <c r="CN321" s="105" t="s">
        <v>174</v>
      </c>
      <c r="CO321" s="103" t="s">
        <v>173</v>
      </c>
      <c r="CP321" s="106" t="s">
        <v>175</v>
      </c>
      <c r="CQ321" s="104" t="s">
        <v>176</v>
      </c>
      <c r="CR321" s="104" t="s">
        <v>176</v>
      </c>
      <c r="CS321" s="106" t="s">
        <v>175</v>
      </c>
      <c r="CT321" s="105" t="s">
        <v>174</v>
      </c>
      <c r="CU321" s="105" t="s">
        <v>174</v>
      </c>
      <c r="CV321" s="106" t="s">
        <v>175</v>
      </c>
      <c r="CW321" s="105" t="s">
        <v>174</v>
      </c>
      <c r="CX321" s="105" t="s">
        <v>174</v>
      </c>
      <c r="CY321" s="103" t="s">
        <v>173</v>
      </c>
      <c r="CZ321" s="106" t="s">
        <v>175</v>
      </c>
      <c r="DA321" s="104" t="s">
        <v>176</v>
      </c>
      <c r="DB321" s="103" t="s">
        <v>173</v>
      </c>
      <c r="DC321" s="105" t="s">
        <v>174</v>
      </c>
      <c r="DD321" s="105" t="s">
        <v>174</v>
      </c>
      <c r="DE321" s="104" t="s">
        <v>176</v>
      </c>
      <c r="DF321" s="104" t="s">
        <v>176</v>
      </c>
      <c r="DG321" s="106" t="s">
        <v>175</v>
      </c>
      <c r="DH321" s="106" t="s">
        <v>175</v>
      </c>
      <c r="DI321" s="106" t="s">
        <v>175</v>
      </c>
      <c r="DJ321" s="106" t="s">
        <v>175</v>
      </c>
    </row>
    <row r="322" spans="2:114" ht="23.25">
      <c r="B322" s="15">
        <f t="shared" si="22"/>
        <v>145</v>
      </c>
      <c r="C322" s="15">
        <v>7</v>
      </c>
      <c r="D322" s="16">
        <v>14</v>
      </c>
      <c r="E322" s="26" t="s">
        <v>183</v>
      </c>
      <c r="F322" s="29">
        <f>IF(ISBLANK(E322),0,IF(E322=Answers!E322,1,-1))</f>
        <v>1</v>
      </c>
      <c r="I322" s="62">
        <v>4</v>
      </c>
      <c r="J322" s="62">
        <v>1</v>
      </c>
      <c r="K322" s="62">
        <v>0</v>
      </c>
      <c r="L322" s="62">
        <v>1</v>
      </c>
      <c r="N322" s="105">
        <v>5</v>
      </c>
      <c r="O322" s="103">
        <v>3</v>
      </c>
      <c r="P322" s="103">
        <v>7</v>
      </c>
      <c r="Q322" s="104">
        <v>5</v>
      </c>
      <c r="R322" s="103">
        <v>6</v>
      </c>
      <c r="S322" s="105">
        <v>2</v>
      </c>
      <c r="T322" s="106">
        <v>5</v>
      </c>
      <c r="U322" s="103">
        <v>7</v>
      </c>
      <c r="V322" s="103">
        <v>7</v>
      </c>
      <c r="W322" s="103">
        <v>1</v>
      </c>
      <c r="X322" s="105">
        <v>1</v>
      </c>
      <c r="Y322" s="104">
        <v>6</v>
      </c>
      <c r="Z322" s="106">
        <v>4</v>
      </c>
      <c r="AA322" s="103">
        <v>6</v>
      </c>
      <c r="AB322" s="105">
        <v>1</v>
      </c>
      <c r="AC322" s="105">
        <v>1</v>
      </c>
      <c r="AD322" s="105">
        <v>4</v>
      </c>
      <c r="AE322" s="105">
        <v>5</v>
      </c>
      <c r="AF322" s="104">
        <v>7</v>
      </c>
      <c r="AG322" s="105">
        <v>1</v>
      </c>
      <c r="AH322" s="104">
        <v>4</v>
      </c>
      <c r="AI322" s="106">
        <v>6</v>
      </c>
      <c r="AJ322" s="104">
        <v>7</v>
      </c>
      <c r="AK322" s="105">
        <v>1</v>
      </c>
      <c r="AL322" s="104">
        <v>7</v>
      </c>
      <c r="AM322" s="104">
        <v>7</v>
      </c>
      <c r="AN322" s="103">
        <v>5</v>
      </c>
      <c r="AO322" s="105">
        <v>2</v>
      </c>
      <c r="AP322" s="103">
        <v>3</v>
      </c>
      <c r="AQ322" s="106">
        <v>4</v>
      </c>
      <c r="AR322" s="104">
        <v>7</v>
      </c>
      <c r="AS322" s="106">
        <v>5</v>
      </c>
      <c r="AT322" s="104">
        <v>2</v>
      </c>
      <c r="AU322" s="105">
        <v>1</v>
      </c>
      <c r="AV322" s="105">
        <v>6</v>
      </c>
      <c r="AW322" s="104">
        <v>4</v>
      </c>
      <c r="AX322" s="106">
        <v>4</v>
      </c>
      <c r="AY322" s="103">
        <v>3</v>
      </c>
      <c r="AZ322" s="106">
        <v>2</v>
      </c>
      <c r="BA322" s="104">
        <v>6</v>
      </c>
      <c r="BB322" s="103">
        <v>7</v>
      </c>
      <c r="BC322" s="105">
        <v>4</v>
      </c>
      <c r="BD322" s="105">
        <v>3</v>
      </c>
      <c r="BE322" s="105">
        <v>5</v>
      </c>
      <c r="BF322" s="104">
        <v>3</v>
      </c>
      <c r="BG322" s="103">
        <v>2</v>
      </c>
      <c r="BH322" s="104">
        <v>5</v>
      </c>
      <c r="BI322" s="103">
        <v>5</v>
      </c>
      <c r="BJ322" s="104">
        <v>5</v>
      </c>
      <c r="BK322" s="105">
        <v>2</v>
      </c>
      <c r="BM322" s="105" t="s">
        <v>174</v>
      </c>
      <c r="BN322" s="103" t="s">
        <v>173</v>
      </c>
      <c r="BO322" s="103" t="s">
        <v>173</v>
      </c>
      <c r="BP322" s="104" t="s">
        <v>176</v>
      </c>
      <c r="BQ322" s="103" t="s">
        <v>173</v>
      </c>
      <c r="BR322" s="105" t="s">
        <v>174</v>
      </c>
      <c r="BS322" s="106" t="s">
        <v>175</v>
      </c>
      <c r="BT322" s="103" t="s">
        <v>173</v>
      </c>
      <c r="BU322" s="103" t="s">
        <v>173</v>
      </c>
      <c r="BV322" s="103" t="s">
        <v>173</v>
      </c>
      <c r="BW322" s="105" t="s">
        <v>174</v>
      </c>
      <c r="BX322" s="104" t="s">
        <v>176</v>
      </c>
      <c r="BY322" s="106" t="s">
        <v>175</v>
      </c>
      <c r="BZ322" s="103" t="s">
        <v>173</v>
      </c>
      <c r="CA322" s="105" t="s">
        <v>174</v>
      </c>
      <c r="CB322" s="105" t="s">
        <v>174</v>
      </c>
      <c r="CC322" s="105" t="s">
        <v>174</v>
      </c>
      <c r="CD322" s="105" t="s">
        <v>174</v>
      </c>
      <c r="CE322" s="104" t="s">
        <v>176</v>
      </c>
      <c r="CF322" s="105" t="s">
        <v>174</v>
      </c>
      <c r="CG322" s="104" t="s">
        <v>176</v>
      </c>
      <c r="CH322" s="106" t="s">
        <v>175</v>
      </c>
      <c r="CI322" s="104" t="s">
        <v>176</v>
      </c>
      <c r="CJ322" s="105" t="s">
        <v>174</v>
      </c>
      <c r="CK322" s="104" t="s">
        <v>176</v>
      </c>
      <c r="CL322" s="104" t="s">
        <v>176</v>
      </c>
      <c r="CM322" s="103" t="s">
        <v>173</v>
      </c>
      <c r="CN322" s="105" t="s">
        <v>174</v>
      </c>
      <c r="CO322" s="103" t="s">
        <v>173</v>
      </c>
      <c r="CP322" s="106" t="s">
        <v>175</v>
      </c>
      <c r="CQ322" s="104" t="s">
        <v>176</v>
      </c>
      <c r="CR322" s="106" t="s">
        <v>175</v>
      </c>
      <c r="CS322" s="104" t="s">
        <v>176</v>
      </c>
      <c r="CT322" s="105" t="s">
        <v>174</v>
      </c>
      <c r="CU322" s="105" t="s">
        <v>174</v>
      </c>
      <c r="CV322" s="104" t="s">
        <v>176</v>
      </c>
      <c r="CW322" s="106" t="s">
        <v>175</v>
      </c>
      <c r="CX322" s="103" t="s">
        <v>173</v>
      </c>
      <c r="CY322" s="106" t="s">
        <v>175</v>
      </c>
      <c r="CZ322" s="104" t="s">
        <v>176</v>
      </c>
      <c r="DA322" s="103" t="s">
        <v>173</v>
      </c>
      <c r="DB322" s="105" t="s">
        <v>174</v>
      </c>
      <c r="DC322" s="105" t="s">
        <v>174</v>
      </c>
      <c r="DD322" s="105" t="s">
        <v>174</v>
      </c>
      <c r="DE322" s="104" t="s">
        <v>176</v>
      </c>
      <c r="DF322" s="103" t="s">
        <v>173</v>
      </c>
      <c r="DG322" s="104" t="s">
        <v>176</v>
      </c>
      <c r="DH322" s="103" t="s">
        <v>173</v>
      </c>
      <c r="DI322" s="104" t="s">
        <v>176</v>
      </c>
      <c r="DJ322" s="105" t="s">
        <v>174</v>
      </c>
    </row>
    <row r="323" spans="2:114" ht="23.25">
      <c r="B323" s="15">
        <f t="shared" si="22"/>
        <v>146</v>
      </c>
      <c r="C323" s="15">
        <v>7</v>
      </c>
      <c r="D323" s="16">
        <v>14</v>
      </c>
      <c r="E323" s="26" t="s">
        <v>201</v>
      </c>
      <c r="F323" s="29">
        <f>IF(ISBLANK(E323),0,IF(E323=Answers!E323,1,-1))</f>
        <v>1</v>
      </c>
      <c r="I323" s="62">
        <v>1</v>
      </c>
      <c r="J323" s="62">
        <v>0</v>
      </c>
      <c r="K323" s="62">
        <v>3</v>
      </c>
      <c r="L323" s="62">
        <v>0</v>
      </c>
      <c r="N323" s="106">
        <v>4</v>
      </c>
      <c r="O323" s="106">
        <v>1</v>
      </c>
      <c r="P323" s="104">
        <v>1</v>
      </c>
      <c r="Q323" s="104">
        <v>7</v>
      </c>
      <c r="R323" s="105">
        <v>6</v>
      </c>
      <c r="S323" s="106">
        <v>5</v>
      </c>
      <c r="T323" s="106">
        <v>6</v>
      </c>
      <c r="U323" s="104">
        <v>3</v>
      </c>
      <c r="V323" s="106">
        <v>3</v>
      </c>
      <c r="W323" s="106">
        <v>2</v>
      </c>
      <c r="X323" s="106">
        <v>3</v>
      </c>
      <c r="Y323" s="106">
        <v>6</v>
      </c>
      <c r="Z323" s="106">
        <v>3</v>
      </c>
      <c r="AA323" s="105">
        <v>3</v>
      </c>
      <c r="AB323" s="103">
        <v>3</v>
      </c>
      <c r="AC323" s="104">
        <v>7</v>
      </c>
      <c r="AD323" s="106">
        <v>2</v>
      </c>
      <c r="AE323" s="105">
        <v>2</v>
      </c>
      <c r="AF323" s="105">
        <v>2</v>
      </c>
      <c r="AG323" s="104">
        <v>2</v>
      </c>
      <c r="AH323" s="106">
        <v>3</v>
      </c>
      <c r="AI323" s="104">
        <v>7</v>
      </c>
      <c r="AJ323" s="103">
        <v>4</v>
      </c>
      <c r="AK323" s="106">
        <v>3</v>
      </c>
      <c r="AL323" s="103">
        <v>2</v>
      </c>
      <c r="AM323" s="104">
        <v>1</v>
      </c>
      <c r="AN323" s="106">
        <v>5</v>
      </c>
      <c r="AO323" s="103">
        <v>3</v>
      </c>
      <c r="AP323" s="106">
        <v>7</v>
      </c>
      <c r="AQ323" s="104">
        <v>5</v>
      </c>
      <c r="AR323" s="103">
        <v>1</v>
      </c>
      <c r="AS323" s="104">
        <v>6</v>
      </c>
      <c r="AT323" s="105">
        <v>4</v>
      </c>
      <c r="AU323" s="106">
        <v>3</v>
      </c>
      <c r="AV323" s="104">
        <v>5</v>
      </c>
      <c r="AW323" s="105">
        <v>2</v>
      </c>
      <c r="AX323" s="103">
        <v>4</v>
      </c>
      <c r="AY323" s="103">
        <v>6</v>
      </c>
      <c r="AZ323" s="105">
        <v>5</v>
      </c>
      <c r="BA323" s="105">
        <v>1</v>
      </c>
      <c r="BB323" s="106">
        <v>7</v>
      </c>
      <c r="BC323" s="104">
        <v>3</v>
      </c>
      <c r="BD323" s="103">
        <v>6</v>
      </c>
      <c r="BE323" s="106">
        <v>5</v>
      </c>
      <c r="BF323" s="105">
        <v>4</v>
      </c>
      <c r="BG323" s="104">
        <v>7</v>
      </c>
      <c r="BH323" s="106">
        <v>5</v>
      </c>
      <c r="BI323" s="104">
        <v>4</v>
      </c>
      <c r="BJ323" s="106">
        <v>6</v>
      </c>
      <c r="BK323" s="104">
        <v>5</v>
      </c>
      <c r="BM323" s="106" t="s">
        <v>175</v>
      </c>
      <c r="BN323" s="106" t="s">
        <v>175</v>
      </c>
      <c r="BO323" s="104" t="s">
        <v>176</v>
      </c>
      <c r="BP323" s="104" t="s">
        <v>176</v>
      </c>
      <c r="BQ323" s="105" t="s">
        <v>174</v>
      </c>
      <c r="BR323" s="106" t="s">
        <v>175</v>
      </c>
      <c r="BS323" s="106" t="s">
        <v>175</v>
      </c>
      <c r="BT323" s="104" t="s">
        <v>176</v>
      </c>
      <c r="BU323" s="106" t="s">
        <v>175</v>
      </c>
      <c r="BV323" s="106" t="s">
        <v>175</v>
      </c>
      <c r="BW323" s="106" t="s">
        <v>175</v>
      </c>
      <c r="BX323" s="106" t="s">
        <v>175</v>
      </c>
      <c r="BY323" s="106" t="s">
        <v>175</v>
      </c>
      <c r="BZ323" s="105" t="s">
        <v>174</v>
      </c>
      <c r="CA323" s="103" t="s">
        <v>173</v>
      </c>
      <c r="CB323" s="104" t="s">
        <v>176</v>
      </c>
      <c r="CC323" s="106" t="s">
        <v>175</v>
      </c>
      <c r="CD323" s="105" t="s">
        <v>174</v>
      </c>
      <c r="CE323" s="105" t="s">
        <v>174</v>
      </c>
      <c r="CF323" s="104" t="s">
        <v>176</v>
      </c>
      <c r="CG323" s="106" t="s">
        <v>175</v>
      </c>
      <c r="CH323" s="104" t="s">
        <v>176</v>
      </c>
      <c r="CI323" s="103" t="s">
        <v>173</v>
      </c>
      <c r="CJ323" s="106" t="s">
        <v>175</v>
      </c>
      <c r="CK323" s="103" t="s">
        <v>173</v>
      </c>
      <c r="CL323" s="104" t="s">
        <v>176</v>
      </c>
      <c r="CM323" s="106" t="s">
        <v>175</v>
      </c>
      <c r="CN323" s="103" t="s">
        <v>173</v>
      </c>
      <c r="CO323" s="106" t="s">
        <v>175</v>
      </c>
      <c r="CP323" s="104" t="s">
        <v>176</v>
      </c>
      <c r="CQ323" s="103" t="s">
        <v>173</v>
      </c>
      <c r="CR323" s="104" t="s">
        <v>176</v>
      </c>
      <c r="CS323" s="105" t="s">
        <v>174</v>
      </c>
      <c r="CT323" s="106" t="s">
        <v>175</v>
      </c>
      <c r="CU323" s="104" t="s">
        <v>176</v>
      </c>
      <c r="CV323" s="105" t="s">
        <v>174</v>
      </c>
      <c r="CW323" s="103" t="s">
        <v>173</v>
      </c>
      <c r="CX323" s="103" t="s">
        <v>173</v>
      </c>
      <c r="CY323" s="105" t="s">
        <v>174</v>
      </c>
      <c r="CZ323" s="105" t="s">
        <v>174</v>
      </c>
      <c r="DA323" s="106" t="s">
        <v>175</v>
      </c>
      <c r="DB323" s="104" t="s">
        <v>176</v>
      </c>
      <c r="DC323" s="103" t="s">
        <v>173</v>
      </c>
      <c r="DD323" s="106" t="s">
        <v>175</v>
      </c>
      <c r="DE323" s="105" t="s">
        <v>174</v>
      </c>
      <c r="DF323" s="104" t="s">
        <v>176</v>
      </c>
      <c r="DG323" s="106" t="s">
        <v>175</v>
      </c>
      <c r="DH323" s="104" t="s">
        <v>176</v>
      </c>
      <c r="DI323" s="106" t="s">
        <v>175</v>
      </c>
      <c r="DJ323" s="104" t="s">
        <v>176</v>
      </c>
    </row>
    <row r="324" spans="2:114" ht="23.25">
      <c r="B324" s="15">
        <f t="shared" si="22"/>
        <v>147</v>
      </c>
      <c r="C324" s="15">
        <v>7</v>
      </c>
      <c r="D324" s="16">
        <v>14</v>
      </c>
      <c r="E324" s="26" t="s">
        <v>202</v>
      </c>
      <c r="F324" s="29">
        <f>IF(ISBLANK(E324),0,IF(E324=Answers!E324,1,-1))</f>
        <v>1</v>
      </c>
      <c r="I324" s="62">
        <v>1</v>
      </c>
      <c r="J324" s="62">
        <v>1</v>
      </c>
      <c r="K324" s="62">
        <v>5</v>
      </c>
      <c r="L324" s="62">
        <v>1</v>
      </c>
      <c r="N324" s="106">
        <v>5</v>
      </c>
      <c r="O324" s="105">
        <v>4</v>
      </c>
      <c r="P324" s="104">
        <v>1</v>
      </c>
      <c r="Q324" s="104">
        <v>3</v>
      </c>
      <c r="R324" s="105">
        <v>1</v>
      </c>
      <c r="S324" s="104">
        <v>4</v>
      </c>
      <c r="T324" s="104">
        <v>2</v>
      </c>
      <c r="U324" s="103">
        <v>7</v>
      </c>
      <c r="V324" s="105">
        <v>4</v>
      </c>
      <c r="W324" s="104">
        <v>5</v>
      </c>
      <c r="X324" s="106">
        <v>1</v>
      </c>
      <c r="Y324" s="105">
        <v>2</v>
      </c>
      <c r="Z324" s="103">
        <v>1</v>
      </c>
      <c r="AA324" s="105">
        <v>3</v>
      </c>
      <c r="AB324" s="105">
        <v>7</v>
      </c>
      <c r="AC324" s="105">
        <v>5</v>
      </c>
      <c r="AD324" s="105">
        <v>7</v>
      </c>
      <c r="AE324" s="104">
        <v>3</v>
      </c>
      <c r="AF324" s="103">
        <v>5</v>
      </c>
      <c r="AG324" s="105">
        <v>5</v>
      </c>
      <c r="AH324" s="104">
        <v>1</v>
      </c>
      <c r="AI324" s="103">
        <v>2</v>
      </c>
      <c r="AJ324" s="103">
        <v>7</v>
      </c>
      <c r="AK324" s="105">
        <v>6</v>
      </c>
      <c r="AL324" s="104">
        <v>2</v>
      </c>
      <c r="AM324" s="106">
        <v>5</v>
      </c>
      <c r="AN324" s="105">
        <v>1</v>
      </c>
      <c r="AO324" s="103">
        <v>6</v>
      </c>
      <c r="AP324" s="105">
        <v>7</v>
      </c>
      <c r="AQ324" s="103">
        <v>2</v>
      </c>
      <c r="AR324" s="105">
        <v>2</v>
      </c>
      <c r="AS324" s="103">
        <v>4</v>
      </c>
      <c r="AT324" s="105">
        <v>7</v>
      </c>
      <c r="AU324" s="104">
        <v>6</v>
      </c>
      <c r="AV324" s="103">
        <v>1</v>
      </c>
      <c r="AW324" s="104">
        <v>2</v>
      </c>
      <c r="AX324" s="103">
        <v>4</v>
      </c>
      <c r="AY324" s="105">
        <v>6</v>
      </c>
      <c r="AZ324" s="103">
        <v>2</v>
      </c>
      <c r="BA324" s="104">
        <v>4</v>
      </c>
      <c r="BB324" s="106">
        <v>5</v>
      </c>
      <c r="BC324" s="104">
        <v>6</v>
      </c>
      <c r="BD324" s="103">
        <v>3</v>
      </c>
      <c r="BE324" s="105">
        <v>5</v>
      </c>
      <c r="BF324" s="104">
        <v>6</v>
      </c>
      <c r="BG324" s="105">
        <v>1</v>
      </c>
      <c r="BH324" s="105">
        <v>2</v>
      </c>
      <c r="BI324" s="106">
        <v>1</v>
      </c>
      <c r="BJ324" s="105">
        <v>4</v>
      </c>
      <c r="BK324" s="104">
        <v>4</v>
      </c>
      <c r="BM324" s="106" t="s">
        <v>175</v>
      </c>
      <c r="BN324" s="105" t="s">
        <v>174</v>
      </c>
      <c r="BO324" s="104" t="s">
        <v>176</v>
      </c>
      <c r="BP324" s="104" t="s">
        <v>176</v>
      </c>
      <c r="BQ324" s="105" t="s">
        <v>174</v>
      </c>
      <c r="BR324" s="104" t="s">
        <v>176</v>
      </c>
      <c r="BS324" s="104" t="s">
        <v>176</v>
      </c>
      <c r="BT324" s="103" t="s">
        <v>173</v>
      </c>
      <c r="BU324" s="105" t="s">
        <v>174</v>
      </c>
      <c r="BV324" s="104" t="s">
        <v>176</v>
      </c>
      <c r="BW324" s="106" t="s">
        <v>175</v>
      </c>
      <c r="BX324" s="105" t="s">
        <v>174</v>
      </c>
      <c r="BY324" s="103" t="s">
        <v>173</v>
      </c>
      <c r="BZ324" s="105" t="s">
        <v>174</v>
      </c>
      <c r="CA324" s="105" t="s">
        <v>174</v>
      </c>
      <c r="CB324" s="105" t="s">
        <v>174</v>
      </c>
      <c r="CC324" s="105" t="s">
        <v>174</v>
      </c>
      <c r="CD324" s="104" t="s">
        <v>176</v>
      </c>
      <c r="CE324" s="103" t="s">
        <v>173</v>
      </c>
      <c r="CF324" s="105" t="s">
        <v>174</v>
      </c>
      <c r="CG324" s="104" t="s">
        <v>176</v>
      </c>
      <c r="CH324" s="103" t="s">
        <v>173</v>
      </c>
      <c r="CI324" s="103" t="s">
        <v>173</v>
      </c>
      <c r="CJ324" s="105" t="s">
        <v>174</v>
      </c>
      <c r="CK324" s="104" t="s">
        <v>176</v>
      </c>
      <c r="CL324" s="106" t="s">
        <v>175</v>
      </c>
      <c r="CM324" s="105" t="s">
        <v>174</v>
      </c>
      <c r="CN324" s="103" t="s">
        <v>173</v>
      </c>
      <c r="CO324" s="105" t="s">
        <v>174</v>
      </c>
      <c r="CP324" s="103" t="s">
        <v>173</v>
      </c>
      <c r="CQ324" s="105" t="s">
        <v>174</v>
      </c>
      <c r="CR324" s="103" t="s">
        <v>173</v>
      </c>
      <c r="CS324" s="105" t="s">
        <v>174</v>
      </c>
      <c r="CT324" s="104" t="s">
        <v>176</v>
      </c>
      <c r="CU324" s="103" t="s">
        <v>173</v>
      </c>
      <c r="CV324" s="104" t="s">
        <v>176</v>
      </c>
      <c r="CW324" s="103" t="s">
        <v>173</v>
      </c>
      <c r="CX324" s="105" t="s">
        <v>174</v>
      </c>
      <c r="CY324" s="103" t="s">
        <v>173</v>
      </c>
      <c r="CZ324" s="104" t="s">
        <v>176</v>
      </c>
      <c r="DA324" s="106" t="s">
        <v>175</v>
      </c>
      <c r="DB324" s="104" t="s">
        <v>176</v>
      </c>
      <c r="DC324" s="103" t="s">
        <v>173</v>
      </c>
      <c r="DD324" s="105" t="s">
        <v>174</v>
      </c>
      <c r="DE324" s="104" t="s">
        <v>176</v>
      </c>
      <c r="DF324" s="105" t="s">
        <v>174</v>
      </c>
      <c r="DG324" s="105" t="s">
        <v>174</v>
      </c>
      <c r="DH324" s="106" t="s">
        <v>175</v>
      </c>
      <c r="DI324" s="105" t="s">
        <v>174</v>
      </c>
      <c r="DJ324" s="104" t="s">
        <v>176</v>
      </c>
    </row>
    <row r="325" spans="2:114" ht="23.25">
      <c r="B325" s="15">
        <f t="shared" si="22"/>
        <v>148</v>
      </c>
      <c r="C325" s="15">
        <v>7</v>
      </c>
      <c r="D325" s="16">
        <v>14</v>
      </c>
      <c r="E325" s="26" t="s">
        <v>203</v>
      </c>
      <c r="F325" s="29">
        <f>IF(ISBLANK(E325),0,IF(E325=Answers!E325,1,-1))</f>
        <v>1</v>
      </c>
      <c r="I325" s="62">
        <v>3</v>
      </c>
      <c r="J325" s="62">
        <v>5</v>
      </c>
      <c r="K325" s="62">
        <v>4</v>
      </c>
      <c r="L325" s="62">
        <v>3</v>
      </c>
      <c r="N325" s="104">
        <v>6</v>
      </c>
      <c r="O325" s="104">
        <v>3</v>
      </c>
      <c r="P325" s="105">
        <v>3</v>
      </c>
      <c r="Q325" s="106">
        <v>6</v>
      </c>
      <c r="R325" s="104">
        <v>2</v>
      </c>
      <c r="S325" s="104">
        <v>1</v>
      </c>
      <c r="T325" s="106">
        <v>1</v>
      </c>
      <c r="U325" s="105">
        <v>6</v>
      </c>
      <c r="V325" s="106">
        <v>3</v>
      </c>
      <c r="W325" s="106">
        <v>6</v>
      </c>
      <c r="X325" s="103">
        <v>7</v>
      </c>
      <c r="Y325" s="103">
        <v>4</v>
      </c>
      <c r="Z325" s="104">
        <v>2</v>
      </c>
      <c r="AA325" s="106">
        <v>4</v>
      </c>
      <c r="AB325" s="105">
        <v>1</v>
      </c>
      <c r="AC325" s="103">
        <v>4</v>
      </c>
      <c r="AD325" s="105">
        <v>4</v>
      </c>
      <c r="AE325" s="105">
        <v>5</v>
      </c>
      <c r="AF325" s="104">
        <v>2</v>
      </c>
      <c r="AG325" s="103">
        <v>4</v>
      </c>
      <c r="AH325" s="104">
        <v>3</v>
      </c>
      <c r="AI325" s="106">
        <v>5</v>
      </c>
      <c r="AJ325" s="104">
        <v>4</v>
      </c>
      <c r="AK325" s="103">
        <v>4</v>
      </c>
      <c r="AL325" s="103">
        <v>7</v>
      </c>
      <c r="AM325" s="106">
        <v>1</v>
      </c>
      <c r="AN325" s="106">
        <v>2</v>
      </c>
      <c r="AO325" s="105">
        <v>5</v>
      </c>
      <c r="AP325" s="105">
        <v>2</v>
      </c>
      <c r="AQ325" s="105">
        <v>2</v>
      </c>
      <c r="AR325" s="104">
        <v>1</v>
      </c>
      <c r="AS325" s="104">
        <v>7</v>
      </c>
      <c r="AT325" s="104">
        <v>2</v>
      </c>
      <c r="AU325" s="106">
        <v>5</v>
      </c>
      <c r="AV325" s="105">
        <v>1</v>
      </c>
      <c r="AW325" s="103">
        <v>3</v>
      </c>
      <c r="AX325" s="105">
        <v>4</v>
      </c>
      <c r="AY325" s="105">
        <v>1</v>
      </c>
      <c r="AZ325" s="105">
        <v>6</v>
      </c>
      <c r="BA325" s="105">
        <v>5</v>
      </c>
      <c r="BB325" s="104">
        <v>2</v>
      </c>
      <c r="BC325" s="103">
        <v>5</v>
      </c>
      <c r="BD325" s="104">
        <v>1</v>
      </c>
      <c r="BE325" s="105">
        <v>5</v>
      </c>
      <c r="BF325" s="103">
        <v>3</v>
      </c>
      <c r="BG325" s="105">
        <v>4</v>
      </c>
      <c r="BH325" s="104">
        <v>2</v>
      </c>
      <c r="BI325" s="105">
        <v>1</v>
      </c>
      <c r="BJ325" s="103">
        <v>4</v>
      </c>
      <c r="BK325" s="103">
        <v>4</v>
      </c>
      <c r="BM325" s="104" t="s">
        <v>176</v>
      </c>
      <c r="BN325" s="104" t="s">
        <v>176</v>
      </c>
      <c r="BO325" s="105" t="s">
        <v>174</v>
      </c>
      <c r="BP325" s="106" t="s">
        <v>175</v>
      </c>
      <c r="BQ325" s="104" t="s">
        <v>176</v>
      </c>
      <c r="BR325" s="104" t="s">
        <v>176</v>
      </c>
      <c r="BS325" s="106" t="s">
        <v>175</v>
      </c>
      <c r="BT325" s="105" t="s">
        <v>174</v>
      </c>
      <c r="BU325" s="106" t="s">
        <v>175</v>
      </c>
      <c r="BV325" s="106" t="s">
        <v>175</v>
      </c>
      <c r="BW325" s="103" t="s">
        <v>173</v>
      </c>
      <c r="BX325" s="103" t="s">
        <v>173</v>
      </c>
      <c r="BY325" s="104" t="s">
        <v>176</v>
      </c>
      <c r="BZ325" s="106" t="s">
        <v>175</v>
      </c>
      <c r="CA325" s="105" t="s">
        <v>174</v>
      </c>
      <c r="CB325" s="103" t="s">
        <v>173</v>
      </c>
      <c r="CC325" s="105" t="s">
        <v>174</v>
      </c>
      <c r="CD325" s="105" t="s">
        <v>174</v>
      </c>
      <c r="CE325" s="104" t="s">
        <v>176</v>
      </c>
      <c r="CF325" s="103" t="s">
        <v>173</v>
      </c>
      <c r="CG325" s="104" t="s">
        <v>176</v>
      </c>
      <c r="CH325" s="106" t="s">
        <v>175</v>
      </c>
      <c r="CI325" s="104" t="s">
        <v>176</v>
      </c>
      <c r="CJ325" s="103" t="s">
        <v>173</v>
      </c>
      <c r="CK325" s="103" t="s">
        <v>173</v>
      </c>
      <c r="CL325" s="106" t="s">
        <v>175</v>
      </c>
      <c r="CM325" s="106" t="s">
        <v>175</v>
      </c>
      <c r="CN325" s="105" t="s">
        <v>174</v>
      </c>
      <c r="CO325" s="105" t="s">
        <v>174</v>
      </c>
      <c r="CP325" s="105" t="s">
        <v>174</v>
      </c>
      <c r="CQ325" s="104" t="s">
        <v>176</v>
      </c>
      <c r="CR325" s="104" t="s">
        <v>176</v>
      </c>
      <c r="CS325" s="104" t="s">
        <v>176</v>
      </c>
      <c r="CT325" s="106" t="s">
        <v>175</v>
      </c>
      <c r="CU325" s="105" t="s">
        <v>174</v>
      </c>
      <c r="CV325" s="103" t="s">
        <v>173</v>
      </c>
      <c r="CW325" s="105" t="s">
        <v>174</v>
      </c>
      <c r="CX325" s="105" t="s">
        <v>174</v>
      </c>
      <c r="CY325" s="105" t="s">
        <v>174</v>
      </c>
      <c r="CZ325" s="105" t="s">
        <v>174</v>
      </c>
      <c r="DA325" s="104" t="s">
        <v>176</v>
      </c>
      <c r="DB325" s="103" t="s">
        <v>173</v>
      </c>
      <c r="DC325" s="104" t="s">
        <v>176</v>
      </c>
      <c r="DD325" s="105" t="s">
        <v>174</v>
      </c>
      <c r="DE325" s="103" t="s">
        <v>173</v>
      </c>
      <c r="DF325" s="105" t="s">
        <v>174</v>
      </c>
      <c r="DG325" s="104" t="s">
        <v>176</v>
      </c>
      <c r="DH325" s="105" t="s">
        <v>174</v>
      </c>
      <c r="DI325" s="103" t="s">
        <v>173</v>
      </c>
      <c r="DJ325" s="103" t="s">
        <v>173</v>
      </c>
    </row>
    <row r="326" spans="2:114" ht="23.25">
      <c r="B326" s="15">
        <f t="shared" si="22"/>
        <v>149</v>
      </c>
      <c r="C326" s="15">
        <v>7</v>
      </c>
      <c r="D326" s="16">
        <v>14</v>
      </c>
      <c r="E326" s="26" t="s">
        <v>204</v>
      </c>
      <c r="F326" s="29">
        <f>IF(ISBLANK(E326),0,IF(E326=Answers!E326,1,-1))</f>
        <v>1</v>
      </c>
      <c r="I326" s="62">
        <v>5</v>
      </c>
      <c r="J326" s="62">
        <v>1</v>
      </c>
      <c r="K326" s="62">
        <v>3</v>
      </c>
      <c r="L326" s="62">
        <v>4</v>
      </c>
      <c r="N326" s="105">
        <v>7</v>
      </c>
      <c r="O326" s="104">
        <v>1</v>
      </c>
      <c r="P326" s="104">
        <v>7</v>
      </c>
      <c r="Q326" s="105">
        <v>1</v>
      </c>
      <c r="R326" s="103">
        <v>2</v>
      </c>
      <c r="S326" s="105">
        <v>2</v>
      </c>
      <c r="T326" s="105">
        <v>6</v>
      </c>
      <c r="U326" s="106">
        <v>7</v>
      </c>
      <c r="V326" s="103">
        <v>2</v>
      </c>
      <c r="W326" s="106">
        <v>2</v>
      </c>
      <c r="X326" s="103">
        <v>6</v>
      </c>
      <c r="Y326" s="103">
        <v>3</v>
      </c>
      <c r="Z326" s="106">
        <v>2</v>
      </c>
      <c r="AA326" s="103">
        <v>5</v>
      </c>
      <c r="AB326" s="103">
        <v>4</v>
      </c>
      <c r="AC326" s="103">
        <v>2</v>
      </c>
      <c r="AD326" s="103">
        <v>1</v>
      </c>
      <c r="AE326" s="105">
        <v>5</v>
      </c>
      <c r="AF326" s="103">
        <v>5</v>
      </c>
      <c r="AG326" s="106">
        <v>1</v>
      </c>
      <c r="AH326" s="106">
        <v>6</v>
      </c>
      <c r="AI326" s="105">
        <v>2</v>
      </c>
      <c r="AJ326" s="106">
        <v>1</v>
      </c>
      <c r="AK326" s="106">
        <v>4</v>
      </c>
      <c r="AL326" s="105">
        <v>5</v>
      </c>
      <c r="AM326" s="106">
        <v>5</v>
      </c>
      <c r="AN326" s="105">
        <v>2</v>
      </c>
      <c r="AO326" s="104">
        <v>4</v>
      </c>
      <c r="AP326" s="103">
        <v>2</v>
      </c>
      <c r="AQ326" s="106">
        <v>2</v>
      </c>
      <c r="AR326" s="103">
        <v>4</v>
      </c>
      <c r="AS326" s="103">
        <v>1</v>
      </c>
      <c r="AT326" s="103">
        <v>3</v>
      </c>
      <c r="AU326" s="106">
        <v>1</v>
      </c>
      <c r="AV326" s="104">
        <v>2</v>
      </c>
      <c r="AW326" s="106">
        <v>3</v>
      </c>
      <c r="AX326" s="103">
        <v>2</v>
      </c>
      <c r="AY326" s="104">
        <v>7</v>
      </c>
      <c r="AZ326" s="103">
        <v>4</v>
      </c>
      <c r="BA326" s="104">
        <v>7</v>
      </c>
      <c r="BB326" s="104">
        <v>3</v>
      </c>
      <c r="BC326" s="106">
        <v>3</v>
      </c>
      <c r="BD326" s="105">
        <v>4</v>
      </c>
      <c r="BE326" s="104">
        <v>3</v>
      </c>
      <c r="BF326" s="106">
        <v>5</v>
      </c>
      <c r="BG326" s="103">
        <v>3</v>
      </c>
      <c r="BH326" s="105">
        <v>7</v>
      </c>
      <c r="BI326" s="103">
        <v>3</v>
      </c>
      <c r="BJ326" s="103">
        <v>5</v>
      </c>
      <c r="BK326" s="105">
        <v>2</v>
      </c>
      <c r="BM326" s="105" t="s">
        <v>174</v>
      </c>
      <c r="BN326" s="104" t="s">
        <v>176</v>
      </c>
      <c r="BO326" s="104" t="s">
        <v>176</v>
      </c>
      <c r="BP326" s="105" t="s">
        <v>174</v>
      </c>
      <c r="BQ326" s="103" t="s">
        <v>173</v>
      </c>
      <c r="BR326" s="105" t="s">
        <v>174</v>
      </c>
      <c r="BS326" s="105" t="s">
        <v>174</v>
      </c>
      <c r="BT326" s="106" t="s">
        <v>175</v>
      </c>
      <c r="BU326" s="103" t="s">
        <v>173</v>
      </c>
      <c r="BV326" s="106" t="s">
        <v>175</v>
      </c>
      <c r="BW326" s="103" t="s">
        <v>173</v>
      </c>
      <c r="BX326" s="103" t="s">
        <v>173</v>
      </c>
      <c r="BY326" s="106" t="s">
        <v>175</v>
      </c>
      <c r="BZ326" s="103" t="s">
        <v>173</v>
      </c>
      <c r="CA326" s="103" t="s">
        <v>173</v>
      </c>
      <c r="CB326" s="103" t="s">
        <v>173</v>
      </c>
      <c r="CC326" s="103" t="s">
        <v>173</v>
      </c>
      <c r="CD326" s="105" t="s">
        <v>174</v>
      </c>
      <c r="CE326" s="103" t="s">
        <v>173</v>
      </c>
      <c r="CF326" s="106" t="s">
        <v>175</v>
      </c>
      <c r="CG326" s="106" t="s">
        <v>175</v>
      </c>
      <c r="CH326" s="105" t="s">
        <v>174</v>
      </c>
      <c r="CI326" s="106" t="s">
        <v>175</v>
      </c>
      <c r="CJ326" s="106" t="s">
        <v>175</v>
      </c>
      <c r="CK326" s="105" t="s">
        <v>174</v>
      </c>
      <c r="CL326" s="106" t="s">
        <v>175</v>
      </c>
      <c r="CM326" s="105" t="s">
        <v>174</v>
      </c>
      <c r="CN326" s="104" t="s">
        <v>176</v>
      </c>
      <c r="CO326" s="103" t="s">
        <v>173</v>
      </c>
      <c r="CP326" s="106" t="s">
        <v>175</v>
      </c>
      <c r="CQ326" s="103" t="s">
        <v>173</v>
      </c>
      <c r="CR326" s="103" t="s">
        <v>173</v>
      </c>
      <c r="CS326" s="103" t="s">
        <v>173</v>
      </c>
      <c r="CT326" s="106" t="s">
        <v>175</v>
      </c>
      <c r="CU326" s="104" t="s">
        <v>176</v>
      </c>
      <c r="CV326" s="106" t="s">
        <v>175</v>
      </c>
      <c r="CW326" s="103" t="s">
        <v>173</v>
      </c>
      <c r="CX326" s="104" t="s">
        <v>176</v>
      </c>
      <c r="CY326" s="103" t="s">
        <v>173</v>
      </c>
      <c r="CZ326" s="104" t="s">
        <v>176</v>
      </c>
      <c r="DA326" s="104" t="s">
        <v>176</v>
      </c>
      <c r="DB326" s="106" t="s">
        <v>175</v>
      </c>
      <c r="DC326" s="105" t="s">
        <v>174</v>
      </c>
      <c r="DD326" s="104" t="s">
        <v>176</v>
      </c>
      <c r="DE326" s="106" t="s">
        <v>175</v>
      </c>
      <c r="DF326" s="103" t="s">
        <v>173</v>
      </c>
      <c r="DG326" s="105" t="s">
        <v>174</v>
      </c>
      <c r="DH326" s="103" t="s">
        <v>173</v>
      </c>
      <c r="DI326" s="103" t="s">
        <v>173</v>
      </c>
      <c r="DJ326" s="105" t="s">
        <v>174</v>
      </c>
    </row>
    <row r="327" spans="2:114" ht="23.25">
      <c r="B327" s="15">
        <f t="shared" si="22"/>
        <v>150</v>
      </c>
      <c r="C327" s="15">
        <v>7</v>
      </c>
      <c r="D327" s="16">
        <v>14</v>
      </c>
      <c r="E327" s="26" t="s">
        <v>205</v>
      </c>
      <c r="F327" s="29">
        <f>IF(ISBLANK(E327),0,IF(E327=Answers!E327,1,-1))</f>
        <v>1</v>
      </c>
      <c r="I327" s="62">
        <v>4</v>
      </c>
      <c r="J327" s="62">
        <v>1</v>
      </c>
      <c r="K327" s="62">
        <v>3</v>
      </c>
      <c r="L327" s="62">
        <v>2</v>
      </c>
      <c r="N327" s="104">
        <v>6</v>
      </c>
      <c r="O327" s="104">
        <v>7</v>
      </c>
      <c r="P327" s="104">
        <v>4</v>
      </c>
      <c r="Q327" s="103">
        <v>2</v>
      </c>
      <c r="R327" s="104">
        <v>3</v>
      </c>
      <c r="S327" s="106">
        <v>6</v>
      </c>
      <c r="T327" s="104">
        <v>3</v>
      </c>
      <c r="U327" s="103">
        <v>7</v>
      </c>
      <c r="V327" s="103">
        <v>6</v>
      </c>
      <c r="W327" s="103">
        <v>1</v>
      </c>
      <c r="X327" s="106">
        <v>6</v>
      </c>
      <c r="Y327" s="103">
        <v>3</v>
      </c>
      <c r="Z327" s="103">
        <v>6</v>
      </c>
      <c r="AA327" s="106">
        <v>7</v>
      </c>
      <c r="AB327" s="104">
        <v>3</v>
      </c>
      <c r="AC327" s="103">
        <v>1</v>
      </c>
      <c r="AD327" s="106">
        <v>6</v>
      </c>
      <c r="AE327" s="105">
        <v>3</v>
      </c>
      <c r="AF327" s="106">
        <v>4</v>
      </c>
      <c r="AG327" s="103">
        <v>3</v>
      </c>
      <c r="AH327" s="103">
        <v>4</v>
      </c>
      <c r="AI327" s="103">
        <v>1</v>
      </c>
      <c r="AJ327" s="105">
        <v>2</v>
      </c>
      <c r="AK327" s="103">
        <v>2</v>
      </c>
      <c r="AL327" s="103">
        <v>2</v>
      </c>
      <c r="AM327" s="106">
        <v>2</v>
      </c>
      <c r="AN327" s="105">
        <v>7</v>
      </c>
      <c r="AO327" s="104">
        <v>5</v>
      </c>
      <c r="AP327" s="103">
        <v>3</v>
      </c>
      <c r="AQ327" s="106">
        <v>2</v>
      </c>
      <c r="AR327" s="105">
        <v>5</v>
      </c>
      <c r="AS327" s="104">
        <v>3</v>
      </c>
      <c r="AT327" s="106">
        <v>5</v>
      </c>
      <c r="AU327" s="103">
        <v>5</v>
      </c>
      <c r="AV327" s="106">
        <v>3</v>
      </c>
      <c r="AW327" s="106">
        <v>3</v>
      </c>
      <c r="AX327" s="104">
        <v>7</v>
      </c>
      <c r="AY327" s="106">
        <v>6</v>
      </c>
      <c r="AZ327" s="104">
        <v>4</v>
      </c>
      <c r="BA327" s="106">
        <v>5</v>
      </c>
      <c r="BB327" s="106">
        <v>6</v>
      </c>
      <c r="BC327" s="105">
        <v>5</v>
      </c>
      <c r="BD327" s="104">
        <v>3</v>
      </c>
      <c r="BE327" s="106">
        <v>5</v>
      </c>
      <c r="BF327" s="105">
        <v>7</v>
      </c>
      <c r="BG327" s="104">
        <v>2</v>
      </c>
      <c r="BH327" s="103">
        <v>3</v>
      </c>
      <c r="BI327" s="103">
        <v>3</v>
      </c>
      <c r="BJ327" s="103">
        <v>3</v>
      </c>
      <c r="BK327" s="105">
        <v>2</v>
      </c>
      <c r="BM327" s="104" t="s">
        <v>176</v>
      </c>
      <c r="BN327" s="104" t="s">
        <v>176</v>
      </c>
      <c r="BO327" s="104" t="s">
        <v>176</v>
      </c>
      <c r="BP327" s="103" t="s">
        <v>173</v>
      </c>
      <c r="BQ327" s="104" t="s">
        <v>176</v>
      </c>
      <c r="BR327" s="106" t="s">
        <v>175</v>
      </c>
      <c r="BS327" s="104" t="s">
        <v>176</v>
      </c>
      <c r="BT327" s="103" t="s">
        <v>173</v>
      </c>
      <c r="BU327" s="103" t="s">
        <v>173</v>
      </c>
      <c r="BV327" s="103" t="s">
        <v>173</v>
      </c>
      <c r="BW327" s="106" t="s">
        <v>175</v>
      </c>
      <c r="BX327" s="103" t="s">
        <v>173</v>
      </c>
      <c r="BY327" s="103" t="s">
        <v>173</v>
      </c>
      <c r="BZ327" s="106" t="s">
        <v>175</v>
      </c>
      <c r="CA327" s="104" t="s">
        <v>176</v>
      </c>
      <c r="CB327" s="103" t="s">
        <v>173</v>
      </c>
      <c r="CC327" s="106" t="s">
        <v>175</v>
      </c>
      <c r="CD327" s="105" t="s">
        <v>174</v>
      </c>
      <c r="CE327" s="106" t="s">
        <v>175</v>
      </c>
      <c r="CF327" s="103" t="s">
        <v>173</v>
      </c>
      <c r="CG327" s="103" t="s">
        <v>173</v>
      </c>
      <c r="CH327" s="103" t="s">
        <v>173</v>
      </c>
      <c r="CI327" s="105" t="s">
        <v>174</v>
      </c>
      <c r="CJ327" s="103" t="s">
        <v>173</v>
      </c>
      <c r="CK327" s="103" t="s">
        <v>173</v>
      </c>
      <c r="CL327" s="106" t="s">
        <v>175</v>
      </c>
      <c r="CM327" s="105" t="s">
        <v>174</v>
      </c>
      <c r="CN327" s="104" t="s">
        <v>176</v>
      </c>
      <c r="CO327" s="103" t="s">
        <v>173</v>
      </c>
      <c r="CP327" s="106" t="s">
        <v>175</v>
      </c>
      <c r="CQ327" s="105" t="s">
        <v>174</v>
      </c>
      <c r="CR327" s="104" t="s">
        <v>176</v>
      </c>
      <c r="CS327" s="106" t="s">
        <v>175</v>
      </c>
      <c r="CT327" s="103" t="s">
        <v>173</v>
      </c>
      <c r="CU327" s="106" t="s">
        <v>175</v>
      </c>
      <c r="CV327" s="106" t="s">
        <v>175</v>
      </c>
      <c r="CW327" s="104" t="s">
        <v>176</v>
      </c>
      <c r="CX327" s="106" t="s">
        <v>175</v>
      </c>
      <c r="CY327" s="104" t="s">
        <v>176</v>
      </c>
      <c r="CZ327" s="106" t="s">
        <v>175</v>
      </c>
      <c r="DA327" s="106" t="s">
        <v>175</v>
      </c>
      <c r="DB327" s="105" t="s">
        <v>174</v>
      </c>
      <c r="DC327" s="104" t="s">
        <v>176</v>
      </c>
      <c r="DD327" s="106" t="s">
        <v>175</v>
      </c>
      <c r="DE327" s="105" t="s">
        <v>174</v>
      </c>
      <c r="DF327" s="104" t="s">
        <v>176</v>
      </c>
      <c r="DG327" s="103" t="s">
        <v>173</v>
      </c>
      <c r="DH327" s="103" t="s">
        <v>173</v>
      </c>
      <c r="DI327" s="103" t="s">
        <v>173</v>
      </c>
      <c r="DJ327" s="105" t="s">
        <v>174</v>
      </c>
    </row>
  </sheetData>
  <mergeCells count="29">
    <mergeCell ref="B3:U3"/>
    <mergeCell ref="B5:P5"/>
    <mergeCell ref="R5:U5"/>
    <mergeCell ref="R6:U12"/>
    <mergeCell ref="B14:U14"/>
    <mergeCell ref="B43:E43"/>
    <mergeCell ref="AB27:AC27"/>
    <mergeCell ref="B31:E31"/>
    <mergeCell ref="B32:E32"/>
    <mergeCell ref="B33:E33"/>
    <mergeCell ref="B34:E34"/>
    <mergeCell ref="B35:E35"/>
    <mergeCell ref="B15:U28"/>
    <mergeCell ref="B36:E36"/>
    <mergeCell ref="B39:E39"/>
    <mergeCell ref="B40:E40"/>
    <mergeCell ref="B41:E41"/>
    <mergeCell ref="B42:E42"/>
    <mergeCell ref="B46:P46"/>
    <mergeCell ref="G55:U55"/>
    <mergeCell ref="G56:U56"/>
    <mergeCell ref="Q61:U61"/>
    <mergeCell ref="Q62:U66"/>
    <mergeCell ref="B47:U47"/>
    <mergeCell ref="B49:U49"/>
    <mergeCell ref="G51:U51"/>
    <mergeCell ref="G52:U52"/>
    <mergeCell ref="G53:U53"/>
    <mergeCell ref="G54:U54"/>
  </mergeCells>
  <hyperlinks>
    <hyperlink ref="P140" location="'vraag 3'!A1" display="Zie aparte sheet Vraag 3" xr:uid="{5D19CE29-4708-4ADA-AA96-A136171E06AB}"/>
    <hyperlink ref="I174" location="'vraag 4'!A1" display="Zie aparte sheet Vraag 4" xr:uid="{6BC7D948-AB8B-468F-8020-7863AA4593C4}"/>
    <hyperlink ref="W56" location="'Bonus 5'!A1" display="Zie sheet Bonus 5 voor uitleg" xr:uid="{32E81514-8904-44EF-9A73-97C019D2D9DE}"/>
    <hyperlink ref="P255" location="'vraag 6'!A1" display="Voor uitleg, zie sheet Vraag 6" xr:uid="{C7B86981-9A6D-40DF-AC55-8E58A6445BED}"/>
    <hyperlink ref="O281" location="'vraag 7'!A1" display="Voor uitleg zie sheet 7" xr:uid="{8646FE3D-4180-49A2-B739-09486F78817B}"/>
    <hyperlink ref="W53" location="'Bonus 2'!A1" display="Bereken voor elke hist.prijs in 10/2023 de prod. Kost van de ship (incl. 10% mark-up)n zie sheet &quot;Bonus 2&quot;" xr:uid="{F60183CA-19B2-4500-B26C-B2D892019402}"/>
    <hyperlink ref="W54" location="'Bonus 3'!A1" display="Bereken hist. Kost van schip obv hist. Prijs per datum tss 1/5/2023 en 27/11/2023) en de mogelijke winst mocht er ingekocht worden op laagste hist. Kost en verkocht worden op de datum met hoogte hist. Kost, zie sheet &quot;Bonus 3&quot;" xr:uid="{D46AD98D-1FEF-4E3F-B48C-4D036307C765}"/>
    <hyperlink ref="W55" location="'Bonus 4'!A1" display="Bereken waarde asteroid obv mineralhoeveelheid * hist. Prijs / volume asteroid, neem de max tussen alle types asteroid, zie sheet &quot;Bonus 4&quot;" xr:uid="{07301CFC-D49E-4FDC-9334-A4AA62A57B0A}"/>
    <hyperlink ref="N205" location="'vraag 5'!A1" display="zie sheet vraag 5" xr:uid="{7699555C-2DC3-4044-9070-FDE467919931}"/>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7" id="{0CAC6477-CAD9-4751-AA89-4393F37B560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F52:F56</xm:sqref>
        </x14:conditionalFormatting>
        <x14:conditionalFormatting xmlns:xm="http://schemas.microsoft.com/office/excel/2006/main">
          <x14:cfRule type="iconSet" priority="16" id="{9A0AAFA2-EC5A-4710-BD1E-F2F9818BDE9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F72</xm:sqref>
        </x14:conditionalFormatting>
        <x14:conditionalFormatting xmlns:xm="http://schemas.microsoft.com/office/excel/2006/main">
          <x14:cfRule type="iconSet" priority="15" id="{504B0D77-CCF7-4BBA-82A3-8C22B749BF4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F74</xm:sqref>
        </x14:conditionalFormatting>
        <x14:conditionalFormatting xmlns:xm="http://schemas.microsoft.com/office/excel/2006/main">
          <x14:cfRule type="iconSet" priority="14" id="{94C7BAA3-CF79-4F2D-86B0-278BBC33F75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F75:F93</xm:sqref>
        </x14:conditionalFormatting>
        <x14:conditionalFormatting xmlns:xm="http://schemas.microsoft.com/office/excel/2006/main">
          <x14:cfRule type="iconSet" priority="13" id="{221B5676-626F-4617-9098-82527CDD0EC6}">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F105</xm:sqref>
        </x14:conditionalFormatting>
        <x14:conditionalFormatting xmlns:xm="http://schemas.microsoft.com/office/excel/2006/main">
          <x14:cfRule type="iconSet" priority="12" id="{663FCB26-8E50-4B63-8627-9DE461B006F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F107:F126</xm:sqref>
        </x14:conditionalFormatting>
        <x14:conditionalFormatting xmlns:xm="http://schemas.microsoft.com/office/excel/2006/main">
          <x14:cfRule type="iconSet" priority="11" id="{ACF6CBB5-C204-4812-921E-EA91FFB68029}">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F141</xm:sqref>
        </x14:conditionalFormatting>
        <x14:conditionalFormatting xmlns:xm="http://schemas.microsoft.com/office/excel/2006/main">
          <x14:cfRule type="iconSet" priority="10" id="{BC40F0B0-C71F-467F-BDF3-E16199728C1A}">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F143:F162</xm:sqref>
        </x14:conditionalFormatting>
        <x14:conditionalFormatting xmlns:xm="http://schemas.microsoft.com/office/excel/2006/main">
          <x14:cfRule type="iconSet" priority="9" id="{498F3512-7715-45C6-A233-9F576EDA36F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F175</xm:sqref>
        </x14:conditionalFormatting>
        <x14:conditionalFormatting xmlns:xm="http://schemas.microsoft.com/office/excel/2006/main">
          <x14:cfRule type="iconSet" priority="8" id="{68C06AF2-C51A-45B7-9400-C91BAFC3C7C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F177:F196</xm:sqref>
        </x14:conditionalFormatting>
        <x14:conditionalFormatting xmlns:xm="http://schemas.microsoft.com/office/excel/2006/main">
          <x14:cfRule type="iconSet" priority="7" id="{5A46F8BA-94C5-41A2-B733-CBB38137EF3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F213</xm:sqref>
        </x14:conditionalFormatting>
        <x14:conditionalFormatting xmlns:xm="http://schemas.microsoft.com/office/excel/2006/main">
          <x14:cfRule type="iconSet" priority="6" id="{A8C07041-97E1-4521-AD49-AA09DF9FB0FF}">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F215:F233</xm:sqref>
        </x14:conditionalFormatting>
        <x14:conditionalFormatting xmlns:xm="http://schemas.microsoft.com/office/excel/2006/main">
          <x14:cfRule type="iconSet" priority="5" id="{E3D08921-6D00-4321-8279-9C4F0C54A8C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F234</xm:sqref>
        </x14:conditionalFormatting>
        <x14:conditionalFormatting xmlns:xm="http://schemas.microsoft.com/office/excel/2006/main">
          <x14:cfRule type="iconSet" priority="4" id="{9C9B9342-6223-4127-98F4-7B07DFB27A4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F257</xm:sqref>
        </x14:conditionalFormatting>
        <x14:conditionalFormatting xmlns:xm="http://schemas.microsoft.com/office/excel/2006/main">
          <x14:cfRule type="iconSet" priority="3" id="{D853D165-BE70-4EA2-9D5E-DEEBE561107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F259:F278</xm:sqref>
        </x14:conditionalFormatting>
        <x14:conditionalFormatting xmlns:xm="http://schemas.microsoft.com/office/excel/2006/main">
          <x14:cfRule type="iconSet" priority="2" id="{5A5AA0A7-5951-4D5E-AD83-27A0AEF5233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F296</xm:sqref>
        </x14:conditionalFormatting>
        <x14:conditionalFormatting xmlns:xm="http://schemas.microsoft.com/office/excel/2006/main">
          <x14:cfRule type="iconSet" priority="1" id="{52CDE405-8AD5-4800-A63C-F41DC9FC04C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F298:F327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03636-6E6F-496E-8A1E-800459B7F924}">
  <dimension ref="A1:AG39"/>
  <sheetViews>
    <sheetView workbookViewId="0">
      <selection activeCell="K9" sqref="K9"/>
    </sheetView>
  </sheetViews>
  <sheetFormatPr defaultRowHeight="15"/>
  <cols>
    <col min="1" max="1" width="10.7109375" bestFit="1" customWidth="1"/>
    <col min="6" max="6" width="15.42578125" customWidth="1"/>
    <col min="8" max="8" width="10.5703125" bestFit="1" customWidth="1"/>
    <col min="9" max="9" width="10.140625" bestFit="1" customWidth="1"/>
  </cols>
  <sheetData>
    <row r="1" spans="1:33" ht="16.5" thickBot="1">
      <c r="A1" s="144" t="s">
        <v>53</v>
      </c>
      <c r="B1" s="145"/>
      <c r="C1" s="145"/>
      <c r="D1" s="145"/>
      <c r="E1" s="145"/>
      <c r="F1" s="145"/>
      <c r="G1" s="145"/>
      <c r="H1" s="145"/>
      <c r="I1" s="145"/>
      <c r="J1" s="145"/>
      <c r="K1" s="145"/>
      <c r="L1" s="145"/>
      <c r="M1" s="145"/>
      <c r="N1" s="145"/>
      <c r="O1" s="146"/>
    </row>
    <row r="2" spans="1:33" ht="15.75" thickBot="1">
      <c r="AD2" s="49" t="s">
        <v>13</v>
      </c>
      <c r="AE2" s="49" t="s">
        <v>14</v>
      </c>
      <c r="AF2" s="49" t="s">
        <v>15</v>
      </c>
      <c r="AG2" s="49" t="s">
        <v>16</v>
      </c>
    </row>
    <row r="3" spans="1:33" ht="15.75" thickBot="1">
      <c r="A3" s="170" t="s">
        <v>8</v>
      </c>
      <c r="B3" s="171"/>
      <c r="C3" s="171"/>
      <c r="D3" s="172"/>
      <c r="E3" s="3"/>
      <c r="F3" s="49" t="s">
        <v>9</v>
      </c>
      <c r="G3" s="1"/>
      <c r="H3" s="49" t="s">
        <v>10</v>
      </c>
      <c r="I3" s="49" t="s">
        <v>11</v>
      </c>
      <c r="J3" s="49" t="s">
        <v>12</v>
      </c>
      <c r="K3" s="49" t="s">
        <v>13</v>
      </c>
      <c r="L3" s="49" t="s">
        <v>14</v>
      </c>
      <c r="M3" s="49" t="s">
        <v>15</v>
      </c>
      <c r="N3" s="49" t="s">
        <v>16</v>
      </c>
      <c r="AD3" s="58">
        <v>20000</v>
      </c>
      <c r="AE3" s="58">
        <v>8000</v>
      </c>
      <c r="AF3" s="58">
        <v>2000</v>
      </c>
      <c r="AG3" s="58">
        <v>400</v>
      </c>
    </row>
    <row r="4" spans="1:33">
      <c r="A4" s="182" t="s">
        <v>23</v>
      </c>
      <c r="B4" s="183"/>
      <c r="C4" s="183"/>
      <c r="D4" s="184"/>
      <c r="E4" s="3"/>
      <c r="F4" s="53" t="s">
        <v>24</v>
      </c>
      <c r="G4" s="1"/>
      <c r="H4" s="58">
        <v>2800000</v>
      </c>
      <c r="I4" s="58">
        <v>1000000</v>
      </c>
      <c r="J4" s="58">
        <v>180000</v>
      </c>
      <c r="K4" s="58">
        <v>20000</v>
      </c>
      <c r="L4" s="58">
        <v>8000</v>
      </c>
      <c r="M4" s="58">
        <v>2000</v>
      </c>
      <c r="N4" s="58">
        <v>400</v>
      </c>
    </row>
    <row r="7" spans="1:33" ht="15.75" thickBot="1"/>
    <row r="8" spans="1:33" ht="15.75" thickBot="1">
      <c r="A8" t="s">
        <v>92</v>
      </c>
      <c r="B8" s="49" t="s">
        <v>10</v>
      </c>
      <c r="C8" s="49" t="s">
        <v>11</v>
      </c>
      <c r="D8" s="49" t="s">
        <v>12</v>
      </c>
      <c r="E8" s="49" t="s">
        <v>13</v>
      </c>
      <c r="F8" s="49" t="s">
        <v>14</v>
      </c>
      <c r="G8" s="49" t="s">
        <v>15</v>
      </c>
      <c r="H8" s="49" t="s">
        <v>16</v>
      </c>
      <c r="I8" s="112" t="s">
        <v>206</v>
      </c>
    </row>
    <row r="9" spans="1:33">
      <c r="A9" s="73">
        <v>45230</v>
      </c>
      <c r="B9">
        <v>4.41</v>
      </c>
      <c r="C9">
        <v>10.54</v>
      </c>
      <c r="D9">
        <v>60.1</v>
      </c>
      <c r="E9">
        <v>496.7</v>
      </c>
      <c r="F9">
        <v>1190</v>
      </c>
      <c r="G9">
        <v>2025</v>
      </c>
      <c r="H9">
        <v>4921</v>
      </c>
      <c r="I9">
        <f>SUMPRODUCT($H$4:$N$4,B9:H9)</f>
        <v>59178400</v>
      </c>
      <c r="K9">
        <f>ROUND(MIN(I9:I39)/1000*1.1,0)</f>
        <v>58687</v>
      </c>
    </row>
    <row r="10" spans="1:33">
      <c r="A10" s="73">
        <v>45229</v>
      </c>
      <c r="B10">
        <v>4.24</v>
      </c>
      <c r="C10">
        <v>10.71</v>
      </c>
      <c r="D10">
        <v>61.12</v>
      </c>
      <c r="E10">
        <v>484.5</v>
      </c>
      <c r="F10">
        <v>1188</v>
      </c>
      <c r="G10">
        <v>2023</v>
      </c>
      <c r="H10">
        <v>4979</v>
      </c>
      <c r="I10">
        <f t="shared" ref="I10:I39" si="0">SUMPRODUCT($H$4:$N$4,B10:H10)</f>
        <v>58815200</v>
      </c>
    </row>
    <row r="11" spans="1:33">
      <c r="A11" s="73">
        <v>45228</v>
      </c>
      <c r="B11">
        <v>4.34</v>
      </c>
      <c r="C11">
        <v>10.88</v>
      </c>
      <c r="D11">
        <v>64.34</v>
      </c>
      <c r="E11">
        <v>479.3</v>
      </c>
      <c r="F11">
        <v>1198</v>
      </c>
      <c r="G11">
        <v>2001</v>
      </c>
      <c r="H11">
        <v>4987</v>
      </c>
      <c r="I11">
        <f t="shared" si="0"/>
        <v>59780000</v>
      </c>
    </row>
    <row r="12" spans="1:33">
      <c r="A12" s="73">
        <v>45227</v>
      </c>
      <c r="B12">
        <v>4.29</v>
      </c>
      <c r="C12">
        <v>10.85</v>
      </c>
      <c r="D12">
        <v>58</v>
      </c>
      <c r="E12">
        <v>473.6</v>
      </c>
      <c r="F12">
        <v>1179</v>
      </c>
      <c r="G12">
        <v>1993</v>
      </c>
      <c r="H12">
        <v>4938</v>
      </c>
      <c r="I12">
        <f t="shared" si="0"/>
        <v>58167200</v>
      </c>
    </row>
    <row r="13" spans="1:33">
      <c r="A13" s="73">
        <v>45226</v>
      </c>
      <c r="B13">
        <v>4.3099999999999996</v>
      </c>
      <c r="C13">
        <v>10.9</v>
      </c>
      <c r="D13">
        <v>55.12</v>
      </c>
      <c r="E13">
        <v>458.3</v>
      </c>
      <c r="F13">
        <v>1189</v>
      </c>
      <c r="G13">
        <v>1997</v>
      </c>
      <c r="H13">
        <v>4980</v>
      </c>
      <c r="I13">
        <f t="shared" si="0"/>
        <v>57553600</v>
      </c>
    </row>
    <row r="14" spans="1:33">
      <c r="A14" s="73">
        <v>45225</v>
      </c>
      <c r="B14">
        <v>4.24</v>
      </c>
      <c r="C14">
        <v>10.5</v>
      </c>
      <c r="D14">
        <v>57.82</v>
      </c>
      <c r="E14">
        <v>461.7</v>
      </c>
      <c r="F14">
        <v>1189</v>
      </c>
      <c r="G14">
        <v>2000</v>
      </c>
      <c r="H14">
        <v>4720</v>
      </c>
      <c r="I14">
        <f t="shared" si="0"/>
        <v>57413600</v>
      </c>
    </row>
    <row r="15" spans="1:33">
      <c r="A15" s="73">
        <v>45224</v>
      </c>
      <c r="B15">
        <v>4.32</v>
      </c>
      <c r="C15">
        <v>10.43</v>
      </c>
      <c r="D15">
        <v>54.34</v>
      </c>
      <c r="E15">
        <v>464.2</v>
      </c>
      <c r="F15">
        <v>1162</v>
      </c>
      <c r="G15">
        <v>1997</v>
      </c>
      <c r="H15">
        <v>4980</v>
      </c>
      <c r="I15">
        <f t="shared" si="0"/>
        <v>56873200</v>
      </c>
    </row>
    <row r="16" spans="1:33">
      <c r="A16" s="73">
        <v>45223</v>
      </c>
      <c r="B16">
        <v>4.2699999999999996</v>
      </c>
      <c r="C16">
        <v>10.4</v>
      </c>
      <c r="D16">
        <v>53.87</v>
      </c>
      <c r="E16">
        <v>463.7</v>
      </c>
      <c r="F16">
        <v>1143</v>
      </c>
      <c r="G16">
        <v>1999</v>
      </c>
      <c r="H16">
        <v>4562</v>
      </c>
      <c r="I16">
        <f t="shared" si="0"/>
        <v>56293400</v>
      </c>
    </row>
    <row r="17" spans="1:9">
      <c r="A17" s="73">
        <v>45222</v>
      </c>
      <c r="B17">
        <v>4.1100000000000003</v>
      </c>
      <c r="C17">
        <v>10.25</v>
      </c>
      <c r="D17">
        <v>53.09</v>
      </c>
      <c r="E17">
        <v>459.9</v>
      </c>
      <c r="F17">
        <v>1142</v>
      </c>
      <c r="G17">
        <v>1999</v>
      </c>
      <c r="H17">
        <v>4690</v>
      </c>
      <c r="I17">
        <f t="shared" si="0"/>
        <v>55522200</v>
      </c>
    </row>
    <row r="18" spans="1:9">
      <c r="A18" s="73">
        <v>45221</v>
      </c>
      <c r="B18">
        <v>4.3600000000000003</v>
      </c>
      <c r="C18">
        <v>10.33</v>
      </c>
      <c r="D18">
        <v>53</v>
      </c>
      <c r="E18">
        <v>460</v>
      </c>
      <c r="F18">
        <v>1144</v>
      </c>
      <c r="G18">
        <v>1932</v>
      </c>
      <c r="H18">
        <v>4645</v>
      </c>
      <c r="I18">
        <f t="shared" si="0"/>
        <v>56152000</v>
      </c>
    </row>
    <row r="19" spans="1:9">
      <c r="A19" s="73">
        <v>45220</v>
      </c>
      <c r="B19">
        <v>4.24</v>
      </c>
      <c r="C19">
        <v>10.31</v>
      </c>
      <c r="D19">
        <v>52.93</v>
      </c>
      <c r="E19">
        <v>461.5</v>
      </c>
      <c r="F19">
        <v>1165</v>
      </c>
      <c r="G19">
        <v>1931</v>
      </c>
      <c r="H19">
        <v>4648</v>
      </c>
      <c r="I19">
        <f t="shared" si="0"/>
        <v>55980600</v>
      </c>
    </row>
    <row r="20" spans="1:9">
      <c r="A20" s="73">
        <v>45219</v>
      </c>
      <c r="B20">
        <v>4.3600000000000003</v>
      </c>
      <c r="C20">
        <v>10.18</v>
      </c>
      <c r="D20">
        <v>53</v>
      </c>
      <c r="E20">
        <v>461.4</v>
      </c>
      <c r="F20">
        <v>1161</v>
      </c>
      <c r="G20">
        <v>1913</v>
      </c>
      <c r="H20">
        <v>4728</v>
      </c>
      <c r="I20">
        <f t="shared" si="0"/>
        <v>56161200</v>
      </c>
    </row>
    <row r="21" spans="1:9">
      <c r="A21" s="73">
        <v>45218</v>
      </c>
      <c r="B21">
        <v>4.41</v>
      </c>
      <c r="C21">
        <v>9.75</v>
      </c>
      <c r="D21">
        <v>52.57</v>
      </c>
      <c r="E21">
        <v>463.8</v>
      </c>
      <c r="F21">
        <v>1157</v>
      </c>
      <c r="G21">
        <v>1929</v>
      </c>
      <c r="H21">
        <v>4740</v>
      </c>
      <c r="I21">
        <f t="shared" si="0"/>
        <v>55846600</v>
      </c>
    </row>
    <row r="22" spans="1:9">
      <c r="A22" s="73">
        <v>45217</v>
      </c>
      <c r="B22">
        <v>4.42</v>
      </c>
      <c r="C22">
        <v>10.17</v>
      </c>
      <c r="D22">
        <v>52.27</v>
      </c>
      <c r="E22">
        <v>465.6</v>
      </c>
      <c r="F22">
        <v>1111</v>
      </c>
      <c r="G22">
        <v>1936</v>
      </c>
      <c r="H22">
        <v>4747</v>
      </c>
      <c r="I22">
        <f t="shared" si="0"/>
        <v>55925400</v>
      </c>
    </row>
    <row r="23" spans="1:9">
      <c r="A23" s="73">
        <v>45216</v>
      </c>
      <c r="B23">
        <v>4.3899999999999997</v>
      </c>
      <c r="C23">
        <v>10.44</v>
      </c>
      <c r="D23">
        <v>50.6</v>
      </c>
      <c r="E23">
        <v>448</v>
      </c>
      <c r="F23">
        <v>1077</v>
      </c>
      <c r="G23">
        <v>1941</v>
      </c>
      <c r="H23">
        <v>4500</v>
      </c>
      <c r="I23">
        <f t="shared" si="0"/>
        <v>55098000</v>
      </c>
    </row>
    <row r="24" spans="1:9">
      <c r="A24" s="73">
        <v>45215</v>
      </c>
      <c r="B24">
        <v>4.3600000000000003</v>
      </c>
      <c r="C24">
        <v>9.9600000000000009</v>
      </c>
      <c r="D24">
        <v>50.15</v>
      </c>
      <c r="E24">
        <v>456.7</v>
      </c>
      <c r="F24">
        <v>1070</v>
      </c>
      <c r="G24">
        <v>1920</v>
      </c>
      <c r="H24">
        <v>4661</v>
      </c>
      <c r="I24">
        <f t="shared" si="0"/>
        <v>54593400</v>
      </c>
    </row>
    <row r="25" spans="1:9">
      <c r="A25" s="73">
        <v>45214</v>
      </c>
      <c r="B25">
        <v>4.28</v>
      </c>
      <c r="C25">
        <v>10.34</v>
      </c>
      <c r="D25">
        <v>50.1</v>
      </c>
      <c r="E25">
        <v>467</v>
      </c>
      <c r="F25">
        <v>1070</v>
      </c>
      <c r="G25">
        <v>1907</v>
      </c>
      <c r="H25">
        <v>4600</v>
      </c>
      <c r="I25">
        <f t="shared" si="0"/>
        <v>54896000</v>
      </c>
    </row>
    <row r="26" spans="1:9">
      <c r="A26" s="73">
        <v>45213</v>
      </c>
      <c r="B26">
        <v>4.25</v>
      </c>
      <c r="C26">
        <v>10.17</v>
      </c>
      <c r="D26">
        <v>50.2</v>
      </c>
      <c r="E26">
        <v>452.6</v>
      </c>
      <c r="F26">
        <v>1044</v>
      </c>
      <c r="G26">
        <v>1900</v>
      </c>
      <c r="H26">
        <v>4490</v>
      </c>
      <c r="I26">
        <f t="shared" si="0"/>
        <v>54106000</v>
      </c>
    </row>
    <row r="27" spans="1:9">
      <c r="A27" s="73">
        <v>45212</v>
      </c>
      <c r="B27">
        <v>4.33</v>
      </c>
      <c r="C27">
        <v>10</v>
      </c>
      <c r="D27">
        <v>50.2</v>
      </c>
      <c r="E27">
        <v>446.7</v>
      </c>
      <c r="F27">
        <v>1043</v>
      </c>
      <c r="G27">
        <v>1851</v>
      </c>
      <c r="H27">
        <v>4505</v>
      </c>
      <c r="I27">
        <f t="shared" si="0"/>
        <v>53942000</v>
      </c>
    </row>
    <row r="28" spans="1:9">
      <c r="A28" s="73">
        <v>45211</v>
      </c>
      <c r="B28">
        <v>4.38</v>
      </c>
      <c r="C28">
        <v>9.9600000000000009</v>
      </c>
      <c r="D28">
        <v>50.22</v>
      </c>
      <c r="E28">
        <v>448.1</v>
      </c>
      <c r="F28">
        <v>1059</v>
      </c>
      <c r="G28">
        <v>1879</v>
      </c>
      <c r="H28">
        <v>4517</v>
      </c>
      <c r="I28">
        <f t="shared" si="0"/>
        <v>54262400</v>
      </c>
    </row>
    <row r="29" spans="1:9">
      <c r="A29" s="73">
        <v>45210</v>
      </c>
      <c r="B29">
        <v>4.33</v>
      </c>
      <c r="C29">
        <v>9.8699999999999992</v>
      </c>
      <c r="D29">
        <v>50.49</v>
      </c>
      <c r="E29">
        <v>452.3</v>
      </c>
      <c r="F29">
        <v>1070</v>
      </c>
      <c r="G29">
        <v>1883</v>
      </c>
      <c r="H29">
        <v>4562</v>
      </c>
      <c r="I29">
        <f t="shared" si="0"/>
        <v>54279000</v>
      </c>
    </row>
    <row r="30" spans="1:9">
      <c r="A30" s="73">
        <v>45209</v>
      </c>
      <c r="B30">
        <v>4.2699999999999996</v>
      </c>
      <c r="C30">
        <v>9.84</v>
      </c>
      <c r="D30">
        <v>50.89</v>
      </c>
      <c r="E30">
        <v>453</v>
      </c>
      <c r="F30">
        <v>1079</v>
      </c>
      <c r="G30">
        <v>1897</v>
      </c>
      <c r="H30">
        <v>4530</v>
      </c>
      <c r="I30">
        <f t="shared" si="0"/>
        <v>54254200</v>
      </c>
    </row>
    <row r="31" spans="1:9">
      <c r="A31" s="73">
        <v>45208</v>
      </c>
      <c r="B31">
        <v>4.26</v>
      </c>
      <c r="C31">
        <v>9.9499999999999993</v>
      </c>
      <c r="D31">
        <v>52.18</v>
      </c>
      <c r="E31">
        <v>454.4</v>
      </c>
      <c r="F31">
        <v>1105</v>
      </c>
      <c r="G31">
        <v>1906</v>
      </c>
      <c r="H31">
        <v>4597</v>
      </c>
      <c r="I31">
        <f t="shared" si="0"/>
        <v>54849200</v>
      </c>
    </row>
    <row r="32" spans="1:9">
      <c r="A32" s="73">
        <v>45207</v>
      </c>
      <c r="B32">
        <v>4.3099999999999996</v>
      </c>
      <c r="C32">
        <v>9.57</v>
      </c>
      <c r="D32">
        <v>48.58</v>
      </c>
      <c r="E32">
        <v>447.8</v>
      </c>
      <c r="F32">
        <v>1119</v>
      </c>
      <c r="G32">
        <v>1890</v>
      </c>
      <c r="H32">
        <v>4619</v>
      </c>
      <c r="I32">
        <f t="shared" si="0"/>
        <v>53918000</v>
      </c>
    </row>
    <row r="33" spans="1:9">
      <c r="A33" s="73">
        <v>45206</v>
      </c>
      <c r="B33">
        <v>4.21</v>
      </c>
      <c r="C33">
        <v>10.199999999999999</v>
      </c>
      <c r="D33">
        <v>52.96</v>
      </c>
      <c r="E33">
        <v>453.1</v>
      </c>
      <c r="F33">
        <v>1096</v>
      </c>
      <c r="G33">
        <v>1909</v>
      </c>
      <c r="H33">
        <v>4674</v>
      </c>
      <c r="I33">
        <f t="shared" si="0"/>
        <v>55038400</v>
      </c>
    </row>
    <row r="34" spans="1:9">
      <c r="A34" s="73">
        <v>45205</v>
      </c>
      <c r="B34">
        <v>4.25</v>
      </c>
      <c r="C34">
        <v>9.57</v>
      </c>
      <c r="D34">
        <v>48.13</v>
      </c>
      <c r="E34">
        <v>431.1</v>
      </c>
      <c r="F34">
        <v>1120</v>
      </c>
      <c r="G34">
        <v>1895</v>
      </c>
      <c r="H34">
        <v>4615</v>
      </c>
      <c r="I34">
        <f t="shared" si="0"/>
        <v>53351400</v>
      </c>
    </row>
    <row r="35" spans="1:9">
      <c r="A35" s="73">
        <v>45204</v>
      </c>
      <c r="B35">
        <v>4.3600000000000003</v>
      </c>
      <c r="C35">
        <v>9.94</v>
      </c>
      <c r="D35">
        <v>52.76</v>
      </c>
      <c r="E35">
        <v>462.9</v>
      </c>
      <c r="F35">
        <v>1213</v>
      </c>
      <c r="G35">
        <v>1909</v>
      </c>
      <c r="H35">
        <v>4839</v>
      </c>
      <c r="I35">
        <f t="shared" si="0"/>
        <v>56360400</v>
      </c>
    </row>
    <row r="36" spans="1:9">
      <c r="A36" s="73">
        <v>45203</v>
      </c>
      <c r="B36">
        <v>4.04</v>
      </c>
      <c r="C36">
        <v>9.19</v>
      </c>
      <c r="D36">
        <v>51.06</v>
      </c>
      <c r="E36">
        <v>450</v>
      </c>
      <c r="F36">
        <v>1198</v>
      </c>
      <c r="G36">
        <v>1873</v>
      </c>
      <c r="H36">
        <v>4592</v>
      </c>
      <c r="I36">
        <f t="shared" si="0"/>
        <v>53859600</v>
      </c>
    </row>
    <row r="37" spans="1:9">
      <c r="A37" s="73">
        <v>45202</v>
      </c>
      <c r="B37">
        <v>4.3</v>
      </c>
      <c r="C37">
        <v>9.4499999999999993</v>
      </c>
      <c r="D37">
        <v>52.82</v>
      </c>
      <c r="E37">
        <v>442.6</v>
      </c>
      <c r="F37">
        <v>1198</v>
      </c>
      <c r="G37">
        <v>1900</v>
      </c>
      <c r="H37">
        <v>4986</v>
      </c>
      <c r="I37">
        <f t="shared" si="0"/>
        <v>55228000</v>
      </c>
    </row>
    <row r="38" spans="1:9">
      <c r="A38" s="73">
        <v>45201</v>
      </c>
      <c r="B38">
        <v>4.25</v>
      </c>
      <c r="C38">
        <v>9.7200000000000006</v>
      </c>
      <c r="D38">
        <v>52.94</v>
      </c>
      <c r="E38">
        <v>454.7</v>
      </c>
      <c r="F38">
        <v>1209</v>
      </c>
      <c r="G38">
        <v>1985</v>
      </c>
      <c r="H38">
        <v>5000</v>
      </c>
      <c r="I38">
        <f t="shared" si="0"/>
        <v>55885200</v>
      </c>
    </row>
    <row r="39" spans="1:9">
      <c r="A39" s="73">
        <v>45200</v>
      </c>
      <c r="B39">
        <v>4.28</v>
      </c>
      <c r="C39">
        <v>9.9700000000000006</v>
      </c>
      <c r="D39">
        <v>52.89</v>
      </c>
      <c r="E39">
        <v>464.9</v>
      </c>
      <c r="F39">
        <v>1197</v>
      </c>
      <c r="G39">
        <v>1900</v>
      </c>
      <c r="H39">
        <v>5016</v>
      </c>
      <c r="I39">
        <f t="shared" si="0"/>
        <v>56154600</v>
      </c>
    </row>
  </sheetData>
  <mergeCells count="3">
    <mergeCell ref="A1:O1"/>
    <mergeCell ref="A3:D3"/>
    <mergeCell ref="A4:D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30BB0-BDAC-46E5-A0C1-CFC032B1F706}">
  <dimension ref="A1:AG217"/>
  <sheetViews>
    <sheetView workbookViewId="0">
      <selection activeCell="J11" sqref="J11"/>
    </sheetView>
  </sheetViews>
  <sheetFormatPr defaultRowHeight="15"/>
  <cols>
    <col min="1" max="1" width="10.7109375" bestFit="1" customWidth="1"/>
    <col min="6" max="6" width="15.42578125" customWidth="1"/>
    <col min="8" max="8" width="10.5703125" bestFit="1" customWidth="1"/>
    <col min="9" max="9" width="15.28515625" bestFit="1" customWidth="1"/>
    <col min="10" max="10" width="11.5703125" bestFit="1" customWidth="1"/>
    <col min="12" max="12" width="15.28515625" bestFit="1" customWidth="1"/>
  </cols>
  <sheetData>
    <row r="1" spans="1:33" ht="16.5" customHeight="1" thickBot="1">
      <c r="A1" s="210" t="s">
        <v>56</v>
      </c>
      <c r="B1" s="210"/>
      <c r="C1" s="210"/>
      <c r="D1" s="210"/>
      <c r="E1" s="210"/>
      <c r="F1" s="210"/>
      <c r="G1" s="210"/>
      <c r="H1" s="210"/>
      <c r="I1" s="210"/>
      <c r="J1" s="210"/>
      <c r="K1" s="210"/>
      <c r="L1" s="210"/>
      <c r="M1" s="210"/>
      <c r="N1" s="210"/>
      <c r="O1" s="113"/>
    </row>
    <row r="2" spans="1:33" ht="50.25" customHeight="1" thickBot="1">
      <c r="A2" s="211"/>
      <c r="B2" s="211"/>
      <c r="C2" s="211"/>
      <c r="D2" s="211"/>
      <c r="E2" s="211"/>
      <c r="F2" s="211"/>
      <c r="G2" s="211"/>
      <c r="H2" s="211"/>
      <c r="I2" s="211"/>
      <c r="J2" s="211"/>
      <c r="K2" s="211"/>
      <c r="L2" s="211"/>
      <c r="M2" s="211"/>
      <c r="N2" s="211"/>
      <c r="AD2" s="49" t="s">
        <v>13</v>
      </c>
      <c r="AE2" s="49" t="s">
        <v>14</v>
      </c>
      <c r="AF2" s="49" t="s">
        <v>15</v>
      </c>
      <c r="AG2" s="49" t="s">
        <v>16</v>
      </c>
    </row>
    <row r="3" spans="1:33" ht="15.75" thickBot="1">
      <c r="A3" s="170" t="s">
        <v>8</v>
      </c>
      <c r="B3" s="171"/>
      <c r="C3" s="171"/>
      <c r="D3" s="172"/>
      <c r="E3" s="3"/>
      <c r="F3" s="49" t="s">
        <v>9</v>
      </c>
      <c r="G3" s="1"/>
      <c r="H3" s="49" t="s">
        <v>10</v>
      </c>
      <c r="I3" s="49" t="s">
        <v>11</v>
      </c>
      <c r="J3" s="49" t="s">
        <v>12</v>
      </c>
      <c r="K3" s="49" t="s">
        <v>13</v>
      </c>
      <c r="L3" s="49" t="s">
        <v>14</v>
      </c>
      <c r="M3" s="49" t="s">
        <v>15</v>
      </c>
      <c r="N3" s="49" t="s">
        <v>16</v>
      </c>
      <c r="AD3" s="58">
        <v>20000</v>
      </c>
      <c r="AE3" s="58">
        <v>8000</v>
      </c>
      <c r="AF3" s="58">
        <v>2000</v>
      </c>
      <c r="AG3" s="58">
        <v>400</v>
      </c>
    </row>
    <row r="4" spans="1:33">
      <c r="A4" s="194" t="s">
        <v>25</v>
      </c>
      <c r="B4" s="195"/>
      <c r="C4" s="195"/>
      <c r="D4" s="196"/>
      <c r="E4" s="3"/>
      <c r="F4" s="54" t="s">
        <v>26</v>
      </c>
      <c r="G4" s="1"/>
      <c r="H4" s="59">
        <v>8000000</v>
      </c>
      <c r="I4" s="59">
        <v>4000000</v>
      </c>
      <c r="J4" s="59">
        <v>600000</v>
      </c>
      <c r="K4" s="59">
        <v>400000</v>
      </c>
      <c r="L4" s="59">
        <v>12000</v>
      </c>
      <c r="M4" s="59">
        <v>6000</v>
      </c>
      <c r="N4" s="59">
        <v>3000</v>
      </c>
    </row>
    <row r="6" spans="1:33">
      <c r="A6" t="s">
        <v>207</v>
      </c>
    </row>
    <row r="7" spans="1:33" ht="15.75" thickBot="1"/>
    <row r="8" spans="1:33" ht="15.75" thickBot="1">
      <c r="A8" t="s">
        <v>92</v>
      </c>
      <c r="B8" s="49" t="s">
        <v>10</v>
      </c>
      <c r="C8" s="49" t="s">
        <v>11</v>
      </c>
      <c r="D8" s="49" t="s">
        <v>12</v>
      </c>
      <c r="E8" s="49" t="s">
        <v>13</v>
      </c>
      <c r="F8" s="49" t="s">
        <v>14</v>
      </c>
      <c r="G8" s="49" t="s">
        <v>15</v>
      </c>
      <c r="H8" s="49" t="s">
        <v>16</v>
      </c>
      <c r="I8" s="112" t="s">
        <v>206</v>
      </c>
      <c r="J8" s="112" t="s">
        <v>208</v>
      </c>
    </row>
    <row r="9" spans="1:33">
      <c r="A9" s="73">
        <v>45047</v>
      </c>
      <c r="B9">
        <v>4.01</v>
      </c>
      <c r="C9">
        <v>10.26</v>
      </c>
      <c r="D9">
        <v>53.47</v>
      </c>
      <c r="E9">
        <v>590.79999999999995</v>
      </c>
      <c r="F9">
        <v>903.3</v>
      </c>
      <c r="G9">
        <v>2288</v>
      </c>
      <c r="H9">
        <v>3295</v>
      </c>
      <c r="I9" s="122">
        <f t="shared" ref="I9:I72" si="0">SUMPRODUCT($H$4:$N$4,B9:H9)*1.1</f>
        <v>413572060.00000006</v>
      </c>
      <c r="J9" s="139">
        <f>I9-MIN($I$8:I9)</f>
        <v>0</v>
      </c>
      <c r="L9" s="122"/>
      <c r="M9" s="139">
        <f>ROUND(MAX(J9:J217)/1000000,0)</f>
        <v>49</v>
      </c>
    </row>
    <row r="10" spans="1:33">
      <c r="A10" s="73">
        <v>45048</v>
      </c>
      <c r="B10">
        <v>4.09</v>
      </c>
      <c r="C10">
        <v>10.37</v>
      </c>
      <c r="D10">
        <v>53.47</v>
      </c>
      <c r="E10">
        <v>590</v>
      </c>
      <c r="F10">
        <v>903.3</v>
      </c>
      <c r="G10">
        <v>2297</v>
      </c>
      <c r="H10">
        <v>3380</v>
      </c>
      <c r="I10" s="122">
        <f t="shared" si="0"/>
        <v>414747960.00000006</v>
      </c>
      <c r="J10" s="139">
        <f>I10-MIN($I$9:I9)</f>
        <v>1175900</v>
      </c>
      <c r="L10" s="122"/>
    </row>
    <row r="11" spans="1:33">
      <c r="A11" s="73">
        <v>45049</v>
      </c>
      <c r="B11">
        <v>4.04</v>
      </c>
      <c r="C11">
        <v>10.1</v>
      </c>
      <c r="D11">
        <v>53.44</v>
      </c>
      <c r="E11">
        <v>603.79999999999995</v>
      </c>
      <c r="F11">
        <v>903.6</v>
      </c>
      <c r="G11">
        <v>2446</v>
      </c>
      <c r="H11">
        <v>3400</v>
      </c>
      <c r="I11" s="122">
        <f t="shared" si="0"/>
        <v>420225520.00000006</v>
      </c>
      <c r="J11" s="139">
        <f>I11-MIN($I$9:I10)</f>
        <v>6653460</v>
      </c>
    </row>
    <row r="12" spans="1:33">
      <c r="A12" s="73">
        <v>45050</v>
      </c>
      <c r="B12">
        <v>4.0999999999999996</v>
      </c>
      <c r="C12">
        <v>9.98</v>
      </c>
      <c r="D12">
        <v>52.72</v>
      </c>
      <c r="E12">
        <v>598</v>
      </c>
      <c r="F12">
        <v>889</v>
      </c>
      <c r="G12">
        <v>2373</v>
      </c>
      <c r="H12">
        <v>3454</v>
      </c>
      <c r="I12" s="122">
        <f t="shared" si="0"/>
        <v>416702000.00000006</v>
      </c>
      <c r="J12" s="139">
        <f>I12-MIN($I$9:I11)</f>
        <v>3129940</v>
      </c>
    </row>
    <row r="13" spans="1:33">
      <c r="A13" s="73">
        <v>45051</v>
      </c>
      <c r="B13">
        <v>4.13</v>
      </c>
      <c r="C13">
        <v>10.050000000000001</v>
      </c>
      <c r="D13">
        <v>52.88</v>
      </c>
      <c r="E13">
        <v>598.9</v>
      </c>
      <c r="F13">
        <v>902.4</v>
      </c>
      <c r="G13">
        <v>2416</v>
      </c>
      <c r="H13">
        <v>3508</v>
      </c>
      <c r="I13" s="122">
        <f t="shared" si="0"/>
        <v>418414480.00000006</v>
      </c>
      <c r="J13" s="139">
        <f>I13-MIN($I$9:I12)</f>
        <v>4842420</v>
      </c>
    </row>
    <row r="14" spans="1:33">
      <c r="A14" s="73">
        <v>45052</v>
      </c>
      <c r="B14">
        <v>4.03</v>
      </c>
      <c r="C14">
        <v>10.01</v>
      </c>
      <c r="D14">
        <v>52.75</v>
      </c>
      <c r="E14">
        <v>594.9</v>
      </c>
      <c r="F14">
        <v>901.7</v>
      </c>
      <c r="G14">
        <v>2380</v>
      </c>
      <c r="H14">
        <v>3515</v>
      </c>
      <c r="I14" s="122">
        <f t="shared" si="0"/>
        <v>415288940.00000006</v>
      </c>
      <c r="J14" s="139">
        <f>I14-MIN($I$9:I13)</f>
        <v>1716880</v>
      </c>
    </row>
    <row r="15" spans="1:33">
      <c r="A15" s="73">
        <v>45053</v>
      </c>
      <c r="B15">
        <v>4</v>
      </c>
      <c r="C15">
        <v>9.9</v>
      </c>
      <c r="D15">
        <v>53.57</v>
      </c>
      <c r="E15">
        <v>599.1</v>
      </c>
      <c r="F15">
        <v>903.1</v>
      </c>
      <c r="G15">
        <v>2359</v>
      </c>
      <c r="H15">
        <v>3438</v>
      </c>
      <c r="I15" s="122">
        <f t="shared" si="0"/>
        <v>416555920.00000006</v>
      </c>
      <c r="J15" s="139">
        <f>I15-MIN($I$9:I14)</f>
        <v>2983860</v>
      </c>
    </row>
    <row r="16" spans="1:33">
      <c r="A16" s="73">
        <v>45054</v>
      </c>
      <c r="B16">
        <v>4.0199999999999996</v>
      </c>
      <c r="C16">
        <v>9.9700000000000006</v>
      </c>
      <c r="D16">
        <v>50.63</v>
      </c>
      <c r="E16">
        <v>593.5</v>
      </c>
      <c r="F16">
        <v>903.4</v>
      </c>
      <c r="G16">
        <v>2248</v>
      </c>
      <c r="H16">
        <v>3479</v>
      </c>
      <c r="I16" s="122">
        <f t="shared" si="0"/>
        <v>412042180.00000006</v>
      </c>
      <c r="J16" s="139">
        <f>I16-MIN($I$9:I15)</f>
        <v>-1529880</v>
      </c>
    </row>
    <row r="17" spans="1:10">
      <c r="A17" s="73">
        <v>45055</v>
      </c>
      <c r="B17">
        <v>4.0199999999999996</v>
      </c>
      <c r="C17">
        <v>10.18</v>
      </c>
      <c r="D17">
        <v>51</v>
      </c>
      <c r="E17">
        <v>599</v>
      </c>
      <c r="F17">
        <v>901.5</v>
      </c>
      <c r="G17">
        <v>2226</v>
      </c>
      <c r="H17">
        <v>3588</v>
      </c>
      <c r="I17" s="122">
        <f t="shared" si="0"/>
        <v>415819800.00000006</v>
      </c>
      <c r="J17" s="139">
        <f>I17-MIN($I$9:I16)</f>
        <v>3777620</v>
      </c>
    </row>
    <row r="18" spans="1:10">
      <c r="A18" s="73">
        <v>45056</v>
      </c>
      <c r="B18">
        <v>4.0599999999999996</v>
      </c>
      <c r="C18">
        <v>10.47</v>
      </c>
      <c r="D18">
        <v>50.97</v>
      </c>
      <c r="E18">
        <v>600</v>
      </c>
      <c r="F18">
        <v>901.6</v>
      </c>
      <c r="G18">
        <v>2197</v>
      </c>
      <c r="H18">
        <v>3481</v>
      </c>
      <c r="I18" s="122">
        <f t="shared" si="0"/>
        <v>417324820.00000006</v>
      </c>
      <c r="J18" s="139">
        <f>I18-MIN($I$9:I17)</f>
        <v>5282640</v>
      </c>
    </row>
    <row r="19" spans="1:10">
      <c r="A19" s="73">
        <v>45057</v>
      </c>
      <c r="B19">
        <v>3.95</v>
      </c>
      <c r="C19">
        <v>10.36</v>
      </c>
      <c r="D19">
        <v>50.85</v>
      </c>
      <c r="E19">
        <v>590</v>
      </c>
      <c r="F19">
        <v>897</v>
      </c>
      <c r="G19">
        <v>2196</v>
      </c>
      <c r="H19">
        <v>3575</v>
      </c>
      <c r="I19" s="122">
        <f t="shared" si="0"/>
        <v>411636500.00000006</v>
      </c>
      <c r="J19" s="139">
        <f>I19-MIN($I$9:I18)</f>
        <v>-405680</v>
      </c>
    </row>
    <row r="20" spans="1:10">
      <c r="A20" s="73">
        <v>45058</v>
      </c>
      <c r="B20">
        <v>3.97</v>
      </c>
      <c r="C20">
        <v>10.37</v>
      </c>
      <c r="D20">
        <v>50.97</v>
      </c>
      <c r="E20">
        <v>599.9</v>
      </c>
      <c r="F20">
        <v>903.8</v>
      </c>
      <c r="G20">
        <v>2233</v>
      </c>
      <c r="H20">
        <v>3575</v>
      </c>
      <c r="I20" s="122">
        <f t="shared" si="0"/>
        <v>416625660.00000006</v>
      </c>
      <c r="J20" s="139">
        <f>I20-MIN($I$9:I19)</f>
        <v>4989160</v>
      </c>
    </row>
    <row r="21" spans="1:10">
      <c r="A21" s="73">
        <v>45059</v>
      </c>
      <c r="B21">
        <v>4.04</v>
      </c>
      <c r="C21">
        <v>10.47</v>
      </c>
      <c r="D21">
        <v>50.54</v>
      </c>
      <c r="E21">
        <v>601.9</v>
      </c>
      <c r="F21">
        <v>900</v>
      </c>
      <c r="G21">
        <v>2328</v>
      </c>
      <c r="H21">
        <v>3578</v>
      </c>
      <c r="I21" s="122">
        <f t="shared" si="0"/>
        <v>418864600.00000006</v>
      </c>
      <c r="J21" s="139">
        <f>I21-MIN($I$9:I20)</f>
        <v>7228100</v>
      </c>
    </row>
    <row r="22" spans="1:10">
      <c r="A22" s="73">
        <v>45060</v>
      </c>
      <c r="B22">
        <v>4.05</v>
      </c>
      <c r="C22">
        <v>10.56</v>
      </c>
      <c r="D22">
        <v>50.63</v>
      </c>
      <c r="E22">
        <v>603.79999999999995</v>
      </c>
      <c r="F22">
        <v>904.5</v>
      </c>
      <c r="G22">
        <v>2295</v>
      </c>
      <c r="H22">
        <v>3577</v>
      </c>
      <c r="I22" s="122">
        <f t="shared" si="0"/>
        <v>420082300.00000006</v>
      </c>
      <c r="J22" s="139">
        <f>I22-MIN($I$9:I21)</f>
        <v>8445800</v>
      </c>
    </row>
    <row r="23" spans="1:10">
      <c r="A23" s="73">
        <v>45061</v>
      </c>
      <c r="B23">
        <v>4.08</v>
      </c>
      <c r="C23">
        <v>10.66</v>
      </c>
      <c r="D23">
        <v>50.9</v>
      </c>
      <c r="E23">
        <v>613.9</v>
      </c>
      <c r="F23">
        <v>904.1</v>
      </c>
      <c r="G23">
        <v>2339</v>
      </c>
      <c r="H23">
        <v>3572</v>
      </c>
      <c r="I23" s="122">
        <f t="shared" si="0"/>
        <v>425677120.00000006</v>
      </c>
      <c r="J23" s="139">
        <f>I23-MIN($I$9:I22)</f>
        <v>14040620</v>
      </c>
    </row>
    <row r="24" spans="1:10">
      <c r="A24" s="73">
        <v>45062</v>
      </c>
      <c r="B24">
        <v>4.07</v>
      </c>
      <c r="C24">
        <v>10.68</v>
      </c>
      <c r="D24">
        <v>50.88</v>
      </c>
      <c r="E24">
        <v>613.29999999999995</v>
      </c>
      <c r="F24">
        <v>904.6</v>
      </c>
      <c r="G24">
        <v>2340</v>
      </c>
      <c r="H24">
        <v>3570</v>
      </c>
      <c r="I24" s="122">
        <f t="shared" si="0"/>
        <v>425406520.00000006</v>
      </c>
      <c r="J24" s="139">
        <f>I24-MIN($I$9:I23)</f>
        <v>13770020</v>
      </c>
    </row>
    <row r="25" spans="1:10">
      <c r="A25" s="73">
        <v>45063</v>
      </c>
      <c r="B25">
        <v>4.0599999999999996</v>
      </c>
      <c r="C25">
        <v>10.4</v>
      </c>
      <c r="D25">
        <v>50.78</v>
      </c>
      <c r="E25">
        <v>612.6</v>
      </c>
      <c r="F25">
        <v>935.7</v>
      </c>
      <c r="G25">
        <v>2286</v>
      </c>
      <c r="H25">
        <v>3566</v>
      </c>
      <c r="I25" s="122">
        <f t="shared" si="0"/>
        <v>423753440.00000006</v>
      </c>
      <c r="J25" s="139">
        <f>I25-MIN($I$9:I24)</f>
        <v>12116940</v>
      </c>
    </row>
    <row r="26" spans="1:10">
      <c r="A26" s="73">
        <v>45064</v>
      </c>
      <c r="B26">
        <v>4.0199999999999996</v>
      </c>
      <c r="C26">
        <v>10.51</v>
      </c>
      <c r="D26">
        <v>50.69</v>
      </c>
      <c r="E26">
        <v>612.4</v>
      </c>
      <c r="F26">
        <v>1045</v>
      </c>
      <c r="G26">
        <v>2327</v>
      </c>
      <c r="H26">
        <v>3525</v>
      </c>
      <c r="I26" s="122">
        <f t="shared" si="0"/>
        <v>425316100.00000006</v>
      </c>
      <c r="J26" s="139">
        <f>I26-MIN($I$9:I25)</f>
        <v>13679600</v>
      </c>
    </row>
    <row r="27" spans="1:10">
      <c r="A27" s="73">
        <v>45065</v>
      </c>
      <c r="B27">
        <v>4.03</v>
      </c>
      <c r="C27">
        <v>10.48</v>
      </c>
      <c r="D27">
        <v>50.76</v>
      </c>
      <c r="E27">
        <v>607.4</v>
      </c>
      <c r="F27">
        <v>1020</v>
      </c>
      <c r="G27">
        <v>2328</v>
      </c>
      <c r="H27">
        <v>3499</v>
      </c>
      <c r="I27" s="122">
        <f t="shared" si="0"/>
        <v>422709100.00000006</v>
      </c>
      <c r="J27" s="139">
        <f>I27-MIN($I$9:I26)</f>
        <v>11072600</v>
      </c>
    </row>
    <row r="28" spans="1:10">
      <c r="A28" s="73">
        <v>45066</v>
      </c>
      <c r="B28">
        <v>4.04</v>
      </c>
      <c r="C28">
        <v>10.74</v>
      </c>
      <c r="D28">
        <v>50.95</v>
      </c>
      <c r="E28">
        <v>617.5</v>
      </c>
      <c r="F28">
        <v>1018</v>
      </c>
      <c r="G28">
        <v>2341</v>
      </c>
      <c r="H28">
        <v>3526</v>
      </c>
      <c r="I28" s="122">
        <f t="shared" si="0"/>
        <v>428659000.00000006</v>
      </c>
      <c r="J28" s="139">
        <f>I28-MIN($I$9:I27)</f>
        <v>17022500</v>
      </c>
    </row>
    <row r="29" spans="1:10">
      <c r="A29" s="73">
        <v>45067</v>
      </c>
      <c r="B29">
        <v>3.99</v>
      </c>
      <c r="C29">
        <v>11.03</v>
      </c>
      <c r="D29">
        <v>50.94</v>
      </c>
      <c r="E29">
        <v>619.79999999999995</v>
      </c>
      <c r="F29">
        <v>998</v>
      </c>
      <c r="G29">
        <v>2237</v>
      </c>
      <c r="H29">
        <v>3341</v>
      </c>
      <c r="I29" s="122">
        <f t="shared" si="0"/>
        <v>428939500.00000006</v>
      </c>
      <c r="J29" s="139">
        <f>I29-MIN($I$9:I28)</f>
        <v>17303000</v>
      </c>
    </row>
    <row r="30" spans="1:10">
      <c r="A30" s="73">
        <v>45068</v>
      </c>
      <c r="B30">
        <v>4</v>
      </c>
      <c r="C30">
        <v>10.99</v>
      </c>
      <c r="D30">
        <v>53.74</v>
      </c>
      <c r="E30">
        <v>622.1</v>
      </c>
      <c r="F30">
        <v>999.2</v>
      </c>
      <c r="G30">
        <v>2316</v>
      </c>
      <c r="H30">
        <v>3496</v>
      </c>
      <c r="I30" s="122">
        <f t="shared" si="0"/>
        <v>432760240.00000006</v>
      </c>
      <c r="J30" s="139">
        <f>I30-MIN($I$9:I29)</f>
        <v>21123740</v>
      </c>
    </row>
    <row r="31" spans="1:10">
      <c r="A31" s="73">
        <v>45069</v>
      </c>
      <c r="B31">
        <v>3.99</v>
      </c>
      <c r="C31">
        <v>10.45</v>
      </c>
      <c r="D31">
        <v>55.75</v>
      </c>
      <c r="E31">
        <v>632.5</v>
      </c>
      <c r="F31">
        <v>985</v>
      </c>
      <c r="G31">
        <v>2296</v>
      </c>
      <c r="H31">
        <v>3482</v>
      </c>
      <c r="I31" s="122">
        <f t="shared" si="0"/>
        <v>435833200.00000006</v>
      </c>
      <c r="J31" s="139">
        <f>I31-MIN($I$9:I30)</f>
        <v>24196700</v>
      </c>
    </row>
    <row r="32" spans="1:10">
      <c r="A32" s="73">
        <v>45070</v>
      </c>
      <c r="B32">
        <v>4.04</v>
      </c>
      <c r="C32">
        <v>10.87</v>
      </c>
      <c r="D32">
        <v>54.7</v>
      </c>
      <c r="E32">
        <v>643.70000000000005</v>
      </c>
      <c r="F32">
        <v>984.6</v>
      </c>
      <c r="G32">
        <v>2291</v>
      </c>
      <c r="H32">
        <v>3479</v>
      </c>
      <c r="I32" s="122">
        <f t="shared" si="0"/>
        <v>442308020.00000006</v>
      </c>
      <c r="J32" s="139">
        <f>I32-MIN($I$9:I31)</f>
        <v>30671520</v>
      </c>
    </row>
    <row r="33" spans="1:10">
      <c r="A33" s="73">
        <v>45071</v>
      </c>
      <c r="B33">
        <v>4.0199999999999996</v>
      </c>
      <c r="C33">
        <v>10.96</v>
      </c>
      <c r="D33">
        <v>54.75</v>
      </c>
      <c r="E33">
        <v>612.70000000000005</v>
      </c>
      <c r="F33">
        <v>980</v>
      </c>
      <c r="G33">
        <v>2295</v>
      </c>
      <c r="H33">
        <v>3479</v>
      </c>
      <c r="I33" s="122">
        <f t="shared" si="0"/>
        <v>428886700.00000006</v>
      </c>
      <c r="J33" s="139">
        <f>I33-MIN($I$9:I32)</f>
        <v>17250200</v>
      </c>
    </row>
    <row r="34" spans="1:10">
      <c r="A34" s="73">
        <v>45072</v>
      </c>
      <c r="B34">
        <v>4.04</v>
      </c>
      <c r="C34">
        <v>11.16</v>
      </c>
      <c r="D34">
        <v>54.26</v>
      </c>
      <c r="E34">
        <v>597</v>
      </c>
      <c r="F34">
        <v>973.1</v>
      </c>
      <c r="G34">
        <v>2396</v>
      </c>
      <c r="H34">
        <v>3567</v>
      </c>
      <c r="I34" s="122">
        <f t="shared" si="0"/>
        <v>423577220.00000006</v>
      </c>
      <c r="J34" s="139">
        <f>I34-MIN($I$9:I33)</f>
        <v>11940720</v>
      </c>
    </row>
    <row r="35" spans="1:10">
      <c r="A35" s="73">
        <v>45073</v>
      </c>
      <c r="B35">
        <v>3.97</v>
      </c>
      <c r="C35">
        <v>11.1</v>
      </c>
      <c r="D35">
        <v>52.95</v>
      </c>
      <c r="E35">
        <v>607.5</v>
      </c>
      <c r="F35">
        <v>980.3</v>
      </c>
      <c r="G35">
        <v>2392</v>
      </c>
      <c r="H35">
        <v>3590</v>
      </c>
      <c r="I35" s="122">
        <f t="shared" si="0"/>
        <v>426597160.00000006</v>
      </c>
      <c r="J35" s="139">
        <f>I35-MIN($I$9:I34)</f>
        <v>14960660</v>
      </c>
    </row>
    <row r="36" spans="1:10">
      <c r="A36" s="73">
        <v>45074</v>
      </c>
      <c r="B36">
        <v>3.98</v>
      </c>
      <c r="C36">
        <v>11.14</v>
      </c>
      <c r="D36">
        <v>52.53</v>
      </c>
      <c r="E36">
        <v>608.6</v>
      </c>
      <c r="F36">
        <v>980.5</v>
      </c>
      <c r="G36">
        <v>2658</v>
      </c>
      <c r="H36">
        <v>3710</v>
      </c>
      <c r="I36" s="122">
        <f t="shared" si="0"/>
        <v>429222200.00000006</v>
      </c>
      <c r="J36" s="139">
        <f>I36-MIN($I$9:I35)</f>
        <v>17585700</v>
      </c>
    </row>
    <row r="37" spans="1:10">
      <c r="A37" s="73">
        <v>45075</v>
      </c>
      <c r="B37">
        <v>3.93</v>
      </c>
      <c r="C37">
        <v>9.99</v>
      </c>
      <c r="D37">
        <v>50.9</v>
      </c>
      <c r="E37">
        <v>599.9</v>
      </c>
      <c r="F37">
        <v>979.8</v>
      </c>
      <c r="G37">
        <v>2649</v>
      </c>
      <c r="H37">
        <v>3990</v>
      </c>
      <c r="I37" s="122">
        <f t="shared" si="0"/>
        <v>419673760.00000006</v>
      </c>
      <c r="J37" s="139">
        <f>I37-MIN($I$9:I36)</f>
        <v>8037260</v>
      </c>
    </row>
    <row r="38" spans="1:10">
      <c r="A38" s="73">
        <v>45076</v>
      </c>
      <c r="B38">
        <v>3.96</v>
      </c>
      <c r="C38">
        <v>10.97</v>
      </c>
      <c r="D38">
        <v>51.99</v>
      </c>
      <c r="E38">
        <v>608</v>
      </c>
      <c r="F38">
        <v>995</v>
      </c>
      <c r="G38">
        <v>2577</v>
      </c>
      <c r="H38">
        <v>3722</v>
      </c>
      <c r="I38" s="122">
        <f t="shared" si="0"/>
        <v>427374200.00000006</v>
      </c>
      <c r="J38" s="139">
        <f>I38-MIN($I$9:I37)</f>
        <v>15737700</v>
      </c>
    </row>
    <row r="39" spans="1:10">
      <c r="A39" s="73">
        <v>45077</v>
      </c>
      <c r="B39">
        <v>3.97</v>
      </c>
      <c r="C39">
        <v>10.88</v>
      </c>
      <c r="D39">
        <v>51.93</v>
      </c>
      <c r="E39">
        <v>608.20000000000005</v>
      </c>
      <c r="F39">
        <v>992.6</v>
      </c>
      <c r="G39">
        <v>2893</v>
      </c>
      <c r="H39">
        <v>4113</v>
      </c>
      <c r="I39" s="122">
        <f t="shared" si="0"/>
        <v>430458820.00000006</v>
      </c>
      <c r="J39" s="139">
        <f>I39-MIN($I$9:I38)</f>
        <v>18822320</v>
      </c>
    </row>
    <row r="40" spans="1:10">
      <c r="A40" s="73">
        <v>45078</v>
      </c>
      <c r="B40">
        <v>4</v>
      </c>
      <c r="C40">
        <v>10.81</v>
      </c>
      <c r="D40">
        <v>51.9</v>
      </c>
      <c r="E40">
        <v>607.79999999999995</v>
      </c>
      <c r="F40">
        <v>955.5</v>
      </c>
      <c r="G40">
        <v>2892</v>
      </c>
      <c r="H40">
        <v>4155</v>
      </c>
      <c r="I40" s="122">
        <f t="shared" si="0"/>
        <v>429861300.00000006</v>
      </c>
      <c r="J40" s="139">
        <f>I40-MIN($I$9:I39)</f>
        <v>18224800</v>
      </c>
    </row>
    <row r="41" spans="1:10">
      <c r="A41" s="73">
        <v>45079</v>
      </c>
      <c r="B41">
        <v>3.98</v>
      </c>
      <c r="C41">
        <v>10.35</v>
      </c>
      <c r="D41">
        <v>50.38</v>
      </c>
      <c r="E41">
        <v>609</v>
      </c>
      <c r="F41">
        <v>977.6</v>
      </c>
      <c r="G41">
        <v>2951</v>
      </c>
      <c r="H41">
        <v>4165</v>
      </c>
      <c r="I41" s="122">
        <f t="shared" si="0"/>
        <v>427900220.00000006</v>
      </c>
      <c r="J41" s="139">
        <f>I41-MIN($I$9:I40)</f>
        <v>16263720</v>
      </c>
    </row>
    <row r="42" spans="1:10">
      <c r="A42" s="73">
        <v>45080</v>
      </c>
      <c r="B42">
        <v>3.98</v>
      </c>
      <c r="C42">
        <v>10.33</v>
      </c>
      <c r="D42">
        <v>51.42</v>
      </c>
      <c r="E42">
        <v>604</v>
      </c>
      <c r="F42">
        <v>967.4</v>
      </c>
      <c r="G42">
        <v>2896</v>
      </c>
      <c r="H42">
        <v>3918</v>
      </c>
      <c r="I42" s="122">
        <f t="shared" si="0"/>
        <v>424985880.00000006</v>
      </c>
      <c r="J42" s="139">
        <f>I42-MIN($I$9:I41)</f>
        <v>13349380</v>
      </c>
    </row>
    <row r="43" spans="1:10">
      <c r="A43" s="73">
        <v>45081</v>
      </c>
      <c r="B43">
        <v>3.99</v>
      </c>
      <c r="C43">
        <v>10.28</v>
      </c>
      <c r="D43">
        <v>51.98</v>
      </c>
      <c r="E43">
        <v>599.79999999999995</v>
      </c>
      <c r="F43">
        <v>955.2</v>
      </c>
      <c r="G43">
        <v>2880</v>
      </c>
      <c r="H43">
        <v>4166</v>
      </c>
      <c r="I43" s="122">
        <f t="shared" si="0"/>
        <v>423927240.00000006</v>
      </c>
      <c r="J43" s="139">
        <f>I43-MIN($I$9:I42)</f>
        <v>12290740</v>
      </c>
    </row>
    <row r="44" spans="1:10">
      <c r="A44" s="73">
        <v>45082</v>
      </c>
      <c r="B44">
        <v>3.95</v>
      </c>
      <c r="C44">
        <v>10.24</v>
      </c>
      <c r="D44">
        <v>51.63</v>
      </c>
      <c r="E44">
        <v>599.9</v>
      </c>
      <c r="F44">
        <v>950.7</v>
      </c>
      <c r="G44">
        <v>2795</v>
      </c>
      <c r="H44">
        <v>3980</v>
      </c>
      <c r="I44" s="122">
        <f t="shared" si="0"/>
        <v>421978040.00000006</v>
      </c>
      <c r="J44" s="139">
        <f>I44-MIN($I$9:I43)</f>
        <v>10341540</v>
      </c>
    </row>
    <row r="45" spans="1:10">
      <c r="A45" s="73">
        <v>45083</v>
      </c>
      <c r="B45">
        <v>3.99</v>
      </c>
      <c r="C45">
        <v>10</v>
      </c>
      <c r="D45">
        <v>51.43</v>
      </c>
      <c r="E45">
        <v>594.79999999999995</v>
      </c>
      <c r="F45">
        <v>940.6</v>
      </c>
      <c r="G45">
        <v>2753</v>
      </c>
      <c r="H45">
        <v>4200</v>
      </c>
      <c r="I45" s="122">
        <f t="shared" si="0"/>
        <v>419213520.00000006</v>
      </c>
      <c r="J45" s="139">
        <f>I45-MIN($I$9:I44)</f>
        <v>7577020</v>
      </c>
    </row>
    <row r="46" spans="1:10">
      <c r="A46" s="73">
        <v>45084</v>
      </c>
      <c r="B46">
        <v>4.08</v>
      </c>
      <c r="C46">
        <v>10</v>
      </c>
      <c r="D46">
        <v>50.99</v>
      </c>
      <c r="E46">
        <v>593.70000000000005</v>
      </c>
      <c r="F46">
        <v>936.2</v>
      </c>
      <c r="G46">
        <v>2713</v>
      </c>
      <c r="H46">
        <v>4140</v>
      </c>
      <c r="I46" s="122">
        <f t="shared" si="0"/>
        <v>418711040.00000006</v>
      </c>
      <c r="J46" s="139">
        <f>I46-MIN($I$9:I45)</f>
        <v>7074540</v>
      </c>
    </row>
    <row r="47" spans="1:10">
      <c r="A47" s="73">
        <v>45085</v>
      </c>
      <c r="B47">
        <v>4.12</v>
      </c>
      <c r="C47">
        <v>10.27</v>
      </c>
      <c r="D47">
        <v>51.93</v>
      </c>
      <c r="E47">
        <v>592.9</v>
      </c>
      <c r="F47">
        <v>909.9</v>
      </c>
      <c r="G47">
        <v>2688</v>
      </c>
      <c r="H47">
        <v>4006</v>
      </c>
      <c r="I47" s="122">
        <f t="shared" si="0"/>
        <v>419565080.00000006</v>
      </c>
      <c r="J47" s="139">
        <f>I47-MIN($I$9:I46)</f>
        <v>7928580</v>
      </c>
    </row>
    <row r="48" spans="1:10">
      <c r="A48" s="73">
        <v>45086</v>
      </c>
      <c r="B48">
        <v>4.18</v>
      </c>
      <c r="C48">
        <v>10.32</v>
      </c>
      <c r="D48">
        <v>52</v>
      </c>
      <c r="E48">
        <v>562.6</v>
      </c>
      <c r="F48">
        <v>906.9</v>
      </c>
      <c r="G48">
        <v>2641</v>
      </c>
      <c r="H48">
        <v>4061</v>
      </c>
      <c r="I48" s="122">
        <f t="shared" si="0"/>
        <v>406858980.00000006</v>
      </c>
      <c r="J48" s="139">
        <f>I48-MIN($I$9:I47)</f>
        <v>-4777520</v>
      </c>
    </row>
    <row r="49" spans="1:10">
      <c r="A49" s="73">
        <v>45087</v>
      </c>
      <c r="B49">
        <v>4.0599999999999996</v>
      </c>
      <c r="C49">
        <v>10.48</v>
      </c>
      <c r="D49">
        <v>51.73</v>
      </c>
      <c r="E49">
        <v>540.9</v>
      </c>
      <c r="F49">
        <v>903.7</v>
      </c>
      <c r="G49">
        <v>2626</v>
      </c>
      <c r="H49">
        <v>4113</v>
      </c>
      <c r="I49" s="122">
        <f t="shared" si="0"/>
        <v>396811140.00000006</v>
      </c>
      <c r="J49" s="139">
        <f>I49-MIN($I$9:I48)</f>
        <v>-10047840</v>
      </c>
    </row>
    <row r="50" spans="1:10">
      <c r="A50" s="73">
        <v>45088</v>
      </c>
      <c r="B50">
        <v>4.1500000000000004</v>
      </c>
      <c r="C50">
        <v>10.8</v>
      </c>
      <c r="D50">
        <v>51.77</v>
      </c>
      <c r="E50">
        <v>510.3</v>
      </c>
      <c r="F50">
        <v>902.9</v>
      </c>
      <c r="G50">
        <v>2609</v>
      </c>
      <c r="H50">
        <v>4110</v>
      </c>
      <c r="I50" s="122">
        <f t="shared" si="0"/>
        <v>385440880.00000006</v>
      </c>
      <c r="J50" s="139">
        <f>I50-MIN($I$9:I49)</f>
        <v>-11370260</v>
      </c>
    </row>
    <row r="51" spans="1:10">
      <c r="A51" s="73">
        <v>45089</v>
      </c>
      <c r="B51">
        <v>4.32</v>
      </c>
      <c r="C51">
        <v>10.97</v>
      </c>
      <c r="D51">
        <v>60</v>
      </c>
      <c r="E51">
        <v>507.8</v>
      </c>
      <c r="F51">
        <v>903.6</v>
      </c>
      <c r="G51">
        <v>2588</v>
      </c>
      <c r="H51">
        <v>4107</v>
      </c>
      <c r="I51" s="122">
        <f t="shared" si="0"/>
        <v>391877420.00000006</v>
      </c>
      <c r="J51" s="139">
        <f>I51-MIN($I$9:I50)</f>
        <v>6436540</v>
      </c>
    </row>
    <row r="52" spans="1:10">
      <c r="A52" s="73">
        <v>45090</v>
      </c>
      <c r="B52">
        <v>4.3099999999999996</v>
      </c>
      <c r="C52">
        <v>10.77</v>
      </c>
      <c r="D52">
        <v>60</v>
      </c>
      <c r="E52">
        <v>508.4</v>
      </c>
      <c r="F52">
        <v>899.5</v>
      </c>
      <c r="G52">
        <v>2548</v>
      </c>
      <c r="H52">
        <v>3995</v>
      </c>
      <c r="I52" s="122">
        <f t="shared" si="0"/>
        <v>390485700.00000006</v>
      </c>
      <c r="J52" s="139">
        <f>I52-MIN($I$9:I51)</f>
        <v>5044820</v>
      </c>
    </row>
    <row r="53" spans="1:10">
      <c r="A53" s="73">
        <v>45091</v>
      </c>
      <c r="B53">
        <v>4.37</v>
      </c>
      <c r="C53">
        <v>10.77</v>
      </c>
      <c r="D53">
        <v>57.13</v>
      </c>
      <c r="E53">
        <v>522.1</v>
      </c>
      <c r="F53">
        <v>899.9</v>
      </c>
      <c r="G53">
        <v>2586</v>
      </c>
      <c r="H53">
        <v>3989</v>
      </c>
      <c r="I53" s="122">
        <f t="shared" si="0"/>
        <v>395383780.00000006</v>
      </c>
      <c r="J53" s="139">
        <f>I53-MIN($I$9:I52)</f>
        <v>9942900</v>
      </c>
    </row>
    <row r="54" spans="1:10">
      <c r="A54" s="73">
        <v>45092</v>
      </c>
      <c r="B54">
        <v>5</v>
      </c>
      <c r="C54">
        <v>10.58</v>
      </c>
      <c r="D54">
        <v>56.65</v>
      </c>
      <c r="E54">
        <v>518.1</v>
      </c>
      <c r="F54">
        <v>901</v>
      </c>
      <c r="G54">
        <v>2598</v>
      </c>
      <c r="H54">
        <v>3990</v>
      </c>
      <c r="I54" s="122">
        <f t="shared" si="0"/>
        <v>398112000.00000006</v>
      </c>
      <c r="J54" s="139">
        <f>I54-MIN($I$9:I53)</f>
        <v>12671120</v>
      </c>
    </row>
    <row r="55" spans="1:10">
      <c r="A55" s="73">
        <v>45093</v>
      </c>
      <c r="B55">
        <v>4.55</v>
      </c>
      <c r="C55">
        <v>10.37</v>
      </c>
      <c r="D55">
        <v>54.33</v>
      </c>
      <c r="E55">
        <v>524.70000000000005</v>
      </c>
      <c r="F55">
        <v>895.8</v>
      </c>
      <c r="G55">
        <v>2607</v>
      </c>
      <c r="H55">
        <v>3984</v>
      </c>
      <c r="I55" s="122">
        <f t="shared" si="0"/>
        <v>394571760.00000006</v>
      </c>
      <c r="J55" s="139">
        <f>I55-MIN($I$9:I54)</f>
        <v>9130880</v>
      </c>
    </row>
    <row r="56" spans="1:10">
      <c r="A56" s="73">
        <v>45094</v>
      </c>
      <c r="B56">
        <v>4.49</v>
      </c>
      <c r="C56">
        <v>10.26</v>
      </c>
      <c r="D56">
        <v>53.38</v>
      </c>
      <c r="E56">
        <v>512</v>
      </c>
      <c r="F56">
        <v>897.2</v>
      </c>
      <c r="G56">
        <v>2617</v>
      </c>
      <c r="H56">
        <v>3971</v>
      </c>
      <c r="I56" s="122">
        <f t="shared" si="0"/>
        <v>387386340.00000006</v>
      </c>
      <c r="J56" s="139">
        <f>I56-MIN($I$9:I55)</f>
        <v>1945460</v>
      </c>
    </row>
    <row r="57" spans="1:10">
      <c r="A57" s="73">
        <v>45095</v>
      </c>
      <c r="B57">
        <v>4.47</v>
      </c>
      <c r="C57">
        <v>10.119999999999999</v>
      </c>
      <c r="D57">
        <v>52.69</v>
      </c>
      <c r="E57">
        <v>500</v>
      </c>
      <c r="F57">
        <v>886</v>
      </c>
      <c r="G57">
        <v>2614</v>
      </c>
      <c r="H57">
        <v>4116</v>
      </c>
      <c r="I57" s="122">
        <f t="shared" si="0"/>
        <v>381169800.00000006</v>
      </c>
      <c r="J57" s="139">
        <f>I57-MIN($I$9:I56)</f>
        <v>-4271080</v>
      </c>
    </row>
    <row r="58" spans="1:10">
      <c r="A58" s="73">
        <v>45096</v>
      </c>
      <c r="B58">
        <v>4.5599999999999996</v>
      </c>
      <c r="C58">
        <v>10.25</v>
      </c>
      <c r="D58">
        <v>52.97</v>
      </c>
      <c r="E58">
        <v>504.6</v>
      </c>
      <c r="F58">
        <v>897.4</v>
      </c>
      <c r="G58">
        <v>2625</v>
      </c>
      <c r="H58">
        <v>4241</v>
      </c>
      <c r="I58" s="122">
        <f t="shared" si="0"/>
        <v>385378180.00000006</v>
      </c>
      <c r="J58" s="139">
        <f>I58-MIN($I$9:I57)</f>
        <v>4208380</v>
      </c>
    </row>
    <row r="59" spans="1:10">
      <c r="A59" s="73">
        <v>45097</v>
      </c>
      <c r="B59">
        <v>4.75</v>
      </c>
      <c r="C59">
        <v>10.26</v>
      </c>
      <c r="D59">
        <v>50.72</v>
      </c>
      <c r="E59">
        <v>494</v>
      </c>
      <c r="F59">
        <v>922</v>
      </c>
      <c r="G59">
        <v>2624</v>
      </c>
      <c r="H59">
        <v>4036</v>
      </c>
      <c r="I59" s="122">
        <f t="shared" si="0"/>
        <v>380586800.00000006</v>
      </c>
      <c r="J59" s="139">
        <f>I59-MIN($I$9:I58)</f>
        <v>-583000</v>
      </c>
    </row>
    <row r="60" spans="1:10">
      <c r="A60" s="73">
        <v>45098</v>
      </c>
      <c r="B60">
        <v>4.71</v>
      </c>
      <c r="C60">
        <v>10.54</v>
      </c>
      <c r="D60">
        <v>51.96</v>
      </c>
      <c r="E60">
        <v>494</v>
      </c>
      <c r="F60">
        <v>936.7</v>
      </c>
      <c r="G60">
        <v>2525</v>
      </c>
      <c r="H60">
        <v>4180</v>
      </c>
      <c r="I60" s="122">
        <f t="shared" si="0"/>
        <v>382301040.00000006</v>
      </c>
      <c r="J60" s="139">
        <f>I60-MIN($I$9:I59)</f>
        <v>1714240</v>
      </c>
    </row>
    <row r="61" spans="1:10">
      <c r="A61" s="73">
        <v>45099</v>
      </c>
      <c r="B61">
        <v>4.66</v>
      </c>
      <c r="C61">
        <v>11.15</v>
      </c>
      <c r="D61">
        <v>52.45</v>
      </c>
      <c r="E61">
        <v>498.8</v>
      </c>
      <c r="F61">
        <v>933.4</v>
      </c>
      <c r="G61">
        <v>2499</v>
      </c>
      <c r="H61">
        <v>4198</v>
      </c>
      <c r="I61" s="122">
        <f t="shared" si="0"/>
        <v>386824680.00000006</v>
      </c>
      <c r="J61" s="139">
        <f>I61-MIN($I$9:I60)</f>
        <v>6237880</v>
      </c>
    </row>
    <row r="62" spans="1:10">
      <c r="A62" s="73">
        <v>45100</v>
      </c>
      <c r="B62">
        <v>4.53</v>
      </c>
      <c r="C62">
        <v>12.58</v>
      </c>
      <c r="D62">
        <v>50.94</v>
      </c>
      <c r="E62">
        <v>499</v>
      </c>
      <c r="F62">
        <v>947.6</v>
      </c>
      <c r="G62">
        <v>2579</v>
      </c>
      <c r="H62">
        <v>4250</v>
      </c>
      <c r="I62" s="122">
        <f t="shared" si="0"/>
        <v>391951120.00000006</v>
      </c>
      <c r="J62" s="139">
        <f>I62-MIN($I$9:I61)</f>
        <v>11364320</v>
      </c>
    </row>
    <row r="63" spans="1:10">
      <c r="A63" s="73">
        <v>45101</v>
      </c>
      <c r="B63">
        <v>4.45</v>
      </c>
      <c r="C63">
        <v>11.99</v>
      </c>
      <c r="D63">
        <v>51.99</v>
      </c>
      <c r="E63">
        <v>494</v>
      </c>
      <c r="F63">
        <v>974.5</v>
      </c>
      <c r="G63">
        <v>2587</v>
      </c>
      <c r="H63">
        <v>4215</v>
      </c>
      <c r="I63" s="122">
        <f t="shared" si="0"/>
        <v>387436500.00000006</v>
      </c>
      <c r="J63" s="139">
        <f>I63-MIN($I$9:I62)</f>
        <v>6849700</v>
      </c>
    </row>
    <row r="64" spans="1:10">
      <c r="A64" s="73">
        <v>45102</v>
      </c>
      <c r="B64">
        <v>4.4000000000000004</v>
      </c>
      <c r="C64">
        <v>11.83</v>
      </c>
      <c r="D64">
        <v>51.28</v>
      </c>
      <c r="E64">
        <v>497.1</v>
      </c>
      <c r="F64">
        <v>976.1</v>
      </c>
      <c r="G64">
        <v>2593</v>
      </c>
      <c r="H64">
        <v>4246</v>
      </c>
      <c r="I64" s="122">
        <f t="shared" si="0"/>
        <v>387350920.00000006</v>
      </c>
      <c r="J64" s="139">
        <f>I64-MIN($I$9:I63)</f>
        <v>6764120</v>
      </c>
    </row>
    <row r="65" spans="1:10">
      <c r="A65" s="73">
        <v>45103</v>
      </c>
      <c r="B65">
        <v>4.4400000000000004</v>
      </c>
      <c r="C65">
        <v>11.86</v>
      </c>
      <c r="D65">
        <v>51.22</v>
      </c>
      <c r="E65">
        <v>491.8</v>
      </c>
      <c r="F65">
        <v>965.5</v>
      </c>
      <c r="G65">
        <v>2588</v>
      </c>
      <c r="H65">
        <v>4219</v>
      </c>
      <c r="I65" s="122">
        <f t="shared" si="0"/>
        <v>385201300.00000006</v>
      </c>
      <c r="J65" s="139">
        <f>I65-MIN($I$9:I64)</f>
        <v>4614500</v>
      </c>
    </row>
    <row r="66" spans="1:10">
      <c r="A66" s="73">
        <v>45104</v>
      </c>
      <c r="B66">
        <v>4.38</v>
      </c>
      <c r="C66">
        <v>11.88</v>
      </c>
      <c r="D66">
        <v>51.28</v>
      </c>
      <c r="E66">
        <v>495</v>
      </c>
      <c r="F66">
        <v>948</v>
      </c>
      <c r="G66">
        <v>2580</v>
      </c>
      <c r="H66">
        <v>4235</v>
      </c>
      <c r="I66" s="122">
        <f t="shared" si="0"/>
        <v>385977900.00000006</v>
      </c>
      <c r="J66" s="139">
        <f>I66-MIN($I$9:I65)</f>
        <v>5391100</v>
      </c>
    </row>
    <row r="67" spans="1:10">
      <c r="A67" s="73">
        <v>45105</v>
      </c>
      <c r="B67">
        <v>4.5599999999999996</v>
      </c>
      <c r="C67">
        <v>11.2</v>
      </c>
      <c r="D67">
        <v>52.01</v>
      </c>
      <c r="E67">
        <v>490</v>
      </c>
      <c r="F67">
        <v>913.9</v>
      </c>
      <c r="G67">
        <v>2575</v>
      </c>
      <c r="H67">
        <v>4246</v>
      </c>
      <c r="I67" s="122">
        <f t="shared" si="0"/>
        <v>382404880.00000006</v>
      </c>
      <c r="J67" s="139">
        <f>I67-MIN($I$9:I66)</f>
        <v>1818080</v>
      </c>
    </row>
    <row r="68" spans="1:10">
      <c r="A68" s="73">
        <v>45106</v>
      </c>
      <c r="B68">
        <v>4.46</v>
      </c>
      <c r="C68">
        <v>11.02</v>
      </c>
      <c r="D68">
        <v>51.04</v>
      </c>
      <c r="E68">
        <v>498</v>
      </c>
      <c r="F68">
        <v>893.1</v>
      </c>
      <c r="G68">
        <v>2500</v>
      </c>
      <c r="H68">
        <v>4247</v>
      </c>
      <c r="I68" s="122">
        <f t="shared" si="0"/>
        <v>382846420.00000006</v>
      </c>
      <c r="J68" s="139">
        <f>I68-MIN($I$9:I67)</f>
        <v>2259620</v>
      </c>
    </row>
    <row r="69" spans="1:10">
      <c r="A69" s="73">
        <v>45107</v>
      </c>
      <c r="B69">
        <v>4.38</v>
      </c>
      <c r="C69">
        <v>11.38</v>
      </c>
      <c r="D69">
        <v>51.97</v>
      </c>
      <c r="E69">
        <v>496</v>
      </c>
      <c r="F69">
        <v>907.9</v>
      </c>
      <c r="G69">
        <v>2548</v>
      </c>
      <c r="H69">
        <v>4295</v>
      </c>
      <c r="I69" s="122">
        <f t="shared" si="0"/>
        <v>384130780.00000006</v>
      </c>
      <c r="J69" s="139">
        <f>I69-MIN($I$9:I68)</f>
        <v>3543980</v>
      </c>
    </row>
    <row r="70" spans="1:10">
      <c r="A70" s="73">
        <v>45108</v>
      </c>
      <c r="B70">
        <v>4.33</v>
      </c>
      <c r="C70">
        <v>11</v>
      </c>
      <c r="D70">
        <v>51.69</v>
      </c>
      <c r="E70">
        <v>495.9</v>
      </c>
      <c r="F70">
        <v>903</v>
      </c>
      <c r="G70">
        <v>2519</v>
      </c>
      <c r="H70">
        <v>4297</v>
      </c>
      <c r="I70" s="122">
        <f t="shared" si="0"/>
        <v>381540500.00000006</v>
      </c>
      <c r="J70" s="139">
        <f>I70-MIN($I$9:I69)</f>
        <v>953700</v>
      </c>
    </row>
    <row r="71" spans="1:10">
      <c r="A71" s="73">
        <v>45109</v>
      </c>
      <c r="B71">
        <v>4.28</v>
      </c>
      <c r="C71">
        <v>11.58</v>
      </c>
      <c r="D71">
        <v>51</v>
      </c>
      <c r="E71">
        <v>476.3</v>
      </c>
      <c r="F71">
        <v>903.9</v>
      </c>
      <c r="G71">
        <v>2563</v>
      </c>
      <c r="H71">
        <v>4349</v>
      </c>
      <c r="I71" s="122">
        <f t="shared" si="0"/>
        <v>375046980.00000006</v>
      </c>
      <c r="J71" s="139">
        <f>I71-MIN($I$9:I70)</f>
        <v>-5539820</v>
      </c>
    </row>
    <row r="72" spans="1:10">
      <c r="A72" s="73">
        <v>45110</v>
      </c>
      <c r="B72">
        <v>4.32</v>
      </c>
      <c r="C72">
        <v>11.66</v>
      </c>
      <c r="D72">
        <v>51.1</v>
      </c>
      <c r="E72">
        <v>455.8</v>
      </c>
      <c r="F72">
        <v>910.7</v>
      </c>
      <c r="G72">
        <v>2477</v>
      </c>
      <c r="H72">
        <v>4458</v>
      </c>
      <c r="I72" s="122">
        <f t="shared" si="0"/>
        <v>366678840</v>
      </c>
      <c r="J72" s="139">
        <f>I72-MIN($I$9:I71)</f>
        <v>-8368140.0000000596</v>
      </c>
    </row>
    <row r="73" spans="1:10">
      <c r="A73" s="73">
        <v>45111</v>
      </c>
      <c r="B73">
        <v>4.34</v>
      </c>
      <c r="C73">
        <v>11.95</v>
      </c>
      <c r="D73">
        <v>52.27</v>
      </c>
      <c r="E73">
        <v>492</v>
      </c>
      <c r="F73">
        <v>919.4</v>
      </c>
      <c r="G73">
        <v>2472</v>
      </c>
      <c r="H73">
        <v>4454</v>
      </c>
      <c r="I73" s="122">
        <f t="shared" ref="I73:I136" si="1">SUMPRODUCT($H$4:$N$4,B73:H73)*1.1</f>
        <v>384899680.00000006</v>
      </c>
      <c r="J73" s="139">
        <f>I73-MIN($I$9:I72)</f>
        <v>18220840.00000006</v>
      </c>
    </row>
    <row r="74" spans="1:10">
      <c r="A74" s="73">
        <v>45112</v>
      </c>
      <c r="B74">
        <v>4.21</v>
      </c>
      <c r="C74">
        <v>11.5</v>
      </c>
      <c r="D74">
        <v>53</v>
      </c>
      <c r="E74">
        <v>481.8</v>
      </c>
      <c r="F74">
        <v>919.8</v>
      </c>
      <c r="G74">
        <v>2469</v>
      </c>
      <c r="H74">
        <v>4450</v>
      </c>
      <c r="I74" s="122">
        <f t="shared" si="1"/>
        <v>377741760.00000006</v>
      </c>
      <c r="J74" s="139">
        <f>I74-MIN($I$9:I73)</f>
        <v>11062920.00000006</v>
      </c>
    </row>
    <row r="75" spans="1:10">
      <c r="A75" s="73">
        <v>45113</v>
      </c>
      <c r="B75">
        <v>4.1399999999999997</v>
      </c>
      <c r="C75">
        <v>12.36</v>
      </c>
      <c r="D75">
        <v>62.76</v>
      </c>
      <c r="E75">
        <v>490</v>
      </c>
      <c r="F75">
        <v>934</v>
      </c>
      <c r="G75">
        <v>2469</v>
      </c>
      <c r="H75">
        <v>4465</v>
      </c>
      <c r="I75" s="122">
        <f t="shared" si="1"/>
        <v>391196300.00000006</v>
      </c>
      <c r="J75" s="139">
        <f>I75-MIN($I$9:I74)</f>
        <v>24517460.00000006</v>
      </c>
    </row>
    <row r="76" spans="1:10">
      <c r="A76" s="73">
        <v>45114</v>
      </c>
      <c r="B76">
        <v>4.1399999999999997</v>
      </c>
      <c r="C76">
        <v>12.17</v>
      </c>
      <c r="D76">
        <v>52</v>
      </c>
      <c r="E76">
        <v>495.5</v>
      </c>
      <c r="F76">
        <v>967.2</v>
      </c>
      <c r="G76">
        <v>2476</v>
      </c>
      <c r="H76">
        <v>4496</v>
      </c>
      <c r="I76" s="122">
        <f t="shared" si="1"/>
        <v>386265440.00000006</v>
      </c>
      <c r="J76" s="139">
        <f>I76-MIN($I$9:I75)</f>
        <v>19586600.00000006</v>
      </c>
    </row>
    <row r="77" spans="1:10">
      <c r="A77" s="73">
        <v>45115</v>
      </c>
      <c r="B77">
        <v>4.16</v>
      </c>
      <c r="C77">
        <v>12.16</v>
      </c>
      <c r="D77">
        <v>53.78</v>
      </c>
      <c r="E77">
        <v>534.79999999999995</v>
      </c>
      <c r="F77">
        <v>995.7</v>
      </c>
      <c r="G77">
        <v>2476</v>
      </c>
      <c r="H77">
        <v>4979</v>
      </c>
      <c r="I77" s="122">
        <f t="shared" si="1"/>
        <v>406834340.00000006</v>
      </c>
      <c r="J77" s="139">
        <f>I77-MIN($I$9:I76)</f>
        <v>40155500.00000006</v>
      </c>
    </row>
    <row r="78" spans="1:10">
      <c r="A78" s="73">
        <v>45116</v>
      </c>
      <c r="B78">
        <v>4.1100000000000003</v>
      </c>
      <c r="C78">
        <v>12.16</v>
      </c>
      <c r="D78">
        <v>53.6</v>
      </c>
      <c r="E78">
        <v>531.4</v>
      </c>
      <c r="F78">
        <v>990.2</v>
      </c>
      <c r="G78">
        <v>2476</v>
      </c>
      <c r="H78">
        <v>4780</v>
      </c>
      <c r="I78" s="122">
        <f t="shared" si="1"/>
        <v>404050240.00000006</v>
      </c>
      <c r="J78" s="139">
        <f>I78-MIN($I$9:I77)</f>
        <v>37371400.00000006</v>
      </c>
    </row>
    <row r="79" spans="1:10">
      <c r="A79" s="73">
        <v>45117</v>
      </c>
      <c r="B79">
        <v>4.1500000000000004</v>
      </c>
      <c r="C79">
        <v>12.13</v>
      </c>
      <c r="D79">
        <v>55</v>
      </c>
      <c r="E79">
        <v>528.5</v>
      </c>
      <c r="F79">
        <v>1039</v>
      </c>
      <c r="G79">
        <v>2499</v>
      </c>
      <c r="H79">
        <v>4750</v>
      </c>
      <c r="I79" s="122">
        <f t="shared" si="1"/>
        <v>404615200.00000006</v>
      </c>
      <c r="J79" s="139">
        <f>I79-MIN($I$9:I78)</f>
        <v>37936360.00000006</v>
      </c>
    </row>
    <row r="80" spans="1:10">
      <c r="A80" s="73">
        <v>45118</v>
      </c>
      <c r="B80">
        <v>4.22</v>
      </c>
      <c r="C80">
        <v>13</v>
      </c>
      <c r="D80">
        <v>55.59</v>
      </c>
      <c r="E80">
        <v>527</v>
      </c>
      <c r="F80">
        <v>1039</v>
      </c>
      <c r="G80">
        <v>2584</v>
      </c>
      <c r="H80">
        <v>4744</v>
      </c>
      <c r="I80" s="122">
        <f t="shared" si="1"/>
        <v>409329800.00000006</v>
      </c>
      <c r="J80" s="139">
        <f>I80-MIN($I$9:I79)</f>
        <v>42650960.00000006</v>
      </c>
    </row>
    <row r="81" spans="1:10">
      <c r="A81" s="73">
        <v>45119</v>
      </c>
      <c r="B81">
        <v>4.17</v>
      </c>
      <c r="C81">
        <v>14.08</v>
      </c>
      <c r="D81">
        <v>53.64</v>
      </c>
      <c r="E81">
        <v>524.70000000000005</v>
      </c>
      <c r="F81">
        <v>1000</v>
      </c>
      <c r="G81">
        <v>2584</v>
      </c>
      <c r="H81">
        <v>4778</v>
      </c>
      <c r="I81" s="122">
        <f t="shared" si="1"/>
        <v>410940200.00000006</v>
      </c>
      <c r="J81" s="139">
        <f>I81-MIN($I$9:I80)</f>
        <v>44261360.00000006</v>
      </c>
    </row>
    <row r="82" spans="1:10">
      <c r="A82" s="73">
        <v>45120</v>
      </c>
      <c r="B82">
        <v>4.25</v>
      </c>
      <c r="C82">
        <v>13.19</v>
      </c>
      <c r="D82">
        <v>53.61</v>
      </c>
      <c r="E82">
        <v>506.7</v>
      </c>
      <c r="F82">
        <v>992</v>
      </c>
      <c r="G82">
        <v>2513</v>
      </c>
      <c r="H82">
        <v>4761</v>
      </c>
      <c r="I82" s="122">
        <f t="shared" si="1"/>
        <v>399158100.00000006</v>
      </c>
      <c r="J82" s="139">
        <f>I82-MIN($I$9:I81)</f>
        <v>32479260.00000006</v>
      </c>
    </row>
    <row r="83" spans="1:10">
      <c r="A83" s="73">
        <v>45121</v>
      </c>
      <c r="B83">
        <v>4.1900000000000004</v>
      </c>
      <c r="C83">
        <v>13.55</v>
      </c>
      <c r="D83">
        <v>55.48</v>
      </c>
      <c r="E83">
        <v>505</v>
      </c>
      <c r="F83">
        <v>991</v>
      </c>
      <c r="G83">
        <v>2499</v>
      </c>
      <c r="H83">
        <v>4818</v>
      </c>
      <c r="I83" s="122">
        <f t="shared" si="1"/>
        <v>400782800.00000006</v>
      </c>
      <c r="J83" s="139">
        <f>I83-MIN($I$9:I82)</f>
        <v>34103960.00000006</v>
      </c>
    </row>
    <row r="84" spans="1:10">
      <c r="A84" s="73">
        <v>45122</v>
      </c>
      <c r="B84">
        <v>4.2699999999999996</v>
      </c>
      <c r="C84">
        <v>13.74</v>
      </c>
      <c r="D84">
        <v>55.64</v>
      </c>
      <c r="E84">
        <v>507.1</v>
      </c>
      <c r="F84">
        <v>980</v>
      </c>
      <c r="G84">
        <v>2478</v>
      </c>
      <c r="H84">
        <v>4973</v>
      </c>
      <c r="I84" s="122">
        <f t="shared" si="1"/>
        <v>403580100.00000006</v>
      </c>
      <c r="J84" s="139">
        <f>I84-MIN($I$9:I83)</f>
        <v>36901260.00000006</v>
      </c>
    </row>
    <row r="85" spans="1:10">
      <c r="A85" s="73">
        <v>45123</v>
      </c>
      <c r="B85">
        <v>4.2</v>
      </c>
      <c r="C85">
        <v>13.28</v>
      </c>
      <c r="D85">
        <v>56.07</v>
      </c>
      <c r="E85">
        <v>530</v>
      </c>
      <c r="F85">
        <v>976.4</v>
      </c>
      <c r="G85">
        <v>2544</v>
      </c>
      <c r="H85">
        <v>5387</v>
      </c>
      <c r="I85" s="122">
        <f t="shared" si="1"/>
        <v>413054180.00000006</v>
      </c>
      <c r="J85" s="139">
        <f>I85-MIN($I$9:I84)</f>
        <v>46375340.00000006</v>
      </c>
    </row>
    <row r="86" spans="1:10">
      <c r="A86" s="73">
        <v>45124</v>
      </c>
      <c r="B86">
        <v>4.0999999999999996</v>
      </c>
      <c r="C86">
        <v>12.82</v>
      </c>
      <c r="D86">
        <v>54.43</v>
      </c>
      <c r="E86">
        <v>547.70000000000005</v>
      </c>
      <c r="F86">
        <v>971</v>
      </c>
      <c r="G86">
        <v>2498</v>
      </c>
      <c r="H86">
        <v>5295</v>
      </c>
      <c r="I86" s="122">
        <f t="shared" si="1"/>
        <v>416177300.00000006</v>
      </c>
      <c r="J86" s="139">
        <f>I86-MIN($I$9:I85)</f>
        <v>49498460.00000006</v>
      </c>
    </row>
    <row r="87" spans="1:10">
      <c r="A87" s="73">
        <v>45125</v>
      </c>
      <c r="B87">
        <v>4.04</v>
      </c>
      <c r="C87">
        <v>12.02</v>
      </c>
      <c r="D87">
        <v>54.48</v>
      </c>
      <c r="E87">
        <v>520.4</v>
      </c>
      <c r="F87">
        <v>968.3</v>
      </c>
      <c r="G87">
        <v>2495</v>
      </c>
      <c r="H87">
        <v>5222</v>
      </c>
      <c r="I87" s="122">
        <f t="shared" si="1"/>
        <v>399853960.00000006</v>
      </c>
      <c r="J87" s="139">
        <f>I87-MIN($I$9:I86)</f>
        <v>33175120.00000006</v>
      </c>
    </row>
    <row r="88" spans="1:10">
      <c r="A88" s="73">
        <v>45126</v>
      </c>
      <c r="B88">
        <v>4.0999999999999996</v>
      </c>
      <c r="C88">
        <v>12.16</v>
      </c>
      <c r="D88">
        <v>54.42</v>
      </c>
      <c r="E88">
        <v>534.9</v>
      </c>
      <c r="F88">
        <v>968.6</v>
      </c>
      <c r="G88">
        <v>2482</v>
      </c>
      <c r="H88">
        <v>5219</v>
      </c>
      <c r="I88" s="122">
        <f t="shared" si="1"/>
        <v>407246620.00000006</v>
      </c>
      <c r="J88" s="139">
        <f>I88-MIN($I$9:I87)</f>
        <v>40567780.00000006</v>
      </c>
    </row>
    <row r="89" spans="1:10">
      <c r="A89" s="73">
        <v>45127</v>
      </c>
      <c r="B89">
        <v>4.09</v>
      </c>
      <c r="C89">
        <v>12.41</v>
      </c>
      <c r="D89">
        <v>53.95</v>
      </c>
      <c r="E89">
        <v>520.29999999999995</v>
      </c>
      <c r="F89">
        <v>967.8</v>
      </c>
      <c r="G89">
        <v>2478</v>
      </c>
      <c r="H89">
        <v>5115</v>
      </c>
      <c r="I89" s="122">
        <f t="shared" si="1"/>
        <v>401144260.00000006</v>
      </c>
      <c r="J89" s="139">
        <f>I89-MIN($I$9:I88)</f>
        <v>34465420.00000006</v>
      </c>
    </row>
    <row r="90" spans="1:10">
      <c r="A90" s="73">
        <v>45128</v>
      </c>
      <c r="B90">
        <v>4.08</v>
      </c>
      <c r="C90">
        <v>11.21</v>
      </c>
      <c r="D90">
        <v>49.72</v>
      </c>
      <c r="E90">
        <v>498.6</v>
      </c>
      <c r="F90">
        <v>963</v>
      </c>
      <c r="G90">
        <v>2476</v>
      </c>
      <c r="H90">
        <v>5110</v>
      </c>
      <c r="I90" s="122">
        <f t="shared" si="1"/>
        <v>383343400.00000006</v>
      </c>
      <c r="J90" s="139">
        <f>I90-MIN($I$9:I89)</f>
        <v>16664560.00000006</v>
      </c>
    </row>
    <row r="91" spans="1:10">
      <c r="A91" s="73">
        <v>45129</v>
      </c>
      <c r="B91">
        <v>4.09</v>
      </c>
      <c r="C91">
        <v>12.18</v>
      </c>
      <c r="D91">
        <v>52.43</v>
      </c>
      <c r="E91">
        <v>520.1</v>
      </c>
      <c r="F91">
        <v>963.9</v>
      </c>
      <c r="G91">
        <v>2492</v>
      </c>
      <c r="H91">
        <v>5099</v>
      </c>
      <c r="I91" s="122">
        <f t="shared" si="1"/>
        <v>399029180.00000006</v>
      </c>
      <c r="J91" s="139">
        <f>I91-MIN($I$9:I90)</f>
        <v>32350340.00000006</v>
      </c>
    </row>
    <row r="92" spans="1:10">
      <c r="A92" s="73">
        <v>45130</v>
      </c>
      <c r="B92">
        <v>4.09</v>
      </c>
      <c r="C92">
        <v>12.05</v>
      </c>
      <c r="D92">
        <v>53.91</v>
      </c>
      <c r="E92">
        <v>510.9</v>
      </c>
      <c r="F92">
        <v>965.1</v>
      </c>
      <c r="G92">
        <v>2499</v>
      </c>
      <c r="H92">
        <v>5099</v>
      </c>
      <c r="I92" s="122">
        <f t="shared" si="1"/>
        <v>395448020.00000006</v>
      </c>
      <c r="J92" s="139">
        <f>I92-MIN($I$9:I91)</f>
        <v>28769180.00000006</v>
      </c>
    </row>
    <row r="93" spans="1:10">
      <c r="A93" s="73">
        <v>45131</v>
      </c>
      <c r="B93">
        <v>4.08</v>
      </c>
      <c r="C93">
        <v>12.1</v>
      </c>
      <c r="D93">
        <v>51.94</v>
      </c>
      <c r="E93">
        <v>516.9</v>
      </c>
      <c r="F93">
        <v>971.3</v>
      </c>
      <c r="G93">
        <v>2579</v>
      </c>
      <c r="H93">
        <v>5094</v>
      </c>
      <c r="I93" s="122">
        <f t="shared" si="1"/>
        <v>397513160.00000006</v>
      </c>
      <c r="J93" s="139">
        <f>I93-MIN($I$9:I92)</f>
        <v>30834320.00000006</v>
      </c>
    </row>
    <row r="94" spans="1:10">
      <c r="A94" s="73">
        <v>45132</v>
      </c>
      <c r="B94">
        <v>4.07</v>
      </c>
      <c r="C94">
        <v>12.07</v>
      </c>
      <c r="D94">
        <v>53.49</v>
      </c>
      <c r="E94">
        <v>514.79999999999995</v>
      </c>
      <c r="F94">
        <v>969.9</v>
      </c>
      <c r="G94">
        <v>2440</v>
      </c>
      <c r="H94">
        <v>4992</v>
      </c>
      <c r="I94" s="122">
        <f t="shared" si="1"/>
        <v>396119680.00000006</v>
      </c>
      <c r="J94" s="139">
        <f>I94-MIN($I$9:I93)</f>
        <v>29440840.00000006</v>
      </c>
    </row>
    <row r="95" spans="1:10">
      <c r="A95" s="73">
        <v>45133</v>
      </c>
      <c r="B95">
        <v>4.1500000000000004</v>
      </c>
      <c r="C95">
        <v>12.01</v>
      </c>
      <c r="D95">
        <v>51.77</v>
      </c>
      <c r="E95">
        <v>526</v>
      </c>
      <c r="F95">
        <v>967.9</v>
      </c>
      <c r="G95">
        <v>2439</v>
      </c>
      <c r="H95">
        <v>5068</v>
      </c>
      <c r="I95" s="122">
        <f t="shared" si="1"/>
        <v>400570280.00000006</v>
      </c>
      <c r="J95" s="139">
        <f>I95-MIN($I$9:I94)</f>
        <v>33891440.00000006</v>
      </c>
    </row>
    <row r="96" spans="1:10">
      <c r="A96" s="73">
        <v>45134</v>
      </c>
      <c r="B96">
        <v>4.1500000000000004</v>
      </c>
      <c r="C96">
        <v>11.79</v>
      </c>
      <c r="D96">
        <v>52.52</v>
      </c>
      <c r="E96">
        <v>508.8</v>
      </c>
      <c r="F96">
        <v>967.9</v>
      </c>
      <c r="G96">
        <v>2400</v>
      </c>
      <c r="H96">
        <v>4904</v>
      </c>
      <c r="I96" s="122">
        <f t="shared" si="1"/>
        <v>391730680.00000006</v>
      </c>
      <c r="J96" s="139">
        <f>I96-MIN($I$9:I95)</f>
        <v>25051840.00000006</v>
      </c>
    </row>
    <row r="97" spans="1:10">
      <c r="A97" s="73">
        <v>45135</v>
      </c>
      <c r="B97">
        <v>4.0999999999999996</v>
      </c>
      <c r="C97">
        <v>11.63</v>
      </c>
      <c r="D97">
        <v>50.99</v>
      </c>
      <c r="E97">
        <v>515</v>
      </c>
      <c r="F97">
        <v>967.7</v>
      </c>
      <c r="G97">
        <v>2389</v>
      </c>
      <c r="H97">
        <v>5071</v>
      </c>
      <c r="I97" s="122">
        <f t="shared" si="1"/>
        <v>392780740.00000006</v>
      </c>
      <c r="J97" s="139">
        <f>I97-MIN($I$9:I96)</f>
        <v>26101900.00000006</v>
      </c>
    </row>
    <row r="98" spans="1:10">
      <c r="A98" s="73">
        <v>45136</v>
      </c>
      <c r="B98">
        <v>3.99</v>
      </c>
      <c r="C98">
        <v>11.97</v>
      </c>
      <c r="D98">
        <v>51.99</v>
      </c>
      <c r="E98">
        <v>511.8</v>
      </c>
      <c r="F98">
        <v>969</v>
      </c>
      <c r="G98">
        <v>2355</v>
      </c>
      <c r="H98">
        <v>5089</v>
      </c>
      <c r="I98" s="122">
        <f t="shared" si="1"/>
        <v>392412900.00000006</v>
      </c>
      <c r="J98" s="139">
        <f>I98-MIN($I$9:I97)</f>
        <v>25734060.00000006</v>
      </c>
    </row>
    <row r="99" spans="1:10">
      <c r="A99" s="73">
        <v>45137</v>
      </c>
      <c r="B99">
        <v>4.07</v>
      </c>
      <c r="C99">
        <v>11.26</v>
      </c>
      <c r="D99">
        <v>52</v>
      </c>
      <c r="E99">
        <v>513.1</v>
      </c>
      <c r="F99">
        <v>977.1</v>
      </c>
      <c r="G99">
        <v>2355</v>
      </c>
      <c r="H99">
        <v>5098</v>
      </c>
      <c r="I99" s="122">
        <f t="shared" si="1"/>
        <v>390708120.00000006</v>
      </c>
      <c r="J99" s="139">
        <f>I99-MIN($I$9:I98)</f>
        <v>24029280.00000006</v>
      </c>
    </row>
    <row r="100" spans="1:10">
      <c r="A100" s="73">
        <v>45138</v>
      </c>
      <c r="B100">
        <v>4.07</v>
      </c>
      <c r="C100">
        <v>11.84</v>
      </c>
      <c r="D100">
        <v>52.8</v>
      </c>
      <c r="E100">
        <v>503.4</v>
      </c>
      <c r="F100">
        <v>999</v>
      </c>
      <c r="G100">
        <v>2177</v>
      </c>
      <c r="H100">
        <v>5165</v>
      </c>
      <c r="I100" s="122">
        <f t="shared" si="1"/>
        <v>388855500.00000006</v>
      </c>
      <c r="J100" s="139">
        <f>I100-MIN($I$9:I99)</f>
        <v>22176660.00000006</v>
      </c>
    </row>
    <row r="101" spans="1:10">
      <c r="A101" s="73">
        <v>45139</v>
      </c>
      <c r="B101">
        <v>4.0999999999999996</v>
      </c>
      <c r="C101">
        <v>11.74</v>
      </c>
      <c r="D101">
        <v>52.9</v>
      </c>
      <c r="E101">
        <v>487.3</v>
      </c>
      <c r="F101">
        <v>1006</v>
      </c>
      <c r="G101">
        <v>2197</v>
      </c>
      <c r="H101">
        <v>5097</v>
      </c>
      <c r="I101" s="122">
        <f t="shared" si="1"/>
        <v>381661500.00000006</v>
      </c>
      <c r="J101" s="139">
        <f>I101-MIN($I$9:I100)</f>
        <v>14982660.00000006</v>
      </c>
    </row>
    <row r="102" spans="1:10">
      <c r="A102" s="73">
        <v>45140</v>
      </c>
      <c r="B102">
        <v>4.13</v>
      </c>
      <c r="C102">
        <v>11.79</v>
      </c>
      <c r="D102">
        <v>52.8</v>
      </c>
      <c r="E102">
        <v>502.3</v>
      </c>
      <c r="F102">
        <v>1016</v>
      </c>
      <c r="G102">
        <v>2199</v>
      </c>
      <c r="H102">
        <v>5185</v>
      </c>
      <c r="I102" s="122">
        <f t="shared" si="1"/>
        <v>389115100.00000006</v>
      </c>
      <c r="J102" s="139">
        <f>I102-MIN($I$9:I101)</f>
        <v>22436260.00000006</v>
      </c>
    </row>
    <row r="103" spans="1:10">
      <c r="A103" s="73">
        <v>45141</v>
      </c>
      <c r="B103">
        <v>4.16</v>
      </c>
      <c r="C103">
        <v>11.92</v>
      </c>
      <c r="D103">
        <v>52.92</v>
      </c>
      <c r="E103">
        <v>487.6</v>
      </c>
      <c r="F103">
        <v>1012</v>
      </c>
      <c r="G103">
        <v>2297</v>
      </c>
      <c r="H103">
        <v>5227</v>
      </c>
      <c r="I103" s="122">
        <f t="shared" si="1"/>
        <v>384294900.00000006</v>
      </c>
      <c r="J103" s="139">
        <f>I103-MIN($I$9:I102)</f>
        <v>17616060.00000006</v>
      </c>
    </row>
    <row r="104" spans="1:10">
      <c r="A104" s="73">
        <v>45142</v>
      </c>
      <c r="B104">
        <v>4.17</v>
      </c>
      <c r="C104">
        <v>11.86</v>
      </c>
      <c r="D104">
        <v>52.61</v>
      </c>
      <c r="E104">
        <v>493.7</v>
      </c>
      <c r="F104">
        <v>1004</v>
      </c>
      <c r="G104">
        <v>2291</v>
      </c>
      <c r="H104">
        <v>5226</v>
      </c>
      <c r="I104" s="122">
        <f t="shared" si="1"/>
        <v>386449800.00000006</v>
      </c>
      <c r="J104" s="139">
        <f>I104-MIN($I$9:I103)</f>
        <v>19770960.00000006</v>
      </c>
    </row>
    <row r="105" spans="1:10">
      <c r="A105" s="73">
        <v>45143</v>
      </c>
      <c r="B105">
        <v>4.1900000000000004</v>
      </c>
      <c r="C105">
        <v>11.84</v>
      </c>
      <c r="D105">
        <v>52.51</v>
      </c>
      <c r="E105">
        <v>498.4</v>
      </c>
      <c r="F105">
        <v>1004</v>
      </c>
      <c r="G105">
        <v>2288</v>
      </c>
      <c r="H105">
        <v>5210</v>
      </c>
      <c r="I105" s="122">
        <f t="shared" si="1"/>
        <v>388467200.00000006</v>
      </c>
      <c r="J105" s="139">
        <f>I105-MIN($I$9:I104)</f>
        <v>21788360.00000006</v>
      </c>
    </row>
    <row r="106" spans="1:10">
      <c r="A106" s="73">
        <v>45144</v>
      </c>
      <c r="B106">
        <v>4.2</v>
      </c>
      <c r="C106">
        <v>11.86</v>
      </c>
      <c r="D106">
        <v>52.76</v>
      </c>
      <c r="E106">
        <v>502.4</v>
      </c>
      <c r="F106">
        <v>1089</v>
      </c>
      <c r="G106">
        <v>2378</v>
      </c>
      <c r="H106">
        <v>5215</v>
      </c>
      <c r="I106" s="122">
        <f t="shared" si="1"/>
        <v>392300700.00000006</v>
      </c>
      <c r="J106" s="139">
        <f>I106-MIN($I$9:I105)</f>
        <v>25621860.00000006</v>
      </c>
    </row>
    <row r="107" spans="1:10">
      <c r="A107" s="73">
        <v>45145</v>
      </c>
      <c r="B107">
        <v>4.1399999999999997</v>
      </c>
      <c r="C107">
        <v>11.82</v>
      </c>
      <c r="D107">
        <v>52.99</v>
      </c>
      <c r="E107">
        <v>500.7</v>
      </c>
      <c r="F107">
        <v>1237</v>
      </c>
      <c r="G107">
        <v>2398</v>
      </c>
      <c r="H107">
        <v>5266</v>
      </c>
      <c r="I107" s="122">
        <f t="shared" si="1"/>
        <v>393254400.00000006</v>
      </c>
      <c r="J107" s="139">
        <f>I107-MIN($I$9:I106)</f>
        <v>26575560.00000006</v>
      </c>
    </row>
    <row r="108" spans="1:10">
      <c r="A108" s="73">
        <v>45146</v>
      </c>
      <c r="B108">
        <v>4.2</v>
      </c>
      <c r="C108">
        <v>11.78</v>
      </c>
      <c r="D108">
        <v>53.05</v>
      </c>
      <c r="E108">
        <v>500.2</v>
      </c>
      <c r="F108">
        <v>1142</v>
      </c>
      <c r="G108">
        <v>2398</v>
      </c>
      <c r="H108">
        <v>5256</v>
      </c>
      <c r="I108" s="122">
        <f t="shared" si="1"/>
        <v>392139000.00000006</v>
      </c>
      <c r="J108" s="139">
        <f>I108-MIN($I$9:I107)</f>
        <v>25460160.00000006</v>
      </c>
    </row>
    <row r="109" spans="1:10">
      <c r="A109" s="73">
        <v>45147</v>
      </c>
      <c r="B109">
        <v>4.13</v>
      </c>
      <c r="C109">
        <v>11.21</v>
      </c>
      <c r="D109">
        <v>49.2</v>
      </c>
      <c r="E109">
        <v>487</v>
      </c>
      <c r="F109">
        <v>1007</v>
      </c>
      <c r="G109">
        <v>2215</v>
      </c>
      <c r="H109">
        <v>5190</v>
      </c>
      <c r="I109" s="122">
        <f t="shared" si="1"/>
        <v>377458400.00000006</v>
      </c>
      <c r="J109" s="139">
        <f>I109-MIN($I$9:I108)</f>
        <v>10779560.00000006</v>
      </c>
    </row>
    <row r="110" spans="1:10">
      <c r="A110" s="73">
        <v>45148</v>
      </c>
      <c r="B110">
        <v>4.18</v>
      </c>
      <c r="C110">
        <v>11.21</v>
      </c>
      <c r="D110">
        <v>50.92</v>
      </c>
      <c r="E110">
        <v>489.2</v>
      </c>
      <c r="F110">
        <v>1030</v>
      </c>
      <c r="G110">
        <v>2294</v>
      </c>
      <c r="H110">
        <v>5198</v>
      </c>
      <c r="I110" s="122">
        <f t="shared" si="1"/>
        <v>380853000.00000006</v>
      </c>
      <c r="J110" s="139">
        <f>I110-MIN($I$9:I109)</f>
        <v>14174160.00000006</v>
      </c>
    </row>
    <row r="111" spans="1:10">
      <c r="A111" s="73">
        <v>45149</v>
      </c>
      <c r="B111">
        <v>4.2</v>
      </c>
      <c r="C111">
        <v>11.14</v>
      </c>
      <c r="D111">
        <v>50.69</v>
      </c>
      <c r="E111">
        <v>489.5</v>
      </c>
      <c r="F111">
        <v>1022</v>
      </c>
      <c r="G111">
        <v>2270</v>
      </c>
      <c r="H111">
        <v>5206</v>
      </c>
      <c r="I111" s="122">
        <f t="shared" si="1"/>
        <v>380463600.00000006</v>
      </c>
      <c r="J111" s="139">
        <f>I111-MIN($I$9:I110)</f>
        <v>13784760.00000006</v>
      </c>
    </row>
    <row r="112" spans="1:10">
      <c r="A112" s="73">
        <v>45150</v>
      </c>
      <c r="B112">
        <v>4.4000000000000004</v>
      </c>
      <c r="C112">
        <v>11.09</v>
      </c>
      <c r="D112">
        <v>51.28</v>
      </c>
      <c r="E112">
        <v>490.9</v>
      </c>
      <c r="F112">
        <v>1019</v>
      </c>
      <c r="G112">
        <v>2249</v>
      </c>
      <c r="H112">
        <v>5267</v>
      </c>
      <c r="I112" s="122">
        <f t="shared" si="1"/>
        <v>383032100.00000006</v>
      </c>
      <c r="J112" s="139">
        <f>I112-MIN($I$9:I111)</f>
        <v>16353260.00000006</v>
      </c>
    </row>
    <row r="113" spans="1:10">
      <c r="A113" s="73">
        <v>45151</v>
      </c>
      <c r="B113">
        <v>4.53</v>
      </c>
      <c r="C113">
        <v>11.3</v>
      </c>
      <c r="D113">
        <v>51.31</v>
      </c>
      <c r="E113">
        <v>512</v>
      </c>
      <c r="F113">
        <v>1013</v>
      </c>
      <c r="G113">
        <v>2257</v>
      </c>
      <c r="H113">
        <v>5273</v>
      </c>
      <c r="I113" s="122">
        <f t="shared" si="1"/>
        <v>394397300.00000006</v>
      </c>
      <c r="J113" s="139">
        <f>I113-MIN($I$9:I112)</f>
        <v>27718460.00000006</v>
      </c>
    </row>
    <row r="114" spans="1:10">
      <c r="A114" s="73">
        <v>45152</v>
      </c>
      <c r="B114">
        <v>4.54</v>
      </c>
      <c r="C114">
        <v>11.32</v>
      </c>
      <c r="D114">
        <v>49.15</v>
      </c>
      <c r="E114">
        <v>512.9</v>
      </c>
      <c r="F114">
        <v>1005</v>
      </c>
      <c r="G114">
        <v>2245</v>
      </c>
      <c r="H114">
        <v>5351</v>
      </c>
      <c r="I114" s="122">
        <f t="shared" si="1"/>
        <v>393616300.00000006</v>
      </c>
      <c r="J114" s="139">
        <f>I114-MIN($I$9:I113)</f>
        <v>26937460.00000006</v>
      </c>
    </row>
    <row r="115" spans="1:10">
      <c r="A115" s="73">
        <v>45153</v>
      </c>
      <c r="B115">
        <v>4.3899999999999997</v>
      </c>
      <c r="C115">
        <v>10.99</v>
      </c>
      <c r="D115">
        <v>50.95</v>
      </c>
      <c r="E115">
        <v>504.4</v>
      </c>
      <c r="F115">
        <v>999.9</v>
      </c>
      <c r="G115">
        <v>2249</v>
      </c>
      <c r="H115">
        <v>5398</v>
      </c>
      <c r="I115" s="122">
        <f t="shared" si="1"/>
        <v>388406480.00000006</v>
      </c>
      <c r="J115" s="139">
        <f>I115-MIN($I$9:I114)</f>
        <v>21727640.00000006</v>
      </c>
    </row>
    <row r="116" spans="1:10">
      <c r="A116" s="73">
        <v>45154</v>
      </c>
      <c r="B116">
        <v>4.34</v>
      </c>
      <c r="C116">
        <v>11.44</v>
      </c>
      <c r="D116">
        <v>50.98</v>
      </c>
      <c r="E116">
        <v>503.3</v>
      </c>
      <c r="F116">
        <v>1000</v>
      </c>
      <c r="G116">
        <v>2255</v>
      </c>
      <c r="H116">
        <v>5497</v>
      </c>
      <c r="I116" s="122">
        <f t="shared" si="1"/>
        <v>389849900.00000006</v>
      </c>
      <c r="J116" s="139">
        <f>I116-MIN($I$9:I115)</f>
        <v>23171060.00000006</v>
      </c>
    </row>
    <row r="117" spans="1:10">
      <c r="A117" s="73">
        <v>45155</v>
      </c>
      <c r="B117">
        <v>4.3899999999999997</v>
      </c>
      <c r="C117">
        <v>11.55</v>
      </c>
      <c r="D117">
        <v>50.63</v>
      </c>
      <c r="E117">
        <v>504.5</v>
      </c>
      <c r="F117">
        <v>1004</v>
      </c>
      <c r="G117">
        <v>2249</v>
      </c>
      <c r="H117">
        <v>5554</v>
      </c>
      <c r="I117" s="122">
        <f t="shared" si="1"/>
        <v>391272200.00000006</v>
      </c>
      <c r="J117" s="139">
        <f>I117-MIN($I$9:I116)</f>
        <v>24593360.00000006</v>
      </c>
    </row>
    <row r="118" spans="1:10">
      <c r="A118" s="73">
        <v>45156</v>
      </c>
      <c r="B118">
        <v>4.33</v>
      </c>
      <c r="C118">
        <v>11.49</v>
      </c>
      <c r="D118">
        <v>50.99</v>
      </c>
      <c r="E118">
        <v>509.7</v>
      </c>
      <c r="F118">
        <v>999.7</v>
      </c>
      <c r="G118">
        <v>2243</v>
      </c>
      <c r="H118">
        <v>5684</v>
      </c>
      <c r="I118" s="122">
        <f t="shared" si="1"/>
        <v>393338440.00000006</v>
      </c>
      <c r="J118" s="139">
        <f>I118-MIN($I$9:I117)</f>
        <v>26659600.00000006</v>
      </c>
    </row>
    <row r="119" spans="1:10">
      <c r="A119" s="73">
        <v>45157</v>
      </c>
      <c r="B119">
        <v>4.29</v>
      </c>
      <c r="C119">
        <v>11.26</v>
      </c>
      <c r="D119">
        <v>50.71</v>
      </c>
      <c r="E119">
        <v>504</v>
      </c>
      <c r="F119">
        <v>999.2</v>
      </c>
      <c r="G119">
        <v>2221</v>
      </c>
      <c r="H119">
        <v>5680</v>
      </c>
      <c r="I119" s="122">
        <f t="shared" si="1"/>
        <v>389116640.00000006</v>
      </c>
      <c r="J119" s="139">
        <f>I119-MIN($I$9:I118)</f>
        <v>22437800.00000006</v>
      </c>
    </row>
    <row r="120" spans="1:10">
      <c r="A120" s="73">
        <v>45158</v>
      </c>
      <c r="B120">
        <v>4.29</v>
      </c>
      <c r="C120">
        <v>11.28</v>
      </c>
      <c r="D120">
        <v>49.99</v>
      </c>
      <c r="E120">
        <v>488.2</v>
      </c>
      <c r="F120">
        <v>974.3</v>
      </c>
      <c r="G120">
        <v>2169</v>
      </c>
      <c r="H120">
        <v>5534</v>
      </c>
      <c r="I120" s="122">
        <f t="shared" si="1"/>
        <v>380623760.00000006</v>
      </c>
      <c r="J120" s="139">
        <f>I120-MIN($I$9:I119)</f>
        <v>13944920.00000006</v>
      </c>
    </row>
    <row r="121" spans="1:10">
      <c r="A121" s="73">
        <v>45159</v>
      </c>
      <c r="B121">
        <v>4.29</v>
      </c>
      <c r="C121">
        <v>11.36</v>
      </c>
      <c r="D121">
        <v>50.67</v>
      </c>
      <c r="E121">
        <v>505.3</v>
      </c>
      <c r="F121">
        <v>883.1</v>
      </c>
      <c r="G121">
        <v>2050</v>
      </c>
      <c r="H121">
        <v>5408</v>
      </c>
      <c r="I121" s="122">
        <f t="shared" si="1"/>
        <v>386543520.00000006</v>
      </c>
      <c r="J121" s="139">
        <f>I121-MIN($I$9:I120)</f>
        <v>19864680.00000006</v>
      </c>
    </row>
    <row r="122" spans="1:10">
      <c r="A122" s="73">
        <v>45160</v>
      </c>
      <c r="B122">
        <v>4.26</v>
      </c>
      <c r="C122">
        <v>10.77</v>
      </c>
      <c r="D122">
        <v>48.29</v>
      </c>
      <c r="E122">
        <v>493.5</v>
      </c>
      <c r="F122">
        <v>984.6</v>
      </c>
      <c r="G122">
        <v>2084</v>
      </c>
      <c r="H122">
        <v>5387</v>
      </c>
      <c r="I122" s="122">
        <f t="shared" si="1"/>
        <v>378415620.00000006</v>
      </c>
      <c r="J122" s="139">
        <f>I122-MIN($I$9:I121)</f>
        <v>11736780.00000006</v>
      </c>
    </row>
    <row r="123" spans="1:10">
      <c r="A123" s="73">
        <v>45161</v>
      </c>
      <c r="B123">
        <v>4.2699999999999996</v>
      </c>
      <c r="C123">
        <v>10.45</v>
      </c>
      <c r="D123">
        <v>47.14</v>
      </c>
      <c r="E123">
        <v>498.7</v>
      </c>
      <c r="F123">
        <v>987.5</v>
      </c>
      <c r="G123">
        <v>2063</v>
      </c>
      <c r="H123">
        <v>5371</v>
      </c>
      <c r="I123" s="122">
        <f t="shared" si="1"/>
        <v>378471500.00000006</v>
      </c>
      <c r="J123" s="139">
        <f>I123-MIN($I$9:I122)</f>
        <v>11792660.00000006</v>
      </c>
    </row>
    <row r="124" spans="1:10">
      <c r="A124" s="73">
        <v>45162</v>
      </c>
      <c r="B124">
        <v>4.34</v>
      </c>
      <c r="C124">
        <v>11.29</v>
      </c>
      <c r="D124">
        <v>50.32</v>
      </c>
      <c r="E124">
        <v>495.1</v>
      </c>
      <c r="F124">
        <v>987.8</v>
      </c>
      <c r="G124">
        <v>2097</v>
      </c>
      <c r="H124">
        <v>5291</v>
      </c>
      <c r="I124" s="122">
        <f t="shared" si="1"/>
        <v>383262660.00000006</v>
      </c>
      <c r="J124" s="139">
        <f>I124-MIN($I$9:I123)</f>
        <v>16583820.00000006</v>
      </c>
    </row>
    <row r="125" spans="1:10">
      <c r="A125" s="73">
        <v>45163</v>
      </c>
      <c r="B125">
        <v>4.34</v>
      </c>
      <c r="C125">
        <v>11.18</v>
      </c>
      <c r="D125">
        <v>50.13</v>
      </c>
      <c r="E125">
        <v>474.9</v>
      </c>
      <c r="F125">
        <v>995.7</v>
      </c>
      <c r="G125">
        <v>2152</v>
      </c>
      <c r="H125">
        <v>5114</v>
      </c>
      <c r="I125" s="122">
        <f t="shared" si="1"/>
        <v>373648440.00000006</v>
      </c>
      <c r="J125" s="139">
        <f>I125-MIN($I$9:I124)</f>
        <v>6969600.0000000596</v>
      </c>
    </row>
    <row r="126" spans="1:10">
      <c r="A126" s="73">
        <v>45164</v>
      </c>
      <c r="B126">
        <v>4.45</v>
      </c>
      <c r="C126">
        <v>11.33</v>
      </c>
      <c r="D126">
        <v>50.43</v>
      </c>
      <c r="E126">
        <v>492.9</v>
      </c>
      <c r="F126">
        <v>997.9</v>
      </c>
      <c r="G126">
        <v>2138</v>
      </c>
      <c r="H126">
        <v>5238</v>
      </c>
      <c r="I126" s="122">
        <f t="shared" si="1"/>
        <v>383740280.00000006</v>
      </c>
      <c r="J126" s="139">
        <f>I126-MIN($I$9:I125)</f>
        <v>17061440.00000006</v>
      </c>
    </row>
    <row r="127" spans="1:10">
      <c r="A127" s="73">
        <v>45165</v>
      </c>
      <c r="B127">
        <v>4.51</v>
      </c>
      <c r="C127">
        <v>10.8</v>
      </c>
      <c r="D127">
        <v>49.95</v>
      </c>
      <c r="E127">
        <v>487.7</v>
      </c>
      <c r="F127">
        <v>998.9</v>
      </c>
      <c r="G127">
        <v>2150</v>
      </c>
      <c r="H127">
        <v>5146</v>
      </c>
      <c r="I127" s="122">
        <f t="shared" si="1"/>
        <v>379120280.00000006</v>
      </c>
      <c r="J127" s="139">
        <f>I127-MIN($I$9:I126)</f>
        <v>12441440.00000006</v>
      </c>
    </row>
    <row r="128" spans="1:10">
      <c r="A128" s="73">
        <v>45166</v>
      </c>
      <c r="B128">
        <v>4.34</v>
      </c>
      <c r="C128">
        <v>10.3</v>
      </c>
      <c r="D128">
        <v>49.5</v>
      </c>
      <c r="E128">
        <v>480</v>
      </c>
      <c r="F128">
        <v>1091</v>
      </c>
      <c r="G128">
        <v>2096</v>
      </c>
      <c r="H128">
        <v>5150</v>
      </c>
      <c r="I128" s="122">
        <f t="shared" si="1"/>
        <v>372611800.00000006</v>
      </c>
      <c r="J128" s="139">
        <f>I128-MIN($I$9:I127)</f>
        <v>5932960.0000000596</v>
      </c>
    </row>
    <row r="129" spans="1:10">
      <c r="A129" s="73">
        <v>45167</v>
      </c>
      <c r="B129">
        <v>4.29</v>
      </c>
      <c r="C129">
        <v>10.7</v>
      </c>
      <c r="D129">
        <v>49.47</v>
      </c>
      <c r="E129">
        <v>482.6</v>
      </c>
      <c r="F129">
        <v>1283</v>
      </c>
      <c r="G129">
        <v>2210</v>
      </c>
      <c r="H129">
        <v>5198</v>
      </c>
      <c r="I129" s="122">
        <f t="shared" si="1"/>
        <v>378501200.00000006</v>
      </c>
      <c r="J129" s="139">
        <f>I129-MIN($I$9:I128)</f>
        <v>11822360.00000006</v>
      </c>
    </row>
    <row r="130" spans="1:10">
      <c r="A130" s="73">
        <v>45168</v>
      </c>
      <c r="B130">
        <v>4.13</v>
      </c>
      <c r="C130">
        <v>10.66</v>
      </c>
      <c r="D130">
        <v>49.25</v>
      </c>
      <c r="E130">
        <v>481.5</v>
      </c>
      <c r="F130">
        <v>1266</v>
      </c>
      <c r="G130">
        <v>2037</v>
      </c>
      <c r="H130">
        <v>5200</v>
      </c>
      <c r="I130" s="122">
        <f t="shared" si="1"/>
        <v>374928400.00000006</v>
      </c>
      <c r="J130" s="139">
        <f>I130-MIN($I$9:I129)</f>
        <v>8249560.0000000596</v>
      </c>
    </row>
    <row r="131" spans="1:10">
      <c r="A131" s="73">
        <v>45169</v>
      </c>
      <c r="B131">
        <v>4.49</v>
      </c>
      <c r="C131">
        <v>11.03</v>
      </c>
      <c r="D131">
        <v>49.54</v>
      </c>
      <c r="E131">
        <v>499.9</v>
      </c>
      <c r="F131">
        <v>1232</v>
      </c>
      <c r="G131">
        <v>2149</v>
      </c>
      <c r="H131">
        <v>5100</v>
      </c>
      <c r="I131" s="122">
        <f t="shared" si="1"/>
        <v>387972200.00000006</v>
      </c>
      <c r="J131" s="139">
        <f>I131-MIN($I$9:I130)</f>
        <v>21293360.00000006</v>
      </c>
    </row>
    <row r="132" spans="1:10">
      <c r="A132" s="73">
        <v>45172</v>
      </c>
      <c r="B132">
        <v>4.3499999999999996</v>
      </c>
      <c r="C132">
        <v>11.02</v>
      </c>
      <c r="D132">
        <v>50.42</v>
      </c>
      <c r="E132">
        <v>496.9</v>
      </c>
      <c r="F132">
        <v>1261</v>
      </c>
      <c r="G132">
        <v>2198</v>
      </c>
      <c r="H132">
        <v>5215</v>
      </c>
      <c r="I132" s="122">
        <f t="shared" si="1"/>
        <v>387042700.00000006</v>
      </c>
      <c r="J132" s="139">
        <f>I132-MIN($I$9:I131)</f>
        <v>20363860.00000006</v>
      </c>
    </row>
    <row r="133" spans="1:10">
      <c r="A133" s="73">
        <v>45173</v>
      </c>
      <c r="B133">
        <v>4.3</v>
      </c>
      <c r="C133">
        <v>10.7</v>
      </c>
      <c r="D133">
        <v>50.54</v>
      </c>
      <c r="E133">
        <v>495</v>
      </c>
      <c r="F133">
        <v>1263</v>
      </c>
      <c r="G133">
        <v>2197</v>
      </c>
      <c r="H133">
        <v>5250</v>
      </c>
      <c r="I133" s="122">
        <f t="shared" si="1"/>
        <v>384573200.00000006</v>
      </c>
      <c r="J133" s="139">
        <f>I133-MIN($I$9:I132)</f>
        <v>17894360.00000006</v>
      </c>
    </row>
    <row r="134" spans="1:10">
      <c r="A134" s="73">
        <v>45174</v>
      </c>
      <c r="B134">
        <v>4.3</v>
      </c>
      <c r="C134">
        <v>10.82</v>
      </c>
      <c r="D134">
        <v>50.26</v>
      </c>
      <c r="E134">
        <v>481.5</v>
      </c>
      <c r="F134">
        <v>1254</v>
      </c>
      <c r="G134">
        <v>2169</v>
      </c>
      <c r="H134">
        <v>5189</v>
      </c>
      <c r="I134" s="122">
        <f t="shared" si="1"/>
        <v>378471500.00000006</v>
      </c>
      <c r="J134" s="139">
        <f>I134-MIN($I$9:I133)</f>
        <v>11792660.00000006</v>
      </c>
    </row>
    <row r="135" spans="1:10">
      <c r="A135" s="73">
        <v>45175</v>
      </c>
      <c r="B135">
        <v>4.3099999999999996</v>
      </c>
      <c r="C135">
        <v>10.3</v>
      </c>
      <c r="D135">
        <v>50.25</v>
      </c>
      <c r="E135">
        <v>479.8</v>
      </c>
      <c r="F135">
        <v>1210</v>
      </c>
      <c r="G135">
        <v>2092</v>
      </c>
      <c r="H135">
        <v>5023</v>
      </c>
      <c r="I135" s="122">
        <f t="shared" si="1"/>
        <v>373880100.00000006</v>
      </c>
      <c r="J135" s="139">
        <f>I135-MIN($I$9:I134)</f>
        <v>7201260.0000000596</v>
      </c>
    </row>
    <row r="136" spans="1:10">
      <c r="A136" s="73">
        <v>45176</v>
      </c>
      <c r="B136">
        <v>4.32</v>
      </c>
      <c r="C136">
        <v>10.3</v>
      </c>
      <c r="D136">
        <v>50.24</v>
      </c>
      <c r="E136">
        <v>484.8</v>
      </c>
      <c r="F136">
        <v>1210</v>
      </c>
      <c r="G136">
        <v>2096</v>
      </c>
      <c r="H136">
        <v>4999</v>
      </c>
      <c r="I136" s="122">
        <f t="shared" si="1"/>
        <v>376108700.00000006</v>
      </c>
      <c r="J136" s="139">
        <f>I136-MIN($I$9:I135)</f>
        <v>9429860.0000000596</v>
      </c>
    </row>
    <row r="137" spans="1:10">
      <c r="A137" s="73">
        <v>45177</v>
      </c>
      <c r="B137">
        <v>4.3</v>
      </c>
      <c r="C137">
        <v>10.66</v>
      </c>
      <c r="D137">
        <v>50.1</v>
      </c>
      <c r="E137">
        <v>472</v>
      </c>
      <c r="F137">
        <v>1209</v>
      </c>
      <c r="G137">
        <v>2119</v>
      </c>
      <c r="H137">
        <v>5067</v>
      </c>
      <c r="I137" s="122">
        <f t="shared" ref="I137:I200" si="2">SUMPRODUCT($H$4:$N$4,B137:H137)*1.1</f>
        <v>372155300.00000006</v>
      </c>
      <c r="J137" s="139">
        <f>I137-MIN($I$9:I136)</f>
        <v>5476460.0000000596</v>
      </c>
    </row>
    <row r="138" spans="1:10">
      <c r="A138" s="73">
        <v>45178</v>
      </c>
      <c r="B138">
        <v>4.34</v>
      </c>
      <c r="C138">
        <v>10.38</v>
      </c>
      <c r="D138">
        <v>49</v>
      </c>
      <c r="E138">
        <v>484.3</v>
      </c>
      <c r="F138">
        <v>1296</v>
      </c>
      <c r="G138">
        <v>2064</v>
      </c>
      <c r="H138">
        <v>5050</v>
      </c>
      <c r="I138" s="122">
        <f t="shared" si="2"/>
        <v>376690600.00000006</v>
      </c>
      <c r="J138" s="139">
        <f>I138-MIN($I$9:I137)</f>
        <v>10011760.00000006</v>
      </c>
    </row>
    <row r="139" spans="1:10">
      <c r="A139" s="73">
        <v>45179</v>
      </c>
      <c r="B139">
        <v>4.28</v>
      </c>
      <c r="C139">
        <v>10.34</v>
      </c>
      <c r="D139">
        <v>49.46</v>
      </c>
      <c r="E139">
        <v>486.6</v>
      </c>
      <c r="F139">
        <v>1316</v>
      </c>
      <c r="G139">
        <v>2060</v>
      </c>
      <c r="H139">
        <v>5041</v>
      </c>
      <c r="I139" s="122">
        <f t="shared" si="2"/>
        <v>377510100.00000006</v>
      </c>
      <c r="J139" s="139">
        <f>I139-MIN($I$9:I138)</f>
        <v>10831260.00000006</v>
      </c>
    </row>
    <row r="140" spans="1:10">
      <c r="A140" s="73">
        <v>45180</v>
      </c>
      <c r="B140">
        <v>4.28</v>
      </c>
      <c r="C140">
        <v>10.47</v>
      </c>
      <c r="D140">
        <v>49.46</v>
      </c>
      <c r="E140">
        <v>486.4</v>
      </c>
      <c r="F140">
        <v>1296</v>
      </c>
      <c r="G140">
        <v>2090</v>
      </c>
      <c r="H140">
        <v>5036</v>
      </c>
      <c r="I140" s="122">
        <f t="shared" si="2"/>
        <v>377911600.00000006</v>
      </c>
      <c r="J140" s="139">
        <f>I140-MIN($I$9:I139)</f>
        <v>11232760.00000006</v>
      </c>
    </row>
    <row r="141" spans="1:10">
      <c r="A141" s="73">
        <v>45181</v>
      </c>
      <c r="B141">
        <v>4.3099999999999996</v>
      </c>
      <c r="C141">
        <v>10.46</v>
      </c>
      <c r="D141">
        <v>48.17</v>
      </c>
      <c r="E141">
        <v>463.6</v>
      </c>
      <c r="F141">
        <v>1286</v>
      </c>
      <c r="G141">
        <v>2169</v>
      </c>
      <c r="H141">
        <v>5034</v>
      </c>
      <c r="I141" s="122">
        <f t="shared" si="2"/>
        <v>367631000</v>
      </c>
      <c r="J141" s="139">
        <f>I141-MIN($I$9:I140)</f>
        <v>952160</v>
      </c>
    </row>
    <row r="142" spans="1:10">
      <c r="A142" s="73">
        <v>45182</v>
      </c>
      <c r="B142">
        <v>4.12</v>
      </c>
      <c r="C142">
        <v>10.14</v>
      </c>
      <c r="D142">
        <v>50</v>
      </c>
      <c r="E142">
        <v>471.9</v>
      </c>
      <c r="F142">
        <v>1287</v>
      </c>
      <c r="G142">
        <v>2121</v>
      </c>
      <c r="H142">
        <v>5040</v>
      </c>
      <c r="I142" s="122">
        <f t="shared" si="2"/>
        <v>369127000</v>
      </c>
      <c r="J142" s="139">
        <f>I142-MIN($I$9:I141)</f>
        <v>2448160</v>
      </c>
    </row>
    <row r="143" spans="1:10">
      <c r="A143" s="73">
        <v>45183</v>
      </c>
      <c r="B143">
        <v>4.3499999999999996</v>
      </c>
      <c r="C143">
        <v>10.37</v>
      </c>
      <c r="D143">
        <v>49.42</v>
      </c>
      <c r="E143">
        <v>468.4</v>
      </c>
      <c r="F143">
        <v>1282</v>
      </c>
      <c r="G143">
        <v>2102</v>
      </c>
      <c r="H143">
        <v>5067</v>
      </c>
      <c r="I143" s="122">
        <f t="shared" si="2"/>
        <v>370137900.00000006</v>
      </c>
      <c r="J143" s="139">
        <f>I143-MIN($I$9:I142)</f>
        <v>3459060.0000000596</v>
      </c>
    </row>
    <row r="144" spans="1:10">
      <c r="A144" s="73">
        <v>45184</v>
      </c>
      <c r="B144">
        <v>4.38</v>
      </c>
      <c r="C144">
        <v>10.36</v>
      </c>
      <c r="D144">
        <v>49.07</v>
      </c>
      <c r="E144">
        <v>466.9</v>
      </c>
      <c r="F144">
        <v>1273</v>
      </c>
      <c r="G144">
        <v>2098</v>
      </c>
      <c r="H144">
        <v>5089</v>
      </c>
      <c r="I144" s="122">
        <f t="shared" si="2"/>
        <v>369394300.00000006</v>
      </c>
      <c r="J144" s="139">
        <f>I144-MIN($I$9:I143)</f>
        <v>2715460.0000000596</v>
      </c>
    </row>
    <row r="145" spans="1:10">
      <c r="A145" s="73">
        <v>45185</v>
      </c>
      <c r="B145">
        <v>4.45</v>
      </c>
      <c r="C145">
        <v>10.35</v>
      </c>
      <c r="D145">
        <v>49</v>
      </c>
      <c r="E145">
        <v>467.1</v>
      </c>
      <c r="F145">
        <v>1258</v>
      </c>
      <c r="G145">
        <v>2096</v>
      </c>
      <c r="H145">
        <v>5150</v>
      </c>
      <c r="I145" s="122">
        <f t="shared" si="2"/>
        <v>369998200.00000006</v>
      </c>
      <c r="J145" s="139">
        <f>I145-MIN($I$9:I144)</f>
        <v>3319360.0000000596</v>
      </c>
    </row>
    <row r="146" spans="1:10">
      <c r="A146" s="73">
        <v>45186</v>
      </c>
      <c r="B146">
        <v>4.3899999999999997</v>
      </c>
      <c r="C146">
        <v>10.16</v>
      </c>
      <c r="D146">
        <v>49.28</v>
      </c>
      <c r="E146">
        <v>469</v>
      </c>
      <c r="F146">
        <v>1245</v>
      </c>
      <c r="G146">
        <v>2091</v>
      </c>
      <c r="H146">
        <v>5196</v>
      </c>
      <c r="I146" s="122">
        <f t="shared" si="2"/>
        <v>369602200.00000006</v>
      </c>
      <c r="J146" s="139">
        <f>I146-MIN($I$9:I145)</f>
        <v>2923360.0000000596</v>
      </c>
    </row>
    <row r="147" spans="1:10">
      <c r="A147" s="73">
        <v>45187</v>
      </c>
      <c r="B147">
        <v>4.3600000000000003</v>
      </c>
      <c r="C147">
        <v>10.09</v>
      </c>
      <c r="D147">
        <v>49.47</v>
      </c>
      <c r="E147">
        <v>473.2</v>
      </c>
      <c r="F147">
        <v>1247</v>
      </c>
      <c r="G147">
        <v>2030</v>
      </c>
      <c r="H147">
        <v>5050</v>
      </c>
      <c r="I147" s="122">
        <f t="shared" si="2"/>
        <v>370145600.00000006</v>
      </c>
      <c r="J147" s="139">
        <f>I147-MIN($I$9:I146)</f>
        <v>3466760.0000000596</v>
      </c>
    </row>
    <row r="148" spans="1:10">
      <c r="A148" s="73">
        <v>45188</v>
      </c>
      <c r="B148">
        <v>4.45</v>
      </c>
      <c r="C148">
        <v>10.24</v>
      </c>
      <c r="D148">
        <v>48.5</v>
      </c>
      <c r="E148">
        <v>467.8</v>
      </c>
      <c r="F148">
        <v>1251</v>
      </c>
      <c r="G148">
        <v>1997</v>
      </c>
      <c r="H148">
        <v>5174</v>
      </c>
      <c r="I148" s="122">
        <f t="shared" si="2"/>
        <v>368825600</v>
      </c>
      <c r="J148" s="139">
        <f>I148-MIN($I$9:I147)</f>
        <v>2146760</v>
      </c>
    </row>
    <row r="149" spans="1:10">
      <c r="A149" s="73">
        <v>45189</v>
      </c>
      <c r="B149">
        <v>4.49</v>
      </c>
      <c r="C149">
        <v>10.039999999999999</v>
      </c>
      <c r="D149">
        <v>50</v>
      </c>
      <c r="E149">
        <v>457.1</v>
      </c>
      <c r="F149">
        <v>1259</v>
      </c>
      <c r="G149">
        <v>2035</v>
      </c>
      <c r="H149">
        <v>5098</v>
      </c>
      <c r="I149" s="122">
        <f t="shared" si="2"/>
        <v>364685200</v>
      </c>
      <c r="J149" s="139">
        <f>I149-MIN($I$9:I148)</f>
        <v>-1993640</v>
      </c>
    </row>
    <row r="150" spans="1:10">
      <c r="A150" s="73">
        <v>45190</v>
      </c>
      <c r="B150">
        <v>4.28</v>
      </c>
      <c r="C150">
        <v>9.83</v>
      </c>
      <c r="D150">
        <v>50.31</v>
      </c>
      <c r="E150">
        <v>436</v>
      </c>
      <c r="F150">
        <v>1255</v>
      </c>
      <c r="G150">
        <v>1926</v>
      </c>
      <c r="H150">
        <v>5140</v>
      </c>
      <c r="I150" s="122">
        <f t="shared" si="2"/>
        <v>352200200</v>
      </c>
      <c r="J150" s="139">
        <f>I150-MIN($I$9:I149)</f>
        <v>-12485000</v>
      </c>
    </row>
    <row r="151" spans="1:10">
      <c r="A151" s="73">
        <v>45191</v>
      </c>
      <c r="B151">
        <v>4.22</v>
      </c>
      <c r="C151">
        <v>9.91</v>
      </c>
      <c r="D151">
        <v>52.93</v>
      </c>
      <c r="E151">
        <v>452.5</v>
      </c>
      <c r="F151">
        <v>1262</v>
      </c>
      <c r="G151">
        <v>2027</v>
      </c>
      <c r="H151">
        <v>5130</v>
      </c>
      <c r="I151" s="122">
        <f t="shared" si="2"/>
        <v>361739400</v>
      </c>
      <c r="J151" s="139">
        <f>I151-MIN($I$9:I150)</f>
        <v>9539200</v>
      </c>
    </row>
    <row r="152" spans="1:10">
      <c r="A152" s="73">
        <v>45192</v>
      </c>
      <c r="B152">
        <v>4.2</v>
      </c>
      <c r="C152">
        <v>9.8699999999999992</v>
      </c>
      <c r="D152">
        <v>52.76</v>
      </c>
      <c r="E152">
        <v>452.8</v>
      </c>
      <c r="F152">
        <v>1228</v>
      </c>
      <c r="G152">
        <v>2020</v>
      </c>
      <c r="H152">
        <v>5127</v>
      </c>
      <c r="I152" s="122">
        <f t="shared" si="2"/>
        <v>360902300</v>
      </c>
      <c r="J152" s="139">
        <f>I152-MIN($I$9:I151)</f>
        <v>8702100</v>
      </c>
    </row>
    <row r="153" spans="1:10">
      <c r="A153" s="73">
        <v>45193</v>
      </c>
      <c r="B153">
        <v>4.2300000000000004</v>
      </c>
      <c r="C153">
        <v>9.25</v>
      </c>
      <c r="D153">
        <v>52.97</v>
      </c>
      <c r="E153">
        <v>447.9</v>
      </c>
      <c r="F153">
        <v>1225</v>
      </c>
      <c r="G153">
        <v>2016</v>
      </c>
      <c r="H153">
        <v>5108</v>
      </c>
      <c r="I153" s="122">
        <f t="shared" si="2"/>
        <v>356292200</v>
      </c>
      <c r="J153" s="139">
        <f>I153-MIN($I$9:I152)</f>
        <v>4092000</v>
      </c>
    </row>
    <row r="154" spans="1:10">
      <c r="A154" s="73">
        <v>45194</v>
      </c>
      <c r="B154">
        <v>4.21</v>
      </c>
      <c r="C154">
        <v>9.3800000000000008</v>
      </c>
      <c r="D154">
        <v>50.31</v>
      </c>
      <c r="E154">
        <v>446.7</v>
      </c>
      <c r="F154">
        <v>1226</v>
      </c>
      <c r="G154">
        <v>2012</v>
      </c>
      <c r="H154">
        <v>5112</v>
      </c>
      <c r="I154" s="122">
        <f t="shared" si="2"/>
        <v>354404600</v>
      </c>
      <c r="J154" s="139">
        <f>I154-MIN($I$9:I153)</f>
        <v>2204400</v>
      </c>
    </row>
    <row r="155" spans="1:10">
      <c r="A155" s="73">
        <v>45195</v>
      </c>
      <c r="B155">
        <v>4.25</v>
      </c>
      <c r="C155">
        <v>9.91</v>
      </c>
      <c r="D155">
        <v>52.93</v>
      </c>
      <c r="E155">
        <v>450.8</v>
      </c>
      <c r="F155">
        <v>1216</v>
      </c>
      <c r="G155">
        <v>2000</v>
      </c>
      <c r="H155">
        <v>5093</v>
      </c>
      <c r="I155" s="122">
        <f t="shared" si="2"/>
        <v>360347900</v>
      </c>
      <c r="J155" s="139">
        <f>I155-MIN($I$9:I154)</f>
        <v>8147700</v>
      </c>
    </row>
    <row r="156" spans="1:10">
      <c r="A156" s="73">
        <v>45196</v>
      </c>
      <c r="B156">
        <v>4.28</v>
      </c>
      <c r="C156">
        <v>10.08</v>
      </c>
      <c r="D156">
        <v>53.46</v>
      </c>
      <c r="E156">
        <v>449.7</v>
      </c>
      <c r="F156">
        <v>1222</v>
      </c>
      <c r="G156">
        <v>1985</v>
      </c>
      <c r="H156">
        <v>5080</v>
      </c>
      <c r="I156" s="122">
        <f t="shared" si="2"/>
        <v>361163000</v>
      </c>
      <c r="J156" s="139">
        <f>I156-MIN($I$9:I155)</f>
        <v>8962800</v>
      </c>
    </row>
    <row r="157" spans="1:10">
      <c r="A157" s="73">
        <v>45197</v>
      </c>
      <c r="B157">
        <v>4.3600000000000003</v>
      </c>
      <c r="C157">
        <v>9.9600000000000009</v>
      </c>
      <c r="D157">
        <v>53.13</v>
      </c>
      <c r="E157">
        <v>451</v>
      </c>
      <c r="F157">
        <v>1237</v>
      </c>
      <c r="G157">
        <v>1937</v>
      </c>
      <c r="H157">
        <v>5075</v>
      </c>
      <c r="I157" s="122">
        <f t="shared" si="2"/>
        <v>361557900</v>
      </c>
      <c r="J157" s="139">
        <f>I157-MIN($I$9:I156)</f>
        <v>9357700</v>
      </c>
    </row>
    <row r="158" spans="1:10">
      <c r="A158" s="73">
        <v>45198</v>
      </c>
      <c r="B158">
        <v>4.28</v>
      </c>
      <c r="C158">
        <v>9.75</v>
      </c>
      <c r="D158">
        <v>52.93</v>
      </c>
      <c r="E158">
        <v>450</v>
      </c>
      <c r="F158">
        <v>1200</v>
      </c>
      <c r="G158">
        <v>1906</v>
      </c>
      <c r="H158">
        <v>5032</v>
      </c>
      <c r="I158" s="122">
        <f t="shared" si="2"/>
        <v>358523000</v>
      </c>
      <c r="J158" s="139">
        <f>I158-MIN($I$9:I157)</f>
        <v>6322800</v>
      </c>
    </row>
    <row r="159" spans="1:10">
      <c r="A159" s="73">
        <v>45199</v>
      </c>
      <c r="B159">
        <v>4.26</v>
      </c>
      <c r="C159">
        <v>9.98</v>
      </c>
      <c r="D159">
        <v>52.98</v>
      </c>
      <c r="E159">
        <v>469.5</v>
      </c>
      <c r="F159">
        <v>1201</v>
      </c>
      <c r="G159">
        <v>1900</v>
      </c>
      <c r="H159">
        <v>5034</v>
      </c>
      <c r="I159" s="122">
        <f t="shared" si="2"/>
        <v>367952200</v>
      </c>
      <c r="J159" s="139">
        <f>I159-MIN($I$9:I158)</f>
        <v>15752000</v>
      </c>
    </row>
    <row r="160" spans="1:10">
      <c r="A160" s="73">
        <v>45200</v>
      </c>
      <c r="B160">
        <v>4.28</v>
      </c>
      <c r="C160">
        <v>9.9700000000000006</v>
      </c>
      <c r="D160">
        <v>52.89</v>
      </c>
      <c r="E160">
        <v>464.9</v>
      </c>
      <c r="F160">
        <v>1197</v>
      </c>
      <c r="G160">
        <v>1900</v>
      </c>
      <c r="H160">
        <v>5016</v>
      </c>
      <c r="I160" s="122">
        <f t="shared" si="2"/>
        <v>365888600</v>
      </c>
      <c r="J160" s="139">
        <f>I160-MIN($I$9:I159)</f>
        <v>13688400</v>
      </c>
    </row>
    <row r="161" spans="1:10">
      <c r="A161" s="73">
        <v>45201</v>
      </c>
      <c r="B161">
        <v>4.25</v>
      </c>
      <c r="C161">
        <v>9.7200000000000006</v>
      </c>
      <c r="D161">
        <v>52.94</v>
      </c>
      <c r="E161">
        <v>454.7</v>
      </c>
      <c r="F161">
        <v>1209</v>
      </c>
      <c r="G161">
        <v>1985</v>
      </c>
      <c r="H161">
        <v>5000</v>
      </c>
      <c r="I161" s="122">
        <f t="shared" si="2"/>
        <v>360736200</v>
      </c>
      <c r="J161" s="139">
        <f>I161-MIN($I$9:I160)</f>
        <v>8536000</v>
      </c>
    </row>
    <row r="162" spans="1:10">
      <c r="A162" s="73">
        <v>45202</v>
      </c>
      <c r="B162">
        <v>4.3</v>
      </c>
      <c r="C162">
        <v>9.4499999999999993</v>
      </c>
      <c r="D162">
        <v>52.82</v>
      </c>
      <c r="E162">
        <v>442.6</v>
      </c>
      <c r="F162">
        <v>1198</v>
      </c>
      <c r="G162">
        <v>1900</v>
      </c>
      <c r="H162">
        <v>4986</v>
      </c>
      <c r="I162" s="122">
        <f t="shared" si="2"/>
        <v>353832600</v>
      </c>
      <c r="J162" s="139">
        <f>I162-MIN($I$9:I161)</f>
        <v>1632400</v>
      </c>
    </row>
    <row r="163" spans="1:10">
      <c r="A163" s="73">
        <v>45203</v>
      </c>
      <c r="B163">
        <v>4.04</v>
      </c>
      <c r="C163">
        <v>9.19</v>
      </c>
      <c r="D163">
        <v>51.06</v>
      </c>
      <c r="E163">
        <v>450</v>
      </c>
      <c r="F163">
        <v>1198</v>
      </c>
      <c r="G163">
        <v>1873</v>
      </c>
      <c r="H163">
        <v>4592</v>
      </c>
      <c r="I163" s="122">
        <f t="shared" si="2"/>
        <v>351016600</v>
      </c>
      <c r="J163" s="139">
        <f>I163-MIN($I$9:I162)</f>
        <v>-1183600</v>
      </c>
    </row>
    <row r="164" spans="1:10">
      <c r="A164" s="73">
        <v>45204</v>
      </c>
      <c r="B164">
        <v>4.3600000000000003</v>
      </c>
      <c r="C164">
        <v>9.94</v>
      </c>
      <c r="D164">
        <v>52.76</v>
      </c>
      <c r="E164">
        <v>462.9</v>
      </c>
      <c r="F164">
        <v>1213</v>
      </c>
      <c r="G164">
        <v>1909</v>
      </c>
      <c r="H164">
        <v>4839</v>
      </c>
      <c r="I164" s="122">
        <f t="shared" si="2"/>
        <v>365181300</v>
      </c>
      <c r="J164" s="139">
        <f>I164-MIN($I$9:I163)</f>
        <v>14164700</v>
      </c>
    </row>
    <row r="165" spans="1:10">
      <c r="A165" s="73">
        <v>45205</v>
      </c>
      <c r="B165">
        <v>4.25</v>
      </c>
      <c r="C165">
        <v>9.57</v>
      </c>
      <c r="D165">
        <v>48.13</v>
      </c>
      <c r="E165">
        <v>431.1</v>
      </c>
      <c r="F165">
        <v>1120</v>
      </c>
      <c r="G165">
        <v>1895</v>
      </c>
      <c r="H165">
        <v>4615</v>
      </c>
      <c r="I165" s="122">
        <f t="shared" si="2"/>
        <v>343478300</v>
      </c>
      <c r="J165" s="139">
        <f>I165-MIN($I$9:I164)</f>
        <v>-7538300</v>
      </c>
    </row>
    <row r="166" spans="1:10">
      <c r="A166" s="73">
        <v>45206</v>
      </c>
      <c r="B166">
        <v>4.21</v>
      </c>
      <c r="C166">
        <v>10.199999999999999</v>
      </c>
      <c r="D166">
        <v>52.96</v>
      </c>
      <c r="E166">
        <v>453.1</v>
      </c>
      <c r="F166">
        <v>1096</v>
      </c>
      <c r="G166">
        <v>1909</v>
      </c>
      <c r="H166">
        <v>4674</v>
      </c>
      <c r="I166" s="122">
        <f t="shared" si="2"/>
        <v>358736400</v>
      </c>
      <c r="J166" s="139">
        <f>I166-MIN($I$9:I165)</f>
        <v>15258100</v>
      </c>
    </row>
    <row r="167" spans="1:10">
      <c r="A167" s="73">
        <v>45207</v>
      </c>
      <c r="B167">
        <v>4.3099999999999996</v>
      </c>
      <c r="C167">
        <v>9.57</v>
      </c>
      <c r="D167">
        <v>48.58</v>
      </c>
      <c r="E167">
        <v>447.8</v>
      </c>
      <c r="F167">
        <v>1119</v>
      </c>
      <c r="G167">
        <v>1890</v>
      </c>
      <c r="H167">
        <v>4619</v>
      </c>
      <c r="I167" s="122">
        <f t="shared" si="2"/>
        <v>351618300</v>
      </c>
      <c r="J167" s="139">
        <f>I167-MIN($I$9:I166)</f>
        <v>8140000</v>
      </c>
    </row>
    <row r="168" spans="1:10">
      <c r="A168" s="73">
        <v>45208</v>
      </c>
      <c r="B168">
        <v>4.26</v>
      </c>
      <c r="C168">
        <v>9.9499999999999993</v>
      </c>
      <c r="D168">
        <v>52.18</v>
      </c>
      <c r="E168">
        <v>454.4</v>
      </c>
      <c r="F168">
        <v>1105</v>
      </c>
      <c r="G168">
        <v>1906</v>
      </c>
      <c r="H168">
        <v>4597</v>
      </c>
      <c r="I168" s="122">
        <f t="shared" si="2"/>
        <v>357978500</v>
      </c>
      <c r="J168" s="139">
        <f>I168-MIN($I$9:I167)</f>
        <v>14500200</v>
      </c>
    </row>
    <row r="169" spans="1:10">
      <c r="A169" s="73">
        <v>45209</v>
      </c>
      <c r="B169">
        <v>4.2699999999999996</v>
      </c>
      <c r="C169">
        <v>9.84</v>
      </c>
      <c r="D169">
        <v>50.89</v>
      </c>
      <c r="E169">
        <v>453</v>
      </c>
      <c r="F169">
        <v>1079</v>
      </c>
      <c r="G169">
        <v>1897</v>
      </c>
      <c r="H169">
        <v>4530</v>
      </c>
      <c r="I169" s="122">
        <f t="shared" si="2"/>
        <v>355491400</v>
      </c>
      <c r="J169" s="139">
        <f>I169-MIN($I$9:I168)</f>
        <v>12013100</v>
      </c>
    </row>
    <row r="170" spans="1:10">
      <c r="A170" s="73">
        <v>45210</v>
      </c>
      <c r="B170">
        <v>4.33</v>
      </c>
      <c r="C170">
        <v>9.8699999999999992</v>
      </c>
      <c r="D170">
        <v>50.49</v>
      </c>
      <c r="E170">
        <v>452.3</v>
      </c>
      <c r="F170">
        <v>1070</v>
      </c>
      <c r="G170">
        <v>1883</v>
      </c>
      <c r="H170">
        <v>4562</v>
      </c>
      <c r="I170" s="122">
        <f t="shared" si="2"/>
        <v>355473800</v>
      </c>
      <c r="J170" s="139">
        <f>I170-MIN($I$9:I169)</f>
        <v>11995500</v>
      </c>
    </row>
    <row r="171" spans="1:10">
      <c r="A171" s="73">
        <v>45211</v>
      </c>
      <c r="B171">
        <v>4.38</v>
      </c>
      <c r="C171">
        <v>9.9600000000000009</v>
      </c>
      <c r="D171">
        <v>50.22</v>
      </c>
      <c r="E171">
        <v>448.1</v>
      </c>
      <c r="F171">
        <v>1059</v>
      </c>
      <c r="G171">
        <v>1879</v>
      </c>
      <c r="H171">
        <v>4517</v>
      </c>
      <c r="I171" s="122">
        <f t="shared" si="2"/>
        <v>353963500</v>
      </c>
      <c r="J171" s="139">
        <f>I171-MIN($I$9:I170)</f>
        <v>10485200</v>
      </c>
    </row>
    <row r="172" spans="1:10">
      <c r="A172" s="73">
        <v>45212</v>
      </c>
      <c r="B172">
        <v>4.33</v>
      </c>
      <c r="C172">
        <v>10</v>
      </c>
      <c r="D172">
        <v>50.2</v>
      </c>
      <c r="E172">
        <v>446.7</v>
      </c>
      <c r="F172">
        <v>1043</v>
      </c>
      <c r="G172">
        <v>1851</v>
      </c>
      <c r="H172">
        <v>4505</v>
      </c>
      <c r="I172" s="122">
        <f t="shared" si="2"/>
        <v>352634700</v>
      </c>
      <c r="J172" s="139">
        <f>I172-MIN($I$9:I171)</f>
        <v>9156400</v>
      </c>
    </row>
    <row r="173" spans="1:10">
      <c r="A173" s="73">
        <v>45213</v>
      </c>
      <c r="B173">
        <v>4.25</v>
      </c>
      <c r="C173">
        <v>10.17</v>
      </c>
      <c r="D173">
        <v>50.2</v>
      </c>
      <c r="E173">
        <v>452.6</v>
      </c>
      <c r="F173">
        <v>1044</v>
      </c>
      <c r="G173">
        <v>1900</v>
      </c>
      <c r="H173">
        <v>4490</v>
      </c>
      <c r="I173" s="122">
        <f t="shared" si="2"/>
        <v>355561800</v>
      </c>
      <c r="J173" s="139">
        <f>I173-MIN($I$9:I172)</f>
        <v>12083500</v>
      </c>
    </row>
    <row r="174" spans="1:10">
      <c r="A174" s="73">
        <v>45214</v>
      </c>
      <c r="B174">
        <v>4.28</v>
      </c>
      <c r="C174">
        <v>10.34</v>
      </c>
      <c r="D174">
        <v>50.1</v>
      </c>
      <c r="E174">
        <v>467</v>
      </c>
      <c r="F174">
        <v>1070</v>
      </c>
      <c r="G174">
        <v>1907</v>
      </c>
      <c r="H174">
        <v>4600</v>
      </c>
      <c r="I174" s="122">
        <f t="shared" si="2"/>
        <v>363596200</v>
      </c>
      <c r="J174" s="139">
        <f>I174-MIN($I$9:I173)</f>
        <v>20117900</v>
      </c>
    </row>
    <row r="175" spans="1:10">
      <c r="A175" s="73">
        <v>45215</v>
      </c>
      <c r="B175">
        <v>4.3600000000000003</v>
      </c>
      <c r="C175">
        <v>9.9600000000000009</v>
      </c>
      <c r="D175">
        <v>50.15</v>
      </c>
      <c r="E175">
        <v>456.7</v>
      </c>
      <c r="F175">
        <v>1070</v>
      </c>
      <c r="G175">
        <v>1920</v>
      </c>
      <c r="H175">
        <v>4661</v>
      </c>
      <c r="I175" s="122">
        <f t="shared" si="2"/>
        <v>358416300</v>
      </c>
      <c r="J175" s="139">
        <f>I175-MIN($I$9:I174)</f>
        <v>14938000</v>
      </c>
    </row>
    <row r="176" spans="1:10">
      <c r="A176" s="73">
        <v>45216</v>
      </c>
      <c r="B176">
        <v>4.3899999999999997</v>
      </c>
      <c r="C176">
        <v>10.44</v>
      </c>
      <c r="D176">
        <v>50.6</v>
      </c>
      <c r="E176">
        <v>448</v>
      </c>
      <c r="F176">
        <v>1077</v>
      </c>
      <c r="G176">
        <v>1941</v>
      </c>
      <c r="H176">
        <v>4500</v>
      </c>
      <c r="I176" s="122">
        <f t="shared" si="2"/>
        <v>356961000</v>
      </c>
      <c r="J176" s="139">
        <f>I176-MIN($I$9:I175)</f>
        <v>13482700</v>
      </c>
    </row>
    <row r="177" spans="1:10">
      <c r="A177" s="73">
        <v>45217</v>
      </c>
      <c r="B177">
        <v>4.42</v>
      </c>
      <c r="C177">
        <v>10.17</v>
      </c>
      <c r="D177">
        <v>52.27</v>
      </c>
      <c r="E177">
        <v>465.6</v>
      </c>
      <c r="F177">
        <v>1111</v>
      </c>
      <c r="G177">
        <v>1936</v>
      </c>
      <c r="H177">
        <v>4747</v>
      </c>
      <c r="I177" s="122">
        <f t="shared" si="2"/>
        <v>366114100</v>
      </c>
      <c r="J177" s="139">
        <f>I177-MIN($I$9:I176)</f>
        <v>22635800</v>
      </c>
    </row>
    <row r="178" spans="1:10">
      <c r="A178" s="73">
        <v>45218</v>
      </c>
      <c r="B178">
        <v>4.41</v>
      </c>
      <c r="C178">
        <v>9.75</v>
      </c>
      <c r="D178">
        <v>52.57</v>
      </c>
      <c r="E178">
        <v>463.8</v>
      </c>
      <c r="F178">
        <v>1157</v>
      </c>
      <c r="G178">
        <v>1929</v>
      </c>
      <c r="H178">
        <v>4740</v>
      </c>
      <c r="I178" s="122">
        <f t="shared" si="2"/>
        <v>364122000</v>
      </c>
      <c r="J178" s="139">
        <f>I178-MIN($I$9:I177)</f>
        <v>20643700</v>
      </c>
    </row>
    <row r="179" spans="1:10">
      <c r="A179" s="73">
        <v>45219</v>
      </c>
      <c r="B179">
        <v>4.3600000000000003</v>
      </c>
      <c r="C179">
        <v>10.18</v>
      </c>
      <c r="D179">
        <v>53</v>
      </c>
      <c r="E179">
        <v>461.4</v>
      </c>
      <c r="F179">
        <v>1161</v>
      </c>
      <c r="G179">
        <v>1913</v>
      </c>
      <c r="H179">
        <v>4728</v>
      </c>
      <c r="I179" s="122">
        <f t="shared" si="2"/>
        <v>364709400</v>
      </c>
      <c r="J179" s="139">
        <f>I179-MIN($I$9:I178)</f>
        <v>21231100</v>
      </c>
    </row>
    <row r="180" spans="1:10">
      <c r="A180" s="73">
        <v>45220</v>
      </c>
      <c r="B180">
        <v>4.24</v>
      </c>
      <c r="C180">
        <v>10.31</v>
      </c>
      <c r="D180">
        <v>52.93</v>
      </c>
      <c r="E180">
        <v>461.5</v>
      </c>
      <c r="F180">
        <v>1165</v>
      </c>
      <c r="G180">
        <v>1931</v>
      </c>
      <c r="H180">
        <v>4648</v>
      </c>
      <c r="I180" s="122">
        <f t="shared" si="2"/>
        <v>364130800</v>
      </c>
      <c r="J180" s="139">
        <f>I180-MIN($I$9:I179)</f>
        <v>20652500</v>
      </c>
    </row>
    <row r="181" spans="1:10">
      <c r="A181" s="73">
        <v>45221</v>
      </c>
      <c r="B181">
        <v>4.3600000000000003</v>
      </c>
      <c r="C181">
        <v>10.33</v>
      </c>
      <c r="D181">
        <v>53</v>
      </c>
      <c r="E181">
        <v>460</v>
      </c>
      <c r="F181">
        <v>1144</v>
      </c>
      <c r="G181">
        <v>1932</v>
      </c>
      <c r="H181">
        <v>4645</v>
      </c>
      <c r="I181" s="122">
        <f t="shared" si="2"/>
        <v>364380500</v>
      </c>
      <c r="J181" s="139">
        <f>I181-MIN($I$9:I180)</f>
        <v>20902200</v>
      </c>
    </row>
    <row r="182" spans="1:10">
      <c r="A182" s="73">
        <v>45222</v>
      </c>
      <c r="B182">
        <v>4.1100000000000003</v>
      </c>
      <c r="C182">
        <v>10.25</v>
      </c>
      <c r="D182">
        <v>53.09</v>
      </c>
      <c r="E182">
        <v>459.9</v>
      </c>
      <c r="F182">
        <v>1142</v>
      </c>
      <c r="G182">
        <v>1999</v>
      </c>
      <c r="H182">
        <v>4690</v>
      </c>
      <c r="I182" s="122">
        <f t="shared" si="2"/>
        <v>362408200</v>
      </c>
      <c r="J182" s="139">
        <f>I182-MIN($I$9:I181)</f>
        <v>18929900</v>
      </c>
    </row>
    <row r="183" spans="1:10">
      <c r="A183" s="73">
        <v>45223</v>
      </c>
      <c r="B183">
        <v>4.2699999999999996</v>
      </c>
      <c r="C183">
        <v>10.4</v>
      </c>
      <c r="D183">
        <v>53.87</v>
      </c>
      <c r="E183">
        <v>463.7</v>
      </c>
      <c r="F183">
        <v>1143</v>
      </c>
      <c r="G183">
        <v>1999</v>
      </c>
      <c r="H183">
        <v>4562</v>
      </c>
      <c r="I183" s="122">
        <f t="shared" si="2"/>
        <v>366253800</v>
      </c>
      <c r="J183" s="139">
        <f>I183-MIN($I$9:I182)</f>
        <v>22775500</v>
      </c>
    </row>
    <row r="184" spans="1:10">
      <c r="A184" s="73">
        <v>45224</v>
      </c>
      <c r="B184">
        <v>4.32</v>
      </c>
      <c r="C184">
        <v>10.43</v>
      </c>
      <c r="D184">
        <v>54.34</v>
      </c>
      <c r="E184">
        <v>464.2</v>
      </c>
      <c r="F184">
        <v>1162</v>
      </c>
      <c r="G184">
        <v>1997</v>
      </c>
      <c r="H184">
        <v>4980</v>
      </c>
      <c r="I184" s="122">
        <f t="shared" si="2"/>
        <v>368973000</v>
      </c>
      <c r="J184" s="139">
        <f>I184-MIN($I$9:I183)</f>
        <v>25494700</v>
      </c>
    </row>
    <row r="185" spans="1:10">
      <c r="A185" s="73">
        <v>45225</v>
      </c>
      <c r="B185">
        <v>4.24</v>
      </c>
      <c r="C185">
        <v>10.5</v>
      </c>
      <c r="D185">
        <v>57.82</v>
      </c>
      <c r="E185">
        <v>461.7</v>
      </c>
      <c r="F185">
        <v>1189</v>
      </c>
      <c r="G185">
        <v>2000</v>
      </c>
      <c r="H185">
        <v>4720</v>
      </c>
      <c r="I185" s="122">
        <f t="shared" si="2"/>
        <v>369292000.00000006</v>
      </c>
      <c r="J185" s="139">
        <f>I185-MIN($I$9:I184)</f>
        <v>25813700.00000006</v>
      </c>
    </row>
    <row r="186" spans="1:10">
      <c r="A186" s="73">
        <v>45226</v>
      </c>
      <c r="B186">
        <v>4.3099999999999996</v>
      </c>
      <c r="C186">
        <v>10.9</v>
      </c>
      <c r="D186">
        <v>55.12</v>
      </c>
      <c r="E186">
        <v>458.3</v>
      </c>
      <c r="F186">
        <v>1189</v>
      </c>
      <c r="G186">
        <v>1997</v>
      </c>
      <c r="H186">
        <v>4980</v>
      </c>
      <c r="I186" s="122">
        <f t="shared" si="2"/>
        <v>369228200</v>
      </c>
      <c r="J186" s="139">
        <f>I186-MIN($I$9:I185)</f>
        <v>25749900</v>
      </c>
    </row>
    <row r="187" spans="1:10">
      <c r="A187" s="73">
        <v>45227</v>
      </c>
      <c r="B187">
        <v>4.29</v>
      </c>
      <c r="C187">
        <v>10.85</v>
      </c>
      <c r="D187">
        <v>58</v>
      </c>
      <c r="E187">
        <v>473.6</v>
      </c>
      <c r="F187">
        <v>1179</v>
      </c>
      <c r="G187">
        <v>1993</v>
      </c>
      <c r="H187">
        <v>4938</v>
      </c>
      <c r="I187" s="122">
        <f t="shared" si="2"/>
        <v>377168000.00000006</v>
      </c>
      <c r="J187" s="139">
        <f>I187-MIN($I$9:I186)</f>
        <v>33689700.00000006</v>
      </c>
    </row>
    <row r="188" spans="1:10">
      <c r="A188" s="73">
        <v>45228</v>
      </c>
      <c r="B188">
        <v>4.34</v>
      </c>
      <c r="C188">
        <v>10.88</v>
      </c>
      <c r="D188">
        <v>64.34</v>
      </c>
      <c r="E188">
        <v>479.3</v>
      </c>
      <c r="F188">
        <v>1198</v>
      </c>
      <c r="G188">
        <v>2001</v>
      </c>
      <c r="H188">
        <v>4987</v>
      </c>
      <c r="I188" s="122">
        <f t="shared" si="2"/>
        <v>384897700.00000006</v>
      </c>
      <c r="J188" s="139">
        <f>I188-MIN($I$9:I187)</f>
        <v>41419400.00000006</v>
      </c>
    </row>
    <row r="189" spans="1:10">
      <c r="A189" s="73">
        <v>45229</v>
      </c>
      <c r="B189">
        <v>4.24</v>
      </c>
      <c r="C189">
        <v>10.71</v>
      </c>
      <c r="D189">
        <v>61.12</v>
      </c>
      <c r="E189">
        <v>484.5</v>
      </c>
      <c r="F189">
        <v>1188</v>
      </c>
      <c r="G189">
        <v>2023</v>
      </c>
      <c r="H189">
        <v>4979</v>
      </c>
      <c r="I189" s="122">
        <f t="shared" si="2"/>
        <v>383419300.00000006</v>
      </c>
      <c r="J189" s="139">
        <f>I189-MIN($I$9:I188)</f>
        <v>39941000.00000006</v>
      </c>
    </row>
    <row r="190" spans="1:10">
      <c r="A190" s="73">
        <v>45230</v>
      </c>
      <c r="B190">
        <v>4.41</v>
      </c>
      <c r="C190">
        <v>10.54</v>
      </c>
      <c r="D190">
        <v>60.1</v>
      </c>
      <c r="E190">
        <v>496.7</v>
      </c>
      <c r="F190">
        <v>1190</v>
      </c>
      <c r="G190">
        <v>2025</v>
      </c>
      <c r="H190">
        <v>4921</v>
      </c>
      <c r="I190" s="122">
        <f t="shared" si="2"/>
        <v>388710300.00000006</v>
      </c>
      <c r="J190" s="139">
        <f>I190-MIN($I$9:I189)</f>
        <v>45232000.00000006</v>
      </c>
    </row>
    <row r="191" spans="1:10">
      <c r="A191" s="73">
        <v>45231</v>
      </c>
      <c r="B191">
        <v>4.3899999999999997</v>
      </c>
      <c r="C191">
        <v>10.47</v>
      </c>
      <c r="D191">
        <v>61.89</v>
      </c>
      <c r="E191">
        <v>498.8</v>
      </c>
      <c r="F191">
        <v>1248</v>
      </c>
      <c r="G191">
        <v>1992</v>
      </c>
      <c r="H191">
        <v>4966</v>
      </c>
      <c r="I191" s="122">
        <f t="shared" si="2"/>
        <v>391028000.00000006</v>
      </c>
      <c r="J191" s="139">
        <f>I191-MIN($I$9:I190)</f>
        <v>47549700.00000006</v>
      </c>
    </row>
    <row r="192" spans="1:10">
      <c r="A192" s="73">
        <v>45232</v>
      </c>
      <c r="B192">
        <v>4.34</v>
      </c>
      <c r="C192">
        <v>10.59</v>
      </c>
      <c r="D192">
        <v>61.35</v>
      </c>
      <c r="E192">
        <v>488</v>
      </c>
      <c r="F192">
        <v>1298</v>
      </c>
      <c r="G192">
        <v>1973</v>
      </c>
      <c r="H192">
        <v>4977</v>
      </c>
      <c r="I192" s="122">
        <f t="shared" si="2"/>
        <v>386578500.00000006</v>
      </c>
      <c r="J192" s="139">
        <f>I192-MIN($I$9:I191)</f>
        <v>43100200.00000006</v>
      </c>
    </row>
    <row r="193" spans="1:10">
      <c r="A193" s="73">
        <v>45233</v>
      </c>
      <c r="B193">
        <v>4.2300000000000004</v>
      </c>
      <c r="C193">
        <v>10.09</v>
      </c>
      <c r="D193">
        <v>59.64</v>
      </c>
      <c r="E193">
        <v>493.5</v>
      </c>
      <c r="F193">
        <v>1302</v>
      </c>
      <c r="G193">
        <v>1963</v>
      </c>
      <c r="H193">
        <v>5010</v>
      </c>
      <c r="I193" s="122">
        <f t="shared" si="2"/>
        <v>384797600.00000006</v>
      </c>
      <c r="J193" s="139">
        <f>I193-MIN($I$9:I192)</f>
        <v>41319300.00000006</v>
      </c>
    </row>
    <row r="194" spans="1:10">
      <c r="A194" s="73">
        <v>45234</v>
      </c>
      <c r="B194">
        <v>4.3</v>
      </c>
      <c r="C194">
        <v>10.46</v>
      </c>
      <c r="D194">
        <v>56.69</v>
      </c>
      <c r="E194">
        <v>488</v>
      </c>
      <c r="F194">
        <v>1249</v>
      </c>
      <c r="G194">
        <v>1919</v>
      </c>
      <c r="H194">
        <v>5008</v>
      </c>
      <c r="I194" s="122">
        <f t="shared" si="2"/>
        <v>381678000.00000006</v>
      </c>
      <c r="J194" s="139">
        <f>I194-MIN($I$9:I193)</f>
        <v>38199700.00000006</v>
      </c>
    </row>
    <row r="195" spans="1:10">
      <c r="A195" s="73">
        <v>45235</v>
      </c>
      <c r="B195">
        <v>4.33</v>
      </c>
      <c r="C195">
        <v>10.42</v>
      </c>
      <c r="D195">
        <v>56.38</v>
      </c>
      <c r="E195">
        <v>482.6</v>
      </c>
      <c r="F195">
        <v>1220</v>
      </c>
      <c r="G195">
        <v>1907</v>
      </c>
      <c r="H195">
        <v>5013</v>
      </c>
      <c r="I195" s="122">
        <f t="shared" si="2"/>
        <v>378739900.00000006</v>
      </c>
      <c r="J195" s="139">
        <f>I195-MIN($I$9:I194)</f>
        <v>35261600.00000006</v>
      </c>
    </row>
    <row r="196" spans="1:10">
      <c r="A196" s="73">
        <v>45236</v>
      </c>
      <c r="B196">
        <v>4.28</v>
      </c>
      <c r="C196">
        <v>10.35</v>
      </c>
      <c r="D196">
        <v>55.94</v>
      </c>
      <c r="E196">
        <v>470.6</v>
      </c>
      <c r="F196">
        <v>1257</v>
      </c>
      <c r="G196">
        <v>1905</v>
      </c>
      <c r="H196">
        <v>4992</v>
      </c>
      <c r="I196" s="122">
        <f t="shared" si="2"/>
        <v>372827400.00000006</v>
      </c>
      <c r="J196" s="139">
        <f>I196-MIN($I$9:I195)</f>
        <v>29349100.00000006</v>
      </c>
    </row>
    <row r="197" spans="1:10">
      <c r="A197" s="73">
        <v>45237</v>
      </c>
      <c r="B197">
        <v>4.3</v>
      </c>
      <c r="C197">
        <v>10.38</v>
      </c>
      <c r="D197">
        <v>55.67</v>
      </c>
      <c r="E197">
        <v>465.8</v>
      </c>
      <c r="F197">
        <v>1280</v>
      </c>
      <c r="G197">
        <v>1950</v>
      </c>
      <c r="H197">
        <v>5025</v>
      </c>
      <c r="I197" s="122">
        <f t="shared" si="2"/>
        <v>371554700.00000006</v>
      </c>
      <c r="J197" s="139">
        <f>I197-MIN($I$9:I196)</f>
        <v>28076400.00000006</v>
      </c>
    </row>
    <row r="198" spans="1:10">
      <c r="A198" s="73">
        <v>45238</v>
      </c>
      <c r="B198">
        <v>4.18</v>
      </c>
      <c r="C198">
        <v>10.41</v>
      </c>
      <c r="D198">
        <v>54.75</v>
      </c>
      <c r="E198">
        <v>455.9</v>
      </c>
      <c r="F198">
        <v>1299</v>
      </c>
      <c r="G198">
        <v>1957</v>
      </c>
      <c r="H198">
        <v>4994</v>
      </c>
      <c r="I198" s="122">
        <f t="shared" si="2"/>
        <v>365862200</v>
      </c>
      <c r="J198" s="139">
        <f>I198-MIN($I$9:I197)</f>
        <v>22383900</v>
      </c>
    </row>
    <row r="199" spans="1:10">
      <c r="A199" s="73">
        <v>45239</v>
      </c>
      <c r="B199">
        <v>4.28</v>
      </c>
      <c r="C199">
        <v>10.53</v>
      </c>
      <c r="D199">
        <v>54.7</v>
      </c>
      <c r="E199">
        <v>453.4</v>
      </c>
      <c r="F199">
        <v>1232</v>
      </c>
      <c r="G199">
        <v>1928</v>
      </c>
      <c r="H199">
        <v>4954</v>
      </c>
      <c r="I199" s="122">
        <f t="shared" si="2"/>
        <v>364929400</v>
      </c>
      <c r="J199" s="139">
        <f>I199-MIN($I$9:I198)</f>
        <v>21451100</v>
      </c>
    </row>
    <row r="200" spans="1:10">
      <c r="A200" s="73">
        <v>45240</v>
      </c>
      <c r="B200">
        <v>4.28</v>
      </c>
      <c r="C200">
        <v>10.59</v>
      </c>
      <c r="D200">
        <v>55.47</v>
      </c>
      <c r="E200">
        <v>448.7</v>
      </c>
      <c r="F200">
        <v>1195</v>
      </c>
      <c r="G200">
        <v>1954</v>
      </c>
      <c r="H200">
        <v>5048</v>
      </c>
      <c r="I200" s="122">
        <f t="shared" si="2"/>
        <v>363627000</v>
      </c>
      <c r="J200" s="139">
        <f>I200-MIN($I$9:I199)</f>
        <v>20148700</v>
      </c>
    </row>
    <row r="201" spans="1:10">
      <c r="A201" s="73">
        <v>45241</v>
      </c>
      <c r="B201">
        <v>4.3099999999999996</v>
      </c>
      <c r="C201">
        <v>10.71</v>
      </c>
      <c r="D201">
        <v>55.6</v>
      </c>
      <c r="E201">
        <v>451.9</v>
      </c>
      <c r="F201">
        <v>1196</v>
      </c>
      <c r="G201">
        <v>1951</v>
      </c>
      <c r="H201">
        <v>5071</v>
      </c>
      <c r="I201" s="122">
        <f t="shared" ref="I201:I217" si="3">SUMPRODUCT($H$4:$N$4,B201:H201)*1.1</f>
        <v>365982100</v>
      </c>
      <c r="J201" s="139">
        <f>I201-MIN($I$9:I200)</f>
        <v>22503800</v>
      </c>
    </row>
    <row r="202" spans="1:10">
      <c r="A202" s="73">
        <v>45242</v>
      </c>
      <c r="B202">
        <v>4.3</v>
      </c>
      <c r="C202">
        <v>10.6</v>
      </c>
      <c r="D202">
        <v>52.59</v>
      </c>
      <c r="E202">
        <v>461.6</v>
      </c>
      <c r="F202">
        <v>1188</v>
      </c>
      <c r="G202">
        <v>2050</v>
      </c>
      <c r="H202">
        <v>4877</v>
      </c>
      <c r="I202" s="122">
        <f t="shared" si="3"/>
        <v>367599100</v>
      </c>
      <c r="J202" s="139">
        <f>I202-MIN($I$9:I201)</f>
        <v>24120800</v>
      </c>
    </row>
    <row r="203" spans="1:10">
      <c r="A203" s="73">
        <v>45243</v>
      </c>
      <c r="B203">
        <v>4.2</v>
      </c>
      <c r="C203">
        <v>10.52</v>
      </c>
      <c r="D203">
        <v>52</v>
      </c>
      <c r="E203">
        <v>458</v>
      </c>
      <c r="F203">
        <v>1176</v>
      </c>
      <c r="G203">
        <v>1995</v>
      </c>
      <c r="H203">
        <v>5050</v>
      </c>
      <c r="I203" s="122">
        <f t="shared" si="3"/>
        <v>364443200</v>
      </c>
      <c r="J203" s="139">
        <f>I203-MIN($I$9:I202)</f>
        <v>20964900</v>
      </c>
    </row>
    <row r="204" spans="1:10">
      <c r="A204" s="73">
        <v>45244</v>
      </c>
      <c r="B204">
        <v>4.1900000000000004</v>
      </c>
      <c r="C204">
        <v>10.45</v>
      </c>
      <c r="D204">
        <v>52.49</v>
      </c>
      <c r="E204">
        <v>457.2</v>
      </c>
      <c r="F204">
        <v>1170</v>
      </c>
      <c r="G204">
        <v>1953</v>
      </c>
      <c r="H204">
        <v>4995</v>
      </c>
      <c r="I204" s="122">
        <f t="shared" si="3"/>
        <v>363480700</v>
      </c>
      <c r="J204" s="139">
        <f>I204-MIN($I$9:I203)</f>
        <v>20002400</v>
      </c>
    </row>
    <row r="205" spans="1:10">
      <c r="A205" s="73">
        <v>45245</v>
      </c>
      <c r="B205">
        <v>4.2699999999999996</v>
      </c>
      <c r="C205">
        <v>10.32</v>
      </c>
      <c r="D205">
        <v>53.28</v>
      </c>
      <c r="E205">
        <v>458.5</v>
      </c>
      <c r="F205">
        <v>1153</v>
      </c>
      <c r="G205">
        <v>1933</v>
      </c>
      <c r="H205">
        <v>4984</v>
      </c>
      <c r="I205" s="122">
        <f t="shared" si="3"/>
        <v>364313400</v>
      </c>
      <c r="J205" s="139">
        <f>I205-MIN($I$9:I204)</f>
        <v>20835100</v>
      </c>
    </row>
    <row r="206" spans="1:10">
      <c r="A206" s="73">
        <v>45246</v>
      </c>
      <c r="B206">
        <v>4.25</v>
      </c>
      <c r="C206">
        <v>10.119999999999999</v>
      </c>
      <c r="D206">
        <v>52.67</v>
      </c>
      <c r="E206">
        <v>441.3</v>
      </c>
      <c r="F206">
        <v>1130</v>
      </c>
      <c r="G206">
        <v>1933</v>
      </c>
      <c r="H206">
        <v>5002</v>
      </c>
      <c r="I206" s="122">
        <f t="shared" si="3"/>
        <v>355042600</v>
      </c>
      <c r="J206" s="139">
        <f>I206-MIN($I$9:I205)</f>
        <v>11564300</v>
      </c>
    </row>
    <row r="207" spans="1:10">
      <c r="A207" s="73">
        <v>45247</v>
      </c>
      <c r="B207">
        <v>4.26</v>
      </c>
      <c r="C207">
        <v>10.17</v>
      </c>
      <c r="D207">
        <v>52.34</v>
      </c>
      <c r="E207">
        <v>455.7</v>
      </c>
      <c r="F207">
        <v>1143</v>
      </c>
      <c r="G207">
        <v>1914</v>
      </c>
      <c r="H207">
        <v>5078</v>
      </c>
      <c r="I207" s="122">
        <f t="shared" si="3"/>
        <v>361765800</v>
      </c>
      <c r="J207" s="139">
        <f>I207-MIN($I$9:I206)</f>
        <v>18287500</v>
      </c>
    </row>
    <row r="208" spans="1:10">
      <c r="A208" s="73">
        <v>45248</v>
      </c>
      <c r="B208">
        <v>4.25</v>
      </c>
      <c r="C208">
        <v>10.3</v>
      </c>
      <c r="D208">
        <v>51.04</v>
      </c>
      <c r="E208">
        <v>469.8</v>
      </c>
      <c r="F208">
        <v>1144</v>
      </c>
      <c r="G208">
        <v>1928</v>
      </c>
      <c r="H208">
        <v>5194</v>
      </c>
      <c r="I208" s="122">
        <f t="shared" si="3"/>
        <v>368084200</v>
      </c>
      <c r="J208" s="139">
        <f>I208-MIN($I$9:I207)</f>
        <v>24605900</v>
      </c>
    </row>
    <row r="209" spans="1:10">
      <c r="A209" s="73">
        <v>45249</v>
      </c>
      <c r="B209">
        <v>4.21</v>
      </c>
      <c r="C209">
        <v>10</v>
      </c>
      <c r="D209">
        <v>51</v>
      </c>
      <c r="E209">
        <v>468.8</v>
      </c>
      <c r="F209">
        <v>1169</v>
      </c>
      <c r="G209">
        <v>1899</v>
      </c>
      <c r="H209">
        <v>5070</v>
      </c>
      <c r="I209" s="122">
        <f t="shared" si="3"/>
        <v>365675200</v>
      </c>
      <c r="J209" s="139">
        <f>I209-MIN($I$9:I208)</f>
        <v>22196900</v>
      </c>
    </row>
    <row r="210" spans="1:10">
      <c r="A210" s="73">
        <v>45250</v>
      </c>
      <c r="B210">
        <v>4.1900000000000004</v>
      </c>
      <c r="C210">
        <v>10.19</v>
      </c>
      <c r="D210">
        <v>52.54</v>
      </c>
      <c r="E210">
        <v>460</v>
      </c>
      <c r="F210">
        <v>1100</v>
      </c>
      <c r="G210">
        <v>1884</v>
      </c>
      <c r="H210">
        <v>5199</v>
      </c>
      <c r="I210" s="122">
        <f t="shared" si="3"/>
        <v>362895500</v>
      </c>
      <c r="J210" s="139">
        <f>I210-MIN($I$9:I209)</f>
        <v>19417200</v>
      </c>
    </row>
    <row r="211" spans="1:10">
      <c r="A211" s="73">
        <v>45251</v>
      </c>
      <c r="B211">
        <v>4.25</v>
      </c>
      <c r="C211">
        <v>10.210000000000001</v>
      </c>
      <c r="D211">
        <v>52.55</v>
      </c>
      <c r="E211">
        <v>464.9</v>
      </c>
      <c r="F211">
        <v>1198</v>
      </c>
      <c r="G211">
        <v>1908</v>
      </c>
      <c r="H211">
        <v>5244</v>
      </c>
      <c r="I211" s="122">
        <f t="shared" si="3"/>
        <v>367274600</v>
      </c>
      <c r="J211" s="139">
        <f>I211-MIN($I$9:I210)</f>
        <v>23796300</v>
      </c>
    </row>
    <row r="212" spans="1:10">
      <c r="A212" s="73">
        <v>45252</v>
      </c>
      <c r="B212">
        <v>4.26</v>
      </c>
      <c r="C212">
        <v>10.15</v>
      </c>
      <c r="D212">
        <v>52.56</v>
      </c>
      <c r="E212">
        <v>464.8</v>
      </c>
      <c r="F212">
        <v>1168</v>
      </c>
      <c r="G212">
        <v>1913</v>
      </c>
      <c r="H212">
        <v>5294</v>
      </c>
      <c r="I212" s="122">
        <f t="shared" si="3"/>
        <v>366863200</v>
      </c>
      <c r="J212" s="139">
        <f>I212-MIN($I$9:I211)</f>
        <v>23384900</v>
      </c>
    </row>
    <row r="213" spans="1:10">
      <c r="A213" s="73">
        <v>45253</v>
      </c>
      <c r="B213">
        <v>4.28</v>
      </c>
      <c r="C213">
        <v>10.16</v>
      </c>
      <c r="D213">
        <v>64.95</v>
      </c>
      <c r="E213">
        <v>473.9</v>
      </c>
      <c r="F213">
        <v>1167</v>
      </c>
      <c r="G213">
        <v>1915</v>
      </c>
      <c r="H213">
        <v>5499</v>
      </c>
      <c r="I213" s="122">
        <f t="shared" si="3"/>
        <v>379941100.00000006</v>
      </c>
      <c r="J213" s="139">
        <f>I213-MIN($I$9:I212)</f>
        <v>36462800.00000006</v>
      </c>
    </row>
    <row r="214" spans="1:10">
      <c r="A214" s="73">
        <v>45254</v>
      </c>
      <c r="B214">
        <v>4.16</v>
      </c>
      <c r="C214">
        <v>9.98</v>
      </c>
      <c r="D214">
        <v>54.92</v>
      </c>
      <c r="E214">
        <v>478.4</v>
      </c>
      <c r="F214">
        <v>1155</v>
      </c>
      <c r="G214">
        <v>1932</v>
      </c>
      <c r="H214">
        <v>5585</v>
      </c>
      <c r="I214" s="122">
        <f t="shared" si="3"/>
        <v>373690900.00000006</v>
      </c>
      <c r="J214" s="139">
        <f>I214-MIN($I$9:I213)</f>
        <v>30212600.00000006</v>
      </c>
    </row>
    <row r="215" spans="1:10">
      <c r="A215" s="73">
        <v>45255</v>
      </c>
      <c r="B215">
        <v>4.25</v>
      </c>
      <c r="C215">
        <v>10.18</v>
      </c>
      <c r="D215">
        <v>54.3</v>
      </c>
      <c r="E215">
        <v>459.4</v>
      </c>
      <c r="F215">
        <v>1135</v>
      </c>
      <c r="G215">
        <v>1976</v>
      </c>
      <c r="H215">
        <v>5617</v>
      </c>
      <c r="I215" s="122">
        <f t="shared" si="3"/>
        <v>366725700</v>
      </c>
      <c r="J215" s="139">
        <f>I215-MIN($I$9:I214)</f>
        <v>23247400</v>
      </c>
    </row>
    <row r="216" spans="1:10">
      <c r="A216" s="73">
        <v>45256</v>
      </c>
      <c r="B216">
        <v>4.2699999999999996</v>
      </c>
      <c r="C216">
        <v>10.19</v>
      </c>
      <c r="D216">
        <v>54.8</v>
      </c>
      <c r="E216">
        <v>458.6</v>
      </c>
      <c r="F216">
        <v>1139</v>
      </c>
      <c r="G216">
        <v>1975</v>
      </c>
      <c r="H216">
        <v>5500</v>
      </c>
      <c r="I216" s="122">
        <f t="shared" si="3"/>
        <v>366583800</v>
      </c>
      <c r="J216" s="139">
        <f>I216-MIN($I$9:I215)</f>
        <v>23105500</v>
      </c>
    </row>
    <row r="217" spans="1:10">
      <c r="A217" s="73">
        <v>45257</v>
      </c>
      <c r="B217">
        <v>4.25</v>
      </c>
      <c r="C217">
        <v>10.119999999999999</v>
      </c>
      <c r="D217">
        <v>52.52</v>
      </c>
      <c r="E217">
        <v>459.6</v>
      </c>
      <c r="F217">
        <v>1110</v>
      </c>
      <c r="G217">
        <v>1980</v>
      </c>
      <c r="H217">
        <v>5500</v>
      </c>
      <c r="I217" s="122">
        <f t="shared" si="3"/>
        <v>364685200</v>
      </c>
      <c r="J217" s="139">
        <f>I217-MIN($I9:I$216)</f>
        <v>21206900</v>
      </c>
    </row>
  </sheetData>
  <autoFilter ref="A8:J217" xr:uid="{37F30BB0-BDAC-46E5-A0C1-CFC032B1F706}">
    <sortState xmlns:xlrd2="http://schemas.microsoft.com/office/spreadsheetml/2017/richdata2" ref="A9:J217">
      <sortCondition ref="A8:A217"/>
    </sortState>
  </autoFilter>
  <mergeCells count="3">
    <mergeCell ref="A3:D3"/>
    <mergeCell ref="A4:D4"/>
    <mergeCell ref="A1:N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0547F-1DD5-4541-9D28-54D2C3ADBB99}">
  <dimension ref="A1:R12"/>
  <sheetViews>
    <sheetView workbookViewId="0">
      <selection activeCell="R6" sqref="R6"/>
    </sheetView>
  </sheetViews>
  <sheetFormatPr defaultRowHeight="15"/>
  <cols>
    <col min="1" max="1" width="9.7109375" bestFit="1" customWidth="1"/>
  </cols>
  <sheetData>
    <row r="1" spans="1:18" ht="15.75">
      <c r="A1" s="144" t="s">
        <v>59</v>
      </c>
      <c r="B1" s="145"/>
      <c r="C1" s="145"/>
      <c r="D1" s="145"/>
      <c r="E1" s="145"/>
      <c r="F1" s="145"/>
      <c r="G1" s="145"/>
      <c r="H1" s="145"/>
      <c r="I1" s="145"/>
      <c r="J1" s="145"/>
      <c r="K1" s="145"/>
      <c r="L1" s="145"/>
      <c r="M1" s="145"/>
      <c r="N1" s="145"/>
      <c r="O1" s="146"/>
    </row>
    <row r="3" spans="1:18" ht="15.75" thickBot="1"/>
    <row r="4" spans="1:18" ht="15.75" thickBot="1">
      <c r="A4" s="170" t="s">
        <v>30</v>
      </c>
      <c r="B4" s="171"/>
      <c r="C4" s="171"/>
      <c r="D4" s="172"/>
      <c r="E4" s="3"/>
      <c r="F4" s="49" t="s">
        <v>31</v>
      </c>
      <c r="G4" s="1"/>
      <c r="H4" s="49" t="s">
        <v>10</v>
      </c>
      <c r="I4" s="49" t="s">
        <v>11</v>
      </c>
      <c r="J4" s="49" t="s">
        <v>12</v>
      </c>
      <c r="K4" s="49" t="s">
        <v>13</v>
      </c>
      <c r="L4" s="49" t="s">
        <v>14</v>
      </c>
      <c r="M4" s="49" t="s">
        <v>15</v>
      </c>
      <c r="N4" s="49" t="s">
        <v>16</v>
      </c>
      <c r="O4" s="112" t="s">
        <v>209</v>
      </c>
      <c r="P4" s="112" t="s">
        <v>210</v>
      </c>
    </row>
    <row r="5" spans="1:18">
      <c r="A5" s="197" t="s">
        <v>32</v>
      </c>
      <c r="B5" s="198"/>
      <c r="C5" s="198"/>
      <c r="D5" s="199"/>
      <c r="E5" s="3"/>
      <c r="F5" s="93">
        <v>0.1</v>
      </c>
      <c r="G5" s="1"/>
      <c r="H5" s="92">
        <v>400</v>
      </c>
      <c r="I5" s="92"/>
      <c r="J5" s="92"/>
      <c r="K5" s="92"/>
      <c r="L5" s="92"/>
      <c r="M5" s="92"/>
      <c r="N5" s="92"/>
      <c r="O5">
        <f>SUMPRODUCT(H5:N5,$A$12:$G$12)</f>
        <v>1755.9999999999998</v>
      </c>
      <c r="P5">
        <f>O5/F5</f>
        <v>17559.999999999996</v>
      </c>
      <c r="R5" t="s">
        <v>211</v>
      </c>
    </row>
    <row r="6" spans="1:18">
      <c r="A6" s="200" t="s">
        <v>33</v>
      </c>
      <c r="B6" s="201"/>
      <c r="C6" s="201"/>
      <c r="D6" s="202"/>
      <c r="E6" s="3"/>
      <c r="F6" s="94">
        <v>0.15</v>
      </c>
      <c r="G6" s="1"/>
      <c r="H6" s="89">
        <v>150</v>
      </c>
      <c r="I6" s="89">
        <v>90</v>
      </c>
      <c r="J6" s="89"/>
      <c r="K6" s="89"/>
      <c r="L6" s="89"/>
      <c r="M6" s="89"/>
      <c r="N6" s="89"/>
      <c r="O6">
        <f t="shared" ref="O6:O8" si="0">SUMPRODUCT(H6:N6,$A$12:$G$12)</f>
        <v>1600.8000000000002</v>
      </c>
      <c r="P6">
        <f t="shared" ref="P6:P8" si="1">O6/F6</f>
        <v>10672.000000000002</v>
      </c>
      <c r="R6">
        <f>ROUND(MAX(P5:P8),0)</f>
        <v>63921</v>
      </c>
    </row>
    <row r="7" spans="1:18">
      <c r="A7" s="203" t="s">
        <v>34</v>
      </c>
      <c r="B7" s="204"/>
      <c r="C7" s="204"/>
      <c r="D7" s="205"/>
      <c r="E7" s="3"/>
      <c r="F7" s="95">
        <v>0.6</v>
      </c>
      <c r="G7" s="1"/>
      <c r="H7" s="90"/>
      <c r="I7" s="90">
        <v>90</v>
      </c>
      <c r="J7" s="90"/>
      <c r="K7" s="90">
        <v>75</v>
      </c>
      <c r="L7" s="90"/>
      <c r="M7" s="90"/>
      <c r="N7" s="90"/>
      <c r="O7">
        <f t="shared" si="0"/>
        <v>38352.300000000003</v>
      </c>
      <c r="P7">
        <f t="shared" si="1"/>
        <v>63920.500000000007</v>
      </c>
    </row>
    <row r="8" spans="1:18">
      <c r="A8" s="166" t="s">
        <v>35</v>
      </c>
      <c r="B8" s="167"/>
      <c r="C8" s="167"/>
      <c r="D8" s="168"/>
      <c r="E8" s="3"/>
      <c r="F8" s="96">
        <v>1.2</v>
      </c>
      <c r="G8" s="1"/>
      <c r="H8" s="91"/>
      <c r="I8" s="91"/>
      <c r="J8" s="91">
        <v>60</v>
      </c>
      <c r="K8" s="91">
        <v>120</v>
      </c>
      <c r="L8" s="91"/>
      <c r="M8" s="91"/>
      <c r="N8" s="91"/>
      <c r="O8">
        <f t="shared" si="0"/>
        <v>63569.4</v>
      </c>
      <c r="P8">
        <f t="shared" si="1"/>
        <v>52974.5</v>
      </c>
    </row>
    <row r="10" spans="1:18" ht="15.75" thickBot="1">
      <c r="A10" s="73">
        <v>45231</v>
      </c>
    </row>
    <row r="11" spans="1:18" ht="15.75" thickBot="1">
      <c r="A11" s="49" t="s">
        <v>10</v>
      </c>
      <c r="B11" s="49" t="s">
        <v>11</v>
      </c>
      <c r="C11" s="49" t="s">
        <v>12</v>
      </c>
      <c r="D11" s="49" t="s">
        <v>13</v>
      </c>
      <c r="E11" s="49" t="s">
        <v>14</v>
      </c>
      <c r="F11" s="49" t="s">
        <v>15</v>
      </c>
      <c r="G11" s="49" t="s">
        <v>16</v>
      </c>
    </row>
    <row r="12" spans="1:18">
      <c r="A12">
        <f>INDEX('Add-In Output'!$B$4:$U$212,MATCH($A$10,'Add-In Output'!$B$4:$B$424,0),MATCH(A11&amp;" Price",'Add-In Output'!$B$2:$U$2,0))</f>
        <v>4.3899999999999997</v>
      </c>
      <c r="B12">
        <f>INDEX('Add-In Output'!$B$4:$U$212,MATCH($A$10,'Add-In Output'!$B$4:$B$424,0),MATCH(B11&amp;" Price",'Add-In Output'!$B$2:$U$2,0))</f>
        <v>10.47</v>
      </c>
      <c r="C12">
        <f>INDEX('Add-In Output'!$B$4:$U$212,MATCH($A$10,'Add-In Output'!$B$4:$B$424,0),MATCH(C11&amp;" Price",'Add-In Output'!$B$2:$U$2,0))</f>
        <v>61.89</v>
      </c>
      <c r="D12">
        <f>INDEX('Add-In Output'!$B$4:$U$212,MATCH($A$10,'Add-In Output'!$B$4:$B$424,0),MATCH(D11&amp;" Price",'Add-In Output'!$B$2:$U$2,0))</f>
        <v>498.8</v>
      </c>
      <c r="E12">
        <f>INDEX('Add-In Output'!$B$4:$U$212,MATCH($A$10,'Add-In Output'!$B$4:$B$424,0),MATCH(E11&amp;" Price",'Add-In Output'!$B$2:$U$2,0))</f>
        <v>1248</v>
      </c>
      <c r="F12">
        <f>INDEX('Add-In Output'!$B$4:$U$212,MATCH($A$10,'Add-In Output'!$B$4:$B$424,0),MATCH(F11&amp;" Price",'Add-In Output'!$B$2:$U$2,0))</f>
        <v>1992</v>
      </c>
      <c r="G12">
        <f>INDEX('Add-In Output'!$B$4:$U$212,MATCH($A$10,'Add-In Output'!$B$4:$B$424,0),MATCH(G11&amp;" Price",'Add-In Output'!$B$2:$U$2,0))</f>
        <v>4966</v>
      </c>
    </row>
  </sheetData>
  <mergeCells count="6">
    <mergeCell ref="A8:D8"/>
    <mergeCell ref="A1:O1"/>
    <mergeCell ref="A4:D4"/>
    <mergeCell ref="A5:D5"/>
    <mergeCell ref="A6:D6"/>
    <mergeCell ref="A7:D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FC1FA-EC2B-4FAE-8897-4B96916E75A9}">
  <dimension ref="A1:AR110"/>
  <sheetViews>
    <sheetView workbookViewId="0">
      <selection activeCell="D91" sqref="D91"/>
    </sheetView>
  </sheetViews>
  <sheetFormatPr defaultRowHeight="15"/>
  <cols>
    <col min="1" max="1" width="10.5703125" bestFit="1" customWidth="1"/>
    <col min="2" max="2" width="9.28515625" bestFit="1" customWidth="1"/>
    <col min="3" max="3" width="10" bestFit="1" customWidth="1"/>
    <col min="4" max="4" width="8.28515625" bestFit="1" customWidth="1"/>
    <col min="5" max="5" width="9.85546875" bestFit="1" customWidth="1"/>
    <col min="6" max="6" width="17.140625" bestFit="1" customWidth="1"/>
    <col min="7" max="7" width="10.85546875" bestFit="1" customWidth="1"/>
    <col min="8" max="8" width="44.140625" bestFit="1" customWidth="1"/>
    <col min="9" max="9" width="8.28515625" bestFit="1" customWidth="1"/>
    <col min="10" max="10" width="10" bestFit="1" customWidth="1"/>
    <col min="16" max="16" width="9.28515625" bestFit="1" customWidth="1"/>
    <col min="17" max="17" width="4.42578125" bestFit="1" customWidth="1"/>
    <col min="18" max="18" width="5.42578125" bestFit="1" customWidth="1"/>
    <col min="19" max="19" width="10.28515625" bestFit="1" customWidth="1"/>
    <col min="20" max="20" width="11" bestFit="1" customWidth="1"/>
    <col min="21" max="21" width="10" bestFit="1" customWidth="1"/>
    <col min="22" max="22" width="5.28515625" bestFit="1" customWidth="1"/>
    <col min="23" max="23" width="7.140625" bestFit="1" customWidth="1"/>
    <col min="24" max="24" width="12.28515625" bestFit="1" customWidth="1"/>
    <col min="25" max="25" width="7" bestFit="1" customWidth="1"/>
    <col min="26" max="26" width="10.5703125" bestFit="1" customWidth="1"/>
    <col min="27" max="27" width="8.140625" bestFit="1" customWidth="1"/>
    <col min="28" max="28" width="10.140625" bestFit="1" customWidth="1"/>
    <col min="29" max="29" width="7.85546875" bestFit="1" customWidth="1"/>
    <col min="30" max="30" width="9.7109375" bestFit="1" customWidth="1"/>
    <col min="31" max="31" width="8.42578125" bestFit="1" customWidth="1"/>
    <col min="32" max="32" width="10.7109375" bestFit="1" customWidth="1"/>
    <col min="33" max="33" width="15.42578125" bestFit="1" customWidth="1"/>
    <col min="34" max="34" width="12.5703125" bestFit="1" customWidth="1"/>
    <col min="35" max="35" width="12" bestFit="1" customWidth="1"/>
    <col min="36" max="36" width="13.85546875" bestFit="1" customWidth="1"/>
    <col min="37" max="37" width="15.5703125" bestFit="1" customWidth="1"/>
    <col min="38" max="38" width="21.85546875" bestFit="1" customWidth="1"/>
    <col min="39" max="39" width="15.85546875" bestFit="1" customWidth="1"/>
    <col min="40" max="40" width="12.42578125" bestFit="1" customWidth="1"/>
    <col min="41" max="41" width="12.5703125" bestFit="1" customWidth="1"/>
    <col min="42" max="42" width="14.28515625" bestFit="1" customWidth="1"/>
  </cols>
  <sheetData>
    <row r="1" spans="1:10" ht="15.75" thickBot="1"/>
    <row r="2" spans="1:10" ht="24.75" thickTop="1" thickBot="1">
      <c r="A2" s="212" t="s">
        <v>212</v>
      </c>
      <c r="B2" s="213"/>
      <c r="C2" s="213"/>
      <c r="D2" s="213"/>
      <c r="E2" s="213"/>
      <c r="F2" s="213"/>
      <c r="G2" s="213"/>
      <c r="H2" s="213"/>
      <c r="I2" s="214"/>
    </row>
    <row r="3" spans="1:10" ht="15.75" thickTop="1">
      <c r="A3" s="75"/>
      <c r="B3" s="76"/>
      <c r="C3" s="76"/>
      <c r="D3" s="76"/>
      <c r="E3" s="76"/>
      <c r="F3" s="76"/>
      <c r="G3" s="76"/>
      <c r="H3" s="76"/>
      <c r="I3" s="77"/>
      <c r="J3" s="72">
        <v>3</v>
      </c>
    </row>
    <row r="4" spans="1:10">
      <c r="A4" s="78"/>
      <c r="B4" s="79"/>
      <c r="C4" s="80">
        <v>1</v>
      </c>
      <c r="D4" s="79"/>
      <c r="E4" s="79"/>
      <c r="F4" s="80">
        <v>2</v>
      </c>
      <c r="G4" s="79"/>
      <c r="H4" s="81">
        <v>5</v>
      </c>
      <c r="I4" s="82"/>
      <c r="J4" s="72">
        <v>4</v>
      </c>
    </row>
    <row r="5" spans="1:10">
      <c r="A5" s="78"/>
      <c r="B5" s="79"/>
      <c r="C5" s="79"/>
      <c r="D5" s="81">
        <v>3</v>
      </c>
      <c r="E5" s="79"/>
      <c r="F5" s="79"/>
      <c r="G5" s="79"/>
      <c r="H5" s="79"/>
      <c r="I5" s="82"/>
      <c r="J5" s="72">
        <v>5</v>
      </c>
    </row>
    <row r="6" spans="1:10">
      <c r="A6" s="78"/>
      <c r="B6" s="83">
        <v>6</v>
      </c>
      <c r="C6" s="79"/>
      <c r="D6" s="79"/>
      <c r="E6" s="84">
        <v>1</v>
      </c>
      <c r="F6" s="79"/>
      <c r="G6" s="79"/>
      <c r="H6" s="81">
        <v>4</v>
      </c>
      <c r="I6" s="82"/>
      <c r="J6" s="72">
        <v>6</v>
      </c>
    </row>
    <row r="7" spans="1:10">
      <c r="A7" s="78"/>
      <c r="B7" s="79"/>
      <c r="C7" s="79"/>
      <c r="D7" s="84">
        <v>2</v>
      </c>
      <c r="E7" s="79"/>
      <c r="F7" s="83">
        <v>5</v>
      </c>
      <c r="G7" s="79"/>
      <c r="H7" s="79"/>
      <c r="I7" s="82"/>
      <c r="J7" s="72">
        <v>7</v>
      </c>
    </row>
    <row r="8" spans="1:10">
      <c r="A8" s="78"/>
      <c r="B8" s="79"/>
      <c r="C8" s="79"/>
      <c r="D8" s="79"/>
      <c r="E8" s="79"/>
      <c r="F8" s="79"/>
      <c r="G8" s="79"/>
      <c r="H8" s="80">
        <v>3</v>
      </c>
      <c r="I8" s="82"/>
      <c r="J8" s="72">
        <v>8</v>
      </c>
    </row>
    <row r="9" spans="1:10" ht="15.75" thickBot="1">
      <c r="A9" s="78"/>
      <c r="B9" s="81">
        <v>2</v>
      </c>
      <c r="C9" s="79"/>
      <c r="D9" s="83">
        <v>4</v>
      </c>
      <c r="E9" s="79"/>
      <c r="F9" s="79"/>
      <c r="G9" s="84">
        <v>5</v>
      </c>
      <c r="H9" s="79"/>
      <c r="I9" s="82"/>
      <c r="J9" s="72">
        <v>9</v>
      </c>
    </row>
    <row r="10" spans="1:10" ht="16.5" thickTop="1" thickBot="1">
      <c r="A10" s="78"/>
      <c r="B10" s="79"/>
      <c r="C10" s="79"/>
      <c r="D10" s="79"/>
      <c r="E10" s="85" t="s">
        <v>213</v>
      </c>
      <c r="F10" s="79"/>
      <c r="G10" s="79"/>
      <c r="H10" s="79"/>
      <c r="I10" s="82"/>
      <c r="J10" s="72">
        <v>10</v>
      </c>
    </row>
    <row r="11" spans="1:10" ht="15.75" thickTop="1">
      <c r="A11" s="78"/>
      <c r="B11" s="79"/>
      <c r="C11" s="81">
        <v>1</v>
      </c>
      <c r="D11" s="79"/>
      <c r="E11" s="79"/>
      <c r="F11" s="79"/>
      <c r="G11" s="80">
        <v>4</v>
      </c>
      <c r="H11" s="79"/>
      <c r="I11" s="82"/>
      <c r="J11" s="72">
        <v>11</v>
      </c>
    </row>
    <row r="12" spans="1:10">
      <c r="A12" s="78"/>
      <c r="B12" s="84">
        <v>3</v>
      </c>
      <c r="C12" s="79"/>
      <c r="D12" s="79"/>
      <c r="E12" s="83">
        <v>3</v>
      </c>
      <c r="F12" s="79"/>
      <c r="G12" s="79"/>
      <c r="H12" s="79"/>
      <c r="I12" s="82"/>
      <c r="J12" s="72">
        <v>12</v>
      </c>
    </row>
    <row r="13" spans="1:10">
      <c r="A13" s="78"/>
      <c r="B13" s="79"/>
      <c r="C13" s="79"/>
      <c r="D13" s="79"/>
      <c r="E13" s="79"/>
      <c r="F13" s="79"/>
      <c r="G13" s="79"/>
      <c r="H13" s="81">
        <v>6</v>
      </c>
      <c r="I13" s="82"/>
      <c r="J13" s="72">
        <v>13</v>
      </c>
    </row>
    <row r="14" spans="1:10">
      <c r="A14" s="78"/>
      <c r="B14" s="79"/>
      <c r="C14" s="80">
        <v>6</v>
      </c>
      <c r="D14" s="79"/>
      <c r="E14" s="79"/>
      <c r="F14" s="80">
        <v>5</v>
      </c>
      <c r="G14" s="79"/>
      <c r="H14" s="79"/>
      <c r="I14" s="82"/>
      <c r="J14" s="72">
        <v>14</v>
      </c>
    </row>
    <row r="15" spans="1:10">
      <c r="A15" s="78"/>
      <c r="B15" s="79"/>
      <c r="C15" s="79"/>
      <c r="D15" s="79"/>
      <c r="E15" s="79"/>
      <c r="F15" s="79"/>
      <c r="G15" s="81">
        <v>7</v>
      </c>
      <c r="H15" s="79"/>
      <c r="I15" s="82"/>
      <c r="J15" s="72">
        <v>15</v>
      </c>
    </row>
    <row r="16" spans="1:10">
      <c r="A16" s="78"/>
      <c r="B16" s="79"/>
      <c r="C16" s="83">
        <v>2</v>
      </c>
      <c r="D16" s="79"/>
      <c r="E16" s="84">
        <v>4</v>
      </c>
      <c r="F16" s="79"/>
      <c r="G16" s="79"/>
      <c r="H16" s="83">
        <v>1</v>
      </c>
      <c r="I16" s="82"/>
      <c r="J16" s="72">
        <v>16</v>
      </c>
    </row>
    <row r="17" spans="1:27" ht="15.75" thickBot="1">
      <c r="A17" s="86"/>
      <c r="B17" s="87"/>
      <c r="C17" s="87"/>
      <c r="D17" s="87"/>
      <c r="E17" s="87"/>
      <c r="F17" s="87"/>
      <c r="G17" s="87"/>
      <c r="H17" s="87"/>
      <c r="I17" s="88"/>
      <c r="J17" s="72">
        <v>17</v>
      </c>
    </row>
    <row r="18" spans="1:27" ht="15.75" thickTop="1">
      <c r="A18" s="72" t="s">
        <v>214</v>
      </c>
      <c r="B18" s="72" t="s">
        <v>215</v>
      </c>
      <c r="C18" s="72" t="s">
        <v>216</v>
      </c>
      <c r="D18" s="72" t="s">
        <v>217</v>
      </c>
      <c r="E18" s="72" t="s">
        <v>218</v>
      </c>
      <c r="F18" s="72" t="s">
        <v>219</v>
      </c>
      <c r="G18" s="72" t="s">
        <v>220</v>
      </c>
      <c r="H18" s="72" t="s">
        <v>221</v>
      </c>
      <c r="I18" s="72" t="s">
        <v>222</v>
      </c>
    </row>
    <row r="23" spans="1:27" ht="15.75" thickBot="1"/>
    <row r="24" spans="1:27" ht="24.75" thickTop="1" thickBot="1">
      <c r="A24" s="212" t="s">
        <v>212</v>
      </c>
      <c r="B24" s="213"/>
      <c r="C24" s="213"/>
      <c r="D24" s="213"/>
      <c r="E24" s="213"/>
      <c r="F24" s="213"/>
      <c r="G24" s="213"/>
      <c r="H24" s="213"/>
      <c r="I24" s="214"/>
      <c r="L24" t="s">
        <v>223</v>
      </c>
      <c r="U24" t="s">
        <v>224</v>
      </c>
    </row>
    <row r="25" spans="1:27" ht="15.75" thickTop="1">
      <c r="A25" s="75"/>
      <c r="B25" s="76"/>
      <c r="C25" s="76"/>
      <c r="D25" s="76"/>
      <c r="E25" s="76"/>
      <c r="F25" s="76"/>
      <c r="G25" s="76"/>
      <c r="H25" s="76"/>
      <c r="I25" s="77"/>
      <c r="J25" s="72">
        <v>3</v>
      </c>
      <c r="L25" s="123" t="str">
        <f>IF(OR(A3="",A3="R"),"",A$18&amp;$J3)</f>
        <v/>
      </c>
      <c r="M25" s="124" t="str">
        <f t="shared" ref="M25:Q25" si="0">IF(OR(B3="",B3="R"),"",B$18&amp;$J3)</f>
        <v/>
      </c>
      <c r="N25" s="124" t="str">
        <f t="shared" si="0"/>
        <v/>
      </c>
      <c r="O25" s="124" t="str">
        <f t="shared" si="0"/>
        <v/>
      </c>
      <c r="P25" s="124" t="str">
        <f t="shared" si="0"/>
        <v/>
      </c>
      <c r="Q25" s="124" t="str">
        <f t="shared" si="0"/>
        <v/>
      </c>
      <c r="R25" s="124" t="str">
        <f>IF(OR(G3="",G3="R"),"",G$18&amp;$J3)</f>
        <v/>
      </c>
      <c r="S25" s="124" t="str">
        <f t="shared" ref="S25" si="1">IF(OR(H3="",H3="R"),"",H$18&amp;$J3)</f>
        <v/>
      </c>
      <c r="T25" s="125" t="str">
        <f>IF(OR(I3="",I3="R"),"",I$18&amp;$J3)</f>
        <v/>
      </c>
      <c r="U25" t="str">
        <f>_xlfn.TEXTJOIN(", ",TRUE,L25:T25)</f>
        <v/>
      </c>
      <c r="Z25" t="s">
        <v>225</v>
      </c>
    </row>
    <row r="26" spans="1:27">
      <c r="A26" s="78"/>
      <c r="B26" s="79"/>
      <c r="C26" s="80" t="s">
        <v>174</v>
      </c>
      <c r="D26" s="79"/>
      <c r="E26" s="79"/>
      <c r="F26" s="80" t="s">
        <v>174</v>
      </c>
      <c r="G26" s="79"/>
      <c r="H26" s="81" t="s">
        <v>175</v>
      </c>
      <c r="I26" s="82"/>
      <c r="J26" s="72">
        <v>4</v>
      </c>
      <c r="L26" s="126" t="str">
        <f t="shared" ref="L26:L39" si="2">IF(OR(A4="",A4="R"),"",A$18&amp;$J4)</f>
        <v/>
      </c>
      <c r="M26" t="str">
        <f t="shared" ref="M26:M39" si="3">IF(OR(B4="",B4="R"),"",B$18&amp;$J4)</f>
        <v/>
      </c>
      <c r="N26" t="str">
        <f t="shared" ref="N26:N39" si="4">IF(OR(C4="",C4="R"),"",C$18&amp;$J4)</f>
        <v>D4</v>
      </c>
      <c r="O26" t="str">
        <f t="shared" ref="O26:O39" si="5">IF(OR(D4="",D4="R"),"",D$18&amp;$J4)</f>
        <v/>
      </c>
      <c r="P26" t="str">
        <f t="shared" ref="P26:P39" si="6">IF(OR(E4="",E4="R"),"",E$18&amp;$J4)</f>
        <v/>
      </c>
      <c r="Q26" t="str">
        <f t="shared" ref="Q26:R39" si="7">IF(OR(F4="",F4="R"),"",F$18&amp;$J4)</f>
        <v>G4</v>
      </c>
      <c r="R26" t="str">
        <f t="shared" si="7"/>
        <v/>
      </c>
      <c r="S26" t="str">
        <f t="shared" ref="S26:T39" si="8">IF(OR(H4="",H4="R"),"",H$18&amp;$J4)</f>
        <v>I4</v>
      </c>
      <c r="T26" s="127" t="str">
        <f t="shared" si="8"/>
        <v/>
      </c>
      <c r="U26" t="str">
        <f t="shared" ref="U26:U39" si="9">_xlfn.TEXTJOIN(", ",TRUE,L26:T26)</f>
        <v>D4, G4, I4</v>
      </c>
      <c r="Z26" t="s">
        <v>226</v>
      </c>
    </row>
    <row r="27" spans="1:27">
      <c r="A27" s="78"/>
      <c r="B27" s="79"/>
      <c r="C27" s="79"/>
      <c r="D27" s="81" t="s">
        <v>175</v>
      </c>
      <c r="E27" s="79"/>
      <c r="F27" s="79"/>
      <c r="G27" s="79"/>
      <c r="H27" s="79"/>
      <c r="I27" s="82"/>
      <c r="J27" s="72">
        <v>5</v>
      </c>
      <c r="L27" s="126" t="str">
        <f t="shared" si="2"/>
        <v/>
      </c>
      <c r="M27" t="str">
        <f t="shared" si="3"/>
        <v/>
      </c>
      <c r="N27" t="str">
        <f t="shared" si="4"/>
        <v/>
      </c>
      <c r="O27" t="str">
        <f t="shared" si="5"/>
        <v>E5</v>
      </c>
      <c r="P27" t="str">
        <f t="shared" si="6"/>
        <v/>
      </c>
      <c r="Q27" t="str">
        <f t="shared" si="7"/>
        <v/>
      </c>
      <c r="R27" t="str">
        <f t="shared" ref="R27:R39" si="10">IF(OR(G5="",G5="R"),"",G$18&amp;$J5)</f>
        <v/>
      </c>
      <c r="S27" t="str">
        <f t="shared" si="8"/>
        <v/>
      </c>
      <c r="T27" s="127" t="str">
        <f t="shared" ref="T27:T39" si="11">IF(OR(I5="",I5="R"),"",I$18&amp;$J5)</f>
        <v/>
      </c>
      <c r="U27" t="str">
        <f t="shared" si="9"/>
        <v>E5</v>
      </c>
      <c r="Z27" t="s">
        <v>227</v>
      </c>
    </row>
    <row r="28" spans="1:27">
      <c r="A28" s="78"/>
      <c r="B28" s="83" t="s">
        <v>173</v>
      </c>
      <c r="C28" s="79"/>
      <c r="D28" s="79"/>
      <c r="E28" s="84" t="s">
        <v>176</v>
      </c>
      <c r="F28" s="79"/>
      <c r="G28" s="79"/>
      <c r="H28" s="81" t="s">
        <v>175</v>
      </c>
      <c r="I28" s="82"/>
      <c r="J28" s="72">
        <v>6</v>
      </c>
      <c r="L28" s="126" t="str">
        <f t="shared" si="2"/>
        <v/>
      </c>
      <c r="M28" t="str">
        <f t="shared" si="3"/>
        <v>C6</v>
      </c>
      <c r="N28" t="str">
        <f t="shared" si="4"/>
        <v/>
      </c>
      <c r="O28" t="str">
        <f t="shared" si="5"/>
        <v/>
      </c>
      <c r="P28" t="str">
        <f t="shared" si="6"/>
        <v>F6</v>
      </c>
      <c r="Q28" t="str">
        <f t="shared" si="7"/>
        <v/>
      </c>
      <c r="R28" t="str">
        <f t="shared" si="10"/>
        <v/>
      </c>
      <c r="S28" t="str">
        <f t="shared" si="8"/>
        <v>I6</v>
      </c>
      <c r="T28" s="127" t="str">
        <f t="shared" si="11"/>
        <v/>
      </c>
      <c r="U28" t="str">
        <f t="shared" si="9"/>
        <v>C6, F6, I6</v>
      </c>
      <c r="Z28" t="s">
        <v>228</v>
      </c>
    </row>
    <row r="29" spans="1:27">
      <c r="A29" s="78"/>
      <c r="B29" s="79"/>
      <c r="C29" s="79"/>
      <c r="D29" s="84" t="s">
        <v>176</v>
      </c>
      <c r="E29" s="79"/>
      <c r="F29" s="83" t="s">
        <v>173</v>
      </c>
      <c r="G29" s="79"/>
      <c r="H29" s="79"/>
      <c r="I29" s="82"/>
      <c r="J29" s="72">
        <v>7</v>
      </c>
      <c r="L29" s="126" t="str">
        <f t="shared" si="2"/>
        <v/>
      </c>
      <c r="M29" t="str">
        <f t="shared" si="3"/>
        <v/>
      </c>
      <c r="N29" t="str">
        <f t="shared" si="4"/>
        <v/>
      </c>
      <c r="O29" t="str">
        <f t="shared" si="5"/>
        <v>E7</v>
      </c>
      <c r="P29" t="str">
        <f t="shared" si="6"/>
        <v/>
      </c>
      <c r="Q29" t="str">
        <f t="shared" si="7"/>
        <v>G7</v>
      </c>
      <c r="R29" t="str">
        <f t="shared" si="10"/>
        <v/>
      </c>
      <c r="S29" t="str">
        <f t="shared" si="8"/>
        <v/>
      </c>
      <c r="T29" s="127" t="str">
        <f t="shared" si="11"/>
        <v/>
      </c>
      <c r="U29" t="str">
        <f t="shared" si="9"/>
        <v>E7, G7</v>
      </c>
      <c r="Z29" t="s">
        <v>229</v>
      </c>
    </row>
    <row r="30" spans="1:27">
      <c r="A30" s="78"/>
      <c r="B30" s="79"/>
      <c r="C30" s="79"/>
      <c r="D30" s="79"/>
      <c r="E30" s="79"/>
      <c r="F30" s="79"/>
      <c r="G30" s="79"/>
      <c r="H30" s="80" t="s">
        <v>174</v>
      </c>
      <c r="I30" s="82"/>
      <c r="J30" s="72">
        <v>8</v>
      </c>
      <c r="L30" s="126" t="str">
        <f t="shared" si="2"/>
        <v/>
      </c>
      <c r="M30" t="str">
        <f t="shared" si="3"/>
        <v/>
      </c>
      <c r="N30" t="str">
        <f t="shared" si="4"/>
        <v/>
      </c>
      <c r="O30" t="str">
        <f t="shared" si="5"/>
        <v/>
      </c>
      <c r="P30" t="str">
        <f t="shared" si="6"/>
        <v/>
      </c>
      <c r="Q30" t="str">
        <f t="shared" si="7"/>
        <v/>
      </c>
      <c r="R30" t="str">
        <f t="shared" si="10"/>
        <v/>
      </c>
      <c r="S30" t="str">
        <f t="shared" si="8"/>
        <v>I8</v>
      </c>
      <c r="T30" s="127" t="str">
        <f t="shared" si="11"/>
        <v/>
      </c>
      <c r="U30" t="str">
        <f t="shared" si="9"/>
        <v>I8</v>
      </c>
      <c r="AA30" t="s">
        <v>230</v>
      </c>
    </row>
    <row r="31" spans="1:27" ht="15.75" thickBot="1">
      <c r="A31" s="78"/>
      <c r="B31" s="81" t="s">
        <v>175</v>
      </c>
      <c r="C31" s="79"/>
      <c r="D31" s="83" t="s">
        <v>173</v>
      </c>
      <c r="E31" s="79"/>
      <c r="F31" s="79"/>
      <c r="G31" s="84" t="s">
        <v>176</v>
      </c>
      <c r="H31" s="79"/>
      <c r="I31" s="82"/>
      <c r="J31" s="72">
        <v>9</v>
      </c>
      <c r="L31" s="126" t="str">
        <f t="shared" si="2"/>
        <v/>
      </c>
      <c r="M31" t="str">
        <f t="shared" si="3"/>
        <v>C9</v>
      </c>
      <c r="N31" t="str">
        <f t="shared" si="4"/>
        <v/>
      </c>
      <c r="O31" t="str">
        <f t="shared" si="5"/>
        <v>E9</v>
      </c>
      <c r="P31" t="str">
        <f t="shared" si="6"/>
        <v/>
      </c>
      <c r="Q31" t="str">
        <f t="shared" si="7"/>
        <v/>
      </c>
      <c r="R31" t="str">
        <f t="shared" si="10"/>
        <v>H9</v>
      </c>
      <c r="S31" t="str">
        <f t="shared" si="8"/>
        <v/>
      </c>
      <c r="T31" s="127" t="str">
        <f t="shared" si="11"/>
        <v/>
      </c>
      <c r="U31" t="str">
        <f t="shared" si="9"/>
        <v>C9, E9, H9</v>
      </c>
      <c r="Z31" t="s">
        <v>231</v>
      </c>
    </row>
    <row r="32" spans="1:27" ht="16.5" thickTop="1" thickBot="1">
      <c r="A32" s="78"/>
      <c r="B32" s="79"/>
      <c r="C32" s="79"/>
      <c r="D32" s="79"/>
      <c r="E32" s="85" t="s">
        <v>213</v>
      </c>
      <c r="F32" s="79"/>
      <c r="G32" s="79"/>
      <c r="H32" s="79"/>
      <c r="I32" s="82"/>
      <c r="J32" s="72">
        <v>10</v>
      </c>
      <c r="L32" s="126" t="str">
        <f t="shared" si="2"/>
        <v/>
      </c>
      <c r="M32" t="str">
        <f t="shared" si="3"/>
        <v/>
      </c>
      <c r="N32" t="str">
        <f t="shared" si="4"/>
        <v/>
      </c>
      <c r="O32" t="str">
        <f t="shared" si="5"/>
        <v/>
      </c>
      <c r="P32" t="str">
        <f t="shared" si="6"/>
        <v/>
      </c>
      <c r="Q32" t="str">
        <f t="shared" si="7"/>
        <v/>
      </c>
      <c r="R32" t="str">
        <f t="shared" si="10"/>
        <v/>
      </c>
      <c r="S32" t="str">
        <f t="shared" si="8"/>
        <v/>
      </c>
      <c r="T32" s="127" t="str">
        <f t="shared" si="11"/>
        <v/>
      </c>
      <c r="U32" t="str">
        <f t="shared" si="9"/>
        <v/>
      </c>
      <c r="Z32" t="s">
        <v>232</v>
      </c>
    </row>
    <row r="33" spans="1:44" ht="15.75" thickTop="1">
      <c r="A33" s="78"/>
      <c r="B33" s="79"/>
      <c r="C33" s="81" t="s">
        <v>175</v>
      </c>
      <c r="D33" s="79"/>
      <c r="E33" s="79"/>
      <c r="F33" s="79"/>
      <c r="G33" s="80" t="s">
        <v>174</v>
      </c>
      <c r="H33" s="79"/>
      <c r="I33" s="82"/>
      <c r="J33" s="72">
        <v>11</v>
      </c>
      <c r="L33" s="126" t="str">
        <f t="shared" si="2"/>
        <v/>
      </c>
      <c r="M33" t="str">
        <f t="shared" si="3"/>
        <v/>
      </c>
      <c r="N33" t="str">
        <f t="shared" si="4"/>
        <v>D11</v>
      </c>
      <c r="O33" t="str">
        <f t="shared" si="5"/>
        <v/>
      </c>
      <c r="P33" t="str">
        <f t="shared" si="6"/>
        <v/>
      </c>
      <c r="Q33" t="str">
        <f t="shared" si="7"/>
        <v/>
      </c>
      <c r="R33" t="str">
        <f t="shared" si="10"/>
        <v>H11</v>
      </c>
      <c r="S33" t="str">
        <f t="shared" si="8"/>
        <v/>
      </c>
      <c r="T33" s="127" t="str">
        <f t="shared" si="11"/>
        <v/>
      </c>
      <c r="U33" t="str">
        <f t="shared" si="9"/>
        <v>D11, H11</v>
      </c>
    </row>
    <row r="34" spans="1:44">
      <c r="A34" s="78"/>
      <c r="B34" s="84" t="s">
        <v>176</v>
      </c>
      <c r="C34" s="79"/>
      <c r="D34" s="79"/>
      <c r="E34" s="83" t="s">
        <v>173</v>
      </c>
      <c r="F34" s="79"/>
      <c r="G34" s="79"/>
      <c r="H34" s="79"/>
      <c r="I34" s="82"/>
      <c r="J34" s="72">
        <v>12</v>
      </c>
      <c r="L34" s="126" t="str">
        <f t="shared" si="2"/>
        <v/>
      </c>
      <c r="M34" t="str">
        <f t="shared" si="3"/>
        <v>C12</v>
      </c>
      <c r="N34" t="str">
        <f t="shared" si="4"/>
        <v/>
      </c>
      <c r="O34" t="str">
        <f t="shared" si="5"/>
        <v/>
      </c>
      <c r="P34" t="str">
        <f t="shared" si="6"/>
        <v>F12</v>
      </c>
      <c r="Q34" t="str">
        <f t="shared" si="7"/>
        <v/>
      </c>
      <c r="R34" t="str">
        <f t="shared" si="10"/>
        <v/>
      </c>
      <c r="S34" t="str">
        <f t="shared" si="8"/>
        <v/>
      </c>
      <c r="T34" s="127" t="str">
        <f t="shared" si="11"/>
        <v/>
      </c>
      <c r="U34" t="str">
        <f t="shared" si="9"/>
        <v>C12, F12</v>
      </c>
    </row>
    <row r="35" spans="1:44">
      <c r="A35" s="78"/>
      <c r="B35" s="79"/>
      <c r="C35" s="79"/>
      <c r="D35" s="79"/>
      <c r="E35" s="79"/>
      <c r="F35" s="79"/>
      <c r="G35" s="79"/>
      <c r="H35" s="81" t="s">
        <v>175</v>
      </c>
      <c r="I35" s="82"/>
      <c r="J35" s="72">
        <v>13</v>
      </c>
      <c r="L35" s="126" t="str">
        <f t="shared" si="2"/>
        <v/>
      </c>
      <c r="M35" t="str">
        <f t="shared" si="3"/>
        <v/>
      </c>
      <c r="N35" t="str">
        <f t="shared" si="4"/>
        <v/>
      </c>
      <c r="O35" t="str">
        <f t="shared" si="5"/>
        <v/>
      </c>
      <c r="P35" t="str">
        <f t="shared" si="6"/>
        <v/>
      </c>
      <c r="Q35" t="str">
        <f t="shared" si="7"/>
        <v/>
      </c>
      <c r="R35" t="str">
        <f t="shared" si="10"/>
        <v/>
      </c>
      <c r="S35" t="str">
        <f t="shared" si="8"/>
        <v>I13</v>
      </c>
      <c r="T35" s="127" t="str">
        <f t="shared" si="11"/>
        <v/>
      </c>
      <c r="U35" t="str">
        <f t="shared" si="9"/>
        <v>I13</v>
      </c>
    </row>
    <row r="36" spans="1:44">
      <c r="A36" s="78"/>
      <c r="B36" s="79"/>
      <c r="C36" s="80" t="s">
        <v>174</v>
      </c>
      <c r="D36" s="79"/>
      <c r="E36" s="79"/>
      <c r="F36" s="80" t="s">
        <v>174</v>
      </c>
      <c r="G36" s="79"/>
      <c r="H36" s="79"/>
      <c r="I36" s="82"/>
      <c r="J36" s="72">
        <v>14</v>
      </c>
      <c r="L36" s="126" t="str">
        <f t="shared" si="2"/>
        <v/>
      </c>
      <c r="M36" t="str">
        <f t="shared" si="3"/>
        <v/>
      </c>
      <c r="N36" t="str">
        <f t="shared" si="4"/>
        <v>D14</v>
      </c>
      <c r="O36" t="str">
        <f t="shared" si="5"/>
        <v/>
      </c>
      <c r="P36" t="str">
        <f t="shared" si="6"/>
        <v/>
      </c>
      <c r="Q36" t="str">
        <f t="shared" si="7"/>
        <v>G14</v>
      </c>
      <c r="R36" t="str">
        <f t="shared" si="10"/>
        <v/>
      </c>
      <c r="S36" t="str">
        <f t="shared" si="8"/>
        <v/>
      </c>
      <c r="T36" s="127" t="str">
        <f t="shared" si="11"/>
        <v/>
      </c>
      <c r="U36" t="str">
        <f t="shared" si="9"/>
        <v>D14, G14</v>
      </c>
    </row>
    <row r="37" spans="1:44">
      <c r="A37" s="78"/>
      <c r="B37" s="79"/>
      <c r="C37" s="79"/>
      <c r="D37" s="79"/>
      <c r="E37" s="79"/>
      <c r="F37" s="79"/>
      <c r="G37" s="81" t="s">
        <v>175</v>
      </c>
      <c r="H37" s="79"/>
      <c r="I37" s="82"/>
      <c r="J37" s="72">
        <v>15</v>
      </c>
      <c r="L37" s="126" t="str">
        <f t="shared" si="2"/>
        <v/>
      </c>
      <c r="M37" t="str">
        <f t="shared" si="3"/>
        <v/>
      </c>
      <c r="N37" t="str">
        <f t="shared" si="4"/>
        <v/>
      </c>
      <c r="O37" t="str">
        <f t="shared" si="5"/>
        <v/>
      </c>
      <c r="P37" t="str">
        <f t="shared" si="6"/>
        <v/>
      </c>
      <c r="Q37" t="str">
        <f t="shared" si="7"/>
        <v/>
      </c>
      <c r="R37" t="str">
        <f t="shared" si="10"/>
        <v>H15</v>
      </c>
      <c r="S37" t="str">
        <f t="shared" si="8"/>
        <v/>
      </c>
      <c r="T37" s="127" t="str">
        <f t="shared" si="11"/>
        <v/>
      </c>
      <c r="U37" t="str">
        <f t="shared" si="9"/>
        <v>H15</v>
      </c>
    </row>
    <row r="38" spans="1:44">
      <c r="A38" s="78"/>
      <c r="B38" s="79"/>
      <c r="C38" s="83" t="s">
        <v>173</v>
      </c>
      <c r="D38" s="79"/>
      <c r="E38" s="84" t="s">
        <v>176</v>
      </c>
      <c r="F38" s="79"/>
      <c r="G38" s="79"/>
      <c r="H38" s="83" t="s">
        <v>173</v>
      </c>
      <c r="I38" s="82"/>
      <c r="J38" s="72">
        <v>16</v>
      </c>
      <c r="L38" s="126" t="str">
        <f t="shared" si="2"/>
        <v/>
      </c>
      <c r="M38" t="str">
        <f t="shared" si="3"/>
        <v/>
      </c>
      <c r="N38" t="str">
        <f t="shared" si="4"/>
        <v>D16</v>
      </c>
      <c r="O38" t="str">
        <f t="shared" si="5"/>
        <v/>
      </c>
      <c r="P38" t="str">
        <f t="shared" si="6"/>
        <v>F16</v>
      </c>
      <c r="Q38" t="str">
        <f t="shared" si="7"/>
        <v/>
      </c>
      <c r="R38" t="str">
        <f t="shared" si="10"/>
        <v/>
      </c>
      <c r="S38" t="str">
        <f t="shared" si="8"/>
        <v>I16</v>
      </c>
      <c r="T38" s="127" t="str">
        <f t="shared" si="11"/>
        <v/>
      </c>
      <c r="U38" t="str">
        <f t="shared" si="9"/>
        <v>D16, F16, I16</v>
      </c>
    </row>
    <row r="39" spans="1:44" ht="15.75" thickBot="1">
      <c r="A39" s="86"/>
      <c r="B39" s="87"/>
      <c r="C39" s="87"/>
      <c r="D39" s="87"/>
      <c r="E39" s="87"/>
      <c r="F39" s="87"/>
      <c r="G39" s="87"/>
      <c r="H39" s="87"/>
      <c r="I39" s="88"/>
      <c r="J39" s="72">
        <v>17</v>
      </c>
      <c r="L39" s="128" t="str">
        <f t="shared" si="2"/>
        <v/>
      </c>
      <c r="M39" s="129" t="str">
        <f t="shared" si="3"/>
        <v/>
      </c>
      <c r="N39" s="129" t="str">
        <f t="shared" si="4"/>
        <v/>
      </c>
      <c r="O39" s="129" t="str">
        <f t="shared" si="5"/>
        <v/>
      </c>
      <c r="P39" s="129" t="str">
        <f t="shared" si="6"/>
        <v/>
      </c>
      <c r="Q39" s="129" t="str">
        <f t="shared" si="7"/>
        <v/>
      </c>
      <c r="R39" s="129" t="str">
        <f t="shared" si="10"/>
        <v/>
      </c>
      <c r="S39" s="129" t="str">
        <f t="shared" si="8"/>
        <v/>
      </c>
      <c r="T39" s="130" t="str">
        <f t="shared" si="11"/>
        <v/>
      </c>
      <c r="U39" t="str">
        <f t="shared" si="9"/>
        <v/>
      </c>
    </row>
    <row r="40" spans="1:44" ht="15.75" thickTop="1">
      <c r="A40" s="72" t="s">
        <v>214</v>
      </c>
      <c r="B40" s="72" t="s">
        <v>215</v>
      </c>
      <c r="C40" s="72" t="s">
        <v>216</v>
      </c>
      <c r="D40" s="72" t="s">
        <v>217</v>
      </c>
      <c r="E40" s="72" t="s">
        <v>218</v>
      </c>
      <c r="F40" s="72" t="s">
        <v>219</v>
      </c>
      <c r="G40" s="72" t="s">
        <v>220</v>
      </c>
      <c r="H40" s="72" t="s">
        <v>221</v>
      </c>
      <c r="I40" s="72" t="s">
        <v>222</v>
      </c>
      <c r="T40" t="s">
        <v>233</v>
      </c>
      <c r="U40" t="str">
        <f>_xlfn.TEXTJOIN(", ",TRUE,U25:U39)</f>
        <v>D4, G4, I4, E5, C6, F6, I6, E7, G7, I8, C9, E9, H9, D11, H11, C12, F12, I13, D14, G14, H15, D16, F16, I16</v>
      </c>
    </row>
    <row r="41" spans="1:44">
      <c r="T41" t="s">
        <v>234</v>
      </c>
      <c r="U41" t="str" cm="1">
        <f t="array" ref="U41:AR41">_xlfn.TEXTSPLIT(U40,", ")</f>
        <v>D4</v>
      </c>
      <c r="V41" t="str">
        <v>G4</v>
      </c>
      <c r="W41" t="str">
        <v>I4</v>
      </c>
      <c r="X41" t="str">
        <v>E5</v>
      </c>
      <c r="Y41" t="str">
        <v>C6</v>
      </c>
      <c r="Z41" t="str">
        <v>F6</v>
      </c>
      <c r="AA41" t="str">
        <v>I6</v>
      </c>
      <c r="AB41" t="str">
        <v>E7</v>
      </c>
      <c r="AC41" t="str">
        <v>G7</v>
      </c>
      <c r="AD41" t="str">
        <v>I8</v>
      </c>
      <c r="AE41" t="str">
        <v>C9</v>
      </c>
      <c r="AF41" t="str">
        <v>E9</v>
      </c>
      <c r="AG41" t="str">
        <v>H9</v>
      </c>
      <c r="AH41" t="str">
        <v>D11</v>
      </c>
      <c r="AI41" t="str">
        <v>H11</v>
      </c>
      <c r="AJ41" t="str">
        <v>C12</v>
      </c>
      <c r="AK41" t="str">
        <v>F12</v>
      </c>
      <c r="AL41" t="str">
        <v>I13</v>
      </c>
      <c r="AM41" t="str">
        <v>D14</v>
      </c>
      <c r="AN41" t="str">
        <v>G14</v>
      </c>
      <c r="AO41" t="str">
        <v>H15</v>
      </c>
      <c r="AP41" t="str">
        <v>D16</v>
      </c>
      <c r="AQ41" t="str">
        <v>F16</v>
      </c>
      <c r="AR41" t="str">
        <v>I16</v>
      </c>
    </row>
    <row r="42" spans="1:44" ht="15.75" thickBot="1">
      <c r="A42" s="60" t="s">
        <v>27</v>
      </c>
      <c r="B42" s="3"/>
      <c r="C42" s="3"/>
      <c r="D42" s="35"/>
      <c r="E42" s="3"/>
      <c r="F42" s="107" t="s">
        <v>28</v>
      </c>
      <c r="G42" s="1"/>
      <c r="H42" s="60" t="s">
        <v>29</v>
      </c>
      <c r="I42" s="3"/>
      <c r="J42" s="3"/>
      <c r="K42" s="3"/>
      <c r="L42" s="3"/>
      <c r="M42" s="3"/>
      <c r="N42" s="3"/>
      <c r="P42" t="s">
        <v>235</v>
      </c>
    </row>
    <row r="43" spans="1:44" ht="15.75" thickBot="1">
      <c r="A43" s="170" t="s">
        <v>30</v>
      </c>
      <c r="B43" s="171"/>
      <c r="C43" s="171"/>
      <c r="D43" s="172"/>
      <c r="E43" s="3" t="s">
        <v>236</v>
      </c>
      <c r="F43" s="49" t="s">
        <v>31</v>
      </c>
      <c r="G43" s="1"/>
      <c r="H43" s="49" t="s">
        <v>10</v>
      </c>
      <c r="I43" s="49" t="s">
        <v>11</v>
      </c>
      <c r="J43" s="49" t="s">
        <v>12</v>
      </c>
      <c r="K43" s="49" t="s">
        <v>13</v>
      </c>
      <c r="L43" s="49" t="s">
        <v>14</v>
      </c>
      <c r="M43" s="49" t="s">
        <v>15</v>
      </c>
      <c r="N43" s="49" t="s">
        <v>16</v>
      </c>
      <c r="P43" s="110" t="s">
        <v>105</v>
      </c>
      <c r="Q43" s="110" t="s">
        <v>237</v>
      </c>
      <c r="R43" s="110" t="s">
        <v>238</v>
      </c>
      <c r="S43" s="110" t="s">
        <v>239</v>
      </c>
      <c r="T43" s="110" t="s">
        <v>240</v>
      </c>
      <c r="U43" s="110" t="s">
        <v>241</v>
      </c>
      <c r="V43" s="110" t="s">
        <v>242</v>
      </c>
      <c r="W43" s="110" t="s">
        <v>243</v>
      </c>
      <c r="X43" s="110" t="s">
        <v>244</v>
      </c>
      <c r="Y43" s="110" t="s">
        <v>245</v>
      </c>
      <c r="Z43" s="49" t="s">
        <v>10</v>
      </c>
      <c r="AA43" s="49" t="s">
        <v>11</v>
      </c>
      <c r="AB43" s="49" t="s">
        <v>12</v>
      </c>
      <c r="AC43" s="49" t="s">
        <v>13</v>
      </c>
      <c r="AD43" s="49" t="s">
        <v>14</v>
      </c>
      <c r="AE43" s="49" t="s">
        <v>15</v>
      </c>
      <c r="AF43" s="49" t="s">
        <v>16</v>
      </c>
      <c r="AG43" s="112" t="s">
        <v>246</v>
      </c>
      <c r="AH43" s="112" t="s">
        <v>247</v>
      </c>
      <c r="AI43" s="112" t="s">
        <v>248</v>
      </c>
    </row>
    <row r="44" spans="1:44">
      <c r="A44" s="197" t="s">
        <v>32</v>
      </c>
      <c r="B44" s="198"/>
      <c r="C44" s="198"/>
      <c r="D44" s="199"/>
      <c r="E44" s="3" t="s">
        <v>173</v>
      </c>
      <c r="F44" s="93">
        <v>0.1</v>
      </c>
      <c r="G44" s="1"/>
      <c r="H44" s="92">
        <v>400</v>
      </c>
      <c r="I44" s="92"/>
      <c r="J44" s="92"/>
      <c r="K44" s="92"/>
      <c r="L44" s="92"/>
      <c r="M44" s="92"/>
      <c r="N44" s="92"/>
      <c r="P44" t="s">
        <v>140</v>
      </c>
      <c r="Q44" t="str">
        <f>LEFT(P44,1)</f>
        <v>D</v>
      </c>
      <c r="R44">
        <f>VALUE(SUBSTITUTE(P44,Q44,""))</f>
        <v>4</v>
      </c>
      <c r="S44" t="str">
        <f>INDEX($A$25:$I$39,MATCH(R44,$J$25:$J$39,0),MATCH(Q44,$A$40:$I$40,0))</f>
        <v>b</v>
      </c>
      <c r="T44" t="str">
        <f>INDEX($A$44:$A$47,MATCH(S44,$E$44:$E$47,0))</f>
        <v>Scordite</v>
      </c>
      <c r="U44">
        <f>INDEX($A$3:$I$17,MATCH(R44,$J$3:$J$17,0),MATCH(Q44,$A$18:$I$18,0))*1000</f>
        <v>1000</v>
      </c>
      <c r="V44">
        <f>INDEX($A$56:$D$56,1,MATCH(T44,$A$55:$D$55,0))</f>
        <v>4</v>
      </c>
      <c r="W44" s="114">
        <f>VLOOKUP(V44,$A$59:$B$64,2,FALSE)</f>
        <v>0.05</v>
      </c>
      <c r="X44" s="122">
        <f>U44*(1-W44)</f>
        <v>950</v>
      </c>
      <c r="Y44" s="122">
        <f>X44*INDEX($F$44:$F$47,MATCH(T44,$A$44:$A$47,0))</f>
        <v>142.5</v>
      </c>
      <c r="Z44">
        <f>INDEX($H$44:$N$47,MATCH($T44,$A$44:$A$47,0),MATCH(Z$43,$H$43:$N$43,0))</f>
        <v>150</v>
      </c>
      <c r="AA44">
        <f t="shared" ref="AA44:AF59" si="12">INDEX($H$44:$N$47,MATCH($T44,$A$44:$A$47,0),MATCH(AA$43,$H$43:$N$43,0))</f>
        <v>90</v>
      </c>
      <c r="AB44">
        <f t="shared" si="12"/>
        <v>0</v>
      </c>
      <c r="AC44">
        <f t="shared" si="12"/>
        <v>0</v>
      </c>
      <c r="AD44">
        <f t="shared" si="12"/>
        <v>0</v>
      </c>
      <c r="AE44">
        <f t="shared" si="12"/>
        <v>0</v>
      </c>
      <c r="AF44">
        <f t="shared" si="12"/>
        <v>0</v>
      </c>
      <c r="AG44">
        <f>SUMPRODUCT(Z44:AF44,$A$51:$G$51)</f>
        <v>1548.3</v>
      </c>
      <c r="AH44" s="122">
        <f>AG44*X44</f>
        <v>1470885</v>
      </c>
      <c r="AI44" s="134">
        <f>ROUND(AH44/Y44,10)</f>
        <v>10322</v>
      </c>
    </row>
    <row r="45" spans="1:44">
      <c r="A45" s="200" t="s">
        <v>33</v>
      </c>
      <c r="B45" s="201"/>
      <c r="C45" s="201"/>
      <c r="D45" s="202"/>
      <c r="E45" s="3" t="s">
        <v>174</v>
      </c>
      <c r="F45" s="94">
        <v>0.15</v>
      </c>
      <c r="G45" s="1"/>
      <c r="H45" s="89">
        <v>150</v>
      </c>
      <c r="I45" s="89">
        <v>90</v>
      </c>
      <c r="J45" s="89"/>
      <c r="K45" s="89"/>
      <c r="L45" s="89"/>
      <c r="M45" s="89"/>
      <c r="N45" s="89"/>
      <c r="P45" t="s">
        <v>127</v>
      </c>
      <c r="Q45" t="str">
        <f t="shared" ref="Q45:Q67" si="13">LEFT(P45,1)</f>
        <v>G</v>
      </c>
      <c r="R45">
        <f t="shared" ref="R45:R67" si="14">VALUE(SUBSTITUTE(P45,Q45,""))</f>
        <v>4</v>
      </c>
      <c r="S45" t="str">
        <f t="shared" ref="S45:S67" si="15">INDEX($A$25:$I$39,MATCH(R45,$J$25:$J$39,0),MATCH(Q45,$A$40:$I$40,0))</f>
        <v>b</v>
      </c>
      <c r="T45" t="str">
        <f t="shared" ref="T45:T67" si="16">INDEX($A$44:$A$47,MATCH(S45,$E$44:$E$47,0))</f>
        <v>Scordite</v>
      </c>
      <c r="U45">
        <f t="shared" ref="U45:U67" si="17">INDEX($A$3:$I$17,MATCH(R45,$J$3:$J$17,0),MATCH(Q45,$A$18:$I$18,0))*1000</f>
        <v>2000</v>
      </c>
      <c r="V45">
        <f t="shared" ref="V45:V67" si="18">INDEX($A$56:$D$56,1,MATCH(T45,$A$55:$D$55,0))</f>
        <v>4</v>
      </c>
      <c r="W45" s="114">
        <f t="shared" ref="W45:W67" si="19">VLOOKUP(V45,$A$59:$B$64,2,FALSE)</f>
        <v>0.05</v>
      </c>
      <c r="X45" s="122">
        <f t="shared" ref="X45:X67" si="20">U45*(1-W45)</f>
        <v>1900</v>
      </c>
      <c r="Y45" s="122">
        <f t="shared" ref="Y45:Y67" si="21">X45*INDEX($F$44:$F$47,MATCH(T45,$A$44:$A$47,0))</f>
        <v>285</v>
      </c>
      <c r="Z45">
        <f t="shared" ref="Z45:AF67" si="22">INDEX($H$44:$N$47,MATCH($T45,$A$44:$A$47,0),MATCH(Z$43,$H$43:$N$43,0))</f>
        <v>150</v>
      </c>
      <c r="AA45">
        <f t="shared" si="12"/>
        <v>90</v>
      </c>
      <c r="AB45">
        <f t="shared" si="12"/>
        <v>0</v>
      </c>
      <c r="AC45">
        <f t="shared" si="12"/>
        <v>0</v>
      </c>
      <c r="AD45">
        <f t="shared" si="12"/>
        <v>0</v>
      </c>
      <c r="AE45">
        <f t="shared" si="12"/>
        <v>0</v>
      </c>
      <c r="AF45">
        <f t="shared" si="12"/>
        <v>0</v>
      </c>
      <c r="AG45">
        <f t="shared" ref="AG45:AG67" si="23">SUMPRODUCT(Z45:AF45,$A$51:$G$51)</f>
        <v>1548.3</v>
      </c>
      <c r="AH45" s="122">
        <f t="shared" ref="AH45:AH67" si="24">AG45*X45</f>
        <v>2941770</v>
      </c>
      <c r="AI45" s="134">
        <f t="shared" ref="AI45:AI67" si="25">ROUND(AH45/Y45,10)</f>
        <v>10322</v>
      </c>
    </row>
    <row r="46" spans="1:44">
      <c r="A46" s="203" t="s">
        <v>34</v>
      </c>
      <c r="B46" s="204"/>
      <c r="C46" s="204"/>
      <c r="D46" s="205"/>
      <c r="E46" s="3" t="s">
        <v>176</v>
      </c>
      <c r="F46" s="95">
        <v>0.6</v>
      </c>
      <c r="G46" s="1"/>
      <c r="H46" s="90"/>
      <c r="I46" s="90">
        <v>90</v>
      </c>
      <c r="J46" s="90"/>
      <c r="K46" s="90">
        <v>75</v>
      </c>
      <c r="L46" s="90"/>
      <c r="M46" s="90"/>
      <c r="N46" s="90"/>
      <c r="P46" t="s">
        <v>109</v>
      </c>
      <c r="Q46" t="str">
        <f t="shared" si="13"/>
        <v>I</v>
      </c>
      <c r="R46">
        <f t="shared" si="14"/>
        <v>4</v>
      </c>
      <c r="S46" t="str">
        <f t="shared" si="15"/>
        <v>d</v>
      </c>
      <c r="T46" t="str">
        <f t="shared" si="16"/>
        <v>Kernite</v>
      </c>
      <c r="U46">
        <f t="shared" si="17"/>
        <v>5000</v>
      </c>
      <c r="V46">
        <f t="shared" si="18"/>
        <v>2</v>
      </c>
      <c r="W46" s="114">
        <f t="shared" si="19"/>
        <v>0.15</v>
      </c>
      <c r="X46" s="122">
        <f t="shared" si="20"/>
        <v>4250</v>
      </c>
      <c r="Y46" s="122">
        <f t="shared" si="21"/>
        <v>5100</v>
      </c>
      <c r="Z46">
        <f t="shared" si="22"/>
        <v>0</v>
      </c>
      <c r="AA46">
        <f t="shared" si="12"/>
        <v>0</v>
      </c>
      <c r="AB46">
        <f t="shared" si="12"/>
        <v>60</v>
      </c>
      <c r="AC46">
        <f t="shared" si="12"/>
        <v>120</v>
      </c>
      <c r="AD46">
        <f t="shared" si="12"/>
        <v>0</v>
      </c>
      <c r="AE46">
        <f t="shared" si="12"/>
        <v>0</v>
      </c>
      <c r="AF46">
        <f t="shared" si="12"/>
        <v>0</v>
      </c>
      <c r="AG46">
        <f t="shared" si="23"/>
        <v>58303.199999999997</v>
      </c>
      <c r="AH46" s="122">
        <f t="shared" si="24"/>
        <v>247788600</v>
      </c>
      <c r="AI46" s="134">
        <f t="shared" si="25"/>
        <v>48586</v>
      </c>
    </row>
    <row r="47" spans="1:44">
      <c r="A47" s="166" t="s">
        <v>35</v>
      </c>
      <c r="B47" s="167"/>
      <c r="C47" s="167"/>
      <c r="D47" s="168"/>
      <c r="E47" s="3" t="s">
        <v>175</v>
      </c>
      <c r="F47" s="96">
        <v>1.2</v>
      </c>
      <c r="G47" s="1"/>
      <c r="H47" s="91"/>
      <c r="I47" s="91"/>
      <c r="J47" s="91">
        <v>60</v>
      </c>
      <c r="K47" s="91">
        <v>120</v>
      </c>
      <c r="L47" s="91"/>
      <c r="M47" s="91"/>
      <c r="N47" s="91"/>
      <c r="P47" t="s">
        <v>111</v>
      </c>
      <c r="Q47" t="str">
        <f t="shared" si="13"/>
        <v>E</v>
      </c>
      <c r="R47">
        <f t="shared" si="14"/>
        <v>5</v>
      </c>
      <c r="S47" t="str">
        <f t="shared" si="15"/>
        <v>d</v>
      </c>
      <c r="T47" t="str">
        <f t="shared" si="16"/>
        <v>Kernite</v>
      </c>
      <c r="U47">
        <f t="shared" si="17"/>
        <v>3000</v>
      </c>
      <c r="V47">
        <f t="shared" si="18"/>
        <v>2</v>
      </c>
      <c r="W47" s="114">
        <f t="shared" si="19"/>
        <v>0.15</v>
      </c>
      <c r="X47" s="122">
        <f t="shared" si="20"/>
        <v>2550</v>
      </c>
      <c r="Y47" s="122">
        <f t="shared" si="21"/>
        <v>3060</v>
      </c>
      <c r="Z47">
        <f t="shared" si="22"/>
        <v>0</v>
      </c>
      <c r="AA47">
        <f t="shared" si="12"/>
        <v>0</v>
      </c>
      <c r="AB47">
        <f t="shared" si="12"/>
        <v>60</v>
      </c>
      <c r="AC47">
        <f t="shared" si="12"/>
        <v>120</v>
      </c>
      <c r="AD47">
        <f t="shared" si="12"/>
        <v>0</v>
      </c>
      <c r="AE47">
        <f t="shared" si="12"/>
        <v>0</v>
      </c>
      <c r="AF47">
        <f t="shared" si="12"/>
        <v>0</v>
      </c>
      <c r="AG47">
        <f t="shared" si="23"/>
        <v>58303.199999999997</v>
      </c>
      <c r="AH47" s="122">
        <f t="shared" si="24"/>
        <v>148673160</v>
      </c>
      <c r="AI47" s="134">
        <f t="shared" si="25"/>
        <v>48586</v>
      </c>
    </row>
    <row r="48" spans="1:44">
      <c r="P48" t="s">
        <v>108</v>
      </c>
      <c r="Q48" t="str">
        <f t="shared" si="13"/>
        <v>C</v>
      </c>
      <c r="R48">
        <f t="shared" si="14"/>
        <v>6</v>
      </c>
      <c r="S48" t="str">
        <f t="shared" si="15"/>
        <v>a</v>
      </c>
      <c r="T48" t="str">
        <f t="shared" si="16"/>
        <v>Veldspar</v>
      </c>
      <c r="U48">
        <f t="shared" si="17"/>
        <v>6000</v>
      </c>
      <c r="V48">
        <f t="shared" si="18"/>
        <v>5</v>
      </c>
      <c r="W48" s="114">
        <f t="shared" si="19"/>
        <v>0</v>
      </c>
      <c r="X48" s="122">
        <f t="shared" si="20"/>
        <v>6000</v>
      </c>
      <c r="Y48" s="122">
        <f t="shared" si="21"/>
        <v>600</v>
      </c>
      <c r="Z48">
        <f t="shared" si="22"/>
        <v>400</v>
      </c>
      <c r="AA48">
        <f t="shared" si="12"/>
        <v>0</v>
      </c>
      <c r="AB48">
        <f t="shared" si="12"/>
        <v>0</v>
      </c>
      <c r="AC48">
        <f t="shared" si="12"/>
        <v>0</v>
      </c>
      <c r="AD48">
        <f t="shared" si="12"/>
        <v>0</v>
      </c>
      <c r="AE48">
        <f t="shared" si="12"/>
        <v>0</v>
      </c>
      <c r="AF48">
        <f t="shared" si="12"/>
        <v>0</v>
      </c>
      <c r="AG48">
        <f t="shared" si="23"/>
        <v>1700</v>
      </c>
      <c r="AH48" s="122">
        <f t="shared" si="24"/>
        <v>10200000</v>
      </c>
      <c r="AI48" s="134">
        <f t="shared" si="25"/>
        <v>17000</v>
      </c>
    </row>
    <row r="49" spans="1:35" ht="16.5" thickBot="1">
      <c r="A49" s="46" t="s">
        <v>249</v>
      </c>
      <c r="B49" s="46"/>
      <c r="C49" s="46"/>
      <c r="D49" s="46"/>
      <c r="E49" s="46"/>
      <c r="F49" s="46"/>
      <c r="G49" s="44"/>
      <c r="P49" t="s">
        <v>125</v>
      </c>
      <c r="Q49" t="str">
        <f t="shared" si="13"/>
        <v>F</v>
      </c>
      <c r="R49">
        <f t="shared" si="14"/>
        <v>6</v>
      </c>
      <c r="S49" t="str">
        <f t="shared" si="15"/>
        <v>c</v>
      </c>
      <c r="T49" t="str">
        <f t="shared" si="16"/>
        <v>Omber</v>
      </c>
      <c r="U49">
        <f t="shared" si="17"/>
        <v>1000</v>
      </c>
      <c r="V49">
        <f t="shared" si="18"/>
        <v>0</v>
      </c>
      <c r="W49" s="114">
        <f t="shared" si="19"/>
        <v>0.25</v>
      </c>
      <c r="X49" s="122">
        <f t="shared" si="20"/>
        <v>750</v>
      </c>
      <c r="Y49" s="122">
        <f t="shared" si="21"/>
        <v>450</v>
      </c>
      <c r="Z49">
        <f t="shared" si="22"/>
        <v>0</v>
      </c>
      <c r="AA49">
        <f t="shared" si="12"/>
        <v>90</v>
      </c>
      <c r="AB49">
        <f t="shared" si="12"/>
        <v>0</v>
      </c>
      <c r="AC49">
        <f t="shared" si="12"/>
        <v>75</v>
      </c>
      <c r="AD49">
        <f t="shared" si="12"/>
        <v>0</v>
      </c>
      <c r="AE49">
        <f t="shared" si="12"/>
        <v>0</v>
      </c>
      <c r="AF49">
        <f t="shared" si="12"/>
        <v>0</v>
      </c>
      <c r="AG49">
        <f t="shared" si="23"/>
        <v>35380.800000000003</v>
      </c>
      <c r="AH49" s="122">
        <f t="shared" si="24"/>
        <v>26535600.000000004</v>
      </c>
      <c r="AI49" s="134">
        <f t="shared" si="25"/>
        <v>58968</v>
      </c>
    </row>
    <row r="50" spans="1:35" ht="15.75" thickBot="1">
      <c r="A50" s="49" t="s">
        <v>10</v>
      </c>
      <c r="B50" s="49" t="s">
        <v>11</v>
      </c>
      <c r="C50" s="49" t="s">
        <v>12</v>
      </c>
      <c r="D50" s="49" t="s">
        <v>13</v>
      </c>
      <c r="E50" s="49" t="s">
        <v>14</v>
      </c>
      <c r="F50" s="49" t="s">
        <v>15</v>
      </c>
      <c r="G50" s="49" t="s">
        <v>16</v>
      </c>
      <c r="P50" t="s">
        <v>124</v>
      </c>
      <c r="Q50" t="str">
        <f t="shared" si="13"/>
        <v>I</v>
      </c>
      <c r="R50">
        <f t="shared" si="14"/>
        <v>6</v>
      </c>
      <c r="S50" t="str">
        <f t="shared" si="15"/>
        <v>d</v>
      </c>
      <c r="T50" t="str">
        <f t="shared" si="16"/>
        <v>Kernite</v>
      </c>
      <c r="U50">
        <f t="shared" si="17"/>
        <v>4000</v>
      </c>
      <c r="V50">
        <f t="shared" si="18"/>
        <v>2</v>
      </c>
      <c r="W50" s="114">
        <f t="shared" si="19"/>
        <v>0.15</v>
      </c>
      <c r="X50" s="122">
        <f t="shared" si="20"/>
        <v>3400</v>
      </c>
      <c r="Y50" s="122">
        <f t="shared" si="21"/>
        <v>4080</v>
      </c>
      <c r="Z50">
        <f t="shared" si="22"/>
        <v>0</v>
      </c>
      <c r="AA50">
        <f t="shared" si="12"/>
        <v>0</v>
      </c>
      <c r="AB50">
        <f t="shared" si="12"/>
        <v>60</v>
      </c>
      <c r="AC50">
        <f t="shared" si="12"/>
        <v>120</v>
      </c>
      <c r="AD50">
        <f t="shared" si="12"/>
        <v>0</v>
      </c>
      <c r="AE50">
        <f t="shared" si="12"/>
        <v>0</v>
      </c>
      <c r="AF50">
        <f t="shared" si="12"/>
        <v>0</v>
      </c>
      <c r="AG50">
        <f t="shared" si="23"/>
        <v>58303.199999999997</v>
      </c>
      <c r="AH50" s="122">
        <f t="shared" si="24"/>
        <v>198230880</v>
      </c>
      <c r="AI50" s="134">
        <f t="shared" si="25"/>
        <v>48586</v>
      </c>
    </row>
    <row r="51" spans="1:35">
      <c r="A51">
        <f>INDEX('Add-In Output'!$B$4:$U$212,1,MATCH(A50&amp;" Price",'Add-In Output'!$B$2:$U$2,0))</f>
        <v>4.25</v>
      </c>
      <c r="B51">
        <f>INDEX('Add-In Output'!$B$4:$U$212,1,MATCH(B50&amp;" Price",'Add-In Output'!$B$2:$U$2,0))</f>
        <v>10.119999999999999</v>
      </c>
      <c r="C51">
        <f>INDEX('Add-In Output'!$B$4:$U$212,1,MATCH(C50&amp;" Price",'Add-In Output'!$B$2:$U$2,0))</f>
        <v>52.52</v>
      </c>
      <c r="D51">
        <f>INDEX('Add-In Output'!$B$4:$U$212,1,MATCH(D50&amp;" Price",'Add-In Output'!$B$2:$U$2,0))</f>
        <v>459.6</v>
      </c>
      <c r="E51">
        <f>INDEX('Add-In Output'!$B$4:$U$212,1,MATCH(E50&amp;" Price",'Add-In Output'!$B$2:$U$2,0))</f>
        <v>1110</v>
      </c>
      <c r="F51">
        <f>INDEX('Add-In Output'!$B$4:$U$212,1,MATCH(F50&amp;" Price",'Add-In Output'!$B$2:$U$2,0))</f>
        <v>1980</v>
      </c>
      <c r="G51">
        <f>INDEX('Add-In Output'!$B$4:$U$212,1,MATCH(G50&amp;" Price",'Add-In Output'!$B$2:$U$2,0))</f>
        <v>5500</v>
      </c>
      <c r="P51" t="s">
        <v>112</v>
      </c>
      <c r="Q51" t="str">
        <f t="shared" si="13"/>
        <v>E</v>
      </c>
      <c r="R51">
        <f t="shared" si="14"/>
        <v>7</v>
      </c>
      <c r="S51" t="str">
        <f t="shared" si="15"/>
        <v>c</v>
      </c>
      <c r="T51" t="str">
        <f t="shared" si="16"/>
        <v>Omber</v>
      </c>
      <c r="U51">
        <f t="shared" si="17"/>
        <v>2000</v>
      </c>
      <c r="V51">
        <f t="shared" si="18"/>
        <v>0</v>
      </c>
      <c r="W51" s="114">
        <f t="shared" si="19"/>
        <v>0.25</v>
      </c>
      <c r="X51" s="122">
        <f t="shared" si="20"/>
        <v>1500</v>
      </c>
      <c r="Y51" s="122">
        <f t="shared" si="21"/>
        <v>900</v>
      </c>
      <c r="Z51">
        <f t="shared" si="22"/>
        <v>0</v>
      </c>
      <c r="AA51">
        <f t="shared" si="12"/>
        <v>90</v>
      </c>
      <c r="AB51">
        <f t="shared" si="12"/>
        <v>0</v>
      </c>
      <c r="AC51">
        <f t="shared" si="12"/>
        <v>75</v>
      </c>
      <c r="AD51">
        <f t="shared" si="12"/>
        <v>0</v>
      </c>
      <c r="AE51">
        <f t="shared" si="12"/>
        <v>0</v>
      </c>
      <c r="AF51">
        <f t="shared" si="12"/>
        <v>0</v>
      </c>
      <c r="AG51">
        <f t="shared" si="23"/>
        <v>35380.800000000003</v>
      </c>
      <c r="AH51" s="122">
        <f t="shared" si="24"/>
        <v>53071200.000000007</v>
      </c>
      <c r="AI51" s="134">
        <f t="shared" si="25"/>
        <v>58968</v>
      </c>
    </row>
    <row r="52" spans="1:35">
      <c r="P52" t="s">
        <v>121</v>
      </c>
      <c r="Q52" t="str">
        <f t="shared" si="13"/>
        <v>G</v>
      </c>
      <c r="R52">
        <f t="shared" si="14"/>
        <v>7</v>
      </c>
      <c r="S52" t="str">
        <f t="shared" si="15"/>
        <v>a</v>
      </c>
      <c r="T52" t="str">
        <f t="shared" si="16"/>
        <v>Veldspar</v>
      </c>
      <c r="U52">
        <f t="shared" si="17"/>
        <v>5000</v>
      </c>
      <c r="V52">
        <f t="shared" si="18"/>
        <v>5</v>
      </c>
      <c r="W52" s="114">
        <f t="shared" si="19"/>
        <v>0</v>
      </c>
      <c r="X52" s="122">
        <f t="shared" si="20"/>
        <v>5000</v>
      </c>
      <c r="Y52" s="122">
        <f t="shared" si="21"/>
        <v>500</v>
      </c>
      <c r="Z52">
        <f t="shared" si="22"/>
        <v>400</v>
      </c>
      <c r="AA52">
        <f t="shared" si="12"/>
        <v>0</v>
      </c>
      <c r="AB52">
        <f t="shared" si="12"/>
        <v>0</v>
      </c>
      <c r="AC52">
        <f t="shared" si="12"/>
        <v>0</v>
      </c>
      <c r="AD52">
        <f t="shared" si="12"/>
        <v>0</v>
      </c>
      <c r="AE52">
        <f t="shared" si="12"/>
        <v>0</v>
      </c>
      <c r="AF52">
        <f t="shared" si="12"/>
        <v>0</v>
      </c>
      <c r="AG52">
        <f t="shared" si="23"/>
        <v>1700</v>
      </c>
      <c r="AH52" s="122">
        <f t="shared" si="24"/>
        <v>8500000</v>
      </c>
      <c r="AI52" s="134">
        <f t="shared" si="25"/>
        <v>17000</v>
      </c>
    </row>
    <row r="53" spans="1:35">
      <c r="A53" t="s">
        <v>250</v>
      </c>
      <c r="P53" t="s">
        <v>142</v>
      </c>
      <c r="Q53" t="str">
        <f t="shared" si="13"/>
        <v>I</v>
      </c>
      <c r="R53">
        <f t="shared" si="14"/>
        <v>8</v>
      </c>
      <c r="S53" t="str">
        <f t="shared" si="15"/>
        <v>b</v>
      </c>
      <c r="T53" t="str">
        <f t="shared" si="16"/>
        <v>Scordite</v>
      </c>
      <c r="U53">
        <f t="shared" si="17"/>
        <v>3000</v>
      </c>
      <c r="V53">
        <f t="shared" si="18"/>
        <v>4</v>
      </c>
      <c r="W53" s="114">
        <f t="shared" si="19"/>
        <v>0.05</v>
      </c>
      <c r="X53" s="122">
        <f t="shared" si="20"/>
        <v>2850</v>
      </c>
      <c r="Y53" s="122">
        <f t="shared" si="21"/>
        <v>427.5</v>
      </c>
      <c r="Z53">
        <f t="shared" si="22"/>
        <v>150</v>
      </c>
      <c r="AA53">
        <f t="shared" si="12"/>
        <v>90</v>
      </c>
      <c r="AB53">
        <f t="shared" si="12"/>
        <v>0</v>
      </c>
      <c r="AC53">
        <f t="shared" si="12"/>
        <v>0</v>
      </c>
      <c r="AD53">
        <f t="shared" si="12"/>
        <v>0</v>
      </c>
      <c r="AE53">
        <f t="shared" si="12"/>
        <v>0</v>
      </c>
      <c r="AF53">
        <f t="shared" si="12"/>
        <v>0</v>
      </c>
      <c r="AG53">
        <f t="shared" si="23"/>
        <v>1548.3</v>
      </c>
      <c r="AH53" s="122">
        <f t="shared" si="24"/>
        <v>4412655</v>
      </c>
      <c r="AI53" s="134">
        <f t="shared" si="25"/>
        <v>10322</v>
      </c>
    </row>
    <row r="54" spans="1:35" ht="16.5" thickBot="1">
      <c r="A54" s="98" t="s">
        <v>137</v>
      </c>
      <c r="B54" s="46"/>
      <c r="C54" s="46"/>
      <c r="D54" s="47"/>
      <c r="P54" t="s">
        <v>122</v>
      </c>
      <c r="Q54" t="str">
        <f t="shared" si="13"/>
        <v>C</v>
      </c>
      <c r="R54">
        <f t="shared" si="14"/>
        <v>9</v>
      </c>
      <c r="S54" t="str">
        <f t="shared" si="15"/>
        <v>d</v>
      </c>
      <c r="T54" t="str">
        <f t="shared" si="16"/>
        <v>Kernite</v>
      </c>
      <c r="U54">
        <f t="shared" si="17"/>
        <v>2000</v>
      </c>
      <c r="V54">
        <f t="shared" si="18"/>
        <v>2</v>
      </c>
      <c r="W54" s="114">
        <f t="shared" si="19"/>
        <v>0.15</v>
      </c>
      <c r="X54" s="122">
        <f t="shared" si="20"/>
        <v>1700</v>
      </c>
      <c r="Y54" s="122">
        <f t="shared" si="21"/>
        <v>2040</v>
      </c>
      <c r="Z54">
        <f t="shared" si="22"/>
        <v>0</v>
      </c>
      <c r="AA54">
        <f t="shared" si="12"/>
        <v>0</v>
      </c>
      <c r="AB54">
        <f t="shared" si="12"/>
        <v>60</v>
      </c>
      <c r="AC54">
        <f t="shared" si="12"/>
        <v>120</v>
      </c>
      <c r="AD54">
        <f t="shared" si="12"/>
        <v>0</v>
      </c>
      <c r="AE54">
        <f t="shared" si="12"/>
        <v>0</v>
      </c>
      <c r="AF54">
        <f t="shared" si="12"/>
        <v>0</v>
      </c>
      <c r="AG54">
        <f t="shared" si="23"/>
        <v>58303.199999999997</v>
      </c>
      <c r="AH54" s="122">
        <f t="shared" si="24"/>
        <v>99115440</v>
      </c>
      <c r="AI54" s="134">
        <f t="shared" si="25"/>
        <v>48586</v>
      </c>
    </row>
    <row r="55" spans="1:35" ht="15.75" thickBot="1">
      <c r="A55" s="99" t="s">
        <v>32</v>
      </c>
      <c r="B55" s="100" t="s">
        <v>33</v>
      </c>
      <c r="C55" s="101" t="s">
        <v>34</v>
      </c>
      <c r="D55" s="102" t="s">
        <v>35</v>
      </c>
      <c r="P55" t="s">
        <v>116</v>
      </c>
      <c r="Q55" t="str">
        <f t="shared" si="13"/>
        <v>E</v>
      </c>
      <c r="R55">
        <f t="shared" si="14"/>
        <v>9</v>
      </c>
      <c r="S55" t="str">
        <f t="shared" si="15"/>
        <v>a</v>
      </c>
      <c r="T55" t="str">
        <f t="shared" si="16"/>
        <v>Veldspar</v>
      </c>
      <c r="U55">
        <f t="shared" si="17"/>
        <v>4000</v>
      </c>
      <c r="V55">
        <f t="shared" si="18"/>
        <v>5</v>
      </c>
      <c r="W55" s="114">
        <f t="shared" si="19"/>
        <v>0</v>
      </c>
      <c r="X55" s="122">
        <f t="shared" si="20"/>
        <v>4000</v>
      </c>
      <c r="Y55" s="122">
        <f t="shared" si="21"/>
        <v>400</v>
      </c>
      <c r="Z55">
        <f t="shared" si="22"/>
        <v>400</v>
      </c>
      <c r="AA55">
        <f t="shared" si="12"/>
        <v>0</v>
      </c>
      <c r="AB55">
        <f t="shared" si="12"/>
        <v>0</v>
      </c>
      <c r="AC55">
        <f t="shared" si="12"/>
        <v>0</v>
      </c>
      <c r="AD55">
        <f t="shared" si="12"/>
        <v>0</v>
      </c>
      <c r="AE55">
        <f t="shared" si="12"/>
        <v>0</v>
      </c>
      <c r="AF55">
        <f t="shared" si="12"/>
        <v>0</v>
      </c>
      <c r="AG55">
        <f t="shared" si="23"/>
        <v>1700</v>
      </c>
      <c r="AH55" s="122">
        <f t="shared" si="24"/>
        <v>6800000</v>
      </c>
      <c r="AI55" s="134">
        <f t="shared" si="25"/>
        <v>17000</v>
      </c>
    </row>
    <row r="56" spans="1:35" ht="15.75">
      <c r="A56">
        <f>INDEX(Case!$I$257:$L$278,MATCH('Bonus 5'!$F$56,Case!$B$257:$B$278,0),MATCH('Bonus 5'!A$55,Case!$I$255:$L$255,0))</f>
        <v>5</v>
      </c>
      <c r="B56">
        <f>INDEX(Case!$I$257:$L$278,MATCH('Bonus 5'!$F$56,Case!$B$257:$B$278,0),MATCH('Bonus 5'!B$55,Case!$I$255:$L$255,0))</f>
        <v>4</v>
      </c>
      <c r="C56">
        <f>INDEX(Case!$I$257:$L$278,MATCH('Bonus 5'!$F$56,Case!$B$257:$B$278,0),MATCH('Bonus 5'!C$55,Case!$I$255:$L$255,0))</f>
        <v>0</v>
      </c>
      <c r="D56">
        <f>INDEX(Case!$I$257:$L$278,MATCH('Bonus 5'!$F$56,Case!$B$257:$B$278,0),MATCH('Bonus 5'!D$55,Case!$I$255:$L$255,0))</f>
        <v>2</v>
      </c>
      <c r="F56" s="121" t="s">
        <v>160</v>
      </c>
      <c r="P56" t="s">
        <v>117</v>
      </c>
      <c r="Q56" t="str">
        <f t="shared" si="13"/>
        <v>H</v>
      </c>
      <c r="R56">
        <f t="shared" si="14"/>
        <v>9</v>
      </c>
      <c r="S56" t="str">
        <f t="shared" si="15"/>
        <v>c</v>
      </c>
      <c r="T56" t="str">
        <f t="shared" si="16"/>
        <v>Omber</v>
      </c>
      <c r="U56">
        <f t="shared" si="17"/>
        <v>5000</v>
      </c>
      <c r="V56">
        <f t="shared" si="18"/>
        <v>0</v>
      </c>
      <c r="W56" s="114">
        <f t="shared" si="19"/>
        <v>0.25</v>
      </c>
      <c r="X56" s="122">
        <f t="shared" si="20"/>
        <v>3750</v>
      </c>
      <c r="Y56" s="122">
        <f t="shared" si="21"/>
        <v>2250</v>
      </c>
      <c r="Z56">
        <f t="shared" si="22"/>
        <v>0</v>
      </c>
      <c r="AA56">
        <f t="shared" si="12"/>
        <v>90</v>
      </c>
      <c r="AB56">
        <f t="shared" si="12"/>
        <v>0</v>
      </c>
      <c r="AC56">
        <f t="shared" si="12"/>
        <v>75</v>
      </c>
      <c r="AD56">
        <f t="shared" si="12"/>
        <v>0</v>
      </c>
      <c r="AE56">
        <f t="shared" si="12"/>
        <v>0</v>
      </c>
      <c r="AF56">
        <f t="shared" si="12"/>
        <v>0</v>
      </c>
      <c r="AG56">
        <f t="shared" si="23"/>
        <v>35380.800000000003</v>
      </c>
      <c r="AH56" s="122">
        <f t="shared" si="24"/>
        <v>132678000.00000001</v>
      </c>
      <c r="AI56" s="134">
        <f t="shared" si="25"/>
        <v>58968</v>
      </c>
    </row>
    <row r="57" spans="1:35">
      <c r="P57" t="s">
        <v>144</v>
      </c>
      <c r="Q57" t="str">
        <f t="shared" si="13"/>
        <v>D</v>
      </c>
      <c r="R57">
        <f t="shared" si="14"/>
        <v>11</v>
      </c>
      <c r="S57" t="str">
        <f t="shared" si="15"/>
        <v>d</v>
      </c>
      <c r="T57" t="str">
        <f t="shared" si="16"/>
        <v>Kernite</v>
      </c>
      <c r="U57">
        <f t="shared" si="17"/>
        <v>1000</v>
      </c>
      <c r="V57">
        <f t="shared" si="18"/>
        <v>2</v>
      </c>
      <c r="W57" s="114">
        <f t="shared" si="19"/>
        <v>0.15</v>
      </c>
      <c r="X57" s="122">
        <f t="shared" si="20"/>
        <v>850</v>
      </c>
      <c r="Y57" s="122">
        <f t="shared" si="21"/>
        <v>1020</v>
      </c>
      <c r="Z57">
        <f t="shared" si="22"/>
        <v>0</v>
      </c>
      <c r="AA57">
        <f t="shared" si="12"/>
        <v>0</v>
      </c>
      <c r="AB57">
        <f t="shared" si="12"/>
        <v>60</v>
      </c>
      <c r="AC57">
        <f t="shared" si="12"/>
        <v>120</v>
      </c>
      <c r="AD57">
        <f t="shared" si="12"/>
        <v>0</v>
      </c>
      <c r="AE57">
        <f t="shared" si="12"/>
        <v>0</v>
      </c>
      <c r="AF57">
        <f t="shared" si="12"/>
        <v>0</v>
      </c>
      <c r="AG57">
        <f t="shared" si="23"/>
        <v>58303.199999999997</v>
      </c>
      <c r="AH57" s="122">
        <f t="shared" si="24"/>
        <v>49557720</v>
      </c>
      <c r="AI57" s="134">
        <f t="shared" si="25"/>
        <v>48586</v>
      </c>
    </row>
    <row r="58" spans="1:35">
      <c r="A58" t="s">
        <v>251</v>
      </c>
      <c r="B58" t="s">
        <v>252</v>
      </c>
      <c r="P58" t="s">
        <v>114</v>
      </c>
      <c r="Q58" t="str">
        <f t="shared" si="13"/>
        <v>H</v>
      </c>
      <c r="R58">
        <f t="shared" si="14"/>
        <v>11</v>
      </c>
      <c r="S58" t="str">
        <f t="shared" si="15"/>
        <v>b</v>
      </c>
      <c r="T58" t="str">
        <f t="shared" si="16"/>
        <v>Scordite</v>
      </c>
      <c r="U58">
        <f t="shared" si="17"/>
        <v>4000</v>
      </c>
      <c r="V58">
        <f t="shared" si="18"/>
        <v>4</v>
      </c>
      <c r="W58" s="114">
        <f t="shared" si="19"/>
        <v>0.05</v>
      </c>
      <c r="X58" s="122">
        <f t="shared" si="20"/>
        <v>3800</v>
      </c>
      <c r="Y58" s="122">
        <f t="shared" si="21"/>
        <v>570</v>
      </c>
      <c r="Z58">
        <f t="shared" si="22"/>
        <v>150</v>
      </c>
      <c r="AA58">
        <f t="shared" si="12"/>
        <v>90</v>
      </c>
      <c r="AB58">
        <f t="shared" si="12"/>
        <v>0</v>
      </c>
      <c r="AC58">
        <f t="shared" si="12"/>
        <v>0</v>
      </c>
      <c r="AD58">
        <f t="shared" si="12"/>
        <v>0</v>
      </c>
      <c r="AE58">
        <f t="shared" si="12"/>
        <v>0</v>
      </c>
      <c r="AF58">
        <f t="shared" si="12"/>
        <v>0</v>
      </c>
      <c r="AG58">
        <f t="shared" si="23"/>
        <v>1548.3</v>
      </c>
      <c r="AH58" s="122">
        <f t="shared" si="24"/>
        <v>5883540</v>
      </c>
      <c r="AI58" s="134">
        <f t="shared" si="25"/>
        <v>10322</v>
      </c>
    </row>
    <row r="59" spans="1:35">
      <c r="A59">
        <v>0</v>
      </c>
      <c r="B59" s="116">
        <v>0.25</v>
      </c>
      <c r="P59" t="s">
        <v>118</v>
      </c>
      <c r="Q59" t="str">
        <f t="shared" si="13"/>
        <v>C</v>
      </c>
      <c r="R59">
        <f t="shared" si="14"/>
        <v>12</v>
      </c>
      <c r="S59" t="str">
        <f t="shared" si="15"/>
        <v>c</v>
      </c>
      <c r="T59" t="str">
        <f t="shared" si="16"/>
        <v>Omber</v>
      </c>
      <c r="U59">
        <f t="shared" si="17"/>
        <v>3000</v>
      </c>
      <c r="V59">
        <f t="shared" si="18"/>
        <v>0</v>
      </c>
      <c r="W59" s="114">
        <f t="shared" si="19"/>
        <v>0.25</v>
      </c>
      <c r="X59" s="122">
        <f t="shared" si="20"/>
        <v>2250</v>
      </c>
      <c r="Y59" s="122">
        <f t="shared" si="21"/>
        <v>1350</v>
      </c>
      <c r="Z59">
        <f t="shared" si="22"/>
        <v>0</v>
      </c>
      <c r="AA59">
        <f t="shared" si="12"/>
        <v>90</v>
      </c>
      <c r="AB59">
        <f t="shared" si="12"/>
        <v>0</v>
      </c>
      <c r="AC59">
        <f t="shared" si="12"/>
        <v>75</v>
      </c>
      <c r="AD59">
        <f t="shared" si="12"/>
        <v>0</v>
      </c>
      <c r="AE59">
        <f t="shared" si="12"/>
        <v>0</v>
      </c>
      <c r="AF59">
        <f t="shared" si="12"/>
        <v>0</v>
      </c>
      <c r="AG59">
        <f t="shared" si="23"/>
        <v>35380.800000000003</v>
      </c>
      <c r="AH59" s="122">
        <f t="shared" si="24"/>
        <v>79606800</v>
      </c>
      <c r="AI59" s="134">
        <f t="shared" si="25"/>
        <v>58968</v>
      </c>
    </row>
    <row r="60" spans="1:35">
      <c r="A60">
        <v>1</v>
      </c>
      <c r="B60" s="116">
        <v>0.2</v>
      </c>
      <c r="P60" t="s">
        <v>123</v>
      </c>
      <c r="Q60" t="str">
        <f t="shared" si="13"/>
        <v>F</v>
      </c>
      <c r="R60">
        <f t="shared" si="14"/>
        <v>12</v>
      </c>
      <c r="S60" t="str">
        <f t="shared" si="15"/>
        <v>a</v>
      </c>
      <c r="T60" t="str">
        <f t="shared" si="16"/>
        <v>Veldspar</v>
      </c>
      <c r="U60">
        <f t="shared" si="17"/>
        <v>3000</v>
      </c>
      <c r="V60">
        <f t="shared" si="18"/>
        <v>5</v>
      </c>
      <c r="W60" s="114">
        <f t="shared" si="19"/>
        <v>0</v>
      </c>
      <c r="X60" s="122">
        <f t="shared" si="20"/>
        <v>3000</v>
      </c>
      <c r="Y60" s="122">
        <f t="shared" si="21"/>
        <v>300</v>
      </c>
      <c r="Z60">
        <f t="shared" si="22"/>
        <v>400</v>
      </c>
      <c r="AA60">
        <f t="shared" si="22"/>
        <v>0</v>
      </c>
      <c r="AB60">
        <f t="shared" si="22"/>
        <v>0</v>
      </c>
      <c r="AC60">
        <f t="shared" si="22"/>
        <v>0</v>
      </c>
      <c r="AD60">
        <f t="shared" si="22"/>
        <v>0</v>
      </c>
      <c r="AE60">
        <f t="shared" si="22"/>
        <v>0</v>
      </c>
      <c r="AF60">
        <f t="shared" si="22"/>
        <v>0</v>
      </c>
      <c r="AG60">
        <f t="shared" si="23"/>
        <v>1700</v>
      </c>
      <c r="AH60" s="122">
        <f t="shared" si="24"/>
        <v>5100000</v>
      </c>
      <c r="AI60" s="134">
        <f t="shared" si="25"/>
        <v>17000</v>
      </c>
    </row>
    <row r="61" spans="1:35">
      <c r="A61">
        <v>2</v>
      </c>
      <c r="B61" s="116">
        <v>0.15</v>
      </c>
      <c r="P61" t="s">
        <v>141</v>
      </c>
      <c r="Q61" t="str">
        <f t="shared" si="13"/>
        <v>I</v>
      </c>
      <c r="R61">
        <f t="shared" si="14"/>
        <v>13</v>
      </c>
      <c r="S61" t="str">
        <f t="shared" si="15"/>
        <v>d</v>
      </c>
      <c r="T61" t="str">
        <f t="shared" si="16"/>
        <v>Kernite</v>
      </c>
      <c r="U61">
        <f t="shared" si="17"/>
        <v>6000</v>
      </c>
      <c r="V61">
        <f t="shared" si="18"/>
        <v>2</v>
      </c>
      <c r="W61" s="114">
        <f t="shared" si="19"/>
        <v>0.15</v>
      </c>
      <c r="X61" s="122">
        <f t="shared" si="20"/>
        <v>5100</v>
      </c>
      <c r="Y61" s="122">
        <f t="shared" si="21"/>
        <v>6120</v>
      </c>
      <c r="Z61">
        <f t="shared" si="22"/>
        <v>0</v>
      </c>
      <c r="AA61">
        <f t="shared" si="22"/>
        <v>0</v>
      </c>
      <c r="AB61">
        <f t="shared" si="22"/>
        <v>60</v>
      </c>
      <c r="AC61">
        <f t="shared" si="22"/>
        <v>120</v>
      </c>
      <c r="AD61">
        <f t="shared" si="22"/>
        <v>0</v>
      </c>
      <c r="AE61">
        <f t="shared" si="22"/>
        <v>0</v>
      </c>
      <c r="AF61">
        <f t="shared" si="22"/>
        <v>0</v>
      </c>
      <c r="AG61">
        <f t="shared" si="23"/>
        <v>58303.199999999997</v>
      </c>
      <c r="AH61" s="122">
        <f t="shared" si="24"/>
        <v>297346320</v>
      </c>
      <c r="AI61" s="134">
        <f t="shared" si="25"/>
        <v>48586</v>
      </c>
    </row>
    <row r="62" spans="1:35">
      <c r="A62">
        <v>3</v>
      </c>
      <c r="B62" s="116">
        <v>0.1</v>
      </c>
      <c r="P62" t="s">
        <v>143</v>
      </c>
      <c r="Q62" t="str">
        <f t="shared" si="13"/>
        <v>D</v>
      </c>
      <c r="R62">
        <f t="shared" si="14"/>
        <v>14</v>
      </c>
      <c r="S62" t="str">
        <f t="shared" si="15"/>
        <v>b</v>
      </c>
      <c r="T62" t="str">
        <f t="shared" si="16"/>
        <v>Scordite</v>
      </c>
      <c r="U62">
        <f t="shared" si="17"/>
        <v>6000</v>
      </c>
      <c r="V62">
        <f t="shared" si="18"/>
        <v>4</v>
      </c>
      <c r="W62" s="114">
        <f t="shared" si="19"/>
        <v>0.05</v>
      </c>
      <c r="X62" s="122">
        <f t="shared" si="20"/>
        <v>5700</v>
      </c>
      <c r="Y62" s="122">
        <f t="shared" si="21"/>
        <v>855</v>
      </c>
      <c r="Z62">
        <f t="shared" si="22"/>
        <v>150</v>
      </c>
      <c r="AA62">
        <f t="shared" si="22"/>
        <v>90</v>
      </c>
      <c r="AB62">
        <f t="shared" si="22"/>
        <v>0</v>
      </c>
      <c r="AC62">
        <f t="shared" si="22"/>
        <v>0</v>
      </c>
      <c r="AD62">
        <f t="shared" si="22"/>
        <v>0</v>
      </c>
      <c r="AE62">
        <f t="shared" si="22"/>
        <v>0</v>
      </c>
      <c r="AF62">
        <f t="shared" si="22"/>
        <v>0</v>
      </c>
      <c r="AG62">
        <f t="shared" si="23"/>
        <v>1548.3</v>
      </c>
      <c r="AH62" s="122">
        <f t="shared" si="24"/>
        <v>8825310</v>
      </c>
      <c r="AI62" s="134">
        <f t="shared" si="25"/>
        <v>10322</v>
      </c>
    </row>
    <row r="63" spans="1:35">
      <c r="A63">
        <v>4</v>
      </c>
      <c r="B63" s="116">
        <v>0.05</v>
      </c>
      <c r="P63" t="s">
        <v>128</v>
      </c>
      <c r="Q63" t="str">
        <f t="shared" si="13"/>
        <v>G</v>
      </c>
      <c r="R63">
        <f t="shared" si="14"/>
        <v>14</v>
      </c>
      <c r="S63" t="str">
        <f t="shared" si="15"/>
        <v>b</v>
      </c>
      <c r="T63" t="str">
        <f t="shared" si="16"/>
        <v>Scordite</v>
      </c>
      <c r="U63">
        <f t="shared" si="17"/>
        <v>5000</v>
      </c>
      <c r="V63">
        <f t="shared" si="18"/>
        <v>4</v>
      </c>
      <c r="W63" s="114">
        <f t="shared" si="19"/>
        <v>0.05</v>
      </c>
      <c r="X63" s="122">
        <f t="shared" si="20"/>
        <v>4750</v>
      </c>
      <c r="Y63" s="122">
        <f t="shared" si="21"/>
        <v>712.5</v>
      </c>
      <c r="Z63">
        <f t="shared" si="22"/>
        <v>150</v>
      </c>
      <c r="AA63">
        <f t="shared" si="22"/>
        <v>90</v>
      </c>
      <c r="AB63">
        <f t="shared" si="22"/>
        <v>0</v>
      </c>
      <c r="AC63">
        <f t="shared" si="22"/>
        <v>0</v>
      </c>
      <c r="AD63">
        <f t="shared" si="22"/>
        <v>0</v>
      </c>
      <c r="AE63">
        <f t="shared" si="22"/>
        <v>0</v>
      </c>
      <c r="AF63">
        <f t="shared" si="22"/>
        <v>0</v>
      </c>
      <c r="AG63">
        <f t="shared" si="23"/>
        <v>1548.3</v>
      </c>
      <c r="AH63" s="122">
        <f t="shared" si="24"/>
        <v>7354425</v>
      </c>
      <c r="AI63" s="134">
        <f t="shared" si="25"/>
        <v>10322</v>
      </c>
    </row>
    <row r="64" spans="1:35">
      <c r="A64">
        <v>5</v>
      </c>
      <c r="B64" s="116">
        <v>0</v>
      </c>
      <c r="P64" t="s">
        <v>113</v>
      </c>
      <c r="Q64" t="str">
        <f t="shared" si="13"/>
        <v>H</v>
      </c>
      <c r="R64">
        <f t="shared" si="14"/>
        <v>15</v>
      </c>
      <c r="S64" t="str">
        <f t="shared" si="15"/>
        <v>d</v>
      </c>
      <c r="T64" t="str">
        <f t="shared" si="16"/>
        <v>Kernite</v>
      </c>
      <c r="U64">
        <f t="shared" si="17"/>
        <v>7000</v>
      </c>
      <c r="V64">
        <f t="shared" si="18"/>
        <v>2</v>
      </c>
      <c r="W64" s="114">
        <f t="shared" si="19"/>
        <v>0.15</v>
      </c>
      <c r="X64" s="122">
        <f t="shared" si="20"/>
        <v>5950</v>
      </c>
      <c r="Y64" s="122">
        <f t="shared" si="21"/>
        <v>7140</v>
      </c>
      <c r="Z64">
        <f t="shared" si="22"/>
        <v>0</v>
      </c>
      <c r="AA64">
        <f t="shared" si="22"/>
        <v>0</v>
      </c>
      <c r="AB64">
        <f t="shared" si="22"/>
        <v>60</v>
      </c>
      <c r="AC64">
        <f t="shared" si="22"/>
        <v>120</v>
      </c>
      <c r="AD64">
        <f t="shared" si="22"/>
        <v>0</v>
      </c>
      <c r="AE64">
        <f t="shared" si="22"/>
        <v>0</v>
      </c>
      <c r="AF64">
        <f t="shared" si="22"/>
        <v>0</v>
      </c>
      <c r="AG64">
        <f t="shared" si="23"/>
        <v>58303.199999999997</v>
      </c>
      <c r="AH64" s="122">
        <f t="shared" si="24"/>
        <v>346904040</v>
      </c>
      <c r="AI64" s="134">
        <f t="shared" si="25"/>
        <v>48586</v>
      </c>
    </row>
    <row r="65" spans="1:42">
      <c r="B65" s="116"/>
      <c r="P65" t="s">
        <v>120</v>
      </c>
      <c r="Q65" t="str">
        <f t="shared" si="13"/>
        <v>D</v>
      </c>
      <c r="R65">
        <f t="shared" si="14"/>
        <v>16</v>
      </c>
      <c r="S65" t="str">
        <f t="shared" si="15"/>
        <v>a</v>
      </c>
      <c r="T65" t="str">
        <f t="shared" si="16"/>
        <v>Veldspar</v>
      </c>
      <c r="U65">
        <f t="shared" si="17"/>
        <v>2000</v>
      </c>
      <c r="V65">
        <f t="shared" si="18"/>
        <v>5</v>
      </c>
      <c r="W65" s="114">
        <f t="shared" si="19"/>
        <v>0</v>
      </c>
      <c r="X65" s="122">
        <f t="shared" si="20"/>
        <v>2000</v>
      </c>
      <c r="Y65" s="122">
        <f t="shared" si="21"/>
        <v>200</v>
      </c>
      <c r="Z65">
        <f t="shared" si="22"/>
        <v>400</v>
      </c>
      <c r="AA65">
        <f t="shared" si="22"/>
        <v>0</v>
      </c>
      <c r="AB65">
        <f t="shared" si="22"/>
        <v>0</v>
      </c>
      <c r="AC65">
        <f t="shared" si="22"/>
        <v>0</v>
      </c>
      <c r="AD65">
        <f t="shared" si="22"/>
        <v>0</v>
      </c>
      <c r="AE65">
        <f t="shared" si="22"/>
        <v>0</v>
      </c>
      <c r="AF65">
        <f t="shared" si="22"/>
        <v>0</v>
      </c>
      <c r="AG65">
        <f t="shared" si="23"/>
        <v>1700</v>
      </c>
      <c r="AH65" s="122">
        <f t="shared" si="24"/>
        <v>3400000</v>
      </c>
      <c r="AI65" s="134">
        <f t="shared" si="25"/>
        <v>17000</v>
      </c>
    </row>
    <row r="66" spans="1:42">
      <c r="B66" s="116"/>
      <c r="P66" t="s">
        <v>110</v>
      </c>
      <c r="Q66" t="str">
        <f t="shared" si="13"/>
        <v>F</v>
      </c>
      <c r="R66">
        <f t="shared" si="14"/>
        <v>16</v>
      </c>
      <c r="S66" t="str">
        <f t="shared" si="15"/>
        <v>c</v>
      </c>
      <c r="T66" t="str">
        <f t="shared" si="16"/>
        <v>Omber</v>
      </c>
      <c r="U66">
        <f t="shared" si="17"/>
        <v>4000</v>
      </c>
      <c r="V66">
        <f t="shared" si="18"/>
        <v>0</v>
      </c>
      <c r="W66" s="114">
        <f t="shared" si="19"/>
        <v>0.25</v>
      </c>
      <c r="X66" s="122">
        <f t="shared" si="20"/>
        <v>3000</v>
      </c>
      <c r="Y66" s="122">
        <f t="shared" si="21"/>
        <v>1800</v>
      </c>
      <c r="Z66">
        <f t="shared" si="22"/>
        <v>0</v>
      </c>
      <c r="AA66">
        <f t="shared" si="22"/>
        <v>90</v>
      </c>
      <c r="AB66">
        <f t="shared" si="22"/>
        <v>0</v>
      </c>
      <c r="AC66">
        <f t="shared" si="22"/>
        <v>75</v>
      </c>
      <c r="AD66">
        <f t="shared" si="22"/>
        <v>0</v>
      </c>
      <c r="AE66">
        <f t="shared" si="22"/>
        <v>0</v>
      </c>
      <c r="AF66">
        <f t="shared" si="22"/>
        <v>0</v>
      </c>
      <c r="AG66">
        <f t="shared" si="23"/>
        <v>35380.800000000003</v>
      </c>
      <c r="AH66" s="122">
        <f t="shared" si="24"/>
        <v>106142400.00000001</v>
      </c>
      <c r="AI66" s="134">
        <f t="shared" si="25"/>
        <v>58968</v>
      </c>
    </row>
    <row r="67" spans="1:42">
      <c r="A67" t="s">
        <v>253</v>
      </c>
      <c r="P67" t="s">
        <v>145</v>
      </c>
      <c r="Q67" t="str">
        <f t="shared" si="13"/>
        <v>I</v>
      </c>
      <c r="R67">
        <f t="shared" si="14"/>
        <v>16</v>
      </c>
      <c r="S67" t="str">
        <f t="shared" si="15"/>
        <v>a</v>
      </c>
      <c r="T67" t="str">
        <f t="shared" si="16"/>
        <v>Veldspar</v>
      </c>
      <c r="U67">
        <f t="shared" si="17"/>
        <v>1000</v>
      </c>
      <c r="V67">
        <f t="shared" si="18"/>
        <v>5</v>
      </c>
      <c r="W67" s="114">
        <f t="shared" si="19"/>
        <v>0</v>
      </c>
      <c r="X67" s="122">
        <f t="shared" si="20"/>
        <v>1000</v>
      </c>
      <c r="Y67" s="122">
        <f t="shared" si="21"/>
        <v>100</v>
      </c>
      <c r="Z67">
        <f t="shared" si="22"/>
        <v>400</v>
      </c>
      <c r="AA67">
        <f t="shared" si="22"/>
        <v>0</v>
      </c>
      <c r="AB67">
        <f t="shared" si="22"/>
        <v>0</v>
      </c>
      <c r="AC67">
        <f t="shared" si="22"/>
        <v>0</v>
      </c>
      <c r="AD67">
        <f t="shared" si="22"/>
        <v>0</v>
      </c>
      <c r="AE67">
        <f t="shared" si="22"/>
        <v>0</v>
      </c>
      <c r="AF67">
        <f t="shared" si="22"/>
        <v>0</v>
      </c>
      <c r="AG67">
        <f t="shared" si="23"/>
        <v>1700</v>
      </c>
      <c r="AH67" s="122">
        <f t="shared" si="24"/>
        <v>1700000</v>
      </c>
      <c r="AI67" s="134">
        <f t="shared" si="25"/>
        <v>17000</v>
      </c>
    </row>
    <row r="68" spans="1:42">
      <c r="AP68" s="139"/>
    </row>
    <row r="69" spans="1:42" ht="15.75" thickBot="1">
      <c r="A69" t="str">
        <f t="shared" ref="A69:I83" si="26">A$85&amp;$K69</f>
        <v>B3</v>
      </c>
      <c r="B69" t="str">
        <f t="shared" si="26"/>
        <v>C3</v>
      </c>
      <c r="C69" t="str">
        <f t="shared" si="26"/>
        <v>D3</v>
      </c>
      <c r="D69" t="str">
        <f t="shared" si="26"/>
        <v>E3</v>
      </c>
      <c r="E69" t="str">
        <f t="shared" si="26"/>
        <v>F3</v>
      </c>
      <c r="F69" t="str">
        <f t="shared" si="26"/>
        <v>G3</v>
      </c>
      <c r="G69" t="str">
        <f t="shared" si="26"/>
        <v>H3</v>
      </c>
      <c r="H69" t="str">
        <f t="shared" si="26"/>
        <v>I3</v>
      </c>
      <c r="I69" t="str">
        <f t="shared" si="26"/>
        <v>J3</v>
      </c>
      <c r="K69">
        <v>3</v>
      </c>
      <c r="M69" t="str">
        <f>_xlfn.TEXTJOIN(",",TRUE,grid)</f>
        <v>B3,C3,D3,E3,F3,G3,H3,I3,J3,B4,C4,D4,E4,F4,G4,H4,I4,J4,B5,C5,D5,E5,F5,G5,H5,I5,J5,B6,C6,D6,E6,F6,G6,H6,I6,J6,B7,C7,D7,E7,F7,G7,H7,I7,J7,B8,C8,D8,E8,F8,G8,H8,I8,J8,B9,C9,D9,E9,F9,G9,H9,I9,J9,B10,C10,D10,E10,F10,G10,H10,I10,J10,B11,C11,D11,E11,F11,G11,H11,I11,J11,B12,C12,D12,E12,F12,G12,H12,I12,J12,B13,C13,D13,E13,F13,G13,H13,I13,J13,B14,C14,D14,E14,F14,G14,H14,I14,J14,B15,C15,D15,E15,F15,G15,H15,I15,J15,B16,C16,D16,E16,F16,G16,H16,I16,J16,B17,C17,D17,E17,F17,G17,H17,I17,J17</v>
      </c>
      <c r="P69" t="s">
        <v>254</v>
      </c>
    </row>
    <row r="70" spans="1:42" ht="15.75" thickBot="1">
      <c r="A70" t="str">
        <f t="shared" si="26"/>
        <v>B4</v>
      </c>
      <c r="B70" t="str">
        <f t="shared" si="26"/>
        <v>C4</v>
      </c>
      <c r="C70" t="str">
        <f t="shared" si="26"/>
        <v>D4</v>
      </c>
      <c r="D70" t="str">
        <f t="shared" si="26"/>
        <v>E4</v>
      </c>
      <c r="E70" t="str">
        <f t="shared" si="26"/>
        <v>F4</v>
      </c>
      <c r="F70" t="str">
        <f t="shared" si="26"/>
        <v>G4</v>
      </c>
      <c r="G70" t="str">
        <f t="shared" si="26"/>
        <v>H4</v>
      </c>
      <c r="H70" t="str">
        <f t="shared" si="26"/>
        <v>I4</v>
      </c>
      <c r="I70" t="str">
        <f t="shared" si="26"/>
        <v>J4</v>
      </c>
      <c r="K70">
        <v>4</v>
      </c>
      <c r="P70" s="110" t="s">
        <v>105</v>
      </c>
      <c r="Q70" s="110" t="s">
        <v>237</v>
      </c>
      <c r="R70" s="110" t="s">
        <v>238</v>
      </c>
      <c r="S70" s="110" t="s">
        <v>239</v>
      </c>
      <c r="T70" s="110" t="s">
        <v>240</v>
      </c>
      <c r="U70" s="110" t="s">
        <v>241</v>
      </c>
      <c r="V70" s="110" t="s">
        <v>242</v>
      </c>
      <c r="W70" s="110" t="s">
        <v>243</v>
      </c>
      <c r="X70" s="110" t="s">
        <v>244</v>
      </c>
      <c r="Y70" s="110" t="s">
        <v>245</v>
      </c>
      <c r="Z70" s="49" t="s">
        <v>10</v>
      </c>
      <c r="AA70" s="49" t="s">
        <v>11</v>
      </c>
      <c r="AB70" s="49" t="s">
        <v>12</v>
      </c>
      <c r="AC70" s="49" t="s">
        <v>13</v>
      </c>
      <c r="AD70" s="49" t="s">
        <v>14</v>
      </c>
      <c r="AE70" s="49" t="s">
        <v>15</v>
      </c>
      <c r="AF70" s="49" t="s">
        <v>16</v>
      </c>
      <c r="AG70" s="112" t="s">
        <v>246</v>
      </c>
      <c r="AH70" s="112" t="s">
        <v>247</v>
      </c>
      <c r="AI70" s="112" t="s">
        <v>248</v>
      </c>
      <c r="AJ70" s="112" t="s">
        <v>255</v>
      </c>
      <c r="AK70" s="112" t="s">
        <v>256</v>
      </c>
      <c r="AM70" s="140" t="s">
        <v>257</v>
      </c>
    </row>
    <row r="71" spans="1:42">
      <c r="A71" t="str">
        <f t="shared" si="26"/>
        <v>B5</v>
      </c>
      <c r="B71" t="str">
        <f t="shared" si="26"/>
        <v>C5</v>
      </c>
      <c r="C71" t="str">
        <f t="shared" si="26"/>
        <v>D5</v>
      </c>
      <c r="D71" t="str">
        <f t="shared" si="26"/>
        <v>E5</v>
      </c>
      <c r="E71" t="str">
        <f t="shared" si="26"/>
        <v>F5</v>
      </c>
      <c r="F71" t="str">
        <f t="shared" si="26"/>
        <v>G5</v>
      </c>
      <c r="G71" t="str">
        <f t="shared" si="26"/>
        <v>H5</v>
      </c>
      <c r="H71" t="str">
        <f t="shared" si="26"/>
        <v>I5</v>
      </c>
      <c r="I71" t="str">
        <f t="shared" si="26"/>
        <v>J5</v>
      </c>
      <c r="K71">
        <v>5</v>
      </c>
      <c r="P71" t="str" cm="1">
        <f t="array" ref="P71:AI94">_xlfn.SORTBY($P$44:$AI$67,AI44:AI67,-1,U44:U67,-1)</f>
        <v>H9</v>
      </c>
      <c r="Q71" t="str">
        <v>H</v>
      </c>
      <c r="R71">
        <v>9</v>
      </c>
      <c r="S71" t="str">
        <v>c</v>
      </c>
      <c r="T71" t="str">
        <v>Omber</v>
      </c>
      <c r="U71">
        <v>5000</v>
      </c>
      <c r="V71">
        <v>0</v>
      </c>
      <c r="W71" s="114">
        <v>0.25</v>
      </c>
      <c r="X71" s="122">
        <v>3750</v>
      </c>
      <c r="Y71" s="122">
        <v>2250</v>
      </c>
      <c r="Z71">
        <v>0</v>
      </c>
      <c r="AA71">
        <v>90</v>
      </c>
      <c r="AB71">
        <v>0</v>
      </c>
      <c r="AC71">
        <v>75</v>
      </c>
      <c r="AD71">
        <v>0</v>
      </c>
      <c r="AE71">
        <v>0</v>
      </c>
      <c r="AF71">
        <v>0</v>
      </c>
      <c r="AG71">
        <v>35380.800000000003</v>
      </c>
      <c r="AH71" s="122">
        <v>132678000.00000001</v>
      </c>
      <c r="AI71" s="131">
        <v>58968</v>
      </c>
      <c r="AJ71" s="131">
        <f>SUM($Y$70:Y70)</f>
        <v>0</v>
      </c>
      <c r="AK71" s="131">
        <f>IF((27500-AJ71)&lt;0,0,MIN(27500-AJ71,Y71))</f>
        <v>2250</v>
      </c>
      <c r="AM71" s="141">
        <f>SUM(Y71:Y94)-SUM(AK71:AK94)</f>
        <v>12902.5</v>
      </c>
    </row>
    <row r="72" spans="1:42">
      <c r="A72" t="str">
        <f t="shared" si="26"/>
        <v>B6</v>
      </c>
      <c r="B72" t="str">
        <f t="shared" si="26"/>
        <v>C6</v>
      </c>
      <c r="C72" t="str">
        <f t="shared" si="26"/>
        <v>D6</v>
      </c>
      <c r="D72" t="str">
        <f t="shared" si="26"/>
        <v>E6</v>
      </c>
      <c r="E72" t="str">
        <f t="shared" si="26"/>
        <v>F6</v>
      </c>
      <c r="F72" t="str">
        <f t="shared" si="26"/>
        <v>G6</v>
      </c>
      <c r="G72" t="str">
        <f t="shared" si="26"/>
        <v>H6</v>
      </c>
      <c r="H72" t="str">
        <f t="shared" si="26"/>
        <v>I6</v>
      </c>
      <c r="I72" t="str">
        <f t="shared" si="26"/>
        <v>J6</v>
      </c>
      <c r="K72">
        <v>6</v>
      </c>
      <c r="P72" t="str">
        <v>F16</v>
      </c>
      <c r="Q72" t="str">
        <v>F</v>
      </c>
      <c r="R72">
        <v>16</v>
      </c>
      <c r="S72" t="str">
        <v>c</v>
      </c>
      <c r="T72" t="str">
        <v>Omber</v>
      </c>
      <c r="U72">
        <v>4000</v>
      </c>
      <c r="V72">
        <v>0</v>
      </c>
      <c r="W72" s="114">
        <v>0.25</v>
      </c>
      <c r="X72" s="122">
        <v>3000</v>
      </c>
      <c r="Y72" s="122">
        <v>1800</v>
      </c>
      <c r="Z72">
        <v>0</v>
      </c>
      <c r="AA72">
        <v>90</v>
      </c>
      <c r="AB72">
        <v>0</v>
      </c>
      <c r="AC72">
        <v>75</v>
      </c>
      <c r="AD72">
        <v>0</v>
      </c>
      <c r="AE72">
        <v>0</v>
      </c>
      <c r="AF72">
        <v>0</v>
      </c>
      <c r="AG72">
        <v>35380.800000000003</v>
      </c>
      <c r="AH72" s="122">
        <v>106142400.00000001</v>
      </c>
      <c r="AI72" s="131">
        <v>58968</v>
      </c>
      <c r="AJ72" s="131">
        <f>SUM($Y$70:Y71)</f>
        <v>2250</v>
      </c>
      <c r="AK72" s="131">
        <f t="shared" ref="AK72:AK94" si="27">IF((27500-AJ72)&lt;0,0,MIN(27500-AJ72,Y72))</f>
        <v>1800</v>
      </c>
    </row>
    <row r="73" spans="1:42">
      <c r="A73" t="str">
        <f t="shared" si="26"/>
        <v>B7</v>
      </c>
      <c r="B73" t="str">
        <f t="shared" si="26"/>
        <v>C7</v>
      </c>
      <c r="C73" t="str">
        <f t="shared" si="26"/>
        <v>D7</v>
      </c>
      <c r="D73" t="str">
        <f t="shared" si="26"/>
        <v>E7</v>
      </c>
      <c r="E73" t="str">
        <f t="shared" si="26"/>
        <v>F7</v>
      </c>
      <c r="F73" t="str">
        <f t="shared" si="26"/>
        <v>G7</v>
      </c>
      <c r="G73" t="str">
        <f t="shared" si="26"/>
        <v>H7</v>
      </c>
      <c r="H73" t="str">
        <f t="shared" si="26"/>
        <v>I7</v>
      </c>
      <c r="I73" t="str">
        <f t="shared" si="26"/>
        <v>J7</v>
      </c>
      <c r="K73">
        <v>7</v>
      </c>
      <c r="P73" t="str">
        <v>C12</v>
      </c>
      <c r="Q73" t="str">
        <v>C</v>
      </c>
      <c r="R73">
        <v>12</v>
      </c>
      <c r="S73" t="str">
        <v>c</v>
      </c>
      <c r="T73" t="str">
        <v>Omber</v>
      </c>
      <c r="U73">
        <v>3000</v>
      </c>
      <c r="V73">
        <v>0</v>
      </c>
      <c r="W73" s="114">
        <v>0.25</v>
      </c>
      <c r="X73" s="122">
        <v>2250</v>
      </c>
      <c r="Y73" s="122">
        <v>1350</v>
      </c>
      <c r="Z73">
        <v>0</v>
      </c>
      <c r="AA73">
        <v>90</v>
      </c>
      <c r="AB73">
        <v>0</v>
      </c>
      <c r="AC73">
        <v>75</v>
      </c>
      <c r="AD73">
        <v>0</v>
      </c>
      <c r="AE73">
        <v>0</v>
      </c>
      <c r="AF73">
        <v>0</v>
      </c>
      <c r="AG73">
        <v>35380.800000000003</v>
      </c>
      <c r="AH73" s="122">
        <v>79606800</v>
      </c>
      <c r="AI73" s="131">
        <v>58968</v>
      </c>
      <c r="AJ73" s="131">
        <f>SUM($Y$70:Y72)</f>
        <v>4050</v>
      </c>
      <c r="AK73" s="131">
        <f t="shared" si="27"/>
        <v>1350</v>
      </c>
    </row>
    <row r="74" spans="1:42">
      <c r="A74" t="str">
        <f t="shared" si="26"/>
        <v>B8</v>
      </c>
      <c r="B74" t="str">
        <f t="shared" si="26"/>
        <v>C8</v>
      </c>
      <c r="C74" t="str">
        <f t="shared" si="26"/>
        <v>D8</v>
      </c>
      <c r="D74" t="str">
        <f t="shared" si="26"/>
        <v>E8</v>
      </c>
      <c r="E74" t="str">
        <f t="shared" si="26"/>
        <v>F8</v>
      </c>
      <c r="F74" t="str">
        <f t="shared" si="26"/>
        <v>G8</v>
      </c>
      <c r="G74" t="str">
        <f t="shared" si="26"/>
        <v>H8</v>
      </c>
      <c r="H74" t="str">
        <f t="shared" si="26"/>
        <v>I8</v>
      </c>
      <c r="I74" t="str">
        <f t="shared" si="26"/>
        <v>J8</v>
      </c>
      <c r="K74">
        <v>8</v>
      </c>
      <c r="P74" t="str">
        <v>E7</v>
      </c>
      <c r="Q74" t="str">
        <v>E</v>
      </c>
      <c r="R74">
        <v>7</v>
      </c>
      <c r="S74" t="str">
        <v>c</v>
      </c>
      <c r="T74" t="str">
        <v>Omber</v>
      </c>
      <c r="U74">
        <v>2000</v>
      </c>
      <c r="V74">
        <v>0</v>
      </c>
      <c r="W74" s="114">
        <v>0.25</v>
      </c>
      <c r="X74" s="122">
        <v>1500</v>
      </c>
      <c r="Y74" s="122">
        <v>900</v>
      </c>
      <c r="Z74">
        <v>0</v>
      </c>
      <c r="AA74">
        <v>90</v>
      </c>
      <c r="AB74">
        <v>0</v>
      </c>
      <c r="AC74">
        <v>75</v>
      </c>
      <c r="AD74">
        <v>0</v>
      </c>
      <c r="AE74">
        <v>0</v>
      </c>
      <c r="AF74">
        <v>0</v>
      </c>
      <c r="AG74">
        <v>35380.800000000003</v>
      </c>
      <c r="AH74" s="122">
        <v>53071200.000000007</v>
      </c>
      <c r="AI74" s="131">
        <v>58968</v>
      </c>
      <c r="AJ74" s="131">
        <f>SUM($Y$70:Y73)</f>
        <v>5400</v>
      </c>
      <c r="AK74" s="131">
        <f t="shared" si="27"/>
        <v>900</v>
      </c>
    </row>
    <row r="75" spans="1:42">
      <c r="A75" t="str">
        <f t="shared" si="26"/>
        <v>B9</v>
      </c>
      <c r="B75" t="str">
        <f t="shared" si="26"/>
        <v>C9</v>
      </c>
      <c r="C75" t="str">
        <f t="shared" si="26"/>
        <v>D9</v>
      </c>
      <c r="D75" t="str">
        <f t="shared" si="26"/>
        <v>E9</v>
      </c>
      <c r="E75" t="str">
        <f t="shared" si="26"/>
        <v>F9</v>
      </c>
      <c r="F75" t="str">
        <f t="shared" si="26"/>
        <v>G9</v>
      </c>
      <c r="G75" t="str">
        <f t="shared" si="26"/>
        <v>H9</v>
      </c>
      <c r="H75" t="str">
        <f t="shared" si="26"/>
        <v>I9</v>
      </c>
      <c r="I75" t="str">
        <f t="shared" si="26"/>
        <v>J9</v>
      </c>
      <c r="K75">
        <v>9</v>
      </c>
      <c r="P75" t="str">
        <v>F6</v>
      </c>
      <c r="Q75" t="str">
        <v>F</v>
      </c>
      <c r="R75">
        <v>6</v>
      </c>
      <c r="S75" t="str">
        <v>c</v>
      </c>
      <c r="T75" t="str">
        <v>Omber</v>
      </c>
      <c r="U75">
        <v>1000</v>
      </c>
      <c r="V75">
        <v>0</v>
      </c>
      <c r="W75" s="114">
        <v>0.25</v>
      </c>
      <c r="X75" s="122">
        <v>750</v>
      </c>
      <c r="Y75" s="122">
        <v>450</v>
      </c>
      <c r="Z75">
        <v>0</v>
      </c>
      <c r="AA75">
        <v>90</v>
      </c>
      <c r="AB75">
        <v>0</v>
      </c>
      <c r="AC75">
        <v>75</v>
      </c>
      <c r="AD75">
        <v>0</v>
      </c>
      <c r="AE75">
        <v>0</v>
      </c>
      <c r="AF75">
        <v>0</v>
      </c>
      <c r="AG75">
        <v>35380.800000000003</v>
      </c>
      <c r="AH75" s="122">
        <v>26535600.000000004</v>
      </c>
      <c r="AI75" s="131">
        <v>58968</v>
      </c>
      <c r="AJ75" s="131">
        <f>SUM($Y$70:Y74)</f>
        <v>6300</v>
      </c>
      <c r="AK75" s="131">
        <f t="shared" si="27"/>
        <v>450</v>
      </c>
    </row>
    <row r="76" spans="1:42">
      <c r="A76" t="str">
        <f t="shared" si="26"/>
        <v>B10</v>
      </c>
      <c r="B76" t="str">
        <f t="shared" si="26"/>
        <v>C10</v>
      </c>
      <c r="C76" t="str">
        <f t="shared" si="26"/>
        <v>D10</v>
      </c>
      <c r="D76" t="str">
        <f t="shared" si="26"/>
        <v>E10</v>
      </c>
      <c r="E76" t="str">
        <f t="shared" si="26"/>
        <v>F10</v>
      </c>
      <c r="F76" t="str">
        <f t="shared" si="26"/>
        <v>G10</v>
      </c>
      <c r="G76" t="str">
        <f t="shared" si="26"/>
        <v>H10</v>
      </c>
      <c r="H76" t="str">
        <f t="shared" si="26"/>
        <v>I10</v>
      </c>
      <c r="I76" t="str">
        <f t="shared" si="26"/>
        <v>J10</v>
      </c>
      <c r="K76">
        <v>10</v>
      </c>
      <c r="P76" t="str">
        <v>H15</v>
      </c>
      <c r="Q76" t="str">
        <v>H</v>
      </c>
      <c r="R76">
        <v>15</v>
      </c>
      <c r="S76" t="str">
        <v>d</v>
      </c>
      <c r="T76" t="str">
        <v>Kernite</v>
      </c>
      <c r="U76">
        <v>7000</v>
      </c>
      <c r="V76">
        <v>2</v>
      </c>
      <c r="W76" s="114">
        <v>0.15</v>
      </c>
      <c r="X76" s="122">
        <v>5950</v>
      </c>
      <c r="Y76" s="122">
        <v>7140</v>
      </c>
      <c r="Z76">
        <v>0</v>
      </c>
      <c r="AA76">
        <v>0</v>
      </c>
      <c r="AB76">
        <v>60</v>
      </c>
      <c r="AC76">
        <v>120</v>
      </c>
      <c r="AD76">
        <v>0</v>
      </c>
      <c r="AE76">
        <v>0</v>
      </c>
      <c r="AF76">
        <v>0</v>
      </c>
      <c r="AG76">
        <v>58303.199999999997</v>
      </c>
      <c r="AH76" s="122">
        <v>346904040</v>
      </c>
      <c r="AI76" s="131">
        <v>48586</v>
      </c>
      <c r="AJ76" s="131">
        <f>SUM($Y$70:Y75)</f>
        <v>6750</v>
      </c>
      <c r="AK76" s="131">
        <f t="shared" si="27"/>
        <v>7140</v>
      </c>
    </row>
    <row r="77" spans="1:42">
      <c r="A77" t="str">
        <f t="shared" si="26"/>
        <v>B11</v>
      </c>
      <c r="B77" t="str">
        <f t="shared" si="26"/>
        <v>C11</v>
      </c>
      <c r="C77" t="str">
        <f t="shared" si="26"/>
        <v>D11</v>
      </c>
      <c r="D77" t="str">
        <f t="shared" si="26"/>
        <v>E11</v>
      </c>
      <c r="E77" t="str">
        <f t="shared" si="26"/>
        <v>F11</v>
      </c>
      <c r="F77" t="str">
        <f t="shared" si="26"/>
        <v>G11</v>
      </c>
      <c r="G77" t="str">
        <f t="shared" si="26"/>
        <v>H11</v>
      </c>
      <c r="H77" t="str">
        <f t="shared" si="26"/>
        <v>I11</v>
      </c>
      <c r="I77" t="str">
        <f t="shared" si="26"/>
        <v>J11</v>
      </c>
      <c r="K77">
        <v>11</v>
      </c>
      <c r="P77" t="str">
        <v>I13</v>
      </c>
      <c r="Q77" t="str">
        <v>I</v>
      </c>
      <c r="R77">
        <v>13</v>
      </c>
      <c r="S77" t="str">
        <v>d</v>
      </c>
      <c r="T77" t="str">
        <v>Kernite</v>
      </c>
      <c r="U77">
        <v>6000</v>
      </c>
      <c r="V77">
        <v>2</v>
      </c>
      <c r="W77" s="114">
        <v>0.15</v>
      </c>
      <c r="X77" s="122">
        <v>5100</v>
      </c>
      <c r="Y77" s="122">
        <v>6120</v>
      </c>
      <c r="Z77">
        <v>0</v>
      </c>
      <c r="AA77">
        <v>0</v>
      </c>
      <c r="AB77">
        <v>60</v>
      </c>
      <c r="AC77">
        <v>120</v>
      </c>
      <c r="AD77">
        <v>0</v>
      </c>
      <c r="AE77">
        <v>0</v>
      </c>
      <c r="AF77">
        <v>0</v>
      </c>
      <c r="AG77">
        <v>58303.199999999997</v>
      </c>
      <c r="AH77" s="122">
        <v>297346320</v>
      </c>
      <c r="AI77" s="131">
        <v>48586</v>
      </c>
      <c r="AJ77" s="131">
        <f>SUM($Y$70:Y76)</f>
        <v>13890</v>
      </c>
      <c r="AK77" s="131">
        <f t="shared" si="27"/>
        <v>6120</v>
      </c>
    </row>
    <row r="78" spans="1:42">
      <c r="A78" t="str">
        <f t="shared" si="26"/>
        <v>B12</v>
      </c>
      <c r="B78" t="str">
        <f t="shared" si="26"/>
        <v>C12</v>
      </c>
      <c r="C78" t="str">
        <f t="shared" si="26"/>
        <v>D12</v>
      </c>
      <c r="D78" t="str">
        <f t="shared" si="26"/>
        <v>E12</v>
      </c>
      <c r="E78" t="str">
        <f t="shared" si="26"/>
        <v>F12</v>
      </c>
      <c r="F78" t="str">
        <f t="shared" si="26"/>
        <v>G12</v>
      </c>
      <c r="G78" t="str">
        <f t="shared" si="26"/>
        <v>H12</v>
      </c>
      <c r="H78" t="str">
        <f t="shared" si="26"/>
        <v>I12</v>
      </c>
      <c r="I78" t="str">
        <f t="shared" si="26"/>
        <v>J12</v>
      </c>
      <c r="K78">
        <v>12</v>
      </c>
      <c r="P78" t="str">
        <v>I4</v>
      </c>
      <c r="Q78" t="str">
        <v>I</v>
      </c>
      <c r="R78">
        <v>4</v>
      </c>
      <c r="S78" t="str">
        <v>d</v>
      </c>
      <c r="T78" t="str">
        <v>Kernite</v>
      </c>
      <c r="U78">
        <v>5000</v>
      </c>
      <c r="V78">
        <v>2</v>
      </c>
      <c r="W78" s="114">
        <v>0.15</v>
      </c>
      <c r="X78" s="122">
        <v>4250</v>
      </c>
      <c r="Y78" s="122">
        <v>5100</v>
      </c>
      <c r="Z78">
        <v>0</v>
      </c>
      <c r="AA78">
        <v>0</v>
      </c>
      <c r="AB78">
        <v>60</v>
      </c>
      <c r="AC78">
        <v>120</v>
      </c>
      <c r="AD78">
        <v>0</v>
      </c>
      <c r="AE78">
        <v>0</v>
      </c>
      <c r="AF78">
        <v>0</v>
      </c>
      <c r="AG78">
        <v>58303.199999999997</v>
      </c>
      <c r="AH78" s="122">
        <v>247788600</v>
      </c>
      <c r="AI78" s="131">
        <v>48586</v>
      </c>
      <c r="AJ78" s="131">
        <f>SUM($Y$70:Y77)</f>
        <v>20010</v>
      </c>
      <c r="AK78" s="131">
        <f>IF((27500-AJ78)&lt;0,0,MIN(27500-AJ78,Y78))</f>
        <v>5100</v>
      </c>
    </row>
    <row r="79" spans="1:42">
      <c r="A79" t="str">
        <f t="shared" si="26"/>
        <v>B13</v>
      </c>
      <c r="B79" t="str">
        <f t="shared" si="26"/>
        <v>C13</v>
      </c>
      <c r="C79" t="str">
        <f t="shared" si="26"/>
        <v>D13</v>
      </c>
      <c r="D79" t="str">
        <f t="shared" si="26"/>
        <v>E13</v>
      </c>
      <c r="E79" t="str">
        <f t="shared" si="26"/>
        <v>F13</v>
      </c>
      <c r="F79" t="str">
        <f t="shared" si="26"/>
        <v>G13</v>
      </c>
      <c r="G79" t="str">
        <f t="shared" si="26"/>
        <v>H13</v>
      </c>
      <c r="H79" t="str">
        <f t="shared" si="26"/>
        <v>I13</v>
      </c>
      <c r="I79" t="str">
        <f t="shared" si="26"/>
        <v>J13</v>
      </c>
      <c r="K79">
        <v>13</v>
      </c>
      <c r="P79" t="str">
        <v>I6</v>
      </c>
      <c r="Q79" t="str">
        <v>I</v>
      </c>
      <c r="R79">
        <v>6</v>
      </c>
      <c r="S79" t="str">
        <v>d</v>
      </c>
      <c r="T79" t="str">
        <v>Kernite</v>
      </c>
      <c r="U79">
        <v>4000</v>
      </c>
      <c r="V79">
        <v>2</v>
      </c>
      <c r="W79" s="114">
        <v>0.15</v>
      </c>
      <c r="X79" s="122">
        <v>3400</v>
      </c>
      <c r="Y79" s="122">
        <v>4080</v>
      </c>
      <c r="Z79">
        <v>0</v>
      </c>
      <c r="AA79">
        <v>0</v>
      </c>
      <c r="AB79">
        <v>60</v>
      </c>
      <c r="AC79">
        <v>120</v>
      </c>
      <c r="AD79">
        <v>0</v>
      </c>
      <c r="AE79">
        <v>0</v>
      </c>
      <c r="AF79">
        <v>0</v>
      </c>
      <c r="AG79">
        <v>58303.199999999997</v>
      </c>
      <c r="AH79" s="122">
        <v>198230880</v>
      </c>
      <c r="AI79" s="131">
        <v>48586</v>
      </c>
      <c r="AJ79" s="131">
        <f>SUM($Y$70:Y78)</f>
        <v>25110</v>
      </c>
      <c r="AK79" s="131">
        <f t="shared" si="27"/>
        <v>2390</v>
      </c>
    </row>
    <row r="80" spans="1:42">
      <c r="A80" t="str">
        <f t="shared" si="26"/>
        <v>B14</v>
      </c>
      <c r="B80" t="str">
        <f t="shared" si="26"/>
        <v>C14</v>
      </c>
      <c r="C80" t="str">
        <f t="shared" si="26"/>
        <v>D14</v>
      </c>
      <c r="D80" t="str">
        <f t="shared" si="26"/>
        <v>E14</v>
      </c>
      <c r="E80" t="str">
        <f t="shared" si="26"/>
        <v>F14</v>
      </c>
      <c r="F80" t="str">
        <f t="shared" si="26"/>
        <v>G14</v>
      </c>
      <c r="G80" t="str">
        <f t="shared" si="26"/>
        <v>H14</v>
      </c>
      <c r="H80" t="str">
        <f t="shared" si="26"/>
        <v>I14</v>
      </c>
      <c r="I80" t="str">
        <f t="shared" si="26"/>
        <v>J14</v>
      </c>
      <c r="K80">
        <v>14</v>
      </c>
      <c r="P80" t="str">
        <v>E5</v>
      </c>
      <c r="Q80" t="str">
        <v>E</v>
      </c>
      <c r="R80">
        <v>5</v>
      </c>
      <c r="S80" t="str">
        <v>d</v>
      </c>
      <c r="T80" t="str">
        <v>Kernite</v>
      </c>
      <c r="U80">
        <v>3000</v>
      </c>
      <c r="V80">
        <v>2</v>
      </c>
      <c r="W80" s="114">
        <v>0.15</v>
      </c>
      <c r="X80" s="122">
        <v>2550</v>
      </c>
      <c r="Y80" s="122">
        <v>3060</v>
      </c>
      <c r="Z80">
        <v>0</v>
      </c>
      <c r="AA80">
        <v>0</v>
      </c>
      <c r="AB80">
        <v>60</v>
      </c>
      <c r="AC80">
        <v>120</v>
      </c>
      <c r="AD80">
        <v>0</v>
      </c>
      <c r="AE80">
        <v>0</v>
      </c>
      <c r="AF80">
        <v>0</v>
      </c>
      <c r="AG80">
        <v>58303.199999999997</v>
      </c>
      <c r="AH80" s="122">
        <v>148673160</v>
      </c>
      <c r="AI80" s="131">
        <v>48586</v>
      </c>
      <c r="AJ80" s="131">
        <f>SUM($Y$70:Y79)</f>
        <v>29190</v>
      </c>
      <c r="AK80" s="131">
        <f t="shared" si="27"/>
        <v>0</v>
      </c>
    </row>
    <row r="81" spans="1:37">
      <c r="A81" t="str">
        <f t="shared" si="26"/>
        <v>B15</v>
      </c>
      <c r="B81" t="str">
        <f t="shared" si="26"/>
        <v>C15</v>
      </c>
      <c r="C81" t="str">
        <f t="shared" si="26"/>
        <v>D15</v>
      </c>
      <c r="D81" t="str">
        <f t="shared" si="26"/>
        <v>E15</v>
      </c>
      <c r="E81" t="str">
        <f t="shared" si="26"/>
        <v>F15</v>
      </c>
      <c r="F81" t="str">
        <f t="shared" si="26"/>
        <v>G15</v>
      </c>
      <c r="G81" t="str">
        <f t="shared" si="26"/>
        <v>H15</v>
      </c>
      <c r="H81" t="str">
        <f t="shared" si="26"/>
        <v>I15</v>
      </c>
      <c r="I81" t="str">
        <f t="shared" si="26"/>
        <v>J15</v>
      </c>
      <c r="K81">
        <v>15</v>
      </c>
      <c r="P81" t="str">
        <v>C9</v>
      </c>
      <c r="Q81" t="str">
        <v>C</v>
      </c>
      <c r="R81">
        <v>9</v>
      </c>
      <c r="S81" t="str">
        <v>d</v>
      </c>
      <c r="T81" t="str">
        <v>Kernite</v>
      </c>
      <c r="U81">
        <v>2000</v>
      </c>
      <c r="V81">
        <v>2</v>
      </c>
      <c r="W81" s="114">
        <v>0.15</v>
      </c>
      <c r="X81" s="122">
        <v>1700</v>
      </c>
      <c r="Y81" s="122">
        <v>2040</v>
      </c>
      <c r="Z81">
        <v>0</v>
      </c>
      <c r="AA81">
        <v>0</v>
      </c>
      <c r="AB81">
        <v>60</v>
      </c>
      <c r="AC81">
        <v>120</v>
      </c>
      <c r="AD81">
        <v>0</v>
      </c>
      <c r="AE81">
        <v>0</v>
      </c>
      <c r="AF81">
        <v>0</v>
      </c>
      <c r="AG81">
        <v>58303.199999999997</v>
      </c>
      <c r="AH81" s="122">
        <v>99115440</v>
      </c>
      <c r="AI81" s="131">
        <v>48586</v>
      </c>
      <c r="AJ81" s="131">
        <f>SUM($Y$70:Y80)</f>
        <v>32250</v>
      </c>
      <c r="AK81" s="131">
        <f t="shared" si="27"/>
        <v>0</v>
      </c>
    </row>
    <row r="82" spans="1:37">
      <c r="A82" t="str">
        <f t="shared" si="26"/>
        <v>B16</v>
      </c>
      <c r="B82" t="str">
        <f t="shared" si="26"/>
        <v>C16</v>
      </c>
      <c r="C82" t="str">
        <f t="shared" si="26"/>
        <v>D16</v>
      </c>
      <c r="D82" t="str">
        <f t="shared" si="26"/>
        <v>E16</v>
      </c>
      <c r="E82" t="str">
        <f t="shared" si="26"/>
        <v>F16</v>
      </c>
      <c r="F82" t="str">
        <f t="shared" si="26"/>
        <v>G16</v>
      </c>
      <c r="G82" t="str">
        <f t="shared" si="26"/>
        <v>H16</v>
      </c>
      <c r="H82" t="str">
        <f t="shared" si="26"/>
        <v>I16</v>
      </c>
      <c r="I82" t="str">
        <f t="shared" si="26"/>
        <v>J16</v>
      </c>
      <c r="K82">
        <v>16</v>
      </c>
      <c r="P82" t="str">
        <v>D11</v>
      </c>
      <c r="Q82" t="str">
        <v>D</v>
      </c>
      <c r="R82">
        <v>11</v>
      </c>
      <c r="S82" t="str">
        <v>d</v>
      </c>
      <c r="T82" t="str">
        <v>Kernite</v>
      </c>
      <c r="U82">
        <v>1000</v>
      </c>
      <c r="V82">
        <v>2</v>
      </c>
      <c r="W82" s="114">
        <v>0.15</v>
      </c>
      <c r="X82" s="122">
        <v>850</v>
      </c>
      <c r="Y82" s="122">
        <v>1020</v>
      </c>
      <c r="Z82">
        <v>0</v>
      </c>
      <c r="AA82">
        <v>0</v>
      </c>
      <c r="AB82">
        <v>60</v>
      </c>
      <c r="AC82">
        <v>120</v>
      </c>
      <c r="AD82">
        <v>0</v>
      </c>
      <c r="AE82">
        <v>0</v>
      </c>
      <c r="AF82">
        <v>0</v>
      </c>
      <c r="AG82">
        <v>58303.199999999997</v>
      </c>
      <c r="AH82" s="122">
        <v>49557720</v>
      </c>
      <c r="AI82" s="131">
        <v>48586</v>
      </c>
      <c r="AJ82" s="131">
        <f>SUM($Y$70:Y81)</f>
        <v>34290</v>
      </c>
      <c r="AK82" s="131">
        <f t="shared" si="27"/>
        <v>0</v>
      </c>
    </row>
    <row r="83" spans="1:37">
      <c r="A83" t="str">
        <f t="shared" si="26"/>
        <v>B17</v>
      </c>
      <c r="B83" t="str">
        <f t="shared" si="26"/>
        <v>C17</v>
      </c>
      <c r="C83" t="str">
        <f t="shared" si="26"/>
        <v>D17</v>
      </c>
      <c r="D83" t="str">
        <f t="shared" si="26"/>
        <v>E17</v>
      </c>
      <c r="E83" t="str">
        <f t="shared" si="26"/>
        <v>F17</v>
      </c>
      <c r="F83" t="str">
        <f t="shared" si="26"/>
        <v>G17</v>
      </c>
      <c r="G83" t="str">
        <f t="shared" si="26"/>
        <v>H17</v>
      </c>
      <c r="H83" t="str">
        <f t="shared" si="26"/>
        <v>I17</v>
      </c>
      <c r="I83" t="str">
        <f t="shared" si="26"/>
        <v>J17</v>
      </c>
      <c r="K83">
        <v>17</v>
      </c>
      <c r="P83" t="str">
        <v>C6</v>
      </c>
      <c r="Q83" t="str">
        <v>C</v>
      </c>
      <c r="R83">
        <v>6</v>
      </c>
      <c r="S83" t="str">
        <v>a</v>
      </c>
      <c r="T83" t="str">
        <v>Veldspar</v>
      </c>
      <c r="U83">
        <v>6000</v>
      </c>
      <c r="V83">
        <v>5</v>
      </c>
      <c r="W83" s="114">
        <v>0</v>
      </c>
      <c r="X83" s="122">
        <v>6000</v>
      </c>
      <c r="Y83" s="122">
        <v>600</v>
      </c>
      <c r="Z83">
        <v>400</v>
      </c>
      <c r="AA83">
        <v>0</v>
      </c>
      <c r="AB83">
        <v>0</v>
      </c>
      <c r="AC83">
        <v>0</v>
      </c>
      <c r="AD83">
        <v>0</v>
      </c>
      <c r="AE83">
        <v>0</v>
      </c>
      <c r="AF83">
        <v>0</v>
      </c>
      <c r="AG83">
        <v>1700</v>
      </c>
      <c r="AH83" s="122">
        <v>10200000</v>
      </c>
      <c r="AI83" s="131">
        <v>17000</v>
      </c>
      <c r="AJ83" s="131">
        <f>SUM($Y$70:Y82)</f>
        <v>35310</v>
      </c>
      <c r="AK83" s="131">
        <f t="shared" si="27"/>
        <v>0</v>
      </c>
    </row>
    <row r="84" spans="1:37">
      <c r="P84" t="str">
        <v>G7</v>
      </c>
      <c r="Q84" t="str">
        <v>G</v>
      </c>
      <c r="R84">
        <v>7</v>
      </c>
      <c r="S84" t="str">
        <v>a</v>
      </c>
      <c r="T84" t="str">
        <v>Veldspar</v>
      </c>
      <c r="U84">
        <v>5000</v>
      </c>
      <c r="V84">
        <v>5</v>
      </c>
      <c r="W84" s="114">
        <v>0</v>
      </c>
      <c r="X84" s="122">
        <v>5000</v>
      </c>
      <c r="Y84" s="122">
        <v>500</v>
      </c>
      <c r="Z84">
        <v>400</v>
      </c>
      <c r="AA84">
        <v>0</v>
      </c>
      <c r="AB84">
        <v>0</v>
      </c>
      <c r="AC84">
        <v>0</v>
      </c>
      <c r="AD84">
        <v>0</v>
      </c>
      <c r="AE84">
        <v>0</v>
      </c>
      <c r="AF84">
        <v>0</v>
      </c>
      <c r="AG84">
        <v>1700</v>
      </c>
      <c r="AH84" s="122">
        <v>8500000</v>
      </c>
      <c r="AI84" s="131">
        <v>17000</v>
      </c>
      <c r="AJ84" s="131">
        <f>SUM($Y$70:Y83)</f>
        <v>35910</v>
      </c>
      <c r="AK84" s="131">
        <f t="shared" si="27"/>
        <v>0</v>
      </c>
    </row>
    <row r="85" spans="1:37">
      <c r="A85" t="s">
        <v>214</v>
      </c>
      <c r="B85" t="s">
        <v>215</v>
      </c>
      <c r="C85" t="s">
        <v>216</v>
      </c>
      <c r="D85" t="s">
        <v>217</v>
      </c>
      <c r="E85" t="s">
        <v>218</v>
      </c>
      <c r="F85" t="s">
        <v>219</v>
      </c>
      <c r="G85" t="s">
        <v>220</v>
      </c>
      <c r="H85" t="s">
        <v>221</v>
      </c>
      <c r="I85" t="s">
        <v>222</v>
      </c>
      <c r="P85" t="str">
        <v>E9</v>
      </c>
      <c r="Q85" t="str">
        <v>E</v>
      </c>
      <c r="R85">
        <v>9</v>
      </c>
      <c r="S85" t="str">
        <v>a</v>
      </c>
      <c r="T85" t="str">
        <v>Veldspar</v>
      </c>
      <c r="U85">
        <v>4000</v>
      </c>
      <c r="V85">
        <v>5</v>
      </c>
      <c r="W85" s="114">
        <v>0</v>
      </c>
      <c r="X85" s="122">
        <v>4000</v>
      </c>
      <c r="Y85" s="122">
        <v>400</v>
      </c>
      <c r="Z85">
        <v>400</v>
      </c>
      <c r="AA85">
        <v>0</v>
      </c>
      <c r="AB85">
        <v>0</v>
      </c>
      <c r="AC85">
        <v>0</v>
      </c>
      <c r="AD85">
        <v>0</v>
      </c>
      <c r="AE85">
        <v>0</v>
      </c>
      <c r="AF85">
        <v>0</v>
      </c>
      <c r="AG85">
        <v>1700</v>
      </c>
      <c r="AH85" s="122">
        <v>6800000</v>
      </c>
      <c r="AI85" s="131">
        <v>17000</v>
      </c>
      <c r="AJ85" s="131">
        <f>SUM($Y$70:Y84)</f>
        <v>36410</v>
      </c>
      <c r="AK85" s="131">
        <f t="shared" si="27"/>
        <v>0</v>
      </c>
    </row>
    <row r="86" spans="1:37">
      <c r="A86" t="s">
        <v>258</v>
      </c>
      <c r="P86" t="str">
        <v>F12</v>
      </c>
      <c r="Q86" t="str">
        <v>F</v>
      </c>
      <c r="R86">
        <v>12</v>
      </c>
      <c r="S86" t="str">
        <v>a</v>
      </c>
      <c r="T86" t="str">
        <v>Veldspar</v>
      </c>
      <c r="U86">
        <v>3000</v>
      </c>
      <c r="V86">
        <v>5</v>
      </c>
      <c r="W86" s="114">
        <v>0</v>
      </c>
      <c r="X86" s="122">
        <v>3000</v>
      </c>
      <c r="Y86" s="122">
        <v>300</v>
      </c>
      <c r="Z86">
        <v>400</v>
      </c>
      <c r="AA86">
        <v>0</v>
      </c>
      <c r="AB86">
        <v>0</v>
      </c>
      <c r="AC86">
        <v>0</v>
      </c>
      <c r="AD86">
        <v>0</v>
      </c>
      <c r="AE86">
        <v>0</v>
      </c>
      <c r="AF86">
        <v>0</v>
      </c>
      <c r="AG86">
        <v>1700</v>
      </c>
      <c r="AH86" s="122">
        <v>5100000</v>
      </c>
      <c r="AI86" s="131">
        <v>17000</v>
      </c>
      <c r="AJ86" s="131">
        <f>SUM($Y$70:Y85)</f>
        <v>36810</v>
      </c>
      <c r="AK86" s="131">
        <f t="shared" si="27"/>
        <v>0</v>
      </c>
    </row>
    <row r="87" spans="1:37">
      <c r="A87" t="s">
        <v>259</v>
      </c>
      <c r="P87" t="str">
        <v>D16</v>
      </c>
      <c r="Q87" t="str">
        <v>D</v>
      </c>
      <c r="R87">
        <v>16</v>
      </c>
      <c r="S87" t="str">
        <v>a</v>
      </c>
      <c r="T87" t="str">
        <v>Veldspar</v>
      </c>
      <c r="U87">
        <v>2000</v>
      </c>
      <c r="V87">
        <v>5</v>
      </c>
      <c r="W87" s="114">
        <v>0</v>
      </c>
      <c r="X87" s="122">
        <v>2000</v>
      </c>
      <c r="Y87" s="122">
        <v>200</v>
      </c>
      <c r="Z87">
        <v>400</v>
      </c>
      <c r="AA87">
        <v>0</v>
      </c>
      <c r="AB87">
        <v>0</v>
      </c>
      <c r="AC87">
        <v>0</v>
      </c>
      <c r="AD87">
        <v>0</v>
      </c>
      <c r="AE87">
        <v>0</v>
      </c>
      <c r="AF87">
        <v>0</v>
      </c>
      <c r="AG87">
        <v>1700</v>
      </c>
      <c r="AH87" s="122">
        <v>3400000</v>
      </c>
      <c r="AI87" s="131">
        <v>17000</v>
      </c>
      <c r="AJ87" s="131">
        <f>SUM($Y$70:Y86)</f>
        <v>37110</v>
      </c>
      <c r="AK87" s="131">
        <f t="shared" si="27"/>
        <v>0</v>
      </c>
    </row>
    <row r="88" spans="1:37">
      <c r="P88" t="str">
        <v>I16</v>
      </c>
      <c r="Q88" t="str">
        <v>I</v>
      </c>
      <c r="R88">
        <v>16</v>
      </c>
      <c r="S88" t="str">
        <v>a</v>
      </c>
      <c r="T88" t="str">
        <v>Veldspar</v>
      </c>
      <c r="U88">
        <v>1000</v>
      </c>
      <c r="V88">
        <v>5</v>
      </c>
      <c r="W88" s="114">
        <v>0</v>
      </c>
      <c r="X88" s="122">
        <v>1000</v>
      </c>
      <c r="Y88" s="122">
        <v>100</v>
      </c>
      <c r="Z88">
        <v>400</v>
      </c>
      <c r="AA88">
        <v>0</v>
      </c>
      <c r="AB88">
        <v>0</v>
      </c>
      <c r="AC88">
        <v>0</v>
      </c>
      <c r="AD88">
        <v>0</v>
      </c>
      <c r="AE88">
        <v>0</v>
      </c>
      <c r="AF88">
        <v>0</v>
      </c>
      <c r="AG88">
        <v>1700</v>
      </c>
      <c r="AH88" s="122">
        <v>1700000</v>
      </c>
      <c r="AI88" s="131">
        <v>17000</v>
      </c>
      <c r="AJ88" s="131">
        <f>SUM($Y$70:Y87)</f>
        <v>37310</v>
      </c>
      <c r="AK88" s="131">
        <f t="shared" si="27"/>
        <v>0</v>
      </c>
    </row>
    <row r="89" spans="1:37">
      <c r="P89" t="str">
        <v>D14</v>
      </c>
      <c r="Q89" t="str">
        <v>D</v>
      </c>
      <c r="R89">
        <v>14</v>
      </c>
      <c r="S89" t="str">
        <v>b</v>
      </c>
      <c r="T89" t="str">
        <v>Scordite</v>
      </c>
      <c r="U89">
        <v>6000</v>
      </c>
      <c r="V89">
        <v>4</v>
      </c>
      <c r="W89" s="114">
        <v>0.05</v>
      </c>
      <c r="X89" s="122">
        <v>5700</v>
      </c>
      <c r="Y89" s="122">
        <v>855</v>
      </c>
      <c r="Z89">
        <v>150</v>
      </c>
      <c r="AA89">
        <v>90</v>
      </c>
      <c r="AB89">
        <v>0</v>
      </c>
      <c r="AC89">
        <v>0</v>
      </c>
      <c r="AD89">
        <v>0</v>
      </c>
      <c r="AE89">
        <v>0</v>
      </c>
      <c r="AF89">
        <v>0</v>
      </c>
      <c r="AG89">
        <v>1548.3</v>
      </c>
      <c r="AH89" s="122">
        <v>8825310</v>
      </c>
      <c r="AI89" s="131">
        <v>10322</v>
      </c>
      <c r="AJ89" s="131">
        <f>SUM($Y$70:Y88)</f>
        <v>37410</v>
      </c>
      <c r="AK89" s="131">
        <f t="shared" si="27"/>
        <v>0</v>
      </c>
    </row>
    <row r="90" spans="1:37">
      <c r="B90" s="139">
        <f>AM71</f>
        <v>12902.5</v>
      </c>
      <c r="P90" t="str">
        <v>G14</v>
      </c>
      <c r="Q90" t="str">
        <v>G</v>
      </c>
      <c r="R90">
        <v>14</v>
      </c>
      <c r="S90" t="str">
        <v>b</v>
      </c>
      <c r="T90" t="str">
        <v>Scordite</v>
      </c>
      <c r="U90">
        <v>5000</v>
      </c>
      <c r="V90">
        <v>4</v>
      </c>
      <c r="W90" s="114">
        <v>0.05</v>
      </c>
      <c r="X90" s="122">
        <v>4750</v>
      </c>
      <c r="Y90" s="122">
        <v>712.5</v>
      </c>
      <c r="Z90">
        <v>150</v>
      </c>
      <c r="AA90">
        <v>90</v>
      </c>
      <c r="AB90">
        <v>0</v>
      </c>
      <c r="AC90">
        <v>0</v>
      </c>
      <c r="AD90">
        <v>0</v>
      </c>
      <c r="AE90">
        <v>0</v>
      </c>
      <c r="AF90">
        <v>0</v>
      </c>
      <c r="AG90">
        <v>1548.3</v>
      </c>
      <c r="AH90" s="122">
        <v>7354425</v>
      </c>
      <c r="AI90" s="131">
        <v>10322</v>
      </c>
      <c r="AJ90" s="131">
        <f>SUM($Y$70:Y89)</f>
        <v>38265</v>
      </c>
      <c r="AK90" s="131">
        <f t="shared" si="27"/>
        <v>0</v>
      </c>
    </row>
    <row r="91" spans="1:37" ht="15.75">
      <c r="A91" s="15">
        <v>101</v>
      </c>
      <c r="B91">
        <f t="dataTable" ref="B91:B110" dt2D="0" dtr="0" r1="F56"/>
        <v>15737.5</v>
      </c>
      <c r="D91">
        <f>ROUND(SUM(B91:B110),0)</f>
        <v>287923</v>
      </c>
      <c r="P91" t="str">
        <v>H11</v>
      </c>
      <c r="Q91" t="str">
        <v>H</v>
      </c>
      <c r="R91">
        <v>11</v>
      </c>
      <c r="S91" t="str">
        <v>b</v>
      </c>
      <c r="T91" t="str">
        <v>Scordite</v>
      </c>
      <c r="U91">
        <v>4000</v>
      </c>
      <c r="V91">
        <v>4</v>
      </c>
      <c r="W91" s="114">
        <v>0.05</v>
      </c>
      <c r="X91" s="122">
        <v>3800</v>
      </c>
      <c r="Y91" s="122">
        <v>570</v>
      </c>
      <c r="Z91">
        <v>150</v>
      </c>
      <c r="AA91">
        <v>90</v>
      </c>
      <c r="AB91">
        <v>0</v>
      </c>
      <c r="AC91">
        <v>0</v>
      </c>
      <c r="AD91">
        <v>0</v>
      </c>
      <c r="AE91">
        <v>0</v>
      </c>
      <c r="AF91">
        <v>0</v>
      </c>
      <c r="AG91">
        <v>1548.3</v>
      </c>
      <c r="AH91" s="122">
        <v>5883540</v>
      </c>
      <c r="AI91" s="131">
        <v>10322</v>
      </c>
      <c r="AJ91" s="131">
        <f>SUM($Y$70:Y90)</f>
        <v>38977.5</v>
      </c>
      <c r="AK91" s="131">
        <f t="shared" si="27"/>
        <v>0</v>
      </c>
    </row>
    <row r="92" spans="1:37" ht="15.75">
      <c r="A92" s="15">
        <f t="shared" ref="A92:A110" si="28">A91+1</f>
        <v>102</v>
      </c>
      <c r="B92">
        <v>15647.5</v>
      </c>
      <c r="P92" t="str">
        <v>I8</v>
      </c>
      <c r="Q92" t="str">
        <v>I</v>
      </c>
      <c r="R92">
        <v>8</v>
      </c>
      <c r="S92" t="str">
        <v>b</v>
      </c>
      <c r="T92" t="str">
        <v>Scordite</v>
      </c>
      <c r="U92">
        <v>3000</v>
      </c>
      <c r="V92">
        <v>4</v>
      </c>
      <c r="W92" s="114">
        <v>0.05</v>
      </c>
      <c r="X92" s="122">
        <v>2850</v>
      </c>
      <c r="Y92" s="122">
        <v>427.5</v>
      </c>
      <c r="Z92">
        <v>150</v>
      </c>
      <c r="AA92">
        <v>90</v>
      </c>
      <c r="AB92">
        <v>0</v>
      </c>
      <c r="AC92">
        <v>0</v>
      </c>
      <c r="AD92">
        <v>0</v>
      </c>
      <c r="AE92">
        <v>0</v>
      </c>
      <c r="AF92">
        <v>0</v>
      </c>
      <c r="AG92">
        <v>1548.3</v>
      </c>
      <c r="AH92" s="122">
        <v>4412655</v>
      </c>
      <c r="AI92" s="131">
        <v>10322</v>
      </c>
      <c r="AJ92" s="131">
        <f>SUM($Y$70:Y91)</f>
        <v>39547.5</v>
      </c>
      <c r="AK92" s="131">
        <f t="shared" si="27"/>
        <v>0</v>
      </c>
    </row>
    <row r="93" spans="1:37" ht="15.75">
      <c r="A93" s="15">
        <f t="shared" si="28"/>
        <v>103</v>
      </c>
      <c r="B93">
        <v>9970</v>
      </c>
      <c r="P93" t="str">
        <v>G4</v>
      </c>
      <c r="Q93" t="str">
        <v>G</v>
      </c>
      <c r="R93">
        <v>4</v>
      </c>
      <c r="S93" t="str">
        <v>b</v>
      </c>
      <c r="T93" t="str">
        <v>Scordite</v>
      </c>
      <c r="U93">
        <v>2000</v>
      </c>
      <c r="V93">
        <v>4</v>
      </c>
      <c r="W93" s="114">
        <v>0.05</v>
      </c>
      <c r="X93" s="122">
        <v>1900</v>
      </c>
      <c r="Y93" s="122">
        <v>285</v>
      </c>
      <c r="Z93">
        <v>150</v>
      </c>
      <c r="AA93">
        <v>90</v>
      </c>
      <c r="AB93">
        <v>0</v>
      </c>
      <c r="AC93">
        <v>0</v>
      </c>
      <c r="AD93">
        <v>0</v>
      </c>
      <c r="AE93">
        <v>0</v>
      </c>
      <c r="AF93">
        <v>0</v>
      </c>
      <c r="AG93">
        <v>1548.3</v>
      </c>
      <c r="AH93" s="122">
        <v>2941770</v>
      </c>
      <c r="AI93" s="131">
        <v>10322</v>
      </c>
      <c r="AJ93" s="131">
        <f>SUM($Y$70:Y92)</f>
        <v>39975</v>
      </c>
      <c r="AK93" s="131">
        <f t="shared" si="27"/>
        <v>0</v>
      </c>
    </row>
    <row r="94" spans="1:37" ht="15.75">
      <c r="A94" s="15">
        <f t="shared" si="28"/>
        <v>104</v>
      </c>
      <c r="B94">
        <v>14837.5</v>
      </c>
      <c r="P94" t="str">
        <v>D4</v>
      </c>
      <c r="Q94" t="str">
        <v>D</v>
      </c>
      <c r="R94">
        <v>4</v>
      </c>
      <c r="S94" t="str">
        <v>b</v>
      </c>
      <c r="T94" t="str">
        <v>Scordite</v>
      </c>
      <c r="U94">
        <v>1000</v>
      </c>
      <c r="V94">
        <v>4</v>
      </c>
      <c r="W94" s="114">
        <v>0.05</v>
      </c>
      <c r="X94" s="122">
        <v>950</v>
      </c>
      <c r="Y94" s="122">
        <v>142.5</v>
      </c>
      <c r="Z94">
        <v>150</v>
      </c>
      <c r="AA94">
        <v>90</v>
      </c>
      <c r="AB94">
        <v>0</v>
      </c>
      <c r="AC94">
        <v>0</v>
      </c>
      <c r="AD94">
        <v>0</v>
      </c>
      <c r="AE94">
        <v>0</v>
      </c>
      <c r="AF94">
        <v>0</v>
      </c>
      <c r="AG94">
        <v>1548.3</v>
      </c>
      <c r="AH94" s="122">
        <v>1470885</v>
      </c>
      <c r="AI94" s="131">
        <v>10322</v>
      </c>
      <c r="AJ94" s="131">
        <f>SUM($Y$70:Y93)</f>
        <v>40260</v>
      </c>
      <c r="AK94" s="131">
        <f t="shared" si="27"/>
        <v>0</v>
      </c>
    </row>
    <row r="95" spans="1:37" ht="15.75">
      <c r="A95" s="15">
        <f t="shared" si="28"/>
        <v>105</v>
      </c>
      <c r="B95">
        <v>16015</v>
      </c>
      <c r="W95" s="114"/>
      <c r="X95" s="122"/>
      <c r="Y95" s="122"/>
      <c r="AH95" s="122"/>
      <c r="AI95" s="131"/>
    </row>
    <row r="96" spans="1:37" ht="15.75">
      <c r="A96" s="15">
        <f t="shared" si="28"/>
        <v>106</v>
      </c>
      <c r="B96">
        <v>13090</v>
      </c>
    </row>
    <row r="97" spans="1:16" ht="15.75">
      <c r="A97" s="15">
        <f t="shared" si="28"/>
        <v>107</v>
      </c>
      <c r="B97">
        <v>14942.5</v>
      </c>
    </row>
    <row r="98" spans="1:16" ht="15.75">
      <c r="A98" s="15">
        <f t="shared" si="28"/>
        <v>108</v>
      </c>
      <c r="B98">
        <v>11957.5</v>
      </c>
      <c r="P98" s="135"/>
    </row>
    <row r="99" spans="1:16" ht="15.75">
      <c r="A99" s="15">
        <f t="shared" si="28"/>
        <v>109</v>
      </c>
      <c r="B99">
        <v>10592.5</v>
      </c>
    </row>
    <row r="100" spans="1:16" ht="15.75">
      <c r="A100" s="15">
        <f t="shared" si="28"/>
        <v>110</v>
      </c>
      <c r="B100">
        <v>10397.5</v>
      </c>
    </row>
    <row r="101" spans="1:16" ht="15.75">
      <c r="A101" s="15">
        <f t="shared" si="28"/>
        <v>111</v>
      </c>
      <c r="B101">
        <v>14020</v>
      </c>
    </row>
    <row r="102" spans="1:16" ht="15.75">
      <c r="A102" s="15">
        <f t="shared" si="28"/>
        <v>112</v>
      </c>
      <c r="B102">
        <v>12692.5</v>
      </c>
    </row>
    <row r="103" spans="1:16" ht="15.75">
      <c r="A103" s="15">
        <f t="shared" si="28"/>
        <v>113</v>
      </c>
      <c r="B103">
        <v>16517.5</v>
      </c>
    </row>
    <row r="104" spans="1:16" ht="15.75">
      <c r="A104" s="15">
        <f t="shared" si="28"/>
        <v>114</v>
      </c>
      <c r="B104">
        <v>15385</v>
      </c>
    </row>
    <row r="105" spans="1:16" ht="15.75">
      <c r="A105" s="15">
        <f t="shared" si="28"/>
        <v>115</v>
      </c>
      <c r="B105">
        <v>16187.5</v>
      </c>
    </row>
    <row r="106" spans="1:16" ht="15.75">
      <c r="A106" s="15">
        <f t="shared" si="28"/>
        <v>116</v>
      </c>
      <c r="B106">
        <v>18055</v>
      </c>
    </row>
    <row r="107" spans="1:16" ht="15.75">
      <c r="A107" s="15">
        <f t="shared" si="28"/>
        <v>117</v>
      </c>
      <c r="B107">
        <v>13262.5</v>
      </c>
    </row>
    <row r="108" spans="1:16" ht="15.75">
      <c r="A108" s="15">
        <f t="shared" si="28"/>
        <v>118</v>
      </c>
      <c r="B108">
        <v>12550</v>
      </c>
    </row>
    <row r="109" spans="1:16" ht="15.75">
      <c r="A109" s="15">
        <f t="shared" si="28"/>
        <v>119</v>
      </c>
      <c r="B109">
        <v>18557.5</v>
      </c>
    </row>
    <row r="110" spans="1:16" ht="15.75">
      <c r="A110" s="15">
        <f t="shared" si="28"/>
        <v>120</v>
      </c>
      <c r="B110">
        <v>17507.5</v>
      </c>
    </row>
  </sheetData>
  <mergeCells count="7">
    <mergeCell ref="A46:D46"/>
    <mergeCell ref="A47:D47"/>
    <mergeCell ref="A2:I2"/>
    <mergeCell ref="A24:I24"/>
    <mergeCell ref="A43:D43"/>
    <mergeCell ref="A44:D44"/>
    <mergeCell ref="A45:D45"/>
  </mergeCells>
  <conditionalFormatting sqref="A69:I83">
    <cfRule type="expression" dxfId="1" priority="2">
      <formula>A25&lt;&gt;""</formula>
    </cfRule>
  </conditionalFormatting>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95EB0-F799-4F81-BADB-178170CEF4AF}">
  <dimension ref="A1:AJ38"/>
  <sheetViews>
    <sheetView workbookViewId="0">
      <selection activeCell="AJ13" sqref="AJ13"/>
    </sheetView>
  </sheetViews>
  <sheetFormatPr defaultRowHeight="15"/>
  <cols>
    <col min="1" max="1" width="10.7109375" bestFit="1" customWidth="1"/>
    <col min="18" max="18" width="10.5703125" bestFit="1" customWidth="1"/>
    <col min="19" max="19" width="10.140625" bestFit="1" customWidth="1"/>
    <col min="20" max="20" width="10" bestFit="1" customWidth="1"/>
    <col min="34" max="34" width="10" bestFit="1" customWidth="1"/>
    <col min="35" max="35" width="11" bestFit="1" customWidth="1"/>
  </cols>
  <sheetData>
    <row r="1" spans="1:36" ht="15.75" thickBot="1">
      <c r="A1" t="s">
        <v>75</v>
      </c>
      <c r="N1" t="s">
        <v>236</v>
      </c>
      <c r="O1" t="s">
        <v>260</v>
      </c>
      <c r="R1" s="49" t="s">
        <v>10</v>
      </c>
      <c r="S1" s="49" t="s">
        <v>11</v>
      </c>
      <c r="T1" s="49" t="s">
        <v>12</v>
      </c>
      <c r="U1" s="49" t="s">
        <v>13</v>
      </c>
      <c r="V1" s="49" t="s">
        <v>14</v>
      </c>
      <c r="W1" s="49" t="s">
        <v>15</v>
      </c>
      <c r="X1" s="49" t="s">
        <v>16</v>
      </c>
    </row>
    <row r="2" spans="1:36">
      <c r="A2" t="s">
        <v>261</v>
      </c>
      <c r="I2" s="173" t="s">
        <v>17</v>
      </c>
      <c r="J2" s="174"/>
      <c r="K2" s="174"/>
      <c r="L2" s="175"/>
      <c r="M2">
        <v>1</v>
      </c>
      <c r="N2" s="69" t="s">
        <v>173</v>
      </c>
      <c r="R2" s="55">
        <v>24000</v>
      </c>
      <c r="S2" s="55">
        <v>4500</v>
      </c>
      <c r="T2" s="55">
        <v>1875</v>
      </c>
      <c r="U2" s="55">
        <v>375</v>
      </c>
      <c r="V2" s="55"/>
      <c r="W2" s="55"/>
      <c r="X2" s="55"/>
    </row>
    <row r="3" spans="1:36">
      <c r="A3" t="s">
        <v>262</v>
      </c>
      <c r="I3" s="176" t="s">
        <v>19</v>
      </c>
      <c r="J3" s="177"/>
      <c r="K3" s="177"/>
      <c r="L3" s="178"/>
      <c r="M3">
        <v>2</v>
      </c>
      <c r="N3" s="70" t="s">
        <v>174</v>
      </c>
      <c r="R3" s="56">
        <v>80000</v>
      </c>
      <c r="S3" s="56">
        <v>15000</v>
      </c>
      <c r="T3" s="56">
        <v>5000</v>
      </c>
      <c r="U3" s="56">
        <v>1000</v>
      </c>
      <c r="V3" s="56"/>
      <c r="W3" s="56"/>
      <c r="X3" s="56"/>
    </row>
    <row r="4" spans="1:36">
      <c r="A4" t="s">
        <v>263</v>
      </c>
      <c r="I4" s="179" t="s">
        <v>21</v>
      </c>
      <c r="J4" s="180"/>
      <c r="K4" s="180"/>
      <c r="L4" s="181"/>
      <c r="M4">
        <v>3</v>
      </c>
      <c r="N4" s="68" t="s">
        <v>176</v>
      </c>
      <c r="R4" s="57">
        <v>540000</v>
      </c>
      <c r="S4" s="57">
        <v>180000</v>
      </c>
      <c r="T4" s="57">
        <v>36000</v>
      </c>
      <c r="U4" s="57">
        <v>10000</v>
      </c>
      <c r="V4" s="57">
        <v>1500</v>
      </c>
      <c r="W4" s="57">
        <v>350</v>
      </c>
      <c r="X4" s="57">
        <v>140</v>
      </c>
    </row>
    <row r="5" spans="1:36">
      <c r="A5" t="s">
        <v>264</v>
      </c>
      <c r="I5" s="182" t="s">
        <v>23</v>
      </c>
      <c r="J5" s="183"/>
      <c r="K5" s="183"/>
      <c r="L5" s="184"/>
      <c r="M5">
        <v>4</v>
      </c>
      <c r="N5" s="67" t="s">
        <v>175</v>
      </c>
      <c r="R5" s="58">
        <v>2800000</v>
      </c>
      <c r="S5" s="58">
        <v>1000000</v>
      </c>
      <c r="T5" s="58">
        <v>180000</v>
      </c>
      <c r="U5" s="58">
        <v>20000</v>
      </c>
      <c r="V5" s="58">
        <v>8000</v>
      </c>
      <c r="W5" s="58">
        <v>2000</v>
      </c>
      <c r="X5" s="58">
        <v>400</v>
      </c>
    </row>
    <row r="6" spans="1:36">
      <c r="I6" s="194" t="s">
        <v>25</v>
      </c>
      <c r="J6" s="195"/>
      <c r="K6" s="195"/>
      <c r="L6" s="196"/>
      <c r="M6">
        <v>5</v>
      </c>
      <c r="N6" s="71" t="s">
        <v>265</v>
      </c>
      <c r="R6" s="59">
        <v>8000000</v>
      </c>
      <c r="S6" s="59">
        <v>4000000</v>
      </c>
      <c r="T6" s="59">
        <v>600000</v>
      </c>
      <c r="U6" s="59">
        <v>400000</v>
      </c>
      <c r="V6" s="59">
        <v>12000</v>
      </c>
      <c r="W6" s="59">
        <v>6000</v>
      </c>
      <c r="X6" s="59">
        <v>3000</v>
      </c>
    </row>
    <row r="10" spans="1:36" ht="15.75" thickBot="1">
      <c r="O10" t="s">
        <v>266</v>
      </c>
      <c r="V10" t="s">
        <v>267</v>
      </c>
      <c r="AD10" t="s">
        <v>268</v>
      </c>
      <c r="AJ10" t="s">
        <v>269</v>
      </c>
    </row>
    <row r="11" spans="1:36" ht="16.5" thickBot="1">
      <c r="A11" s="49" t="s">
        <v>92</v>
      </c>
      <c r="B11" s="44"/>
      <c r="C11" s="61" t="s">
        <v>93</v>
      </c>
      <c r="D11" s="49" t="s">
        <v>94</v>
      </c>
      <c r="E11" s="49" t="s">
        <v>95</v>
      </c>
      <c r="F11" s="49" t="s">
        <v>96</v>
      </c>
      <c r="G11" s="49" t="s">
        <v>97</v>
      </c>
      <c r="I11" s="61" t="s">
        <v>93</v>
      </c>
      <c r="J11" s="49" t="s">
        <v>94</v>
      </c>
      <c r="K11" s="49" t="s">
        <v>95</v>
      </c>
      <c r="L11" s="49" t="s">
        <v>96</v>
      </c>
      <c r="M11" s="49" t="s">
        <v>97</v>
      </c>
      <c r="O11" s="69" t="s">
        <v>173</v>
      </c>
      <c r="P11" s="70" t="s">
        <v>174</v>
      </c>
      <c r="Q11" s="68" t="s">
        <v>176</v>
      </c>
      <c r="R11" s="67" t="s">
        <v>175</v>
      </c>
      <c r="S11" s="71" t="s">
        <v>265</v>
      </c>
      <c r="T11" s="108"/>
      <c r="V11" s="49" t="s">
        <v>10</v>
      </c>
      <c r="W11" s="49" t="s">
        <v>11</v>
      </c>
      <c r="X11" s="49" t="s">
        <v>12</v>
      </c>
      <c r="Y11" s="49" t="s">
        <v>13</v>
      </c>
      <c r="Z11" s="49" t="s">
        <v>14</v>
      </c>
      <c r="AA11" s="49" t="s">
        <v>15</v>
      </c>
      <c r="AB11" s="49" t="s">
        <v>16</v>
      </c>
      <c r="AD11" s="69" t="s">
        <v>173</v>
      </c>
      <c r="AE11" s="70" t="s">
        <v>174</v>
      </c>
      <c r="AF11" s="68" t="s">
        <v>176</v>
      </c>
      <c r="AG11" s="67" t="s">
        <v>175</v>
      </c>
      <c r="AH11" s="71" t="s">
        <v>265</v>
      </c>
    </row>
    <row r="12" spans="1:36" ht="15.75">
      <c r="A12" s="1"/>
      <c r="B12" s="44"/>
      <c r="C12" s="44"/>
      <c r="D12" s="44"/>
      <c r="E12" s="44"/>
      <c r="F12" s="44"/>
      <c r="G12" s="44"/>
      <c r="I12" s="44"/>
      <c r="J12" s="44"/>
      <c r="K12" s="44"/>
      <c r="L12" s="44"/>
      <c r="M12" s="44"/>
      <c r="U12" t="s">
        <v>270</v>
      </c>
    </row>
    <row r="13" spans="1:36" ht="15.75">
      <c r="A13" s="74">
        <v>45110</v>
      </c>
      <c r="B13" s="44"/>
      <c r="C13" s="67">
        <v>10</v>
      </c>
      <c r="D13" s="68">
        <v>11</v>
      </c>
      <c r="E13" s="67">
        <v>12</v>
      </c>
      <c r="F13" s="68">
        <v>11</v>
      </c>
      <c r="G13" s="67">
        <v>10</v>
      </c>
      <c r="I13" s="67" t="s">
        <v>175</v>
      </c>
      <c r="J13" s="68" t="s">
        <v>176</v>
      </c>
      <c r="K13" s="67" t="s">
        <v>175</v>
      </c>
      <c r="L13" s="68" t="s">
        <v>176</v>
      </c>
      <c r="M13" s="67" t="s">
        <v>175</v>
      </c>
      <c r="O13">
        <f>SUMPRODUCT(($I13:$M13=O$11)*($C13:$G13))</f>
        <v>0</v>
      </c>
      <c r="P13">
        <f t="shared" ref="P13:S28" si="0">SUMPRODUCT(($I13:$M13=P$11)*($C13:$G13))</f>
        <v>0</v>
      </c>
      <c r="Q13">
        <f t="shared" si="0"/>
        <v>22</v>
      </c>
      <c r="R13">
        <f t="shared" si="0"/>
        <v>32</v>
      </c>
      <c r="S13">
        <f t="shared" si="0"/>
        <v>0</v>
      </c>
      <c r="T13" s="109"/>
      <c r="U13">
        <f>MATCH(A13,'Add-In Output'!$B$4:$B$212,0)</f>
        <v>146</v>
      </c>
      <c r="V13">
        <f>INDEX('Add-In Output'!$B$4:$U$212,$U13,MATCH(V$11&amp;" Price",'Add-In Output'!$B$2:$U$2,0))</f>
        <v>4.32</v>
      </c>
      <c r="W13">
        <f>INDEX('Add-In Output'!$B$4:$U$212,$U13,MATCH(W$11&amp;" Price",'Add-In Output'!$B$2:$U$2,0))</f>
        <v>11.66</v>
      </c>
      <c r="X13">
        <f>INDEX('Add-In Output'!$B$4:$U$212,$U13,MATCH(X$11&amp;" Price",'Add-In Output'!$B$2:$U$2,0))</f>
        <v>51.1</v>
      </c>
      <c r="Y13">
        <f>INDEX('Add-In Output'!$B$4:$U$212,$U13,MATCH(Y$11&amp;" Price",'Add-In Output'!$B$2:$U$2,0))</f>
        <v>455.8</v>
      </c>
      <c r="Z13">
        <f>INDEX('Add-In Output'!$B$4:$U$212,$U13,MATCH(Z$11&amp;" Price",'Add-In Output'!$B$2:$U$2,0))</f>
        <v>910.7</v>
      </c>
      <c r="AA13">
        <f>INDEX('Add-In Output'!$B$4:$U$212,$U13,MATCH(AA$11&amp;" Price",'Add-In Output'!$B$2:$U$2,0))</f>
        <v>2477</v>
      </c>
      <c r="AB13">
        <f>INDEX('Add-In Output'!$B$4:$U$212,$U13,MATCH(AB$11&amp;" Price",'Add-In Output'!$B$2:$U$2,0))</f>
        <v>4458</v>
      </c>
      <c r="AD13">
        <f>SUMPRODUCT(R$2:X$2,$V13:$AB13)</f>
        <v>422887.5</v>
      </c>
      <c r="AE13">
        <f>SUMPRODUCT(R$3:X$3,$V13:$AB13)</f>
        <v>1231800</v>
      </c>
      <c r="AF13">
        <f>SUMPRODUCT(R$4:X$4,$V13:$AB13)</f>
        <v>13686320</v>
      </c>
      <c r="AG13">
        <f>SUMPRODUCT(R$5:X$5,$V13:$AB13)</f>
        <v>56092800</v>
      </c>
      <c r="AH13">
        <f>SUMPRODUCT(R$6:X$6,$V13:$AB13)</f>
        <v>333344400</v>
      </c>
      <c r="AJ13">
        <f>ROUND(SUMPRODUCT(AD13:AH13,O13:S13)/1000000*1.1,0)</f>
        <v>2306</v>
      </c>
    </row>
    <row r="14" spans="1:36" ht="15.75">
      <c r="A14" s="48"/>
      <c r="B14" s="44"/>
      <c r="C14" s="44"/>
      <c r="D14" s="44"/>
      <c r="E14" s="44"/>
      <c r="F14" s="44"/>
      <c r="G14" s="44"/>
      <c r="I14" s="44"/>
      <c r="J14" s="44"/>
      <c r="K14" s="44"/>
      <c r="L14" s="44"/>
      <c r="M14" s="44"/>
    </row>
    <row r="15" spans="1:36" ht="15.75">
      <c r="A15" s="74">
        <v>45070</v>
      </c>
      <c r="B15" s="44"/>
      <c r="C15" s="66"/>
      <c r="D15" s="66"/>
      <c r="E15" s="69">
        <v>1</v>
      </c>
      <c r="F15" s="66"/>
      <c r="G15" s="66"/>
      <c r="I15" s="66"/>
      <c r="J15" s="66"/>
      <c r="K15" s="69" t="s">
        <v>173</v>
      </c>
      <c r="L15" s="66"/>
      <c r="M15" s="66"/>
      <c r="O15">
        <f>SUMPRODUCT(($I15:$M15=O$11)*($C15:$G15))</f>
        <v>1</v>
      </c>
      <c r="P15">
        <f t="shared" si="0"/>
        <v>0</v>
      </c>
      <c r="Q15">
        <f t="shared" si="0"/>
        <v>0</v>
      </c>
      <c r="R15">
        <f t="shared" si="0"/>
        <v>0</v>
      </c>
      <c r="S15">
        <f t="shared" si="0"/>
        <v>0</v>
      </c>
      <c r="T15" s="109"/>
      <c r="U15">
        <f>MATCH(A15,'Add-In Output'!$B$4:$B$212,0)</f>
        <v>186</v>
      </c>
      <c r="V15">
        <f>INDEX('Add-In Output'!$B$4:$U$212,$U15,MATCH(V$11&amp;" Price",'Add-In Output'!$B$2:$U$2,0))</f>
        <v>4.04</v>
      </c>
      <c r="W15">
        <f>INDEX('Add-In Output'!$B$4:$U$212,$U15,MATCH(W$11&amp;" Price",'Add-In Output'!$B$2:$U$2,0))</f>
        <v>10.87</v>
      </c>
      <c r="X15">
        <f>INDEX('Add-In Output'!$B$4:$U$212,$U15,MATCH(X$11&amp;" Price",'Add-In Output'!$B$2:$U$2,0))</f>
        <v>54.7</v>
      </c>
      <c r="Y15">
        <f>INDEX('Add-In Output'!$B$4:$U$212,$U15,MATCH(Y$11&amp;" Price",'Add-In Output'!$B$2:$U$2,0))</f>
        <v>643.70000000000005</v>
      </c>
      <c r="Z15">
        <f>INDEX('Add-In Output'!$B$4:$U$212,$U15,MATCH(Z$11&amp;" Price",'Add-In Output'!$B$2:$U$2,0))</f>
        <v>984.6</v>
      </c>
      <c r="AA15">
        <f>INDEX('Add-In Output'!$B$4:$U$212,$U15,MATCH(AA$11&amp;" Price",'Add-In Output'!$B$2:$U$2,0))</f>
        <v>2291</v>
      </c>
      <c r="AB15">
        <f>INDEX('Add-In Output'!$B$4:$U$212,$U15,MATCH(AB$11&amp;" Price",'Add-In Output'!$B$2:$U$2,0))</f>
        <v>3479</v>
      </c>
      <c r="AD15">
        <f>SUMPRODUCT(R$2:X$2,$V15:$AB15)</f>
        <v>489825</v>
      </c>
      <c r="AE15">
        <f>SUMPRODUCT(R$3:X$3,$V15:$AB15)</f>
        <v>1403450</v>
      </c>
      <c r="AF15">
        <f>SUMPRODUCT(R$4:X$4,$V15:$AB15)</f>
        <v>15310210</v>
      </c>
      <c r="AG15">
        <f>SUMPRODUCT(R$5:X$5,$V15:$AB15)</f>
        <v>58752400</v>
      </c>
      <c r="AH15">
        <f>SUMPRODUCT(R$6:X$6,$V15:$AB15)</f>
        <v>402098200</v>
      </c>
      <c r="AJ15">
        <f>ROUND(SUMPRODUCT(AD15:AH15,O15:S15)/1000000*1.1,0)</f>
        <v>1</v>
      </c>
    </row>
    <row r="16" spans="1:36" ht="15.75">
      <c r="A16" s="74">
        <v>45250</v>
      </c>
      <c r="B16" s="44"/>
      <c r="C16" s="66"/>
      <c r="D16" s="69">
        <v>2</v>
      </c>
      <c r="E16" s="70">
        <v>3</v>
      </c>
      <c r="F16" s="69">
        <v>4</v>
      </c>
      <c r="G16" s="66"/>
      <c r="I16" s="66"/>
      <c r="J16" s="69" t="s">
        <v>173</v>
      </c>
      <c r="K16" s="70" t="s">
        <v>174</v>
      </c>
      <c r="L16" s="69" t="s">
        <v>173</v>
      </c>
      <c r="M16" s="66"/>
      <c r="O16">
        <f t="shared" ref="O16:S34" si="1">SUMPRODUCT(($I16:$M16=O$11)*($C16:$G16))</f>
        <v>6</v>
      </c>
      <c r="P16">
        <f t="shared" si="0"/>
        <v>3</v>
      </c>
      <c r="Q16">
        <f t="shared" si="0"/>
        <v>0</v>
      </c>
      <c r="R16">
        <f t="shared" si="0"/>
        <v>0</v>
      </c>
      <c r="S16">
        <f t="shared" si="0"/>
        <v>0</v>
      </c>
      <c r="T16" s="109"/>
      <c r="U16">
        <f>MATCH(A16,'Add-In Output'!$B$4:$B$212,0)</f>
        <v>8</v>
      </c>
      <c r="V16">
        <f>INDEX('Add-In Output'!$B$4:$U$212,$U16,MATCH(V$11&amp;" Price",'Add-In Output'!$B$2:$U$2,0))</f>
        <v>4.1900000000000004</v>
      </c>
      <c r="W16">
        <f>INDEX('Add-In Output'!$B$4:$U$212,$U16,MATCH(W$11&amp;" Price",'Add-In Output'!$B$2:$U$2,0))</f>
        <v>10.19</v>
      </c>
      <c r="X16">
        <f>INDEX('Add-In Output'!$B$4:$U$212,$U16,MATCH(X$11&amp;" Price",'Add-In Output'!$B$2:$U$2,0))</f>
        <v>52.54</v>
      </c>
      <c r="Y16">
        <f>INDEX('Add-In Output'!$B$4:$U$212,$U16,MATCH(Y$11&amp;" Price",'Add-In Output'!$B$2:$U$2,0))</f>
        <v>460</v>
      </c>
      <c r="Z16">
        <f>INDEX('Add-In Output'!$B$4:$U$212,$U16,MATCH(Z$11&amp;" Price",'Add-In Output'!$B$2:$U$2,0))</f>
        <v>1100</v>
      </c>
      <c r="AA16">
        <f>INDEX('Add-In Output'!$B$4:$U$212,$U16,MATCH(AA$11&amp;" Price",'Add-In Output'!$B$2:$U$2,0))</f>
        <v>1884</v>
      </c>
      <c r="AB16">
        <f>INDEX('Add-In Output'!$B$4:$U$212,$U16,MATCH(AB$11&amp;" Price",'Add-In Output'!$B$2:$U$2,0))</f>
        <v>5199</v>
      </c>
      <c r="AD16">
        <f t="shared" ref="AD16:AD34" si="2">SUMPRODUCT(R$2:X$2,$V16:$AB16)</f>
        <v>417427.5</v>
      </c>
      <c r="AE16">
        <f t="shared" ref="AE16:AE34" si="3">SUMPRODUCT(R$3:X$3,$V16:$AB16)</f>
        <v>1210750</v>
      </c>
      <c r="AF16">
        <f t="shared" ref="AF16:AF34" si="4">SUMPRODUCT(R$4:X$4,$V16:$AB16)</f>
        <v>13625500</v>
      </c>
      <c r="AG16">
        <f t="shared" ref="AG16:AG34" si="5">SUMPRODUCT(R$5:X$5,$V16:$AB16)</f>
        <v>55226800</v>
      </c>
      <c r="AH16">
        <f t="shared" ref="AH16:AH34" si="6">SUMPRODUCT(R$6:X$6,$V16:$AB16)</f>
        <v>329905000</v>
      </c>
      <c r="AJ16">
        <f t="shared" ref="AJ16:AJ34" si="7">ROUND(SUMPRODUCT(AD16:AH16,O16:S16)/1000000*1.1,0)</f>
        <v>7</v>
      </c>
    </row>
    <row r="17" spans="1:36" ht="15.75">
      <c r="A17" s="74">
        <v>45157</v>
      </c>
      <c r="B17" s="44"/>
      <c r="C17" s="69">
        <v>5</v>
      </c>
      <c r="D17" s="70">
        <v>6</v>
      </c>
      <c r="E17" s="68">
        <v>7</v>
      </c>
      <c r="F17" s="70">
        <v>8</v>
      </c>
      <c r="G17" s="69">
        <v>9</v>
      </c>
      <c r="I17" s="69" t="s">
        <v>173</v>
      </c>
      <c r="J17" s="70" t="s">
        <v>174</v>
      </c>
      <c r="K17" s="68" t="s">
        <v>176</v>
      </c>
      <c r="L17" s="70" t="s">
        <v>174</v>
      </c>
      <c r="M17" s="69" t="s">
        <v>173</v>
      </c>
      <c r="O17">
        <f t="shared" si="1"/>
        <v>14</v>
      </c>
      <c r="P17">
        <f t="shared" si="0"/>
        <v>14</v>
      </c>
      <c r="Q17">
        <f t="shared" si="0"/>
        <v>7</v>
      </c>
      <c r="R17">
        <f t="shared" si="0"/>
        <v>0</v>
      </c>
      <c r="S17">
        <f t="shared" si="0"/>
        <v>0</v>
      </c>
      <c r="T17" s="109"/>
      <c r="U17">
        <f>MATCH(A17,'Add-In Output'!$B$4:$B$212,0)</f>
        <v>99</v>
      </c>
      <c r="V17">
        <f>INDEX('Add-In Output'!$B$4:$U$212,$U17,MATCH(V$11&amp;" Price",'Add-In Output'!$B$2:$U$2,0))</f>
        <v>4.29</v>
      </c>
      <c r="W17">
        <f>INDEX('Add-In Output'!$B$4:$U$212,$U17,MATCH(W$11&amp;" Price",'Add-In Output'!$B$2:$U$2,0))</f>
        <v>11.26</v>
      </c>
      <c r="X17">
        <f>INDEX('Add-In Output'!$B$4:$U$212,$U17,MATCH(X$11&amp;" Price",'Add-In Output'!$B$2:$U$2,0))</f>
        <v>50.71</v>
      </c>
      <c r="Y17">
        <f>INDEX('Add-In Output'!$B$4:$U$212,$U17,MATCH(Y$11&amp;" Price",'Add-In Output'!$B$2:$U$2,0))</f>
        <v>504</v>
      </c>
      <c r="Z17">
        <f>INDEX('Add-In Output'!$B$4:$U$212,$U17,MATCH(Z$11&amp;" Price",'Add-In Output'!$B$2:$U$2,0))</f>
        <v>999.2</v>
      </c>
      <c r="AA17">
        <f>INDEX('Add-In Output'!$B$4:$U$212,$U17,MATCH(AA$11&amp;" Price",'Add-In Output'!$B$2:$U$2,0))</f>
        <v>2221</v>
      </c>
      <c r="AB17">
        <f>INDEX('Add-In Output'!$B$4:$U$212,$U17,MATCH(AB$11&amp;" Price",'Add-In Output'!$B$2:$U$2,0))</f>
        <v>5680</v>
      </c>
      <c r="AD17">
        <f t="shared" si="2"/>
        <v>437711.25</v>
      </c>
      <c r="AE17">
        <f t="shared" si="3"/>
        <v>1269650</v>
      </c>
      <c r="AF17">
        <f t="shared" si="4"/>
        <v>14280310</v>
      </c>
      <c r="AG17">
        <f t="shared" si="5"/>
        <v>57187400</v>
      </c>
      <c r="AH17">
        <f t="shared" si="6"/>
        <v>353742400</v>
      </c>
      <c r="AJ17">
        <f t="shared" si="7"/>
        <v>136</v>
      </c>
    </row>
    <row r="18" spans="1:36" ht="15.75">
      <c r="A18" s="74">
        <v>45209</v>
      </c>
      <c r="B18" s="44"/>
      <c r="C18" s="67">
        <v>10</v>
      </c>
      <c r="D18" s="68">
        <v>11</v>
      </c>
      <c r="E18" s="67">
        <v>12</v>
      </c>
      <c r="F18" s="68">
        <v>13</v>
      </c>
      <c r="G18" s="67">
        <v>14</v>
      </c>
      <c r="I18" s="67" t="s">
        <v>175</v>
      </c>
      <c r="J18" s="68" t="s">
        <v>176</v>
      </c>
      <c r="K18" s="67" t="s">
        <v>175</v>
      </c>
      <c r="L18" s="68" t="s">
        <v>176</v>
      </c>
      <c r="M18" s="67" t="s">
        <v>175</v>
      </c>
      <c r="O18">
        <f t="shared" si="1"/>
        <v>0</v>
      </c>
      <c r="P18">
        <f t="shared" si="0"/>
        <v>0</v>
      </c>
      <c r="Q18">
        <f t="shared" si="0"/>
        <v>24</v>
      </c>
      <c r="R18">
        <f t="shared" si="0"/>
        <v>36</v>
      </c>
      <c r="S18">
        <f t="shared" si="0"/>
        <v>0</v>
      </c>
      <c r="T18" s="109"/>
      <c r="U18">
        <f>MATCH(A18,'Add-In Output'!$B$4:$B$212,0)</f>
        <v>49</v>
      </c>
      <c r="V18">
        <f>INDEX('Add-In Output'!$B$4:$U$212,$U18,MATCH(V$11&amp;" Price",'Add-In Output'!$B$2:$U$2,0))</f>
        <v>4.2699999999999996</v>
      </c>
      <c r="W18">
        <f>INDEX('Add-In Output'!$B$4:$U$212,$U18,MATCH(W$11&amp;" Price",'Add-In Output'!$B$2:$U$2,0))</f>
        <v>9.84</v>
      </c>
      <c r="X18">
        <f>INDEX('Add-In Output'!$B$4:$U$212,$U18,MATCH(X$11&amp;" Price",'Add-In Output'!$B$2:$U$2,0))</f>
        <v>50.89</v>
      </c>
      <c r="Y18">
        <f>INDEX('Add-In Output'!$B$4:$U$212,$U18,MATCH(Y$11&amp;" Price",'Add-In Output'!$B$2:$U$2,0))</f>
        <v>453</v>
      </c>
      <c r="Z18">
        <f>INDEX('Add-In Output'!$B$4:$U$212,$U18,MATCH(Z$11&amp;" Price",'Add-In Output'!$B$2:$U$2,0))</f>
        <v>1079</v>
      </c>
      <c r="AA18">
        <f>INDEX('Add-In Output'!$B$4:$U$212,$U18,MATCH(AA$11&amp;" Price",'Add-In Output'!$B$2:$U$2,0))</f>
        <v>1897</v>
      </c>
      <c r="AB18">
        <f>INDEX('Add-In Output'!$B$4:$U$212,$U18,MATCH(AB$11&amp;" Price",'Add-In Output'!$B$2:$U$2,0))</f>
        <v>4530</v>
      </c>
      <c r="AD18">
        <f t="shared" si="2"/>
        <v>412053.75</v>
      </c>
      <c r="AE18">
        <f t="shared" si="3"/>
        <v>1196650</v>
      </c>
      <c r="AF18">
        <f t="shared" si="4"/>
        <v>13355690</v>
      </c>
      <c r="AG18">
        <f t="shared" si="5"/>
        <v>54254200</v>
      </c>
      <c r="AH18">
        <f t="shared" si="6"/>
        <v>323174000</v>
      </c>
      <c r="AJ18">
        <f t="shared" si="7"/>
        <v>2501</v>
      </c>
    </row>
    <row r="19" spans="1:36" ht="15.75">
      <c r="A19" s="74">
        <v>45195</v>
      </c>
      <c r="B19" s="44"/>
      <c r="C19" s="66"/>
      <c r="D19" s="71">
        <v>15</v>
      </c>
      <c r="E19" s="68">
        <v>16</v>
      </c>
      <c r="F19" s="71">
        <v>17</v>
      </c>
      <c r="G19" s="66"/>
      <c r="I19" s="66"/>
      <c r="J19" s="71" t="s">
        <v>265</v>
      </c>
      <c r="K19" s="68" t="s">
        <v>176</v>
      </c>
      <c r="L19" s="71" t="s">
        <v>265</v>
      </c>
      <c r="M19" s="66"/>
      <c r="O19">
        <f t="shared" si="1"/>
        <v>0</v>
      </c>
      <c r="P19">
        <f t="shared" si="0"/>
        <v>0</v>
      </c>
      <c r="Q19">
        <f t="shared" si="0"/>
        <v>16</v>
      </c>
      <c r="R19">
        <f t="shared" si="0"/>
        <v>0</v>
      </c>
      <c r="S19">
        <f t="shared" si="0"/>
        <v>32</v>
      </c>
      <c r="T19" s="109"/>
      <c r="U19">
        <f>MATCH(A19,'Add-In Output'!$B$4:$B$212,0)</f>
        <v>63</v>
      </c>
      <c r="V19">
        <f>INDEX('Add-In Output'!$B$4:$U$212,$U19,MATCH(V$11&amp;" Price",'Add-In Output'!$B$2:$U$2,0))</f>
        <v>4.25</v>
      </c>
      <c r="W19">
        <f>INDEX('Add-In Output'!$B$4:$U$212,$U19,MATCH(W$11&amp;" Price",'Add-In Output'!$B$2:$U$2,0))</f>
        <v>9.91</v>
      </c>
      <c r="X19">
        <f>INDEX('Add-In Output'!$B$4:$U$212,$U19,MATCH(X$11&amp;" Price",'Add-In Output'!$B$2:$U$2,0))</f>
        <v>52.93</v>
      </c>
      <c r="Y19">
        <f>INDEX('Add-In Output'!$B$4:$U$212,$U19,MATCH(Y$11&amp;" Price",'Add-In Output'!$B$2:$U$2,0))</f>
        <v>450.8</v>
      </c>
      <c r="Z19">
        <f>INDEX('Add-In Output'!$B$4:$U$212,$U19,MATCH(Z$11&amp;" Price",'Add-In Output'!$B$2:$U$2,0))</f>
        <v>1216</v>
      </c>
      <c r="AA19">
        <f>INDEX('Add-In Output'!$B$4:$U$212,$U19,MATCH(AA$11&amp;" Price",'Add-In Output'!$B$2:$U$2,0))</f>
        <v>2000</v>
      </c>
      <c r="AB19">
        <f>INDEX('Add-In Output'!$B$4:$U$212,$U19,MATCH(AB$11&amp;" Price",'Add-In Output'!$B$2:$U$2,0))</f>
        <v>5093</v>
      </c>
      <c r="AD19">
        <f t="shared" si="2"/>
        <v>414888.75</v>
      </c>
      <c r="AE19">
        <f t="shared" si="3"/>
        <v>1204100</v>
      </c>
      <c r="AF19">
        <f t="shared" si="4"/>
        <v>13729300</v>
      </c>
      <c r="AG19">
        <f t="shared" si="5"/>
        <v>56118600</v>
      </c>
      <c r="AH19">
        <f t="shared" si="6"/>
        <v>327589000</v>
      </c>
      <c r="AJ19">
        <f t="shared" si="7"/>
        <v>11773</v>
      </c>
    </row>
    <row r="20" spans="1:36" ht="15.75">
      <c r="A20" s="74">
        <v>45227</v>
      </c>
      <c r="B20" s="44"/>
      <c r="C20" s="66"/>
      <c r="D20" s="69">
        <v>19</v>
      </c>
      <c r="E20" s="67">
        <v>18</v>
      </c>
      <c r="F20" s="69">
        <v>20</v>
      </c>
      <c r="G20" s="66"/>
      <c r="I20" s="66"/>
      <c r="J20" s="69" t="s">
        <v>173</v>
      </c>
      <c r="K20" s="67" t="s">
        <v>175</v>
      </c>
      <c r="L20" s="69" t="s">
        <v>173</v>
      </c>
      <c r="M20" s="66"/>
      <c r="O20">
        <f t="shared" si="1"/>
        <v>39</v>
      </c>
      <c r="P20">
        <f t="shared" si="0"/>
        <v>0</v>
      </c>
      <c r="Q20">
        <f t="shared" si="0"/>
        <v>0</v>
      </c>
      <c r="R20">
        <f t="shared" si="0"/>
        <v>18</v>
      </c>
      <c r="S20">
        <f t="shared" si="0"/>
        <v>0</v>
      </c>
      <c r="T20" s="109"/>
      <c r="U20">
        <f>MATCH(A20,'Add-In Output'!$B$4:$B$212,0)</f>
        <v>31</v>
      </c>
      <c r="V20">
        <f>INDEX('Add-In Output'!$B$4:$U$212,$U20,MATCH(V$11&amp;" Price",'Add-In Output'!$B$2:$U$2,0))</f>
        <v>4.29</v>
      </c>
      <c r="W20">
        <f>INDEX('Add-In Output'!$B$4:$U$212,$U20,MATCH(W$11&amp;" Price",'Add-In Output'!$B$2:$U$2,0))</f>
        <v>10.85</v>
      </c>
      <c r="X20">
        <f>INDEX('Add-In Output'!$B$4:$U$212,$U20,MATCH(X$11&amp;" Price",'Add-In Output'!$B$2:$U$2,0))</f>
        <v>58</v>
      </c>
      <c r="Y20">
        <f>INDEX('Add-In Output'!$B$4:$U$212,$U20,MATCH(Y$11&amp;" Price",'Add-In Output'!$B$2:$U$2,0))</f>
        <v>473.6</v>
      </c>
      <c r="Z20">
        <f>INDEX('Add-In Output'!$B$4:$U$212,$U20,MATCH(Z$11&amp;" Price",'Add-In Output'!$B$2:$U$2,0))</f>
        <v>1179</v>
      </c>
      <c r="AA20">
        <f>INDEX('Add-In Output'!$B$4:$U$212,$U20,MATCH(AA$11&amp;" Price",'Add-In Output'!$B$2:$U$2,0))</f>
        <v>1993</v>
      </c>
      <c r="AB20">
        <f>INDEX('Add-In Output'!$B$4:$U$212,$U20,MATCH(AB$11&amp;" Price",'Add-In Output'!$B$2:$U$2,0))</f>
        <v>4938</v>
      </c>
      <c r="AD20">
        <f t="shared" si="2"/>
        <v>438135</v>
      </c>
      <c r="AE20">
        <f t="shared" si="3"/>
        <v>1269550</v>
      </c>
      <c r="AF20">
        <f t="shared" si="4"/>
        <v>14250970</v>
      </c>
      <c r="AG20">
        <f t="shared" si="5"/>
        <v>58167200</v>
      </c>
      <c r="AH20">
        <f t="shared" si="6"/>
        <v>342880000</v>
      </c>
      <c r="AJ20">
        <f t="shared" si="7"/>
        <v>1171</v>
      </c>
    </row>
    <row r="21" spans="1:36" ht="15.75">
      <c r="A21" s="74">
        <v>45054</v>
      </c>
      <c r="B21" s="44"/>
      <c r="C21" s="69">
        <v>7</v>
      </c>
      <c r="D21" s="44"/>
      <c r="E21" s="69">
        <v>6</v>
      </c>
      <c r="F21" s="68">
        <v>5</v>
      </c>
      <c r="G21" s="69">
        <v>7</v>
      </c>
      <c r="I21" s="69" t="s">
        <v>173</v>
      </c>
      <c r="J21" s="44"/>
      <c r="K21" s="69" t="s">
        <v>173</v>
      </c>
      <c r="L21" s="68" t="s">
        <v>176</v>
      </c>
      <c r="M21" s="69" t="s">
        <v>173</v>
      </c>
      <c r="O21">
        <f t="shared" si="1"/>
        <v>20</v>
      </c>
      <c r="P21">
        <f t="shared" si="0"/>
        <v>0</v>
      </c>
      <c r="Q21">
        <f t="shared" si="0"/>
        <v>5</v>
      </c>
      <c r="R21">
        <f t="shared" si="0"/>
        <v>0</v>
      </c>
      <c r="S21">
        <f t="shared" si="0"/>
        <v>0</v>
      </c>
      <c r="T21" s="109"/>
      <c r="U21">
        <f>MATCH(A21,'Add-In Output'!$B$4:$B$212,0)</f>
        <v>202</v>
      </c>
      <c r="V21">
        <f>INDEX('Add-In Output'!$B$4:$U$212,$U21,MATCH(V$11&amp;" Price",'Add-In Output'!$B$2:$U$2,0))</f>
        <v>4.0199999999999996</v>
      </c>
      <c r="W21">
        <f>INDEX('Add-In Output'!$B$4:$U$212,$U21,MATCH(W$11&amp;" Price",'Add-In Output'!$B$2:$U$2,0))</f>
        <v>9.9700000000000006</v>
      </c>
      <c r="X21">
        <f>INDEX('Add-In Output'!$B$4:$U$212,$U21,MATCH(X$11&amp;" Price",'Add-In Output'!$B$2:$U$2,0))</f>
        <v>50.63</v>
      </c>
      <c r="Y21">
        <f>INDEX('Add-In Output'!$B$4:$U$212,$U21,MATCH(Y$11&amp;" Price",'Add-In Output'!$B$2:$U$2,0))</f>
        <v>593.5</v>
      </c>
      <c r="Z21">
        <f>INDEX('Add-In Output'!$B$4:$U$212,$U21,MATCH(Z$11&amp;" Price",'Add-In Output'!$B$2:$U$2,0))</f>
        <v>903.4</v>
      </c>
      <c r="AA21">
        <f>INDEX('Add-In Output'!$B$4:$U$212,$U21,MATCH(AA$11&amp;" Price",'Add-In Output'!$B$2:$U$2,0))</f>
        <v>2248</v>
      </c>
      <c r="AB21">
        <f>INDEX('Add-In Output'!$B$4:$U$212,$U21,MATCH(AB$11&amp;" Price",'Add-In Output'!$B$2:$U$2,0))</f>
        <v>3479</v>
      </c>
      <c r="AD21">
        <f t="shared" si="2"/>
        <v>458838.75</v>
      </c>
      <c r="AE21">
        <f t="shared" si="3"/>
        <v>1317800</v>
      </c>
      <c r="AF21">
        <f t="shared" si="4"/>
        <v>14352040</v>
      </c>
      <c r="AG21">
        <f t="shared" si="5"/>
        <v>55324200</v>
      </c>
      <c r="AH21">
        <f t="shared" si="6"/>
        <v>374583800</v>
      </c>
      <c r="AJ21">
        <f t="shared" si="7"/>
        <v>89</v>
      </c>
    </row>
    <row r="22" spans="1:36" ht="15.75">
      <c r="A22" s="74">
        <v>45172</v>
      </c>
      <c r="B22" s="44"/>
      <c r="C22" s="44"/>
      <c r="D22" s="68">
        <v>5</v>
      </c>
      <c r="E22" s="71">
        <v>14</v>
      </c>
      <c r="F22" s="44"/>
      <c r="G22" s="44"/>
      <c r="I22" s="44"/>
      <c r="J22" s="68" t="s">
        <v>176</v>
      </c>
      <c r="K22" s="71" t="s">
        <v>265</v>
      </c>
      <c r="L22" s="44"/>
      <c r="M22" s="44"/>
      <c r="O22">
        <f t="shared" si="1"/>
        <v>0</v>
      </c>
      <c r="P22">
        <f t="shared" si="0"/>
        <v>0</v>
      </c>
      <c r="Q22">
        <f t="shared" si="0"/>
        <v>5</v>
      </c>
      <c r="R22">
        <f t="shared" si="0"/>
        <v>0</v>
      </c>
      <c r="S22">
        <f t="shared" si="0"/>
        <v>14</v>
      </c>
      <c r="T22" s="109"/>
      <c r="U22">
        <f>MATCH(A22,'Add-In Output'!$B$4:$B$212,0)</f>
        <v>86</v>
      </c>
      <c r="V22">
        <f>INDEX('Add-In Output'!$B$4:$U$212,$U22,MATCH(V$11&amp;" Price",'Add-In Output'!$B$2:$U$2,0))</f>
        <v>4.3499999999999996</v>
      </c>
      <c r="W22">
        <f>INDEX('Add-In Output'!$B$4:$U$212,$U22,MATCH(W$11&amp;" Price",'Add-In Output'!$B$2:$U$2,0))</f>
        <v>11.02</v>
      </c>
      <c r="X22">
        <f>INDEX('Add-In Output'!$B$4:$U$212,$U22,MATCH(X$11&amp;" Price",'Add-In Output'!$B$2:$U$2,0))</f>
        <v>50.42</v>
      </c>
      <c r="Y22">
        <f>INDEX('Add-In Output'!$B$4:$U$212,$U22,MATCH(Y$11&amp;" Price",'Add-In Output'!$B$2:$U$2,0))</f>
        <v>496.9</v>
      </c>
      <c r="Z22">
        <f>INDEX('Add-In Output'!$B$4:$U$212,$U22,MATCH(Z$11&amp;" Price",'Add-In Output'!$B$2:$U$2,0))</f>
        <v>1261</v>
      </c>
      <c r="AA22">
        <f>INDEX('Add-In Output'!$B$4:$U$212,$U22,MATCH(AA$11&amp;" Price",'Add-In Output'!$B$2:$U$2,0))</f>
        <v>2198</v>
      </c>
      <c r="AB22">
        <f>INDEX('Add-In Output'!$B$4:$U$212,$U22,MATCH(AB$11&amp;" Price",'Add-In Output'!$B$2:$U$2,0))</f>
        <v>5215</v>
      </c>
      <c r="AD22">
        <f t="shared" si="2"/>
        <v>434865</v>
      </c>
      <c r="AE22">
        <f t="shared" si="3"/>
        <v>1262300</v>
      </c>
      <c r="AF22">
        <f t="shared" si="4"/>
        <v>14507620</v>
      </c>
      <c r="AG22">
        <f t="shared" si="5"/>
        <v>58783600</v>
      </c>
      <c r="AH22">
        <f t="shared" si="6"/>
        <v>351857000</v>
      </c>
      <c r="AJ22">
        <f t="shared" si="7"/>
        <v>5498</v>
      </c>
    </row>
    <row r="23" spans="1:36" ht="15.75">
      <c r="A23" s="74">
        <v>45247</v>
      </c>
      <c r="B23" s="44"/>
      <c r="C23" s="71">
        <v>7</v>
      </c>
      <c r="D23" s="44"/>
      <c r="E23" s="69">
        <v>5</v>
      </c>
      <c r="F23" s="44"/>
      <c r="G23" s="71">
        <v>14</v>
      </c>
      <c r="I23" s="71" t="s">
        <v>265</v>
      </c>
      <c r="J23" s="44"/>
      <c r="K23" s="69" t="s">
        <v>173</v>
      </c>
      <c r="L23" s="44"/>
      <c r="M23" s="71" t="s">
        <v>265</v>
      </c>
      <c r="O23">
        <f t="shared" si="1"/>
        <v>5</v>
      </c>
      <c r="P23">
        <f t="shared" si="0"/>
        <v>0</v>
      </c>
      <c r="Q23">
        <f t="shared" si="0"/>
        <v>0</v>
      </c>
      <c r="R23">
        <f t="shared" si="0"/>
        <v>0</v>
      </c>
      <c r="S23">
        <f t="shared" si="0"/>
        <v>21</v>
      </c>
      <c r="T23" s="109"/>
      <c r="U23">
        <f>MATCH(A23,'Add-In Output'!$B$4:$B$212,0)</f>
        <v>11</v>
      </c>
      <c r="V23">
        <f>INDEX('Add-In Output'!$B$4:$U$212,$U23,MATCH(V$11&amp;" Price",'Add-In Output'!$B$2:$U$2,0))</f>
        <v>4.26</v>
      </c>
      <c r="W23">
        <f>INDEX('Add-In Output'!$B$4:$U$212,$U23,MATCH(W$11&amp;" Price",'Add-In Output'!$B$2:$U$2,0))</f>
        <v>10.17</v>
      </c>
      <c r="X23">
        <f>INDEX('Add-In Output'!$B$4:$U$212,$U23,MATCH(X$11&amp;" Price",'Add-In Output'!$B$2:$U$2,0))</f>
        <v>52.34</v>
      </c>
      <c r="Y23">
        <f>INDEX('Add-In Output'!$B$4:$U$212,$U23,MATCH(Y$11&amp;" Price",'Add-In Output'!$B$2:$U$2,0))</f>
        <v>455.7</v>
      </c>
      <c r="Z23">
        <f>INDEX('Add-In Output'!$B$4:$U$212,$U23,MATCH(Z$11&amp;" Price",'Add-In Output'!$B$2:$U$2,0))</f>
        <v>1143</v>
      </c>
      <c r="AA23">
        <f>INDEX('Add-In Output'!$B$4:$U$212,$U23,MATCH(AA$11&amp;" Price",'Add-In Output'!$B$2:$U$2,0))</f>
        <v>1914</v>
      </c>
      <c r="AB23">
        <f>INDEX('Add-In Output'!$B$4:$U$212,$U23,MATCH(AB$11&amp;" Price",'Add-In Output'!$B$2:$U$2,0))</f>
        <v>5078</v>
      </c>
      <c r="AD23">
        <f t="shared" si="2"/>
        <v>417030</v>
      </c>
      <c r="AE23">
        <f t="shared" si="3"/>
        <v>1210750</v>
      </c>
      <c r="AF23">
        <f t="shared" si="4"/>
        <v>13667560</v>
      </c>
      <c r="AG23">
        <f t="shared" si="5"/>
        <v>55636400</v>
      </c>
      <c r="AH23">
        <f t="shared" si="6"/>
        <v>328878000</v>
      </c>
      <c r="AJ23">
        <f t="shared" si="7"/>
        <v>7599</v>
      </c>
    </row>
    <row r="24" spans="1:36" ht="15.75">
      <c r="A24" s="74">
        <v>45219</v>
      </c>
      <c r="B24" s="44"/>
      <c r="C24" s="71">
        <v>7</v>
      </c>
      <c r="D24" s="71">
        <v>4</v>
      </c>
      <c r="E24" s="71">
        <v>12</v>
      </c>
      <c r="F24" s="71">
        <v>18</v>
      </c>
      <c r="G24" s="71">
        <v>5</v>
      </c>
      <c r="I24" s="71" t="s">
        <v>265</v>
      </c>
      <c r="J24" s="71" t="s">
        <v>265</v>
      </c>
      <c r="K24" s="71" t="s">
        <v>265</v>
      </c>
      <c r="L24" s="71" t="s">
        <v>265</v>
      </c>
      <c r="M24" s="71" t="s">
        <v>265</v>
      </c>
      <c r="O24">
        <f t="shared" si="1"/>
        <v>0</v>
      </c>
      <c r="P24">
        <f t="shared" si="0"/>
        <v>0</v>
      </c>
      <c r="Q24">
        <f t="shared" si="0"/>
        <v>0</v>
      </c>
      <c r="R24">
        <f t="shared" si="0"/>
        <v>0</v>
      </c>
      <c r="S24">
        <f t="shared" si="0"/>
        <v>46</v>
      </c>
      <c r="T24" s="109"/>
      <c r="U24">
        <f>MATCH(A24,'Add-In Output'!$B$4:$B$212,0)</f>
        <v>39</v>
      </c>
      <c r="V24">
        <f>INDEX('Add-In Output'!$B$4:$U$212,$U24,MATCH(V$11&amp;" Price",'Add-In Output'!$B$2:$U$2,0))</f>
        <v>4.3600000000000003</v>
      </c>
      <c r="W24">
        <f>INDEX('Add-In Output'!$B$4:$U$212,$U24,MATCH(W$11&amp;" Price",'Add-In Output'!$B$2:$U$2,0))</f>
        <v>10.18</v>
      </c>
      <c r="X24">
        <f>INDEX('Add-In Output'!$B$4:$U$212,$U24,MATCH(X$11&amp;" Price",'Add-In Output'!$B$2:$U$2,0))</f>
        <v>53</v>
      </c>
      <c r="Y24">
        <f>INDEX('Add-In Output'!$B$4:$U$212,$U24,MATCH(Y$11&amp;" Price",'Add-In Output'!$B$2:$U$2,0))</f>
        <v>461.4</v>
      </c>
      <c r="Z24">
        <f>INDEX('Add-In Output'!$B$4:$U$212,$U24,MATCH(Z$11&amp;" Price",'Add-In Output'!$B$2:$U$2,0))</f>
        <v>1161</v>
      </c>
      <c r="AA24">
        <f>INDEX('Add-In Output'!$B$4:$U$212,$U24,MATCH(AA$11&amp;" Price",'Add-In Output'!$B$2:$U$2,0))</f>
        <v>1913</v>
      </c>
      <c r="AB24">
        <f>INDEX('Add-In Output'!$B$4:$U$212,$U24,MATCH(AB$11&amp;" Price",'Add-In Output'!$B$2:$U$2,0))</f>
        <v>4728</v>
      </c>
      <c r="AD24">
        <f t="shared" si="2"/>
        <v>422850</v>
      </c>
      <c r="AE24">
        <f t="shared" si="3"/>
        <v>1227900</v>
      </c>
      <c r="AF24">
        <f t="shared" si="4"/>
        <v>13781770</v>
      </c>
      <c r="AG24">
        <f t="shared" si="5"/>
        <v>56161200</v>
      </c>
      <c r="AH24">
        <f>SUMPRODUCT(R$6:X$6,$V24:$AB24)</f>
        <v>331554000</v>
      </c>
      <c r="AJ24">
        <f t="shared" si="7"/>
        <v>16777</v>
      </c>
    </row>
    <row r="25" spans="1:36" ht="15.75">
      <c r="A25" s="74">
        <v>45247</v>
      </c>
      <c r="B25" s="44"/>
      <c r="C25" s="44"/>
      <c r="D25" s="69">
        <v>1</v>
      </c>
      <c r="E25" s="44"/>
      <c r="F25" s="44"/>
      <c r="G25" s="68">
        <v>7</v>
      </c>
      <c r="I25" s="44"/>
      <c r="J25" s="69" t="s">
        <v>173</v>
      </c>
      <c r="K25" s="44"/>
      <c r="L25" s="44"/>
      <c r="M25" s="68" t="s">
        <v>176</v>
      </c>
      <c r="O25">
        <f t="shared" si="1"/>
        <v>1</v>
      </c>
      <c r="P25">
        <f t="shared" si="0"/>
        <v>0</v>
      </c>
      <c r="Q25">
        <f t="shared" si="0"/>
        <v>7</v>
      </c>
      <c r="R25">
        <f t="shared" si="0"/>
        <v>0</v>
      </c>
      <c r="S25">
        <f t="shared" si="0"/>
        <v>0</v>
      </c>
      <c r="T25" s="109"/>
      <c r="U25">
        <f>MATCH(A25,'Add-In Output'!$B$4:$B$212,0)</f>
        <v>11</v>
      </c>
      <c r="V25">
        <f>INDEX('Add-In Output'!$B$4:$U$212,$U25,MATCH(V$11&amp;" Price",'Add-In Output'!$B$2:$U$2,0))</f>
        <v>4.26</v>
      </c>
      <c r="W25">
        <f>INDEX('Add-In Output'!$B$4:$U$212,$U25,MATCH(W$11&amp;" Price",'Add-In Output'!$B$2:$U$2,0))</f>
        <v>10.17</v>
      </c>
      <c r="X25">
        <f>INDEX('Add-In Output'!$B$4:$U$212,$U25,MATCH(X$11&amp;" Price",'Add-In Output'!$B$2:$U$2,0))</f>
        <v>52.34</v>
      </c>
      <c r="Y25">
        <f>INDEX('Add-In Output'!$B$4:$U$212,$U25,MATCH(Y$11&amp;" Price",'Add-In Output'!$B$2:$U$2,0))</f>
        <v>455.7</v>
      </c>
      <c r="Z25">
        <f>INDEX('Add-In Output'!$B$4:$U$212,$U25,MATCH(Z$11&amp;" Price",'Add-In Output'!$B$2:$U$2,0))</f>
        <v>1143</v>
      </c>
      <c r="AA25">
        <f>INDEX('Add-In Output'!$B$4:$U$212,$U25,MATCH(AA$11&amp;" Price",'Add-In Output'!$B$2:$U$2,0))</f>
        <v>1914</v>
      </c>
      <c r="AB25">
        <f>INDEX('Add-In Output'!$B$4:$U$212,$U25,MATCH(AB$11&amp;" Price",'Add-In Output'!$B$2:$U$2,0))</f>
        <v>5078</v>
      </c>
      <c r="AD25">
        <f t="shared" si="2"/>
        <v>417030</v>
      </c>
      <c r="AE25">
        <f t="shared" si="3"/>
        <v>1210750</v>
      </c>
      <c r="AF25">
        <f t="shared" si="4"/>
        <v>13667560</v>
      </c>
      <c r="AG25">
        <f t="shared" si="5"/>
        <v>55636400</v>
      </c>
      <c r="AH25">
        <f t="shared" si="6"/>
        <v>328878000</v>
      </c>
      <c r="AJ25">
        <f t="shared" si="7"/>
        <v>106</v>
      </c>
    </row>
    <row r="26" spans="1:36" ht="15.75">
      <c r="A26" s="74">
        <v>45064</v>
      </c>
      <c r="B26" s="44"/>
      <c r="C26" s="44"/>
      <c r="D26" s="70">
        <v>8</v>
      </c>
      <c r="E26" s="71">
        <v>4</v>
      </c>
      <c r="F26" s="68">
        <v>16</v>
      </c>
      <c r="G26" s="44"/>
      <c r="I26" s="44"/>
      <c r="J26" s="70" t="s">
        <v>174</v>
      </c>
      <c r="K26" s="71" t="s">
        <v>265</v>
      </c>
      <c r="L26" s="68" t="s">
        <v>176</v>
      </c>
      <c r="M26" s="44"/>
      <c r="O26">
        <f t="shared" si="1"/>
        <v>0</v>
      </c>
      <c r="P26">
        <f t="shared" si="0"/>
        <v>8</v>
      </c>
      <c r="Q26">
        <f t="shared" si="0"/>
        <v>16</v>
      </c>
      <c r="R26">
        <f t="shared" si="0"/>
        <v>0</v>
      </c>
      <c r="S26">
        <f t="shared" si="0"/>
        <v>4</v>
      </c>
      <c r="T26" s="109"/>
      <c r="U26">
        <f>MATCH(A26,'Add-In Output'!$B$4:$B$212,0)</f>
        <v>192</v>
      </c>
      <c r="V26">
        <f>INDEX('Add-In Output'!$B$4:$U$212,$U26,MATCH(V$11&amp;" Price",'Add-In Output'!$B$2:$U$2,0))</f>
        <v>4.0199999999999996</v>
      </c>
      <c r="W26">
        <f>INDEX('Add-In Output'!$B$4:$U$212,$U26,MATCH(W$11&amp;" Price",'Add-In Output'!$B$2:$U$2,0))</f>
        <v>10.51</v>
      </c>
      <c r="X26">
        <f>INDEX('Add-In Output'!$B$4:$U$212,$U26,MATCH(X$11&amp;" Price",'Add-In Output'!$B$2:$U$2,0))</f>
        <v>50.69</v>
      </c>
      <c r="Y26">
        <f>INDEX('Add-In Output'!$B$4:$U$212,$U26,MATCH(Y$11&amp;" Price",'Add-In Output'!$B$2:$U$2,0))</f>
        <v>612.4</v>
      </c>
      <c r="Z26">
        <f>INDEX('Add-In Output'!$B$4:$U$212,$U26,MATCH(Z$11&amp;" Price",'Add-In Output'!$B$2:$U$2,0))</f>
        <v>1045</v>
      </c>
      <c r="AA26">
        <f>INDEX('Add-In Output'!$B$4:$U$212,$U26,MATCH(AA$11&amp;" Price",'Add-In Output'!$B$2:$U$2,0))</f>
        <v>2327</v>
      </c>
      <c r="AB26">
        <f>INDEX('Add-In Output'!$B$4:$U$212,$U26,MATCH(AB$11&amp;" Price",'Add-In Output'!$B$2:$U$2,0))</f>
        <v>3525</v>
      </c>
      <c r="AD26">
        <f t="shared" si="2"/>
        <v>468468.75</v>
      </c>
      <c r="AE26">
        <f t="shared" si="3"/>
        <v>1345100</v>
      </c>
      <c r="AF26">
        <f t="shared" si="4"/>
        <v>14886890</v>
      </c>
      <c r="AG26">
        <f t="shared" si="5"/>
        <v>57562200</v>
      </c>
      <c r="AH26">
        <f t="shared" si="6"/>
        <v>386651000</v>
      </c>
      <c r="AJ26">
        <f t="shared" si="7"/>
        <v>1975</v>
      </c>
    </row>
    <row r="27" spans="1:36" ht="15.75">
      <c r="A27" s="74">
        <v>45249</v>
      </c>
      <c r="B27" s="44"/>
      <c r="C27" s="71">
        <v>13</v>
      </c>
      <c r="D27" s="44"/>
      <c r="E27" s="44"/>
      <c r="F27" s="69">
        <v>15</v>
      </c>
      <c r="G27" s="44"/>
      <c r="I27" s="71" t="s">
        <v>265</v>
      </c>
      <c r="J27" s="44"/>
      <c r="K27" s="44"/>
      <c r="L27" s="69" t="s">
        <v>173</v>
      </c>
      <c r="M27" s="44"/>
      <c r="O27">
        <f t="shared" si="1"/>
        <v>15</v>
      </c>
      <c r="P27">
        <f t="shared" si="0"/>
        <v>0</v>
      </c>
      <c r="Q27">
        <f t="shared" si="0"/>
        <v>0</v>
      </c>
      <c r="R27">
        <f t="shared" si="0"/>
        <v>0</v>
      </c>
      <c r="S27">
        <f t="shared" si="0"/>
        <v>13</v>
      </c>
      <c r="T27" s="109"/>
      <c r="U27">
        <f>MATCH(A27,'Add-In Output'!$B$4:$B$212,0)</f>
        <v>9</v>
      </c>
      <c r="V27">
        <f>INDEX('Add-In Output'!$B$4:$U$212,$U27,MATCH(V$11&amp;" Price",'Add-In Output'!$B$2:$U$2,0))</f>
        <v>4.21</v>
      </c>
      <c r="W27">
        <f>INDEX('Add-In Output'!$B$4:$U$212,$U27,MATCH(W$11&amp;" Price",'Add-In Output'!$B$2:$U$2,0))</f>
        <v>10</v>
      </c>
      <c r="X27">
        <f>INDEX('Add-In Output'!$B$4:$U$212,$U27,MATCH(X$11&amp;" Price",'Add-In Output'!$B$2:$U$2,0))</f>
        <v>51</v>
      </c>
      <c r="Y27">
        <f>INDEX('Add-In Output'!$B$4:$U$212,$U27,MATCH(Y$11&amp;" Price",'Add-In Output'!$B$2:$U$2,0))</f>
        <v>468.8</v>
      </c>
      <c r="Z27">
        <f>INDEX('Add-In Output'!$B$4:$U$212,$U27,MATCH(Z$11&amp;" Price",'Add-In Output'!$B$2:$U$2,0))</f>
        <v>1169</v>
      </c>
      <c r="AA27">
        <f>INDEX('Add-In Output'!$B$4:$U$212,$U27,MATCH(AA$11&amp;" Price",'Add-In Output'!$B$2:$U$2,0))</f>
        <v>1899</v>
      </c>
      <c r="AB27">
        <f>INDEX('Add-In Output'!$B$4:$U$212,$U27,MATCH(AB$11&amp;" Price",'Add-In Output'!$B$2:$U$2,0))</f>
        <v>5070</v>
      </c>
      <c r="AD27">
        <f t="shared" si="2"/>
        <v>417465</v>
      </c>
      <c r="AE27">
        <f t="shared" si="3"/>
        <v>1210600</v>
      </c>
      <c r="AF27">
        <f t="shared" si="4"/>
        <v>13725350</v>
      </c>
      <c r="AG27">
        <f t="shared" si="5"/>
        <v>55522000</v>
      </c>
      <c r="AH27">
        <f t="shared" si="6"/>
        <v>332432000</v>
      </c>
      <c r="AJ27">
        <f t="shared" si="7"/>
        <v>4761</v>
      </c>
    </row>
    <row r="28" spans="1:36" ht="15.75">
      <c r="A28" s="74">
        <v>45057</v>
      </c>
      <c r="B28" s="44"/>
      <c r="C28" s="44"/>
      <c r="D28" s="68">
        <v>12</v>
      </c>
      <c r="E28" s="44"/>
      <c r="F28" s="44"/>
      <c r="G28" s="70">
        <v>15</v>
      </c>
      <c r="I28" s="44"/>
      <c r="J28" s="68" t="s">
        <v>176</v>
      </c>
      <c r="K28" s="44"/>
      <c r="L28" s="44"/>
      <c r="M28" s="70" t="s">
        <v>174</v>
      </c>
      <c r="O28">
        <f t="shared" si="1"/>
        <v>0</v>
      </c>
      <c r="P28">
        <f t="shared" si="0"/>
        <v>15</v>
      </c>
      <c r="Q28">
        <f t="shared" si="0"/>
        <v>12</v>
      </c>
      <c r="R28">
        <f t="shared" si="0"/>
        <v>0</v>
      </c>
      <c r="S28">
        <f t="shared" si="0"/>
        <v>0</v>
      </c>
      <c r="T28" s="109"/>
      <c r="U28">
        <f>MATCH(A28,'Add-In Output'!$B$4:$B$212,0)</f>
        <v>199</v>
      </c>
      <c r="V28">
        <f>INDEX('Add-In Output'!$B$4:$U$212,$U28,MATCH(V$11&amp;" Price",'Add-In Output'!$B$2:$U$2,0))</f>
        <v>3.95</v>
      </c>
      <c r="W28">
        <f>INDEX('Add-In Output'!$B$4:$U$212,$U28,MATCH(W$11&amp;" Price",'Add-In Output'!$B$2:$U$2,0))</f>
        <v>10.36</v>
      </c>
      <c r="X28">
        <f>INDEX('Add-In Output'!$B$4:$U$212,$U28,MATCH(X$11&amp;" Price",'Add-In Output'!$B$2:$U$2,0))</f>
        <v>50.85</v>
      </c>
      <c r="Y28">
        <f>INDEX('Add-In Output'!$B$4:$U$212,$U28,MATCH(Y$11&amp;" Price",'Add-In Output'!$B$2:$U$2,0))</f>
        <v>590</v>
      </c>
      <c r="Z28">
        <f>INDEX('Add-In Output'!$B$4:$U$212,$U28,MATCH(Z$11&amp;" Price",'Add-In Output'!$B$2:$U$2,0))</f>
        <v>897</v>
      </c>
      <c r="AA28">
        <f>INDEX('Add-In Output'!$B$4:$U$212,$U28,MATCH(AA$11&amp;" Price",'Add-In Output'!$B$2:$U$2,0))</f>
        <v>2196</v>
      </c>
      <c r="AB28">
        <f>INDEX('Add-In Output'!$B$4:$U$212,$U28,MATCH(AB$11&amp;" Price",'Add-In Output'!$B$2:$U$2,0))</f>
        <v>3575</v>
      </c>
      <c r="AD28">
        <f t="shared" si="2"/>
        <v>458013.75</v>
      </c>
      <c r="AE28">
        <f t="shared" si="3"/>
        <v>1315650</v>
      </c>
      <c r="AF28">
        <f t="shared" si="4"/>
        <v>14343000</v>
      </c>
      <c r="AG28">
        <f t="shared" si="5"/>
        <v>55371000</v>
      </c>
      <c r="AH28">
        <f t="shared" si="6"/>
        <v>374215000</v>
      </c>
      <c r="AJ28">
        <f t="shared" si="7"/>
        <v>211</v>
      </c>
    </row>
    <row r="29" spans="1:36" ht="15.75">
      <c r="A29" s="74">
        <v>45064</v>
      </c>
      <c r="B29" s="44"/>
      <c r="C29" s="70">
        <v>17</v>
      </c>
      <c r="D29" s="68">
        <v>2</v>
      </c>
      <c r="E29" s="71">
        <v>18</v>
      </c>
      <c r="F29" s="70">
        <v>4</v>
      </c>
      <c r="G29" s="44"/>
      <c r="I29" s="70" t="s">
        <v>174</v>
      </c>
      <c r="J29" s="68" t="s">
        <v>176</v>
      </c>
      <c r="K29" s="71" t="s">
        <v>265</v>
      </c>
      <c r="L29" s="70" t="s">
        <v>174</v>
      </c>
      <c r="M29" s="44"/>
      <c r="O29">
        <f t="shared" si="1"/>
        <v>0</v>
      </c>
      <c r="P29">
        <f t="shared" si="1"/>
        <v>21</v>
      </c>
      <c r="Q29">
        <f t="shared" si="1"/>
        <v>2</v>
      </c>
      <c r="R29">
        <f t="shared" si="1"/>
        <v>0</v>
      </c>
      <c r="S29">
        <f t="shared" si="1"/>
        <v>18</v>
      </c>
      <c r="T29" s="109"/>
      <c r="U29">
        <f>MATCH(A29,'Add-In Output'!$B$4:$B$212,0)</f>
        <v>192</v>
      </c>
      <c r="V29">
        <f>INDEX('Add-In Output'!$B$4:$U$212,$U29,MATCH(V$11&amp;" Price",'Add-In Output'!$B$2:$U$2,0))</f>
        <v>4.0199999999999996</v>
      </c>
      <c r="W29">
        <f>INDEX('Add-In Output'!$B$4:$U$212,$U29,MATCH(W$11&amp;" Price",'Add-In Output'!$B$2:$U$2,0))</f>
        <v>10.51</v>
      </c>
      <c r="X29">
        <f>INDEX('Add-In Output'!$B$4:$U$212,$U29,MATCH(X$11&amp;" Price",'Add-In Output'!$B$2:$U$2,0))</f>
        <v>50.69</v>
      </c>
      <c r="Y29">
        <f>INDEX('Add-In Output'!$B$4:$U$212,$U29,MATCH(Y$11&amp;" Price",'Add-In Output'!$B$2:$U$2,0))</f>
        <v>612.4</v>
      </c>
      <c r="Z29">
        <f>INDEX('Add-In Output'!$B$4:$U$212,$U29,MATCH(Z$11&amp;" Price",'Add-In Output'!$B$2:$U$2,0))</f>
        <v>1045</v>
      </c>
      <c r="AA29">
        <f>INDEX('Add-In Output'!$B$4:$U$212,$U29,MATCH(AA$11&amp;" Price",'Add-In Output'!$B$2:$U$2,0))</f>
        <v>2327</v>
      </c>
      <c r="AB29">
        <f>INDEX('Add-In Output'!$B$4:$U$212,$U29,MATCH(AB$11&amp;" Price",'Add-In Output'!$B$2:$U$2,0))</f>
        <v>3525</v>
      </c>
      <c r="AD29">
        <f t="shared" si="2"/>
        <v>468468.75</v>
      </c>
      <c r="AE29">
        <f t="shared" si="3"/>
        <v>1345100</v>
      </c>
      <c r="AF29">
        <f t="shared" si="4"/>
        <v>14886890</v>
      </c>
      <c r="AG29">
        <f t="shared" si="5"/>
        <v>57562200</v>
      </c>
      <c r="AH29">
        <f t="shared" si="6"/>
        <v>386651000</v>
      </c>
      <c r="AJ29">
        <f t="shared" si="7"/>
        <v>7720</v>
      </c>
    </row>
    <row r="30" spans="1:36" ht="15.75">
      <c r="A30" s="74">
        <v>45222</v>
      </c>
      <c r="B30" s="44"/>
      <c r="C30" s="71">
        <v>16</v>
      </c>
      <c r="D30" s="44"/>
      <c r="E30" s="44"/>
      <c r="F30" s="44"/>
      <c r="G30" s="69">
        <v>10</v>
      </c>
      <c r="I30" s="71" t="s">
        <v>265</v>
      </c>
      <c r="J30" s="44"/>
      <c r="K30" s="44"/>
      <c r="L30" s="44"/>
      <c r="M30" s="69" t="s">
        <v>173</v>
      </c>
      <c r="O30">
        <f t="shared" si="1"/>
        <v>10</v>
      </c>
      <c r="P30">
        <f t="shared" si="1"/>
        <v>0</v>
      </c>
      <c r="Q30">
        <f t="shared" si="1"/>
        <v>0</v>
      </c>
      <c r="R30">
        <f t="shared" si="1"/>
        <v>0</v>
      </c>
      <c r="S30">
        <f t="shared" si="1"/>
        <v>16</v>
      </c>
      <c r="T30" s="109"/>
      <c r="U30">
        <f>MATCH(A30,'Add-In Output'!$B$4:$B$212,0)</f>
        <v>36</v>
      </c>
      <c r="V30">
        <f>INDEX('Add-In Output'!$B$4:$U$212,$U30,MATCH(V$11&amp;" Price",'Add-In Output'!$B$2:$U$2,0))</f>
        <v>4.1100000000000003</v>
      </c>
      <c r="W30">
        <f>INDEX('Add-In Output'!$B$4:$U$212,$U30,MATCH(W$11&amp;" Price",'Add-In Output'!$B$2:$U$2,0))</f>
        <v>10.25</v>
      </c>
      <c r="X30">
        <f>INDEX('Add-In Output'!$B$4:$U$212,$U30,MATCH(X$11&amp;" Price",'Add-In Output'!$B$2:$U$2,0))</f>
        <v>53.09</v>
      </c>
      <c r="Y30">
        <f>INDEX('Add-In Output'!$B$4:$U$212,$U30,MATCH(Y$11&amp;" Price",'Add-In Output'!$B$2:$U$2,0))</f>
        <v>459.9</v>
      </c>
      <c r="Z30">
        <f>INDEX('Add-In Output'!$B$4:$U$212,$U30,MATCH(Z$11&amp;" Price",'Add-In Output'!$B$2:$U$2,0))</f>
        <v>1142</v>
      </c>
      <c r="AA30">
        <f>INDEX('Add-In Output'!$B$4:$U$212,$U30,MATCH(AA$11&amp;" Price",'Add-In Output'!$B$2:$U$2,0))</f>
        <v>1999</v>
      </c>
      <c r="AB30">
        <f>INDEX('Add-In Output'!$B$4:$U$212,$U30,MATCH(AB$11&amp;" Price",'Add-In Output'!$B$2:$U$2,0))</f>
        <v>4690</v>
      </c>
      <c r="AD30">
        <f t="shared" si="2"/>
        <v>416771.25</v>
      </c>
      <c r="AE30">
        <f t="shared" si="3"/>
        <v>1207900</v>
      </c>
      <c r="AF30">
        <f t="shared" si="4"/>
        <v>13643890</v>
      </c>
      <c r="AG30">
        <f t="shared" si="5"/>
        <v>55522200</v>
      </c>
      <c r="AH30">
        <f t="shared" si="6"/>
        <v>329462000</v>
      </c>
      <c r="AJ30">
        <f t="shared" si="7"/>
        <v>5803</v>
      </c>
    </row>
    <row r="31" spans="1:36" ht="15.75">
      <c r="A31" s="74">
        <v>45142</v>
      </c>
      <c r="B31" s="44"/>
      <c r="C31" s="68">
        <v>2</v>
      </c>
      <c r="D31" s="71">
        <v>14</v>
      </c>
      <c r="E31" s="70">
        <v>4</v>
      </c>
      <c r="F31" s="71">
        <v>16</v>
      </c>
      <c r="G31" s="44"/>
      <c r="I31" s="68" t="s">
        <v>176</v>
      </c>
      <c r="J31" s="71" t="s">
        <v>265</v>
      </c>
      <c r="K31" s="70" t="s">
        <v>174</v>
      </c>
      <c r="L31" s="71" t="s">
        <v>265</v>
      </c>
      <c r="M31" s="44"/>
      <c r="O31">
        <f t="shared" si="1"/>
        <v>0</v>
      </c>
      <c r="P31">
        <f t="shared" si="1"/>
        <v>4</v>
      </c>
      <c r="Q31">
        <f t="shared" si="1"/>
        <v>2</v>
      </c>
      <c r="R31">
        <f t="shared" si="1"/>
        <v>0</v>
      </c>
      <c r="S31">
        <f t="shared" si="1"/>
        <v>30</v>
      </c>
      <c r="T31" s="109"/>
      <c r="U31">
        <f>MATCH(A31,'Add-In Output'!$B$4:$B$212,0)</f>
        <v>114</v>
      </c>
      <c r="V31">
        <f>INDEX('Add-In Output'!$B$4:$U$212,$U31,MATCH(V$11&amp;" Price",'Add-In Output'!$B$2:$U$2,0))</f>
        <v>4.17</v>
      </c>
      <c r="W31">
        <f>INDEX('Add-In Output'!$B$4:$U$212,$U31,MATCH(W$11&amp;" Price",'Add-In Output'!$B$2:$U$2,0))</f>
        <v>11.86</v>
      </c>
      <c r="X31">
        <f>INDEX('Add-In Output'!$B$4:$U$212,$U31,MATCH(X$11&amp;" Price",'Add-In Output'!$B$2:$U$2,0))</f>
        <v>52.61</v>
      </c>
      <c r="Y31">
        <f>INDEX('Add-In Output'!$B$4:$U$212,$U31,MATCH(Y$11&amp;" Price",'Add-In Output'!$B$2:$U$2,0))</f>
        <v>493.7</v>
      </c>
      <c r="Z31">
        <f>INDEX('Add-In Output'!$B$4:$U$212,$U31,MATCH(Z$11&amp;" Price",'Add-In Output'!$B$2:$U$2,0))</f>
        <v>1004</v>
      </c>
      <c r="AA31">
        <f>INDEX('Add-In Output'!$B$4:$U$212,$U31,MATCH(AA$11&amp;" Price",'Add-In Output'!$B$2:$U$2,0))</f>
        <v>2291</v>
      </c>
      <c r="AB31">
        <f>INDEX('Add-In Output'!$B$4:$U$212,$U31,MATCH(AB$11&amp;" Price",'Add-In Output'!$B$2:$U$2,0))</f>
        <v>5226</v>
      </c>
      <c r="AD31">
        <f t="shared" si="2"/>
        <v>437231.25</v>
      </c>
      <c r="AE31">
        <f t="shared" si="3"/>
        <v>1268250</v>
      </c>
      <c r="AF31">
        <f t="shared" si="4"/>
        <v>14257050</v>
      </c>
      <c r="AG31">
        <f t="shared" si="5"/>
        <v>57584200</v>
      </c>
      <c r="AH31">
        <f t="shared" si="6"/>
        <v>351318000</v>
      </c>
      <c r="AJ31">
        <f t="shared" si="7"/>
        <v>11630</v>
      </c>
    </row>
    <row r="32" spans="1:36" ht="15.75">
      <c r="A32" s="74">
        <v>45156</v>
      </c>
      <c r="B32" s="44"/>
      <c r="C32" s="44"/>
      <c r="D32" s="44"/>
      <c r="E32" s="68">
        <v>2</v>
      </c>
      <c r="F32" s="70">
        <v>17</v>
      </c>
      <c r="G32" s="71">
        <v>8</v>
      </c>
      <c r="I32" s="44"/>
      <c r="J32" s="44"/>
      <c r="K32" s="68" t="s">
        <v>176</v>
      </c>
      <c r="L32" s="70" t="s">
        <v>174</v>
      </c>
      <c r="M32" s="71" t="s">
        <v>265</v>
      </c>
      <c r="O32">
        <f t="shared" si="1"/>
        <v>0</v>
      </c>
      <c r="P32">
        <f t="shared" si="1"/>
        <v>17</v>
      </c>
      <c r="Q32">
        <f t="shared" si="1"/>
        <v>2</v>
      </c>
      <c r="R32">
        <f t="shared" si="1"/>
        <v>0</v>
      </c>
      <c r="S32">
        <f t="shared" si="1"/>
        <v>8</v>
      </c>
      <c r="T32" s="109"/>
      <c r="U32">
        <f>MATCH(A32,'Add-In Output'!$B$4:$B$212,0)</f>
        <v>100</v>
      </c>
      <c r="V32">
        <f>INDEX('Add-In Output'!$B$4:$U$212,$U32,MATCH(V$11&amp;" Price",'Add-In Output'!$B$2:$U$2,0))</f>
        <v>4.33</v>
      </c>
      <c r="W32">
        <f>INDEX('Add-In Output'!$B$4:$U$212,$U32,MATCH(W$11&amp;" Price",'Add-In Output'!$B$2:$U$2,0))</f>
        <v>11.49</v>
      </c>
      <c r="X32">
        <f>INDEX('Add-In Output'!$B$4:$U$212,$U32,MATCH(X$11&amp;" Price",'Add-In Output'!$B$2:$U$2,0))</f>
        <v>50.99</v>
      </c>
      <c r="Y32">
        <f>INDEX('Add-In Output'!$B$4:$U$212,$U32,MATCH(Y$11&amp;" Price",'Add-In Output'!$B$2:$U$2,0))</f>
        <v>509.7</v>
      </c>
      <c r="Z32">
        <f>INDEX('Add-In Output'!$B$4:$U$212,$U32,MATCH(Z$11&amp;" Price",'Add-In Output'!$B$2:$U$2,0))</f>
        <v>999.7</v>
      </c>
      <c r="AA32">
        <f>INDEX('Add-In Output'!$B$4:$U$212,$U32,MATCH(AA$11&amp;" Price",'Add-In Output'!$B$2:$U$2,0))</f>
        <v>2243</v>
      </c>
      <c r="AB32">
        <f>INDEX('Add-In Output'!$B$4:$U$212,$U32,MATCH(AB$11&amp;" Price",'Add-In Output'!$B$2:$U$2,0))</f>
        <v>5684</v>
      </c>
      <c r="AD32">
        <f t="shared" si="2"/>
        <v>442368.75</v>
      </c>
      <c r="AE32">
        <f t="shared" si="3"/>
        <v>1283400</v>
      </c>
      <c r="AF32">
        <f t="shared" si="4"/>
        <v>14419400</v>
      </c>
      <c r="AG32">
        <f t="shared" si="5"/>
        <v>57743400</v>
      </c>
      <c r="AH32">
        <f t="shared" si="6"/>
        <v>357580400</v>
      </c>
      <c r="AJ32">
        <f t="shared" si="7"/>
        <v>3202</v>
      </c>
    </row>
    <row r="33" spans="1:36" ht="15.75">
      <c r="A33" s="74">
        <v>45050</v>
      </c>
      <c r="B33" s="44"/>
      <c r="C33" s="44"/>
      <c r="D33" s="70">
        <v>13</v>
      </c>
      <c r="E33" s="44"/>
      <c r="F33" s="71">
        <v>4</v>
      </c>
      <c r="G33" s="44"/>
      <c r="I33" s="44"/>
      <c r="J33" s="70" t="s">
        <v>174</v>
      </c>
      <c r="K33" s="44"/>
      <c r="L33" s="71" t="s">
        <v>265</v>
      </c>
      <c r="M33" s="44"/>
      <c r="O33">
        <f t="shared" si="1"/>
        <v>0</v>
      </c>
      <c r="P33">
        <f t="shared" si="1"/>
        <v>13</v>
      </c>
      <c r="Q33">
        <f t="shared" si="1"/>
        <v>0</v>
      </c>
      <c r="R33">
        <f t="shared" si="1"/>
        <v>0</v>
      </c>
      <c r="S33">
        <f t="shared" si="1"/>
        <v>4</v>
      </c>
      <c r="T33" s="109"/>
      <c r="U33">
        <f>MATCH(A33,'Add-In Output'!$B$4:$B$212,0)</f>
        <v>206</v>
      </c>
      <c r="V33">
        <f>INDEX('Add-In Output'!$B$4:$U$212,$U33,MATCH(V$11&amp;" Price",'Add-In Output'!$B$2:$U$2,0))</f>
        <v>4.0999999999999996</v>
      </c>
      <c r="W33">
        <f>INDEX('Add-In Output'!$B$4:$U$212,$U33,MATCH(W$11&amp;" Price",'Add-In Output'!$B$2:$U$2,0))</f>
        <v>9.98</v>
      </c>
      <c r="X33">
        <f>INDEX('Add-In Output'!$B$4:$U$212,$U33,MATCH(X$11&amp;" Price",'Add-In Output'!$B$2:$U$2,0))</f>
        <v>52.72</v>
      </c>
      <c r="Y33">
        <f>INDEX('Add-In Output'!$B$4:$U$212,$U33,MATCH(Y$11&amp;" Price",'Add-In Output'!$B$2:$U$2,0))</f>
        <v>598</v>
      </c>
      <c r="Z33">
        <f>INDEX('Add-In Output'!$B$4:$U$212,$U33,MATCH(Z$11&amp;" Price",'Add-In Output'!$B$2:$U$2,0))</f>
        <v>889</v>
      </c>
      <c r="AA33">
        <f>INDEX('Add-In Output'!$B$4:$U$212,$U33,MATCH(AA$11&amp;" Price",'Add-In Output'!$B$2:$U$2,0))</f>
        <v>2373</v>
      </c>
      <c r="AB33">
        <f>INDEX('Add-In Output'!$B$4:$U$212,$U33,MATCH(AB$11&amp;" Price",'Add-In Output'!$B$2:$U$2,0))</f>
        <v>3454</v>
      </c>
      <c r="AD33">
        <f t="shared" si="2"/>
        <v>466410</v>
      </c>
      <c r="AE33">
        <f t="shared" si="3"/>
        <v>1339300</v>
      </c>
      <c r="AF33">
        <f t="shared" si="4"/>
        <v>14535930</v>
      </c>
      <c r="AG33">
        <f t="shared" si="5"/>
        <v>56149200</v>
      </c>
      <c r="AH33">
        <f t="shared" si="6"/>
        <v>378820000</v>
      </c>
      <c r="AJ33">
        <f t="shared" si="7"/>
        <v>1686</v>
      </c>
    </row>
    <row r="34" spans="1:36" ht="15.75">
      <c r="A34" s="74">
        <v>45206</v>
      </c>
      <c r="B34" s="44"/>
      <c r="C34" s="69">
        <v>10</v>
      </c>
      <c r="D34" s="68">
        <v>12</v>
      </c>
      <c r="E34" s="69">
        <v>13</v>
      </c>
      <c r="F34" s="67">
        <v>11</v>
      </c>
      <c r="G34" s="69">
        <v>12</v>
      </c>
      <c r="I34" s="69" t="s">
        <v>173</v>
      </c>
      <c r="J34" s="68" t="s">
        <v>176</v>
      </c>
      <c r="K34" s="69" t="s">
        <v>173</v>
      </c>
      <c r="L34" s="67" t="s">
        <v>175</v>
      </c>
      <c r="M34" s="69" t="s">
        <v>173</v>
      </c>
      <c r="O34">
        <f t="shared" si="1"/>
        <v>35</v>
      </c>
      <c r="P34">
        <f t="shared" si="1"/>
        <v>0</v>
      </c>
      <c r="Q34">
        <f t="shared" si="1"/>
        <v>12</v>
      </c>
      <c r="R34">
        <f t="shared" si="1"/>
        <v>11</v>
      </c>
      <c r="S34">
        <f t="shared" si="1"/>
        <v>0</v>
      </c>
      <c r="T34" s="109"/>
      <c r="U34">
        <f>MATCH(A34,'Add-In Output'!$B$4:$B$212,0)</f>
        <v>52</v>
      </c>
      <c r="V34">
        <f>INDEX('Add-In Output'!$B$4:$U$212,$U34,MATCH(V$11&amp;" Price",'Add-In Output'!$B$2:$U$2,0))</f>
        <v>4.21</v>
      </c>
      <c r="W34">
        <f>INDEX('Add-In Output'!$B$4:$U$212,$U34,MATCH(W$11&amp;" Price",'Add-In Output'!$B$2:$U$2,0))</f>
        <v>10.199999999999999</v>
      </c>
      <c r="X34">
        <f>INDEX('Add-In Output'!$B$4:$U$212,$U34,MATCH(X$11&amp;" Price",'Add-In Output'!$B$2:$U$2,0))</f>
        <v>52.96</v>
      </c>
      <c r="Y34">
        <f>INDEX('Add-In Output'!$B$4:$U$212,$U34,MATCH(Y$11&amp;" Price",'Add-In Output'!$B$2:$U$2,0))</f>
        <v>453.1</v>
      </c>
      <c r="Z34">
        <f>INDEX('Add-In Output'!$B$4:$U$212,$U34,MATCH(Z$11&amp;" Price",'Add-In Output'!$B$2:$U$2,0))</f>
        <v>1096</v>
      </c>
      <c r="AA34">
        <f>INDEX('Add-In Output'!$B$4:$U$212,$U34,MATCH(AA$11&amp;" Price",'Add-In Output'!$B$2:$U$2,0))</f>
        <v>1909</v>
      </c>
      <c r="AB34">
        <f>INDEX('Add-In Output'!$B$4:$U$212,$U34,MATCH(AB$11&amp;" Price",'Add-In Output'!$B$2:$U$2,0))</f>
        <v>4674</v>
      </c>
      <c r="AD34">
        <f t="shared" si="2"/>
        <v>416152.5</v>
      </c>
      <c r="AE34">
        <f t="shared" si="3"/>
        <v>1207700</v>
      </c>
      <c r="AF34">
        <f t="shared" si="4"/>
        <v>13513470</v>
      </c>
      <c r="AG34">
        <f t="shared" si="5"/>
        <v>55038400</v>
      </c>
      <c r="AH34">
        <f t="shared" si="6"/>
        <v>326124000</v>
      </c>
      <c r="AJ34">
        <f t="shared" si="7"/>
        <v>860</v>
      </c>
    </row>
    <row r="38" spans="1:36">
      <c r="A38" s="73"/>
      <c r="B38" s="73"/>
      <c r="E38" s="73"/>
      <c r="H38" s="73"/>
      <c r="K38" s="73"/>
      <c r="N38" s="73"/>
      <c r="Q38" s="73"/>
      <c r="T38" s="73"/>
    </row>
  </sheetData>
  <mergeCells count="5">
    <mergeCell ref="I2:L2"/>
    <mergeCell ref="I3:L3"/>
    <mergeCell ref="I4:L4"/>
    <mergeCell ref="I5:L5"/>
    <mergeCell ref="I6:L6"/>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71018-0D01-40F3-86DB-6547F9A8B329}">
  <dimension ref="A1:AC51"/>
  <sheetViews>
    <sheetView zoomScale="85" zoomScaleNormal="85" workbookViewId="0">
      <selection activeCell="K21" sqref="K21"/>
    </sheetView>
  </sheetViews>
  <sheetFormatPr defaultRowHeight="15"/>
  <cols>
    <col min="1" max="1" width="10.5703125" bestFit="1" customWidth="1"/>
    <col min="2" max="2" width="8.28515625" bestFit="1" customWidth="1"/>
    <col min="3" max="3" width="10" bestFit="1" customWidth="1"/>
    <col min="4" max="4" width="7.7109375" bestFit="1" customWidth="1"/>
    <col min="5" max="5" width="9.85546875" bestFit="1" customWidth="1"/>
    <col min="6" max="6" width="8.5703125" bestFit="1" customWidth="1"/>
    <col min="7" max="7" width="10.85546875" bestFit="1" customWidth="1"/>
    <col min="13" max="13" width="9.28515625" bestFit="1" customWidth="1"/>
    <col min="14" max="14" width="4.42578125" customWidth="1"/>
    <col min="15" max="15" width="5.42578125" customWidth="1"/>
    <col min="16" max="16" width="9.42578125" bestFit="1" customWidth="1"/>
    <col min="17" max="17" width="14.5703125" bestFit="1" customWidth="1"/>
    <col min="18" max="18" width="10.5703125" bestFit="1" customWidth="1"/>
    <col min="19" max="19" width="8.28515625" bestFit="1" customWidth="1"/>
    <col min="20" max="20" width="10" bestFit="1" customWidth="1"/>
    <col min="21" max="21" width="7.7109375" bestFit="1" customWidth="1"/>
    <col min="22" max="22" width="9.85546875" bestFit="1" customWidth="1"/>
    <col min="23" max="23" width="8.5703125" bestFit="1" customWidth="1"/>
    <col min="24" max="24" width="10.85546875" bestFit="1" customWidth="1"/>
    <col min="25" max="25" width="17.140625" bestFit="1" customWidth="1"/>
    <col min="26" max="26" width="20" bestFit="1" customWidth="1"/>
    <col min="27" max="27" width="10" bestFit="1" customWidth="1"/>
  </cols>
  <sheetData>
    <row r="1" spans="1:29">
      <c r="A1" t="s">
        <v>75</v>
      </c>
    </row>
    <row r="2" spans="1:29">
      <c r="A2" t="s">
        <v>271</v>
      </c>
    </row>
    <row r="3" spans="1:29">
      <c r="A3" t="s">
        <v>272</v>
      </c>
    </row>
    <row r="4" spans="1:29">
      <c r="A4" t="s">
        <v>273</v>
      </c>
    </row>
    <row r="5" spans="1:29">
      <c r="A5" t="s">
        <v>274</v>
      </c>
    </row>
    <row r="6" spans="1:29">
      <c r="A6" t="s">
        <v>275</v>
      </c>
    </row>
    <row r="9" spans="1:29" ht="16.5" thickBot="1">
      <c r="A9" s="46" t="s">
        <v>249</v>
      </c>
      <c r="B9" s="46"/>
      <c r="C9" s="46"/>
      <c r="D9" s="46"/>
      <c r="E9" s="46"/>
      <c r="F9" s="46"/>
      <c r="G9" s="44"/>
      <c r="R9" t="str">
        <f>IF(K11,"In m³","Minerals contained in 1 unit of Asteroid Ore")</f>
        <v>Minerals contained in 1 unit of Asteroid Ore</v>
      </c>
    </row>
    <row r="10" spans="1:29" ht="16.5" thickTop="1" thickBot="1">
      <c r="A10" s="49" t="s">
        <v>10</v>
      </c>
      <c r="B10" s="49" t="s">
        <v>11</v>
      </c>
      <c r="C10" s="49" t="s">
        <v>12</v>
      </c>
      <c r="D10" s="49" t="s">
        <v>13</v>
      </c>
      <c r="E10" s="49" t="s">
        <v>14</v>
      </c>
      <c r="F10" s="49" t="s">
        <v>15</v>
      </c>
      <c r="G10" s="49" t="s">
        <v>16</v>
      </c>
      <c r="M10" s="49" t="s">
        <v>105</v>
      </c>
      <c r="N10" s="110" t="s">
        <v>237</v>
      </c>
      <c r="O10" s="110" t="s">
        <v>238</v>
      </c>
      <c r="P10" s="110" t="s">
        <v>276</v>
      </c>
      <c r="Q10" s="110" t="s">
        <v>277</v>
      </c>
      <c r="R10" s="49" t="s">
        <v>10</v>
      </c>
      <c r="S10" s="49" t="s">
        <v>11</v>
      </c>
      <c r="T10" s="49" t="s">
        <v>12</v>
      </c>
      <c r="U10" s="49" t="s">
        <v>13</v>
      </c>
      <c r="V10" s="49" t="s">
        <v>14</v>
      </c>
      <c r="W10" s="49" t="s">
        <v>15</v>
      </c>
      <c r="X10" s="49" t="s">
        <v>16</v>
      </c>
      <c r="Y10" s="112" t="s">
        <v>278</v>
      </c>
      <c r="Z10" s="112" t="s">
        <v>279</v>
      </c>
      <c r="AA10" s="36" t="s">
        <v>44</v>
      </c>
      <c r="AB10" s="2"/>
      <c r="AC10" s="49" t="s">
        <v>105</v>
      </c>
    </row>
    <row r="11" spans="1:29">
      <c r="A11">
        <f>INDEX('Add-In Output'!$B$4:$U$212,1,MATCH(A10&amp;" Price",'Add-In Output'!$B$2:$U$2,0))</f>
        <v>4.25</v>
      </c>
      <c r="B11">
        <f>INDEX('Add-In Output'!$B$4:$U$212,1,MATCH(B10&amp;" Price",'Add-In Output'!$B$2:$U$2,0))</f>
        <v>10.119999999999999</v>
      </c>
      <c r="C11">
        <f>INDEX('Add-In Output'!$B$4:$U$212,1,MATCH(C10&amp;" Price",'Add-In Output'!$B$2:$U$2,0))</f>
        <v>52.52</v>
      </c>
      <c r="D11">
        <f>INDEX('Add-In Output'!$B$4:$U$212,1,MATCH(D10&amp;" Price",'Add-In Output'!$B$2:$U$2,0))</f>
        <v>459.6</v>
      </c>
      <c r="E11">
        <f>INDEX('Add-In Output'!$B$4:$U$212,1,MATCH(E10&amp;" Price",'Add-In Output'!$B$2:$U$2,0))</f>
        <v>1110</v>
      </c>
      <c r="F11">
        <f>INDEX('Add-In Output'!$B$4:$U$212,1,MATCH(F10&amp;" Price",'Add-In Output'!$B$2:$U$2,0))</f>
        <v>1980</v>
      </c>
      <c r="G11">
        <f>INDEX('Add-In Output'!$B$4:$U$212,1,MATCH(G10&amp;" Price",'Add-In Output'!$B$2:$U$2,0))</f>
        <v>5500</v>
      </c>
      <c r="M11" s="1"/>
      <c r="N11" s="1"/>
      <c r="O11" s="1"/>
      <c r="AA11" s="31"/>
      <c r="AB11" s="2"/>
      <c r="AC11" s="1"/>
    </row>
    <row r="12" spans="1:29" ht="24" thickBot="1">
      <c r="M12" s="62" t="s">
        <v>108</v>
      </c>
      <c r="N12" s="111" t="str">
        <f>LEFT(M12,1)</f>
        <v>C</v>
      </c>
      <c r="O12" s="111">
        <f>VALUE(SUBSTITUTE(M12,N12,""))</f>
        <v>6</v>
      </c>
      <c r="P12">
        <f ca="1">INDIRECT("'Asteroid Field Map (Levels 4-6)'!"&amp;M12)*1000</f>
        <v>6000</v>
      </c>
      <c r="Q12" t="str">
        <f>INDEX($M$36:$M40,MATCH(INDEX($A$36:$I$50,MATCH(O12,$J$36:$J$50,0),MATCH(N12,$A$51:$I$51,0)),$Q$36:$Q$40,0))</f>
        <v>Veldspar</v>
      </c>
      <c r="R12">
        <f>INDEX($T$37:$Z$40,MATCH($Q12,$M$37:$M$40,0),MATCH(R$10,$T$36:$Z$36,0))</f>
        <v>400</v>
      </c>
      <c r="S12">
        <f t="shared" ref="S12:X27" si="0">INDEX($T$37:$Z$40,MATCH($Q12,$M$37:$M$40,0),MATCH(S$10,$T$36:$Z$36,0))</f>
        <v>0</v>
      </c>
      <c r="T12">
        <f t="shared" si="0"/>
        <v>0</v>
      </c>
      <c r="U12">
        <f t="shared" si="0"/>
        <v>0</v>
      </c>
      <c r="V12">
        <f t="shared" si="0"/>
        <v>0</v>
      </c>
      <c r="W12">
        <f t="shared" si="0"/>
        <v>0</v>
      </c>
      <c r="X12">
        <f t="shared" si="0"/>
        <v>0</v>
      </c>
      <c r="Y12">
        <f>SUMPRODUCT(R12:X12,$A$11:$G$11)</f>
        <v>1700</v>
      </c>
      <c r="Z12">
        <f ca="1">IFERROR(ROUND(Y12*P12/1000000,0),0)</f>
        <v>10</v>
      </c>
      <c r="AA12" s="26">
        <v>10</v>
      </c>
      <c r="AB12" s="29" t="b">
        <f ca="1">AA12=Z12</f>
        <v>1</v>
      </c>
      <c r="AC12" s="62" t="s">
        <v>108</v>
      </c>
    </row>
    <row r="13" spans="1:29" ht="24.75" thickTop="1" thickBot="1">
      <c r="A13" s="212" t="s">
        <v>212</v>
      </c>
      <c r="B13" s="213"/>
      <c r="C13" s="213"/>
      <c r="D13" s="213"/>
      <c r="E13" s="213"/>
      <c r="F13" s="213"/>
      <c r="G13" s="213"/>
      <c r="H13" s="213"/>
      <c r="I13" s="214"/>
      <c r="M13" s="48"/>
      <c r="N13" s="48"/>
      <c r="O13" s="48"/>
      <c r="AA13" s="31"/>
      <c r="AB13" s="29" t="b">
        <f t="shared" ref="AB13:AB33" si="1">AA13=Z13</f>
        <v>1</v>
      </c>
      <c r="AC13" s="48"/>
    </row>
    <row r="14" spans="1:29" ht="24" thickTop="1">
      <c r="A14" s="75"/>
      <c r="B14" s="76"/>
      <c r="C14" s="76"/>
      <c r="D14" s="76"/>
      <c r="E14" s="76"/>
      <c r="F14" s="76"/>
      <c r="G14" s="76"/>
      <c r="H14" s="76"/>
      <c r="I14" s="77"/>
      <c r="J14" s="72">
        <v>3</v>
      </c>
      <c r="M14" s="62" t="s">
        <v>109</v>
      </c>
      <c r="N14" s="111" t="str">
        <f>LEFT(M14,1)</f>
        <v>I</v>
      </c>
      <c r="O14" s="111">
        <f>VALUE(SUBSTITUTE(M14,N14,""))</f>
        <v>4</v>
      </c>
      <c r="P14">
        <f ca="1">INDIRECT("'Asteroid Field Map (Levels 4-6)'!"&amp;M14)*1000</f>
        <v>5000</v>
      </c>
      <c r="Q14" t="str">
        <f>INDEX($M$36:$M42,MATCH(INDEX($A$36:$I$50,MATCH(O14,$J$36:$J$50,0),MATCH(N14,$A$51:$I$51,0)),$Q$36:$Q$40,0))</f>
        <v>Kernite</v>
      </c>
      <c r="R14">
        <f t="shared" ref="R14:X33" si="2">INDEX($T$37:$Z$40,MATCH($Q14,$M$37:$M$40,0),MATCH(R$10,$T$36:$Z$36,0))</f>
        <v>0</v>
      </c>
      <c r="S14">
        <f t="shared" si="0"/>
        <v>0</v>
      </c>
      <c r="T14">
        <f t="shared" si="0"/>
        <v>60</v>
      </c>
      <c r="U14">
        <f t="shared" si="0"/>
        <v>120</v>
      </c>
      <c r="V14">
        <f t="shared" si="0"/>
        <v>0</v>
      </c>
      <c r="W14">
        <f t="shared" si="0"/>
        <v>0</v>
      </c>
      <c r="X14">
        <f t="shared" si="0"/>
        <v>0</v>
      </c>
      <c r="Y14">
        <f t="shared" ref="Y14:Y33" si="3">SUMPRODUCT(R14:X14,$A$11:$G$11)</f>
        <v>58303.199999999997</v>
      </c>
      <c r="Z14">
        <f t="shared" ref="Z14:Z33" ca="1" si="4">IFERROR(ROUND(Y14*P14/1000000,0),0)</f>
        <v>292</v>
      </c>
      <c r="AA14" s="26">
        <v>292</v>
      </c>
      <c r="AB14" s="29" t="b">
        <f t="shared" ca="1" si="1"/>
        <v>1</v>
      </c>
      <c r="AC14" s="62" t="s">
        <v>109</v>
      </c>
    </row>
    <row r="15" spans="1:29" ht="23.25">
      <c r="A15" s="78"/>
      <c r="B15" s="79"/>
      <c r="C15" s="80">
        <v>1</v>
      </c>
      <c r="D15" s="79"/>
      <c r="E15" s="79"/>
      <c r="F15" s="80">
        <v>2</v>
      </c>
      <c r="G15" s="79"/>
      <c r="H15" s="81">
        <v>5</v>
      </c>
      <c r="I15" s="82"/>
      <c r="J15" s="72">
        <v>4</v>
      </c>
      <c r="M15" s="62" t="s">
        <v>110</v>
      </c>
      <c r="N15" s="111" t="str">
        <f t="shared" ref="N15:N33" si="5">LEFT(M15,1)</f>
        <v>F</v>
      </c>
      <c r="O15" s="111">
        <f t="shared" ref="O15:O33" si="6">VALUE(SUBSTITUTE(M15,N15,""))</f>
        <v>16</v>
      </c>
      <c r="P15">
        <f t="shared" ref="P15:P33" ca="1" si="7">INDIRECT("'Asteroid Field Map (Levels 4-6)'!"&amp;M15)*1000</f>
        <v>4000</v>
      </c>
      <c r="Q15" t="str">
        <f>INDEX($M$36:$M43,MATCH(INDEX($A$36:$I$50,MATCH(O15,$J$36:$J$50,0),MATCH(N15,$A$51:$I$51,0)),$Q$36:$Q$40,0))</f>
        <v>Omber</v>
      </c>
      <c r="R15">
        <f t="shared" si="2"/>
        <v>0</v>
      </c>
      <c r="S15">
        <f t="shared" si="0"/>
        <v>90</v>
      </c>
      <c r="T15">
        <f t="shared" si="0"/>
        <v>0</v>
      </c>
      <c r="U15">
        <f t="shared" si="0"/>
        <v>75</v>
      </c>
      <c r="V15">
        <f t="shared" si="0"/>
        <v>0</v>
      </c>
      <c r="W15">
        <f t="shared" si="0"/>
        <v>0</v>
      </c>
      <c r="X15">
        <f t="shared" si="0"/>
        <v>0</v>
      </c>
      <c r="Y15">
        <f t="shared" si="3"/>
        <v>35380.800000000003</v>
      </c>
      <c r="Z15">
        <f t="shared" ca="1" si="4"/>
        <v>142</v>
      </c>
      <c r="AA15" s="26">
        <v>142</v>
      </c>
      <c r="AB15" s="29" t="b">
        <f t="shared" ca="1" si="1"/>
        <v>1</v>
      </c>
      <c r="AC15" s="62" t="s">
        <v>110</v>
      </c>
    </row>
    <row r="16" spans="1:29" ht="23.25">
      <c r="A16" s="78"/>
      <c r="B16" s="79"/>
      <c r="C16" s="79"/>
      <c r="D16" s="81">
        <v>3</v>
      </c>
      <c r="E16" s="79"/>
      <c r="F16" s="79"/>
      <c r="G16" s="79"/>
      <c r="H16" s="79"/>
      <c r="I16" s="82"/>
      <c r="J16" s="72">
        <v>5</v>
      </c>
      <c r="M16" s="62" t="s">
        <v>111</v>
      </c>
      <c r="N16" s="111" t="str">
        <f t="shared" si="5"/>
        <v>E</v>
      </c>
      <c r="O16" s="111">
        <f t="shared" si="6"/>
        <v>5</v>
      </c>
      <c r="P16">
        <f t="shared" ca="1" si="7"/>
        <v>3000</v>
      </c>
      <c r="Q16" t="str">
        <f>INDEX($M$36:$M44,MATCH(INDEX($A$36:$I$50,MATCH(O16,$J$36:$J$50,0),MATCH(N16,$A$51:$I$51,0)),$Q$36:$Q$40,0))</f>
        <v>Kernite</v>
      </c>
      <c r="R16">
        <f t="shared" si="2"/>
        <v>0</v>
      </c>
      <c r="S16">
        <f t="shared" si="0"/>
        <v>0</v>
      </c>
      <c r="T16">
        <f t="shared" si="0"/>
        <v>60</v>
      </c>
      <c r="U16">
        <f t="shared" si="0"/>
        <v>120</v>
      </c>
      <c r="V16">
        <f t="shared" si="0"/>
        <v>0</v>
      </c>
      <c r="W16">
        <f t="shared" si="0"/>
        <v>0</v>
      </c>
      <c r="X16">
        <f t="shared" si="0"/>
        <v>0</v>
      </c>
      <c r="Y16">
        <f t="shared" si="3"/>
        <v>58303.199999999997</v>
      </c>
      <c r="Z16">
        <f t="shared" ca="1" si="4"/>
        <v>175</v>
      </c>
      <c r="AA16" s="26">
        <v>175</v>
      </c>
      <c r="AB16" s="29" t="b">
        <f t="shared" ca="1" si="1"/>
        <v>1</v>
      </c>
      <c r="AC16" s="62" t="s">
        <v>111</v>
      </c>
    </row>
    <row r="17" spans="1:29" ht="23.25">
      <c r="A17" s="78"/>
      <c r="B17" s="83">
        <v>6</v>
      </c>
      <c r="C17" s="79"/>
      <c r="D17" s="79"/>
      <c r="E17" s="84">
        <v>1</v>
      </c>
      <c r="F17" s="79"/>
      <c r="G17" s="79"/>
      <c r="H17" s="81">
        <v>4</v>
      </c>
      <c r="I17" s="82"/>
      <c r="J17" s="72">
        <v>6</v>
      </c>
      <c r="M17" s="62" t="s">
        <v>112</v>
      </c>
      <c r="N17" s="111" t="str">
        <f t="shared" si="5"/>
        <v>E</v>
      </c>
      <c r="O17" s="111">
        <f t="shared" si="6"/>
        <v>7</v>
      </c>
      <c r="P17">
        <f t="shared" ca="1" si="7"/>
        <v>2000</v>
      </c>
      <c r="Q17" t="str">
        <f>INDEX($M$36:$M45,MATCH(INDEX($A$36:$I$50,MATCH(O17,$J$36:$J$50,0),MATCH(N17,$A$51:$I$51,0)),$Q$36:$Q$40,0))</f>
        <v>Omber</v>
      </c>
      <c r="R17">
        <f t="shared" si="2"/>
        <v>0</v>
      </c>
      <c r="S17">
        <f t="shared" si="0"/>
        <v>90</v>
      </c>
      <c r="T17">
        <f t="shared" si="0"/>
        <v>0</v>
      </c>
      <c r="U17">
        <f t="shared" si="0"/>
        <v>75</v>
      </c>
      <c r="V17">
        <f t="shared" si="0"/>
        <v>0</v>
      </c>
      <c r="W17">
        <f t="shared" si="0"/>
        <v>0</v>
      </c>
      <c r="X17">
        <f t="shared" si="0"/>
        <v>0</v>
      </c>
      <c r="Y17">
        <f t="shared" si="3"/>
        <v>35380.800000000003</v>
      </c>
      <c r="Z17">
        <f t="shared" ca="1" si="4"/>
        <v>71</v>
      </c>
      <c r="AA17" s="26">
        <v>71</v>
      </c>
      <c r="AB17" s="29" t="b">
        <f t="shared" ca="1" si="1"/>
        <v>1</v>
      </c>
      <c r="AC17" s="62" t="s">
        <v>112</v>
      </c>
    </row>
    <row r="18" spans="1:29" ht="23.25">
      <c r="A18" s="78"/>
      <c r="B18" s="79"/>
      <c r="C18" s="79"/>
      <c r="D18" s="84">
        <v>2</v>
      </c>
      <c r="E18" s="79"/>
      <c r="F18" s="83">
        <v>5</v>
      </c>
      <c r="G18" s="79"/>
      <c r="H18" s="79"/>
      <c r="I18" s="82"/>
      <c r="J18" s="72">
        <v>7</v>
      </c>
      <c r="M18" s="62" t="s">
        <v>113</v>
      </c>
      <c r="N18" s="111" t="str">
        <f t="shared" si="5"/>
        <v>H</v>
      </c>
      <c r="O18" s="111">
        <f t="shared" si="6"/>
        <v>15</v>
      </c>
      <c r="P18">
        <f t="shared" ca="1" si="7"/>
        <v>7000</v>
      </c>
      <c r="Q18" t="str">
        <f>INDEX($M$36:$M46,MATCH(INDEX($A$36:$I$50,MATCH(O18,$J$36:$J$50,0),MATCH(N18,$A$51:$I$51,0)),$Q$36:$Q$40,0))</f>
        <v>Kernite</v>
      </c>
      <c r="R18">
        <f t="shared" si="2"/>
        <v>0</v>
      </c>
      <c r="S18">
        <f t="shared" si="0"/>
        <v>0</v>
      </c>
      <c r="T18">
        <f t="shared" si="0"/>
        <v>60</v>
      </c>
      <c r="U18">
        <f t="shared" si="0"/>
        <v>120</v>
      </c>
      <c r="V18">
        <f t="shared" si="0"/>
        <v>0</v>
      </c>
      <c r="W18">
        <f t="shared" si="0"/>
        <v>0</v>
      </c>
      <c r="X18">
        <f t="shared" si="0"/>
        <v>0</v>
      </c>
      <c r="Y18">
        <f t="shared" si="3"/>
        <v>58303.199999999997</v>
      </c>
      <c r="Z18">
        <f t="shared" ca="1" si="4"/>
        <v>408</v>
      </c>
      <c r="AA18" s="26">
        <v>408</v>
      </c>
      <c r="AB18" s="29" t="b">
        <f t="shared" ca="1" si="1"/>
        <v>1</v>
      </c>
      <c r="AC18" s="62" t="s">
        <v>113</v>
      </c>
    </row>
    <row r="19" spans="1:29" ht="23.25">
      <c r="A19" s="78"/>
      <c r="B19" s="79"/>
      <c r="C19" s="79"/>
      <c r="D19" s="79"/>
      <c r="E19" s="79"/>
      <c r="F19" s="79"/>
      <c r="G19" s="79"/>
      <c r="H19" s="80">
        <v>3</v>
      </c>
      <c r="I19" s="82"/>
      <c r="J19" s="72">
        <v>8</v>
      </c>
      <c r="M19" s="62" t="s">
        <v>114</v>
      </c>
      <c r="N19" s="111" t="str">
        <f t="shared" si="5"/>
        <v>H</v>
      </c>
      <c r="O19" s="111">
        <f t="shared" si="6"/>
        <v>11</v>
      </c>
      <c r="P19">
        <f t="shared" ca="1" si="7"/>
        <v>4000</v>
      </c>
      <c r="Q19" t="str">
        <f>INDEX($M$36:$M47,MATCH(INDEX($A$36:$I$50,MATCH(O19,$J$36:$J$50,0),MATCH(N19,$A$51:$I$51,0)),$Q$36:$Q$40,0))</f>
        <v>Scordite</v>
      </c>
      <c r="R19">
        <f t="shared" si="2"/>
        <v>150</v>
      </c>
      <c r="S19">
        <f t="shared" si="0"/>
        <v>90</v>
      </c>
      <c r="T19">
        <f t="shared" si="0"/>
        <v>0</v>
      </c>
      <c r="U19">
        <f t="shared" si="0"/>
        <v>0</v>
      </c>
      <c r="V19">
        <f t="shared" si="0"/>
        <v>0</v>
      </c>
      <c r="W19">
        <f t="shared" si="0"/>
        <v>0</v>
      </c>
      <c r="X19">
        <f t="shared" si="0"/>
        <v>0</v>
      </c>
      <c r="Y19">
        <f t="shared" si="3"/>
        <v>1548.3</v>
      </c>
      <c r="Z19">
        <f t="shared" ca="1" si="4"/>
        <v>6</v>
      </c>
      <c r="AA19" s="26">
        <v>6</v>
      </c>
      <c r="AB19" s="29" t="b">
        <f t="shared" ca="1" si="1"/>
        <v>1</v>
      </c>
      <c r="AC19" s="62" t="s">
        <v>114</v>
      </c>
    </row>
    <row r="20" spans="1:29" ht="24" thickBot="1">
      <c r="A20" s="78"/>
      <c r="B20" s="81">
        <v>2</v>
      </c>
      <c r="C20" s="79"/>
      <c r="D20" s="83">
        <v>4</v>
      </c>
      <c r="E20" s="79"/>
      <c r="F20" s="79"/>
      <c r="G20" s="84">
        <v>5</v>
      </c>
      <c r="H20" s="79"/>
      <c r="I20" s="82"/>
      <c r="J20" s="72">
        <v>9</v>
      </c>
      <c r="M20" s="62" t="s">
        <v>115</v>
      </c>
      <c r="N20" s="111" t="str">
        <f t="shared" si="5"/>
        <v>I</v>
      </c>
      <c r="O20" s="111">
        <f t="shared" si="6"/>
        <v>14</v>
      </c>
      <c r="P20">
        <f t="shared" ca="1" si="7"/>
        <v>0</v>
      </c>
      <c r="Q20" t="e">
        <f>INDEX($M$36:$M48,MATCH(INDEX($A$36:$I$50,MATCH(O20,$J$36:$J$50,0),MATCH(N20,$A$51:$I$51,0)),$Q$36:$Q$40,0))</f>
        <v>#N/A</v>
      </c>
      <c r="R20" t="e">
        <f t="shared" si="2"/>
        <v>#N/A</v>
      </c>
      <c r="S20" t="e">
        <f t="shared" si="0"/>
        <v>#N/A</v>
      </c>
      <c r="T20" t="e">
        <f t="shared" si="0"/>
        <v>#N/A</v>
      </c>
      <c r="U20" t="e">
        <f t="shared" si="0"/>
        <v>#N/A</v>
      </c>
      <c r="V20" t="e">
        <f t="shared" si="0"/>
        <v>#N/A</v>
      </c>
      <c r="W20" t="e">
        <f t="shared" si="0"/>
        <v>#N/A</v>
      </c>
      <c r="X20" t="e">
        <f t="shared" si="0"/>
        <v>#N/A</v>
      </c>
      <c r="Y20" t="e">
        <f t="shared" si="3"/>
        <v>#N/A</v>
      </c>
      <c r="Z20">
        <f t="shared" ca="1" si="4"/>
        <v>0</v>
      </c>
      <c r="AA20" s="26">
        <v>0</v>
      </c>
      <c r="AB20" s="29" t="b">
        <f t="shared" ca="1" si="1"/>
        <v>1</v>
      </c>
      <c r="AC20" s="62" t="s">
        <v>115</v>
      </c>
    </row>
    <row r="21" spans="1:29" ht="24.75" thickTop="1" thickBot="1">
      <c r="A21" s="78"/>
      <c r="B21" s="79"/>
      <c r="C21" s="79"/>
      <c r="D21" s="79"/>
      <c r="E21" s="85" t="s">
        <v>213</v>
      </c>
      <c r="F21" s="79"/>
      <c r="G21" s="79"/>
      <c r="H21" s="79"/>
      <c r="I21" s="82"/>
      <c r="J21" s="72">
        <v>10</v>
      </c>
      <c r="M21" s="62" t="s">
        <v>116</v>
      </c>
      <c r="N21" s="111" t="str">
        <f t="shared" si="5"/>
        <v>E</v>
      </c>
      <c r="O21" s="111">
        <f t="shared" si="6"/>
        <v>9</v>
      </c>
      <c r="P21">
        <f t="shared" ca="1" si="7"/>
        <v>4000</v>
      </c>
      <c r="Q21" t="str">
        <f>INDEX($M$36:$M49,MATCH(INDEX($A$36:$I$50,MATCH(O21,$J$36:$J$50,0),MATCH(N21,$A$51:$I$51,0)),$Q$36:$Q$40,0))</f>
        <v>Veldspar</v>
      </c>
      <c r="R21">
        <f t="shared" si="2"/>
        <v>400</v>
      </c>
      <c r="S21">
        <f t="shared" si="0"/>
        <v>0</v>
      </c>
      <c r="T21">
        <f t="shared" si="0"/>
        <v>0</v>
      </c>
      <c r="U21">
        <f t="shared" si="0"/>
        <v>0</v>
      </c>
      <c r="V21">
        <f t="shared" si="0"/>
        <v>0</v>
      </c>
      <c r="W21">
        <f t="shared" si="0"/>
        <v>0</v>
      </c>
      <c r="X21">
        <f t="shared" si="0"/>
        <v>0</v>
      </c>
      <c r="Y21">
        <f t="shared" si="3"/>
        <v>1700</v>
      </c>
      <c r="Z21">
        <f t="shared" ca="1" si="4"/>
        <v>7</v>
      </c>
      <c r="AA21" s="26">
        <v>7</v>
      </c>
      <c r="AB21" s="29" t="b">
        <f t="shared" ca="1" si="1"/>
        <v>1</v>
      </c>
      <c r="AC21" s="62" t="s">
        <v>116</v>
      </c>
    </row>
    <row r="22" spans="1:29" ht="24" thickTop="1">
      <c r="A22" s="78"/>
      <c r="B22" s="79"/>
      <c r="C22" s="81">
        <v>1</v>
      </c>
      <c r="D22" s="79"/>
      <c r="E22" s="79"/>
      <c r="F22" s="79"/>
      <c r="G22" s="80">
        <v>4</v>
      </c>
      <c r="H22" s="79"/>
      <c r="I22" s="82"/>
      <c r="J22" s="72">
        <v>11</v>
      </c>
      <c r="M22" s="62" t="s">
        <v>117</v>
      </c>
      <c r="N22" s="111" t="str">
        <f t="shared" si="5"/>
        <v>H</v>
      </c>
      <c r="O22" s="111">
        <f t="shared" si="6"/>
        <v>9</v>
      </c>
      <c r="P22">
        <f t="shared" ca="1" si="7"/>
        <v>5000</v>
      </c>
      <c r="Q22" t="str">
        <f>INDEX($M$36:$M50,MATCH(INDEX($A$36:$I$50,MATCH(O22,$J$36:$J$50,0),MATCH(N22,$A$51:$I$51,0)),$Q$36:$Q$40,0))</f>
        <v>Omber</v>
      </c>
      <c r="R22">
        <f t="shared" si="2"/>
        <v>0</v>
      </c>
      <c r="S22">
        <f t="shared" si="0"/>
        <v>90</v>
      </c>
      <c r="T22">
        <f t="shared" si="0"/>
        <v>0</v>
      </c>
      <c r="U22">
        <f t="shared" si="0"/>
        <v>75</v>
      </c>
      <c r="V22">
        <f t="shared" si="0"/>
        <v>0</v>
      </c>
      <c r="W22">
        <f t="shared" si="0"/>
        <v>0</v>
      </c>
      <c r="X22">
        <f t="shared" si="0"/>
        <v>0</v>
      </c>
      <c r="Y22">
        <f t="shared" si="3"/>
        <v>35380.800000000003</v>
      </c>
      <c r="Z22">
        <f t="shared" ca="1" si="4"/>
        <v>177</v>
      </c>
      <c r="AA22" s="26">
        <v>177</v>
      </c>
      <c r="AB22" s="29" t="b">
        <f t="shared" ca="1" si="1"/>
        <v>1</v>
      </c>
      <c r="AC22" s="62" t="s">
        <v>117</v>
      </c>
    </row>
    <row r="23" spans="1:29" ht="23.25">
      <c r="A23" s="78"/>
      <c r="B23" s="84">
        <v>3</v>
      </c>
      <c r="C23" s="79"/>
      <c r="D23" s="79"/>
      <c r="E23" s="83">
        <v>3</v>
      </c>
      <c r="F23" s="79"/>
      <c r="G23" s="79"/>
      <c r="H23" s="79"/>
      <c r="I23" s="82"/>
      <c r="J23" s="72">
        <v>12</v>
      </c>
      <c r="M23" s="62" t="s">
        <v>118</v>
      </c>
      <c r="N23" s="111" t="str">
        <f t="shared" si="5"/>
        <v>C</v>
      </c>
      <c r="O23" s="111">
        <f t="shared" si="6"/>
        <v>12</v>
      </c>
      <c r="P23">
        <f t="shared" ca="1" si="7"/>
        <v>3000</v>
      </c>
      <c r="Q23" t="str">
        <f>INDEX($M$36:$M51,MATCH(INDEX($A$36:$I$50,MATCH(O23,$J$36:$J$50,0),MATCH(N23,$A$51:$I$51,0)),$Q$36:$Q$40,0))</f>
        <v>Omber</v>
      </c>
      <c r="R23">
        <f t="shared" si="2"/>
        <v>0</v>
      </c>
      <c r="S23">
        <f t="shared" si="0"/>
        <v>90</v>
      </c>
      <c r="T23">
        <f t="shared" si="0"/>
        <v>0</v>
      </c>
      <c r="U23">
        <f t="shared" si="0"/>
        <v>75</v>
      </c>
      <c r="V23">
        <f t="shared" si="0"/>
        <v>0</v>
      </c>
      <c r="W23">
        <f t="shared" si="0"/>
        <v>0</v>
      </c>
      <c r="X23">
        <f t="shared" si="0"/>
        <v>0</v>
      </c>
      <c r="Y23">
        <f t="shared" si="3"/>
        <v>35380.800000000003</v>
      </c>
      <c r="Z23">
        <f t="shared" ca="1" si="4"/>
        <v>106</v>
      </c>
      <c r="AA23" s="26">
        <v>106</v>
      </c>
      <c r="AB23" s="29" t="b">
        <f t="shared" ca="1" si="1"/>
        <v>1</v>
      </c>
      <c r="AC23" s="62" t="s">
        <v>118</v>
      </c>
    </row>
    <row r="24" spans="1:29" ht="23.25">
      <c r="A24" s="78"/>
      <c r="B24" s="79"/>
      <c r="C24" s="79"/>
      <c r="D24" s="79"/>
      <c r="E24" s="79"/>
      <c r="F24" s="79"/>
      <c r="G24" s="79"/>
      <c r="H24" s="81">
        <v>6</v>
      </c>
      <c r="I24" s="82"/>
      <c r="J24" s="72">
        <v>13</v>
      </c>
      <c r="M24" s="62" t="s">
        <v>119</v>
      </c>
      <c r="N24" s="111" t="str">
        <f t="shared" si="5"/>
        <v>C</v>
      </c>
      <c r="O24" s="111">
        <f t="shared" si="6"/>
        <v>3</v>
      </c>
      <c r="P24">
        <f t="shared" ca="1" si="7"/>
        <v>0</v>
      </c>
      <c r="Q24" t="e">
        <f>INDEX($M$36:$M52,MATCH(INDEX($A$36:$I$50,MATCH(O24,$J$36:$J$50,0),MATCH(N24,$A$51:$I$51,0)),$Q$36:$Q$40,0))</f>
        <v>#N/A</v>
      </c>
      <c r="R24" t="e">
        <f t="shared" si="2"/>
        <v>#N/A</v>
      </c>
      <c r="S24" t="e">
        <f t="shared" si="0"/>
        <v>#N/A</v>
      </c>
      <c r="T24" t="e">
        <f t="shared" si="0"/>
        <v>#N/A</v>
      </c>
      <c r="U24" t="e">
        <f t="shared" si="0"/>
        <v>#N/A</v>
      </c>
      <c r="V24" t="e">
        <f t="shared" si="0"/>
        <v>#N/A</v>
      </c>
      <c r="W24" t="e">
        <f t="shared" si="0"/>
        <v>#N/A</v>
      </c>
      <c r="X24" t="e">
        <f t="shared" si="0"/>
        <v>#N/A</v>
      </c>
      <c r="Y24" t="e">
        <f t="shared" si="3"/>
        <v>#N/A</v>
      </c>
      <c r="Z24">
        <f t="shared" ca="1" si="4"/>
        <v>0</v>
      </c>
      <c r="AA24" s="26">
        <v>0</v>
      </c>
      <c r="AB24" s="29" t="b">
        <f t="shared" ca="1" si="1"/>
        <v>1</v>
      </c>
      <c r="AC24" s="62" t="s">
        <v>119</v>
      </c>
    </row>
    <row r="25" spans="1:29" ht="23.25">
      <c r="A25" s="78"/>
      <c r="B25" s="79"/>
      <c r="C25" s="80">
        <v>6</v>
      </c>
      <c r="D25" s="79"/>
      <c r="E25" s="79"/>
      <c r="F25" s="80">
        <v>5</v>
      </c>
      <c r="G25" s="79"/>
      <c r="H25" s="79"/>
      <c r="I25" s="82"/>
      <c r="J25" s="72">
        <v>14</v>
      </c>
      <c r="M25" s="62" t="s">
        <v>120</v>
      </c>
      <c r="N25" s="111" t="str">
        <f t="shared" si="5"/>
        <v>D</v>
      </c>
      <c r="O25" s="111">
        <f t="shared" si="6"/>
        <v>16</v>
      </c>
      <c r="P25">
        <f t="shared" ca="1" si="7"/>
        <v>2000</v>
      </c>
      <c r="Q25" t="str">
        <f>INDEX($M$36:$M53,MATCH(INDEX($A$36:$I$50,MATCH(O25,$J$36:$J$50,0),MATCH(N25,$A$51:$I$51,0)),$Q$36:$Q$40,0))</f>
        <v>Veldspar</v>
      </c>
      <c r="R25">
        <f t="shared" si="2"/>
        <v>400</v>
      </c>
      <c r="S25">
        <f t="shared" si="0"/>
        <v>0</v>
      </c>
      <c r="T25">
        <f t="shared" si="0"/>
        <v>0</v>
      </c>
      <c r="U25">
        <f t="shared" si="0"/>
        <v>0</v>
      </c>
      <c r="V25">
        <f t="shared" si="0"/>
        <v>0</v>
      </c>
      <c r="W25">
        <f t="shared" si="0"/>
        <v>0</v>
      </c>
      <c r="X25">
        <f t="shared" si="0"/>
        <v>0</v>
      </c>
      <c r="Y25">
        <f t="shared" si="3"/>
        <v>1700</v>
      </c>
      <c r="Z25">
        <f t="shared" ca="1" si="4"/>
        <v>3</v>
      </c>
      <c r="AA25" s="26">
        <v>3</v>
      </c>
      <c r="AB25" s="29" t="b">
        <f t="shared" ca="1" si="1"/>
        <v>1</v>
      </c>
      <c r="AC25" s="62" t="s">
        <v>120</v>
      </c>
    </row>
    <row r="26" spans="1:29" ht="23.25">
      <c r="A26" s="78"/>
      <c r="B26" s="79"/>
      <c r="C26" s="79"/>
      <c r="D26" s="79"/>
      <c r="E26" s="79"/>
      <c r="F26" s="79"/>
      <c r="G26" s="81">
        <v>7</v>
      </c>
      <c r="H26" s="79"/>
      <c r="I26" s="82"/>
      <c r="J26" s="72">
        <v>15</v>
      </c>
      <c r="M26" s="62" t="s">
        <v>121</v>
      </c>
      <c r="N26" s="111" t="str">
        <f t="shared" si="5"/>
        <v>G</v>
      </c>
      <c r="O26" s="111">
        <f t="shared" si="6"/>
        <v>7</v>
      </c>
      <c r="P26">
        <f t="shared" ca="1" si="7"/>
        <v>5000</v>
      </c>
      <c r="Q26" t="str">
        <f>INDEX($M$36:$M54,MATCH(INDEX($A$36:$I$50,MATCH(O26,$J$36:$J$50,0),MATCH(N26,$A$51:$I$51,0)),$Q$36:$Q$40,0))</f>
        <v>Veldspar</v>
      </c>
      <c r="R26">
        <f t="shared" si="2"/>
        <v>400</v>
      </c>
      <c r="S26">
        <f t="shared" si="0"/>
        <v>0</v>
      </c>
      <c r="T26">
        <f t="shared" si="0"/>
        <v>0</v>
      </c>
      <c r="U26">
        <f t="shared" si="0"/>
        <v>0</v>
      </c>
      <c r="V26">
        <f t="shared" si="0"/>
        <v>0</v>
      </c>
      <c r="W26">
        <f t="shared" si="0"/>
        <v>0</v>
      </c>
      <c r="X26">
        <f t="shared" si="0"/>
        <v>0</v>
      </c>
      <c r="Y26">
        <f t="shared" si="3"/>
        <v>1700</v>
      </c>
      <c r="Z26">
        <f t="shared" ca="1" si="4"/>
        <v>9</v>
      </c>
      <c r="AA26" s="26">
        <v>9</v>
      </c>
      <c r="AB26" s="29" t="b">
        <f t="shared" ca="1" si="1"/>
        <v>1</v>
      </c>
      <c r="AC26" s="62" t="s">
        <v>121</v>
      </c>
    </row>
    <row r="27" spans="1:29" ht="23.25">
      <c r="A27" s="78"/>
      <c r="B27" s="79"/>
      <c r="C27" s="83">
        <v>2</v>
      </c>
      <c r="D27" s="79"/>
      <c r="E27" s="84">
        <v>4</v>
      </c>
      <c r="F27" s="79"/>
      <c r="G27" s="79"/>
      <c r="H27" s="83">
        <v>1</v>
      </c>
      <c r="I27" s="82"/>
      <c r="J27" s="72">
        <v>16</v>
      </c>
      <c r="M27" s="62" t="s">
        <v>122</v>
      </c>
      <c r="N27" s="111" t="str">
        <f t="shared" si="5"/>
        <v>C</v>
      </c>
      <c r="O27" s="111">
        <f t="shared" si="6"/>
        <v>9</v>
      </c>
      <c r="P27">
        <f t="shared" ca="1" si="7"/>
        <v>2000</v>
      </c>
      <c r="Q27" t="str">
        <f>INDEX($M$36:$M55,MATCH(INDEX($A$36:$I$50,MATCH(O27,$J$36:$J$50,0),MATCH(N27,$A$51:$I$51,0)),$Q$36:$Q$40,0))</f>
        <v>Kernite</v>
      </c>
      <c r="R27">
        <f t="shared" si="2"/>
        <v>0</v>
      </c>
      <c r="S27">
        <f t="shared" si="0"/>
        <v>0</v>
      </c>
      <c r="T27">
        <f t="shared" si="0"/>
        <v>60</v>
      </c>
      <c r="U27">
        <f t="shared" si="0"/>
        <v>120</v>
      </c>
      <c r="V27">
        <f t="shared" si="0"/>
        <v>0</v>
      </c>
      <c r="W27">
        <f t="shared" si="0"/>
        <v>0</v>
      </c>
      <c r="X27">
        <f t="shared" si="0"/>
        <v>0</v>
      </c>
      <c r="Y27">
        <f t="shared" si="3"/>
        <v>58303.199999999997</v>
      </c>
      <c r="Z27">
        <f t="shared" ca="1" si="4"/>
        <v>117</v>
      </c>
      <c r="AA27" s="26">
        <v>117</v>
      </c>
      <c r="AB27" s="29" t="b">
        <f t="shared" ca="1" si="1"/>
        <v>1</v>
      </c>
      <c r="AC27" s="62" t="s">
        <v>122</v>
      </c>
    </row>
    <row r="28" spans="1:29" ht="24" thickBot="1">
      <c r="A28" s="86"/>
      <c r="B28" s="87"/>
      <c r="C28" s="87"/>
      <c r="D28" s="87"/>
      <c r="E28" s="87"/>
      <c r="F28" s="87"/>
      <c r="G28" s="87"/>
      <c r="H28" s="87"/>
      <c r="I28" s="88"/>
      <c r="J28" s="72">
        <v>17</v>
      </c>
      <c r="M28" s="62" t="s">
        <v>123</v>
      </c>
      <c r="N28" s="111" t="str">
        <f t="shared" si="5"/>
        <v>F</v>
      </c>
      <c r="O28" s="111">
        <f t="shared" si="6"/>
        <v>12</v>
      </c>
      <c r="P28">
        <f t="shared" ca="1" si="7"/>
        <v>3000</v>
      </c>
      <c r="Q28" t="str">
        <f>INDEX($M$36:$M56,MATCH(INDEX($A$36:$I$50,MATCH(O28,$J$36:$J$50,0),MATCH(N28,$A$51:$I$51,0)),$Q$36:$Q$40,0))</f>
        <v>Veldspar</v>
      </c>
      <c r="R28">
        <f t="shared" si="2"/>
        <v>400</v>
      </c>
      <c r="S28">
        <f t="shared" si="2"/>
        <v>0</v>
      </c>
      <c r="T28">
        <f t="shared" si="2"/>
        <v>0</v>
      </c>
      <c r="U28">
        <f t="shared" si="2"/>
        <v>0</v>
      </c>
      <c r="V28">
        <f t="shared" si="2"/>
        <v>0</v>
      </c>
      <c r="W28">
        <f t="shared" si="2"/>
        <v>0</v>
      </c>
      <c r="X28">
        <f t="shared" si="2"/>
        <v>0</v>
      </c>
      <c r="Y28">
        <f t="shared" si="3"/>
        <v>1700</v>
      </c>
      <c r="Z28">
        <f t="shared" ca="1" si="4"/>
        <v>5</v>
      </c>
      <c r="AA28" s="26">
        <v>5</v>
      </c>
      <c r="AB28" s="29" t="b">
        <f t="shared" ca="1" si="1"/>
        <v>1</v>
      </c>
      <c r="AC28" s="62" t="s">
        <v>123</v>
      </c>
    </row>
    <row r="29" spans="1:29" ht="24" thickTop="1">
      <c r="A29" s="72" t="s">
        <v>214</v>
      </c>
      <c r="B29" s="72" t="s">
        <v>215</v>
      </c>
      <c r="C29" s="72" t="s">
        <v>216</v>
      </c>
      <c r="D29" s="72" t="s">
        <v>217</v>
      </c>
      <c r="E29" s="72" t="s">
        <v>218</v>
      </c>
      <c r="F29" s="72" t="s">
        <v>219</v>
      </c>
      <c r="G29" s="72" t="s">
        <v>220</v>
      </c>
      <c r="H29" s="72" t="s">
        <v>221</v>
      </c>
      <c r="I29" s="72" t="s">
        <v>222</v>
      </c>
      <c r="M29" s="62" t="s">
        <v>124</v>
      </c>
      <c r="N29" s="111" t="str">
        <f t="shared" si="5"/>
        <v>I</v>
      </c>
      <c r="O29" s="111">
        <f t="shared" si="6"/>
        <v>6</v>
      </c>
      <c r="P29">
        <f t="shared" ca="1" si="7"/>
        <v>4000</v>
      </c>
      <c r="Q29" t="str">
        <f>INDEX($M$36:$M57,MATCH(INDEX($A$36:$I$50,MATCH(O29,$J$36:$J$50,0),MATCH(N29,$A$51:$I$51,0)),$Q$36:$Q$40,0))</f>
        <v>Kernite</v>
      </c>
      <c r="R29">
        <f t="shared" si="2"/>
        <v>0</v>
      </c>
      <c r="S29">
        <f t="shared" si="2"/>
        <v>0</v>
      </c>
      <c r="T29">
        <f t="shared" si="2"/>
        <v>60</v>
      </c>
      <c r="U29">
        <f t="shared" si="2"/>
        <v>120</v>
      </c>
      <c r="V29">
        <f t="shared" si="2"/>
        <v>0</v>
      </c>
      <c r="W29">
        <f t="shared" si="2"/>
        <v>0</v>
      </c>
      <c r="X29">
        <f t="shared" si="2"/>
        <v>0</v>
      </c>
      <c r="Y29">
        <f t="shared" si="3"/>
        <v>58303.199999999997</v>
      </c>
      <c r="Z29">
        <f t="shared" ca="1" si="4"/>
        <v>233</v>
      </c>
      <c r="AA29" s="26">
        <v>233</v>
      </c>
      <c r="AB29" s="29" t="b">
        <f t="shared" ca="1" si="1"/>
        <v>1</v>
      </c>
      <c r="AC29" s="62" t="s">
        <v>124</v>
      </c>
    </row>
    <row r="30" spans="1:29" ht="23.25">
      <c r="M30" s="62" t="s">
        <v>125</v>
      </c>
      <c r="N30" s="111" t="str">
        <f t="shared" si="5"/>
        <v>F</v>
      </c>
      <c r="O30" s="111">
        <f t="shared" si="6"/>
        <v>6</v>
      </c>
      <c r="P30">
        <f t="shared" ca="1" si="7"/>
        <v>1000</v>
      </c>
      <c r="Q30" t="str">
        <f>INDEX($M$36:$M58,MATCH(INDEX($A$36:$I$50,MATCH(O30,$J$36:$J$50,0),MATCH(N30,$A$51:$I$51,0)),$Q$36:$Q$40,0))</f>
        <v>Omber</v>
      </c>
      <c r="R30">
        <f t="shared" si="2"/>
        <v>0</v>
      </c>
      <c r="S30">
        <f t="shared" si="2"/>
        <v>90</v>
      </c>
      <c r="T30">
        <f t="shared" si="2"/>
        <v>0</v>
      </c>
      <c r="U30">
        <f t="shared" si="2"/>
        <v>75</v>
      </c>
      <c r="V30">
        <f t="shared" si="2"/>
        <v>0</v>
      </c>
      <c r="W30">
        <f t="shared" si="2"/>
        <v>0</v>
      </c>
      <c r="X30">
        <f t="shared" si="2"/>
        <v>0</v>
      </c>
      <c r="Y30">
        <f t="shared" si="3"/>
        <v>35380.800000000003</v>
      </c>
      <c r="Z30">
        <f t="shared" ca="1" si="4"/>
        <v>35</v>
      </c>
      <c r="AA30" s="26">
        <v>35</v>
      </c>
      <c r="AB30" s="29" t="b">
        <f t="shared" ca="1" si="1"/>
        <v>1</v>
      </c>
      <c r="AC30" s="62" t="s">
        <v>125</v>
      </c>
    </row>
    <row r="31" spans="1:29" ht="23.25">
      <c r="M31" s="62" t="s">
        <v>126</v>
      </c>
      <c r="N31" s="111" t="str">
        <f t="shared" si="5"/>
        <v>I</v>
      </c>
      <c r="O31" s="111">
        <f t="shared" si="6"/>
        <v>9</v>
      </c>
      <c r="P31">
        <f t="shared" ca="1" si="7"/>
        <v>0</v>
      </c>
      <c r="Q31" t="e">
        <f>INDEX($M$36:$M59,MATCH(INDEX($A$36:$I$50,MATCH(O31,$J$36:$J$50,0),MATCH(N31,$A$51:$I$51,0)),$Q$36:$Q$40,0))</f>
        <v>#N/A</v>
      </c>
      <c r="R31" t="e">
        <f t="shared" si="2"/>
        <v>#N/A</v>
      </c>
      <c r="S31" t="e">
        <f t="shared" si="2"/>
        <v>#N/A</v>
      </c>
      <c r="T31" t="e">
        <f t="shared" si="2"/>
        <v>#N/A</v>
      </c>
      <c r="U31" t="e">
        <f t="shared" si="2"/>
        <v>#N/A</v>
      </c>
      <c r="V31" t="e">
        <f t="shared" si="2"/>
        <v>#N/A</v>
      </c>
      <c r="W31" t="e">
        <f t="shared" si="2"/>
        <v>#N/A</v>
      </c>
      <c r="X31" t="e">
        <f t="shared" si="2"/>
        <v>#N/A</v>
      </c>
      <c r="Y31" t="e">
        <f t="shared" si="3"/>
        <v>#N/A</v>
      </c>
      <c r="Z31">
        <f t="shared" ca="1" si="4"/>
        <v>0</v>
      </c>
      <c r="AA31" s="26">
        <v>0</v>
      </c>
      <c r="AB31" s="29" t="b">
        <f t="shared" ca="1" si="1"/>
        <v>1</v>
      </c>
      <c r="AC31" s="62" t="s">
        <v>126</v>
      </c>
    </row>
    <row r="32" spans="1:29" ht="23.25">
      <c r="M32" s="62" t="s">
        <v>127</v>
      </c>
      <c r="N32" s="111" t="str">
        <f t="shared" si="5"/>
        <v>G</v>
      </c>
      <c r="O32" s="111">
        <f t="shared" si="6"/>
        <v>4</v>
      </c>
      <c r="P32">
        <f t="shared" ca="1" si="7"/>
        <v>2000</v>
      </c>
      <c r="Q32" t="str">
        <f>INDEX($M$36:$M60,MATCH(INDEX($A$36:$I$50,MATCH(O32,$J$36:$J$50,0),MATCH(N32,$A$51:$I$51,0)),$Q$36:$Q$40,0))</f>
        <v>Scordite</v>
      </c>
      <c r="R32">
        <f t="shared" si="2"/>
        <v>150</v>
      </c>
      <c r="S32">
        <f t="shared" si="2"/>
        <v>90</v>
      </c>
      <c r="T32">
        <f t="shared" si="2"/>
        <v>0</v>
      </c>
      <c r="U32">
        <f t="shared" si="2"/>
        <v>0</v>
      </c>
      <c r="V32">
        <f t="shared" si="2"/>
        <v>0</v>
      </c>
      <c r="W32">
        <f t="shared" si="2"/>
        <v>0</v>
      </c>
      <c r="X32">
        <f t="shared" si="2"/>
        <v>0</v>
      </c>
      <c r="Y32">
        <f t="shared" si="3"/>
        <v>1548.3</v>
      </c>
      <c r="Z32">
        <f t="shared" ca="1" si="4"/>
        <v>3</v>
      </c>
      <c r="AA32" s="26">
        <v>3</v>
      </c>
      <c r="AB32" s="29" t="b">
        <f t="shared" ca="1" si="1"/>
        <v>1</v>
      </c>
      <c r="AC32" s="62" t="s">
        <v>127</v>
      </c>
    </row>
    <row r="33" spans="1:29" ht="23.25">
      <c r="M33" s="62" t="s">
        <v>128</v>
      </c>
      <c r="N33" s="111" t="str">
        <f t="shared" si="5"/>
        <v>G</v>
      </c>
      <c r="O33" s="111">
        <f t="shared" si="6"/>
        <v>14</v>
      </c>
      <c r="P33">
        <f t="shared" ca="1" si="7"/>
        <v>5000</v>
      </c>
      <c r="Q33" t="str">
        <f>INDEX($M$36:$M61,MATCH(INDEX($A$36:$I$50,MATCH(O33,$J$36:$J$50,0),MATCH(N33,$A$51:$I$51,0)),$Q$36:$Q$40,0))</f>
        <v>Scordite</v>
      </c>
      <c r="R33">
        <f t="shared" si="2"/>
        <v>150</v>
      </c>
      <c r="S33">
        <f t="shared" si="2"/>
        <v>90</v>
      </c>
      <c r="T33">
        <f t="shared" si="2"/>
        <v>0</v>
      </c>
      <c r="U33">
        <f t="shared" si="2"/>
        <v>0</v>
      </c>
      <c r="V33">
        <f t="shared" si="2"/>
        <v>0</v>
      </c>
      <c r="W33">
        <f t="shared" si="2"/>
        <v>0</v>
      </c>
      <c r="X33">
        <f t="shared" si="2"/>
        <v>0</v>
      </c>
      <c r="Y33">
        <f t="shared" si="3"/>
        <v>1548.3</v>
      </c>
      <c r="Z33">
        <f t="shared" ca="1" si="4"/>
        <v>8</v>
      </c>
      <c r="AA33" s="26">
        <v>8</v>
      </c>
      <c r="AB33" s="29" t="b">
        <f t="shared" ca="1" si="1"/>
        <v>1</v>
      </c>
      <c r="AC33" s="62" t="s">
        <v>128</v>
      </c>
    </row>
    <row r="34" spans="1:29" ht="15.75" thickBot="1"/>
    <row r="35" spans="1:29" ht="24.75" thickTop="1" thickBot="1">
      <c r="A35" s="212" t="s">
        <v>212</v>
      </c>
      <c r="B35" s="213"/>
      <c r="C35" s="213"/>
      <c r="D35" s="213"/>
      <c r="E35" s="213"/>
      <c r="F35" s="213"/>
      <c r="G35" s="213"/>
      <c r="H35" s="213"/>
      <c r="I35" s="214"/>
      <c r="M35" s="60" t="s">
        <v>27</v>
      </c>
      <c r="N35" s="3"/>
      <c r="O35" s="3"/>
      <c r="P35" s="35"/>
      <c r="Q35" s="3"/>
      <c r="R35" s="107" t="s">
        <v>28</v>
      </c>
      <c r="S35" s="1"/>
      <c r="T35" s="60" t="s">
        <v>29</v>
      </c>
      <c r="U35" s="3"/>
      <c r="V35" s="3"/>
      <c r="W35" s="3"/>
      <c r="X35" s="3"/>
      <c r="Y35" s="3"/>
      <c r="Z35" s="3"/>
    </row>
    <row r="36" spans="1:29" ht="16.5" thickTop="1" thickBot="1">
      <c r="A36" s="75"/>
      <c r="B36" s="76"/>
      <c r="C36" s="76"/>
      <c r="D36" s="76"/>
      <c r="E36" s="76"/>
      <c r="F36" s="76"/>
      <c r="G36" s="76"/>
      <c r="H36" s="76"/>
      <c r="I36" s="77"/>
      <c r="J36" s="72">
        <v>3</v>
      </c>
      <c r="M36" s="170" t="s">
        <v>30</v>
      </c>
      <c r="N36" s="171"/>
      <c r="O36" s="171"/>
      <c r="P36" s="172"/>
      <c r="Q36" s="120" t="s">
        <v>236</v>
      </c>
      <c r="R36" s="49" t="s">
        <v>31</v>
      </c>
      <c r="S36" s="1"/>
      <c r="T36" s="49" t="s">
        <v>10</v>
      </c>
      <c r="U36" s="49" t="s">
        <v>11</v>
      </c>
      <c r="V36" s="49" t="s">
        <v>12</v>
      </c>
      <c r="W36" s="49" t="s">
        <v>13</v>
      </c>
      <c r="X36" s="49" t="s">
        <v>14</v>
      </c>
      <c r="Y36" s="49" t="s">
        <v>15</v>
      </c>
      <c r="Z36" s="49" t="s">
        <v>16</v>
      </c>
    </row>
    <row r="37" spans="1:29">
      <c r="A37" s="78"/>
      <c r="B37" s="79"/>
      <c r="C37" s="80" t="s">
        <v>174</v>
      </c>
      <c r="D37" s="79"/>
      <c r="E37" s="79"/>
      <c r="F37" s="80" t="s">
        <v>174</v>
      </c>
      <c r="G37" s="79"/>
      <c r="H37" s="81" t="s">
        <v>175</v>
      </c>
      <c r="I37" s="82"/>
      <c r="J37" s="72">
        <v>4</v>
      </c>
      <c r="M37" s="197" t="s">
        <v>32</v>
      </c>
      <c r="N37" s="198"/>
      <c r="O37" s="198"/>
      <c r="P37" s="199"/>
      <c r="Q37" s="120" t="s">
        <v>173</v>
      </c>
      <c r="R37" s="93">
        <v>0.1</v>
      </c>
      <c r="S37" s="1"/>
      <c r="T37" s="92">
        <v>400</v>
      </c>
      <c r="U37" s="92"/>
      <c r="V37" s="92"/>
      <c r="W37" s="92"/>
      <c r="X37" s="92"/>
      <c r="Y37" s="92"/>
      <c r="Z37" s="92"/>
    </row>
    <row r="38" spans="1:29">
      <c r="A38" s="78"/>
      <c r="B38" s="79"/>
      <c r="C38" s="79"/>
      <c r="D38" s="81" t="s">
        <v>175</v>
      </c>
      <c r="E38" s="79"/>
      <c r="F38" s="79"/>
      <c r="G38" s="79"/>
      <c r="H38" s="79"/>
      <c r="I38" s="82"/>
      <c r="J38" s="72">
        <v>5</v>
      </c>
      <c r="M38" s="200" t="s">
        <v>33</v>
      </c>
      <c r="N38" s="201"/>
      <c r="O38" s="201"/>
      <c r="P38" s="202"/>
      <c r="Q38" s="120" t="s">
        <v>174</v>
      </c>
      <c r="R38" s="94">
        <v>0.15</v>
      </c>
      <c r="S38" s="1"/>
      <c r="T38" s="89">
        <v>150</v>
      </c>
      <c r="U38" s="89">
        <v>90</v>
      </c>
      <c r="V38" s="89"/>
      <c r="W38" s="89"/>
      <c r="X38" s="89"/>
      <c r="Y38" s="89"/>
      <c r="Z38" s="89"/>
    </row>
    <row r="39" spans="1:29">
      <c r="A39" s="78"/>
      <c r="B39" s="83" t="s">
        <v>173</v>
      </c>
      <c r="C39" s="79"/>
      <c r="D39" s="79"/>
      <c r="E39" s="84" t="s">
        <v>176</v>
      </c>
      <c r="F39" s="79"/>
      <c r="G39" s="79"/>
      <c r="H39" s="81" t="s">
        <v>175</v>
      </c>
      <c r="I39" s="82"/>
      <c r="J39" s="72">
        <v>6</v>
      </c>
      <c r="M39" s="203" t="s">
        <v>34</v>
      </c>
      <c r="N39" s="204"/>
      <c r="O39" s="204"/>
      <c r="P39" s="205"/>
      <c r="Q39" s="120" t="s">
        <v>176</v>
      </c>
      <c r="R39" s="95">
        <v>0.6</v>
      </c>
      <c r="S39" s="1"/>
      <c r="T39" s="90"/>
      <c r="U39" s="90">
        <v>90</v>
      </c>
      <c r="V39" s="90"/>
      <c r="W39" s="90">
        <v>75</v>
      </c>
      <c r="X39" s="90"/>
      <c r="Y39" s="90"/>
      <c r="Z39" s="90"/>
    </row>
    <row r="40" spans="1:29">
      <c r="A40" s="78"/>
      <c r="B40" s="79"/>
      <c r="C40" s="79"/>
      <c r="D40" s="84" t="s">
        <v>176</v>
      </c>
      <c r="E40" s="79"/>
      <c r="F40" s="83" t="s">
        <v>173</v>
      </c>
      <c r="G40" s="79"/>
      <c r="H40" s="79"/>
      <c r="I40" s="82"/>
      <c r="J40" s="72">
        <v>7</v>
      </c>
      <c r="M40" s="166" t="s">
        <v>35</v>
      </c>
      <c r="N40" s="167"/>
      <c r="O40" s="167"/>
      <c r="P40" s="168"/>
      <c r="Q40" s="120" t="s">
        <v>175</v>
      </c>
      <c r="R40" s="96">
        <v>1.2</v>
      </c>
      <c r="S40" s="1"/>
      <c r="T40" s="91"/>
      <c r="U40" s="91"/>
      <c r="V40" s="91">
        <v>60</v>
      </c>
      <c r="W40" s="91">
        <v>120</v>
      </c>
      <c r="X40" s="91"/>
      <c r="Y40" s="91"/>
      <c r="Z40" s="91"/>
    </row>
    <row r="41" spans="1:29">
      <c r="A41" s="78"/>
      <c r="B41" s="79"/>
      <c r="C41" s="79"/>
      <c r="D41" s="79"/>
      <c r="E41" s="79"/>
      <c r="F41" s="79"/>
      <c r="G41" s="79"/>
      <c r="H41" s="80" t="s">
        <v>174</v>
      </c>
      <c r="I41" s="82"/>
      <c r="J41" s="72">
        <v>8</v>
      </c>
    </row>
    <row r="42" spans="1:29" ht="15.75" thickBot="1">
      <c r="A42" s="78"/>
      <c r="B42" s="81" t="s">
        <v>175</v>
      </c>
      <c r="C42" s="79"/>
      <c r="D42" s="83" t="s">
        <v>173</v>
      </c>
      <c r="E42" s="79"/>
      <c r="F42" s="79"/>
      <c r="G42" s="84" t="s">
        <v>176</v>
      </c>
      <c r="H42" s="79"/>
      <c r="I42" s="82"/>
      <c r="J42" s="72">
        <v>9</v>
      </c>
      <c r="M42" s="60" t="s">
        <v>36</v>
      </c>
    </row>
    <row r="43" spans="1:29" ht="16.5" thickTop="1" thickBot="1">
      <c r="A43" s="78"/>
      <c r="B43" s="79"/>
      <c r="C43" s="79"/>
      <c r="D43" s="79"/>
      <c r="E43" s="85" t="s">
        <v>213</v>
      </c>
      <c r="F43" s="79"/>
      <c r="G43" s="79"/>
      <c r="H43" s="79"/>
      <c r="I43" s="82"/>
      <c r="J43" s="72">
        <v>10</v>
      </c>
      <c r="M43" s="97" t="s">
        <v>37</v>
      </c>
    </row>
    <row r="44" spans="1:29" ht="15.75" thickTop="1">
      <c r="A44" s="78"/>
      <c r="B44" s="79"/>
      <c r="C44" s="81" t="s">
        <v>175</v>
      </c>
      <c r="D44" s="79"/>
      <c r="E44" s="79"/>
      <c r="F44" s="79"/>
      <c r="G44" s="80" t="s">
        <v>174</v>
      </c>
      <c r="H44" s="79"/>
      <c r="I44" s="82"/>
      <c r="J44" s="72">
        <v>11</v>
      </c>
    </row>
    <row r="45" spans="1:29">
      <c r="A45" s="78"/>
      <c r="B45" s="84" t="s">
        <v>176</v>
      </c>
      <c r="C45" s="79"/>
      <c r="D45" s="79"/>
      <c r="E45" s="83" t="s">
        <v>173</v>
      </c>
      <c r="F45" s="79"/>
      <c r="G45" s="79"/>
      <c r="H45" s="79"/>
      <c r="I45" s="82"/>
      <c r="J45" s="72">
        <v>12</v>
      </c>
    </row>
    <row r="46" spans="1:29">
      <c r="A46" s="78"/>
      <c r="B46" s="79"/>
      <c r="C46" s="79"/>
      <c r="D46" s="79"/>
      <c r="E46" s="79"/>
      <c r="F46" s="79"/>
      <c r="G46" s="79"/>
      <c r="H46" s="81" t="s">
        <v>175</v>
      </c>
      <c r="I46" s="82"/>
      <c r="J46" s="72">
        <v>13</v>
      </c>
    </row>
    <row r="47" spans="1:29">
      <c r="A47" s="78"/>
      <c r="B47" s="79"/>
      <c r="C47" s="80" t="s">
        <v>174</v>
      </c>
      <c r="D47" s="79"/>
      <c r="E47" s="79"/>
      <c r="F47" s="80" t="s">
        <v>174</v>
      </c>
      <c r="G47" s="79"/>
      <c r="H47" s="79"/>
      <c r="I47" s="82"/>
      <c r="J47" s="72">
        <v>14</v>
      </c>
    </row>
    <row r="48" spans="1:29">
      <c r="A48" s="78"/>
      <c r="B48" s="79"/>
      <c r="C48" s="79"/>
      <c r="D48" s="79"/>
      <c r="E48" s="79"/>
      <c r="F48" s="79"/>
      <c r="G48" s="81" t="s">
        <v>175</v>
      </c>
      <c r="H48" s="79"/>
      <c r="I48" s="82"/>
      <c r="J48" s="72">
        <v>15</v>
      </c>
    </row>
    <row r="49" spans="1:10">
      <c r="A49" s="78"/>
      <c r="B49" s="79"/>
      <c r="C49" s="83" t="s">
        <v>173</v>
      </c>
      <c r="D49" s="79"/>
      <c r="E49" s="84" t="s">
        <v>176</v>
      </c>
      <c r="F49" s="79"/>
      <c r="G49" s="79"/>
      <c r="H49" s="83" t="s">
        <v>173</v>
      </c>
      <c r="I49" s="82"/>
      <c r="J49" s="72">
        <v>16</v>
      </c>
    </row>
    <row r="50" spans="1:10" ht="15.75" thickBot="1">
      <c r="A50" s="86"/>
      <c r="B50" s="87"/>
      <c r="C50" s="87"/>
      <c r="D50" s="87"/>
      <c r="E50" s="87"/>
      <c r="F50" s="87"/>
      <c r="G50" s="87"/>
      <c r="H50" s="87"/>
      <c r="I50" s="88"/>
      <c r="J50" s="72">
        <v>17</v>
      </c>
    </row>
    <row r="51" spans="1:10" ht="15.75" thickTop="1">
      <c r="A51" s="72" t="s">
        <v>214</v>
      </c>
      <c r="B51" s="72" t="s">
        <v>215</v>
      </c>
      <c r="C51" s="72" t="s">
        <v>216</v>
      </c>
      <c r="D51" s="72" t="s">
        <v>217</v>
      </c>
      <c r="E51" s="72" t="s">
        <v>218</v>
      </c>
      <c r="F51" s="72" t="s">
        <v>219</v>
      </c>
      <c r="G51" s="72" t="s">
        <v>220</v>
      </c>
      <c r="H51" s="72" t="s">
        <v>221</v>
      </c>
      <c r="I51" s="72" t="s">
        <v>222</v>
      </c>
    </row>
  </sheetData>
  <mergeCells count="7">
    <mergeCell ref="M40:P40"/>
    <mergeCell ref="A13:I13"/>
    <mergeCell ref="A35:I35"/>
    <mergeCell ref="M36:P36"/>
    <mergeCell ref="M37:P37"/>
    <mergeCell ref="M38:P38"/>
    <mergeCell ref="M39:P39"/>
  </mergeCells>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iconSet" priority="2" id="{C97BED12-85D1-4F77-A8BB-DDC75833316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AB12:AB33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F1312-6545-4210-9892-69096E7B68E5}">
  <dimension ref="A1:AE52"/>
  <sheetViews>
    <sheetView topLeftCell="K6" workbookViewId="0">
      <selection activeCell="X18" sqref="X18"/>
    </sheetView>
  </sheetViews>
  <sheetFormatPr defaultRowHeight="15"/>
  <cols>
    <col min="1" max="1" width="10.5703125" bestFit="1" customWidth="1"/>
    <col min="2" max="2" width="8.28515625" bestFit="1" customWidth="1"/>
    <col min="3" max="3" width="10" bestFit="1" customWidth="1"/>
    <col min="4" max="4" width="7.7109375" bestFit="1" customWidth="1"/>
    <col min="5" max="5" width="9.85546875" bestFit="1" customWidth="1"/>
    <col min="6" max="6" width="8.5703125" bestFit="1" customWidth="1"/>
    <col min="7" max="7" width="10.85546875" bestFit="1" customWidth="1"/>
    <col min="13" max="13" width="11.28515625" bestFit="1" customWidth="1"/>
    <col min="14" max="14" width="4.42578125" bestFit="1" customWidth="1"/>
    <col min="15" max="15" width="5.42578125" bestFit="1" customWidth="1"/>
    <col min="16" max="16" width="6" bestFit="1" customWidth="1"/>
    <col min="17" max="17" width="14.5703125" bestFit="1" customWidth="1"/>
    <col min="18" max="18" width="5.42578125" bestFit="1" customWidth="1"/>
    <col min="19" max="19" width="7.28515625" bestFit="1" customWidth="1"/>
    <col min="20" max="20" width="18" bestFit="1" customWidth="1"/>
    <col min="21" max="21" width="13.42578125" bestFit="1" customWidth="1"/>
    <col min="22" max="22" width="23.85546875" bestFit="1" customWidth="1"/>
    <col min="23" max="23" width="18" bestFit="1" customWidth="1"/>
    <col min="24" max="24" width="19" bestFit="1" customWidth="1"/>
    <col min="25" max="25" width="15.28515625" bestFit="1" customWidth="1"/>
    <col min="30" max="30" width="12.140625" customWidth="1"/>
  </cols>
  <sheetData>
    <row r="1" spans="1:29">
      <c r="A1" t="s">
        <v>75</v>
      </c>
    </row>
    <row r="2" spans="1:29">
      <c r="A2" t="s">
        <v>280</v>
      </c>
    </row>
    <row r="3" spans="1:29">
      <c r="A3" t="s">
        <v>281</v>
      </c>
    </row>
    <row r="4" spans="1:29">
      <c r="A4" t="s">
        <v>282</v>
      </c>
    </row>
    <row r="5" spans="1:29">
      <c r="B5" t="s">
        <v>283</v>
      </c>
    </row>
    <row r="6" spans="1:29">
      <c r="A6" t="s">
        <v>284</v>
      </c>
    </row>
    <row r="7" spans="1:29">
      <c r="A7" t="s">
        <v>285</v>
      </c>
    </row>
    <row r="8" spans="1:29">
      <c r="A8" t="s">
        <v>231</v>
      </c>
    </row>
    <row r="9" spans="1:29" ht="15.75" thickBot="1"/>
    <row r="10" spans="1:29" ht="17.25" thickTop="1" thickBot="1">
      <c r="A10" s="46" t="s">
        <v>249</v>
      </c>
      <c r="B10" s="46"/>
      <c r="C10" s="46"/>
      <c r="D10" s="46"/>
      <c r="E10" s="46"/>
      <c r="F10" s="46"/>
      <c r="G10" s="44"/>
      <c r="M10" s="17" t="s">
        <v>41</v>
      </c>
      <c r="O10" s="99" t="s">
        <v>32</v>
      </c>
      <c r="P10" s="100" t="s">
        <v>33</v>
      </c>
      <c r="Q10" s="101" t="s">
        <v>34</v>
      </c>
      <c r="R10" s="102" t="s">
        <v>35</v>
      </c>
      <c r="S10" s="44"/>
      <c r="T10" s="49">
        <v>1</v>
      </c>
      <c r="U10" s="49">
        <v>2</v>
      </c>
      <c r="V10" s="49">
        <v>3</v>
      </c>
      <c r="W10" s="49">
        <v>4</v>
      </c>
      <c r="X10" s="49">
        <v>5</v>
      </c>
      <c r="Y10" s="49">
        <v>6</v>
      </c>
      <c r="Z10" s="49">
        <v>7</v>
      </c>
      <c r="AA10" s="49">
        <v>8</v>
      </c>
      <c r="AB10" s="49">
        <v>9</v>
      </c>
      <c r="AC10" s="49">
        <v>10</v>
      </c>
    </row>
    <row r="11" spans="1:29" ht="17.25" thickTop="1" thickBot="1">
      <c r="A11" s="49" t="s">
        <v>10</v>
      </c>
      <c r="B11" s="49" t="s">
        <v>11</v>
      </c>
      <c r="C11" s="49" t="s">
        <v>12</v>
      </c>
      <c r="D11" s="49" t="s">
        <v>13</v>
      </c>
      <c r="E11" s="49" t="s">
        <v>14</v>
      </c>
      <c r="F11" s="49" t="s">
        <v>15</v>
      </c>
      <c r="G11" s="49" t="s">
        <v>16</v>
      </c>
      <c r="M11" s="1"/>
      <c r="O11" s="44"/>
      <c r="P11" s="44"/>
      <c r="Q11" s="44"/>
      <c r="R11" s="44"/>
      <c r="S11" s="44"/>
      <c r="T11" s="44"/>
      <c r="U11" s="44"/>
      <c r="V11" s="44"/>
      <c r="W11" s="44"/>
      <c r="X11" s="44"/>
      <c r="Y11" s="44"/>
      <c r="Z11" s="44"/>
      <c r="AA11" s="44"/>
      <c r="AB11" s="44"/>
      <c r="AC11" s="44"/>
    </row>
    <row r="12" spans="1:29" ht="15.75">
      <c r="A12">
        <f>INDEX('Add-In Output'!$B$4:$U$212,1,MATCH(A11&amp;" Price",'Add-In Output'!$B$2:$U$2,0))</f>
        <v>4.25</v>
      </c>
      <c r="B12">
        <f>INDEX('Add-In Output'!$B$4:$U$212,1,MATCH(B11&amp;" Price",'Add-In Output'!$B$2:$U$2,0))</f>
        <v>10.119999999999999</v>
      </c>
      <c r="C12">
        <f>INDEX('Add-In Output'!$B$4:$U$212,1,MATCH(C11&amp;" Price",'Add-In Output'!$B$2:$U$2,0))</f>
        <v>52.52</v>
      </c>
      <c r="D12">
        <f>INDEX('Add-In Output'!$B$4:$U$212,1,MATCH(D11&amp;" Price",'Add-In Output'!$B$2:$U$2,0))</f>
        <v>459.6</v>
      </c>
      <c r="E12">
        <f>INDEX('Add-In Output'!$B$4:$U$212,1,MATCH(E11&amp;" Price",'Add-In Output'!$B$2:$U$2,0))</f>
        <v>1110</v>
      </c>
      <c r="F12">
        <f>INDEX('Add-In Output'!$B$4:$U$212,1,MATCH(F11&amp;" Price",'Add-In Output'!$B$2:$U$2,0))</f>
        <v>1980</v>
      </c>
      <c r="G12">
        <f>INDEX('Add-In Output'!$B$4:$U$212,1,MATCH(G11&amp;" Price",'Add-In Output'!$B$2:$U$2,0))</f>
        <v>5500</v>
      </c>
      <c r="M12" s="121" t="s">
        <v>139</v>
      </c>
      <c r="O12" s="62">
        <f>INDEX(Case!$I$213:$L$234,MATCH('vraag 5'!$M12,Case!$B$213:$B$234,0),MATCH('vraag 5'!O$10,Case!$I$211:$L$211,0))</f>
        <v>5</v>
      </c>
      <c r="P12" s="62">
        <f>INDEX(Case!$I$213:$L$234,MATCH('vraag 5'!$M12,Case!$B$213:$B$234,0),MATCH('vraag 5'!P$10,Case!$I$211:$L$211,0))</f>
        <v>4</v>
      </c>
      <c r="Q12" s="62">
        <f>INDEX(Case!$I$213:$L$234,MATCH('vraag 5'!$M12,Case!$B$213:$B$234,0),MATCH('vraag 5'!Q$10,Case!$I$211:$L$211,0))</f>
        <v>0</v>
      </c>
      <c r="R12" s="62">
        <f>INDEX(Case!$I$213:$L$234,MATCH('vraag 5'!$M12,Case!$B$213:$B$234,0),MATCH('vraag 5'!R$10,Case!$I$211:$L$211,0))</f>
        <v>2</v>
      </c>
      <c r="S12" s="44"/>
      <c r="T12" s="62" t="str">
        <f>INDEX(Case!$N$213:$W$234,MATCH('vraag 5'!$M12,Case!$B$213:$B$234,0),'vraag 5'!T$10)</f>
        <v>C6</v>
      </c>
      <c r="U12" s="62" t="str">
        <f>INDEX(Case!$N$213:$W$234,MATCH('vraag 5'!$M12,Case!$B$213:$B$234,0),'vraag 5'!U$10)</f>
        <v>D4</v>
      </c>
      <c r="V12" s="62" t="str">
        <f>INDEX(Case!$N$213:$W$234,MATCH('vraag 5'!$M12,Case!$B$213:$B$234,0),'vraag 5'!V$10)</f>
        <v>D16</v>
      </c>
      <c r="W12" s="62" t="str">
        <f>INDEX(Case!$N$213:$W$234,MATCH('vraag 5'!$M12,Case!$B$213:$B$234,0),'vraag 5'!W$10)</f>
        <v>G7</v>
      </c>
      <c r="X12" s="62" t="str">
        <f>INDEX(Case!$N$213:$W$234,MATCH('vraag 5'!$M12,Case!$B$213:$B$234,0),'vraag 5'!X$10)</f>
        <v>I13</v>
      </c>
      <c r="Y12" s="62" t="str">
        <f>INDEX(Case!$N$213:$W$234,MATCH('vraag 5'!$M12,Case!$B$213:$B$234,0),'vraag 5'!Y$10)</f>
        <v>C9</v>
      </c>
      <c r="Z12" s="62" t="str">
        <f>INDEX(Case!$N$213:$W$234,MATCH('vraag 5'!$M12,Case!$B$213:$B$234,0),'vraag 5'!Z$10)</f>
        <v>E9</v>
      </c>
      <c r="AA12" s="62" t="str">
        <f>INDEX(Case!$N$213:$W$234,MATCH('vraag 5'!$M12,Case!$B$213:$B$234,0),'vraag 5'!AA$10)</f>
        <v>F16</v>
      </c>
      <c r="AB12" s="62" t="str">
        <f>INDEX(Case!$N$213:$W$234,MATCH('vraag 5'!$M12,Case!$B$213:$B$234,0),'vraag 5'!AB$10)</f>
        <v>G14</v>
      </c>
      <c r="AC12" s="62" t="str">
        <f>INDEX(Case!$N$213:$W$234,MATCH('vraag 5'!$M12,Case!$B$213:$B$234,0),'vraag 5'!AC$10)</f>
        <v>F6</v>
      </c>
    </row>
    <row r="13" spans="1:29" ht="15.75" thickBot="1"/>
    <row r="14" spans="1:29" ht="24.75" thickTop="1" thickBot="1">
      <c r="A14" s="212" t="s">
        <v>212</v>
      </c>
      <c r="B14" s="213"/>
      <c r="C14" s="213"/>
      <c r="D14" s="213"/>
      <c r="E14" s="213"/>
      <c r="F14" s="213"/>
      <c r="G14" s="213"/>
      <c r="H14" s="213"/>
      <c r="I14" s="214"/>
      <c r="Q14" t="s">
        <v>251</v>
      </c>
      <c r="R14" t="s">
        <v>252</v>
      </c>
    </row>
    <row r="15" spans="1:29" ht="15.75" thickTop="1">
      <c r="A15" s="75"/>
      <c r="B15" s="76"/>
      <c r="C15" s="76"/>
      <c r="D15" s="76"/>
      <c r="E15" s="76"/>
      <c r="F15" s="76"/>
      <c r="G15" s="76"/>
      <c r="H15" s="76"/>
      <c r="I15" s="77"/>
      <c r="J15" s="72">
        <v>3</v>
      </c>
      <c r="Q15">
        <v>0</v>
      </c>
      <c r="R15" s="116">
        <v>0.25</v>
      </c>
    </row>
    <row r="16" spans="1:29">
      <c r="A16" s="78"/>
      <c r="B16" s="79"/>
      <c r="C16" s="80">
        <v>1</v>
      </c>
      <c r="D16" s="79"/>
      <c r="E16" s="79"/>
      <c r="F16" s="80">
        <v>2</v>
      </c>
      <c r="G16" s="79"/>
      <c r="H16" s="81">
        <v>5</v>
      </c>
      <c r="I16" s="82"/>
      <c r="J16" s="72">
        <v>4</v>
      </c>
      <c r="Q16">
        <v>1</v>
      </c>
      <c r="R16" s="116">
        <v>0.2</v>
      </c>
    </row>
    <row r="17" spans="1:31">
      <c r="A17" s="78"/>
      <c r="B17" s="79"/>
      <c r="C17" s="79"/>
      <c r="D17" s="81">
        <v>3</v>
      </c>
      <c r="E17" s="79"/>
      <c r="F17" s="79"/>
      <c r="G17" s="79"/>
      <c r="H17" s="79"/>
      <c r="I17" s="82"/>
      <c r="J17" s="72">
        <v>5</v>
      </c>
      <c r="Q17">
        <v>2</v>
      </c>
      <c r="R17" s="116">
        <v>0.15</v>
      </c>
      <c r="X17" t="s">
        <v>286</v>
      </c>
      <c r="AE17">
        <f ca="1">X18</f>
        <v>567</v>
      </c>
    </row>
    <row r="18" spans="1:31" ht="15.75">
      <c r="A18" s="78"/>
      <c r="B18" s="83">
        <v>6</v>
      </c>
      <c r="C18" s="79"/>
      <c r="D18" s="79"/>
      <c r="E18" s="84">
        <v>1</v>
      </c>
      <c r="F18" s="79"/>
      <c r="G18" s="79"/>
      <c r="H18" s="81">
        <v>4</v>
      </c>
      <c r="I18" s="82"/>
      <c r="J18" s="72">
        <v>6</v>
      </c>
      <c r="Q18">
        <v>3</v>
      </c>
      <c r="R18" s="116">
        <v>0.1</v>
      </c>
      <c r="X18" s="117">
        <f ca="1">ROUND(SUM(Y22:Y31)/1000000,0)</f>
        <v>567</v>
      </c>
      <c r="AD18" s="121" t="s">
        <v>139</v>
      </c>
      <c r="AE18">
        <f t="dataTable" ref="AE18:AE38" dt2D="0" dtr="0" r1="M12" ca="1"/>
        <v>567</v>
      </c>
    </row>
    <row r="19" spans="1:31" ht="16.5" thickBot="1">
      <c r="A19" s="78"/>
      <c r="B19" s="79"/>
      <c r="C19" s="79"/>
      <c r="D19" s="84">
        <v>2</v>
      </c>
      <c r="E19" s="79"/>
      <c r="F19" s="83">
        <v>5</v>
      </c>
      <c r="G19" s="79"/>
      <c r="H19" s="79"/>
      <c r="I19" s="82"/>
      <c r="J19" s="72">
        <v>7</v>
      </c>
      <c r="Q19">
        <v>4</v>
      </c>
      <c r="R19" s="116">
        <v>0.05</v>
      </c>
      <c r="AD19" s="15">
        <v>81</v>
      </c>
      <c r="AE19">
        <v>974</v>
      </c>
    </row>
    <row r="20" spans="1:31" ht="16.5" thickBot="1">
      <c r="A20" s="78"/>
      <c r="B20" s="79"/>
      <c r="C20" s="79"/>
      <c r="D20" s="79"/>
      <c r="E20" s="79"/>
      <c r="F20" s="79"/>
      <c r="G20" s="79"/>
      <c r="H20" s="80">
        <v>3</v>
      </c>
      <c r="I20" s="82"/>
      <c r="J20" s="72">
        <v>8</v>
      </c>
      <c r="M20" s="49" t="s">
        <v>105</v>
      </c>
      <c r="N20" s="110" t="s">
        <v>237</v>
      </c>
      <c r="O20" s="110" t="s">
        <v>238</v>
      </c>
      <c r="P20" s="110" t="s">
        <v>287</v>
      </c>
      <c r="Q20" s="110" t="s">
        <v>277</v>
      </c>
      <c r="R20" s="110" t="s">
        <v>242</v>
      </c>
      <c r="S20" s="110" t="s">
        <v>243</v>
      </c>
      <c r="T20" s="110" t="s">
        <v>288</v>
      </c>
      <c r="U20" s="110" t="s">
        <v>289</v>
      </c>
      <c r="V20" s="110" t="s">
        <v>290</v>
      </c>
      <c r="W20" s="110" t="s">
        <v>291</v>
      </c>
      <c r="X20" s="110" t="s">
        <v>292</v>
      </c>
      <c r="Y20" s="110" t="s">
        <v>293</v>
      </c>
      <c r="AD20" s="15">
        <f>AD19+1</f>
        <v>82</v>
      </c>
      <c r="AE20">
        <v>528</v>
      </c>
    </row>
    <row r="21" spans="1:31" ht="16.5" thickBot="1">
      <c r="A21" s="78"/>
      <c r="B21" s="81">
        <v>2</v>
      </c>
      <c r="C21" s="79"/>
      <c r="D21" s="83">
        <v>4</v>
      </c>
      <c r="E21" s="79"/>
      <c r="F21" s="79"/>
      <c r="G21" s="84">
        <v>5</v>
      </c>
      <c r="H21" s="79"/>
      <c r="I21" s="82"/>
      <c r="J21" s="72">
        <v>9</v>
      </c>
      <c r="M21" s="1"/>
      <c r="N21" s="1"/>
      <c r="O21" s="1"/>
      <c r="AD21" s="15">
        <f t="shared" ref="AD21:AD38" si="0">AD20+1</f>
        <v>83</v>
      </c>
      <c r="AE21">
        <v>795</v>
      </c>
    </row>
    <row r="22" spans="1:31" ht="17.25" thickTop="1" thickBot="1">
      <c r="A22" s="78"/>
      <c r="B22" s="79"/>
      <c r="C22" s="79"/>
      <c r="D22" s="79"/>
      <c r="E22" s="85" t="s">
        <v>213</v>
      </c>
      <c r="F22" s="79"/>
      <c r="G22" s="79"/>
      <c r="H22" s="79"/>
      <c r="I22" s="82"/>
      <c r="J22" s="72">
        <v>10</v>
      </c>
      <c r="M22" t="str">
        <f t="array" ref="M22:M31">TRANSPOSE(T12:AC12)</f>
        <v>C6</v>
      </c>
      <c r="N22" s="111" t="str">
        <f>LEFT(M22,1)</f>
        <v>C</v>
      </c>
      <c r="O22" s="111">
        <f>VALUE(SUBSTITUTE(M22,N22,""))</f>
        <v>6</v>
      </c>
      <c r="P22">
        <f ca="1">INDIRECT("'Asteroid Field Map (Levels 4-6)'!"&amp;M22)*1000</f>
        <v>6000</v>
      </c>
      <c r="Q22" t="str">
        <f>INDEX($A$37:$I$51,MATCH(O22,$J$37:$J$51,0),MATCH(N22,$A$52:$I$52,0))</f>
        <v>a</v>
      </c>
      <c r="R22">
        <f>INDEX($O$12:$R$12,MATCH(INDEX($M$46:$M$49,MATCH($Q22,$Q$46:$Q$49,0)),$O$10:$R$10,0))</f>
        <v>5</v>
      </c>
      <c r="S22" s="114">
        <f>IF(R22=5,0,VLOOKUP(R22,$Q$15:$R$19,2,FALSE))</f>
        <v>0</v>
      </c>
      <c r="T22" s="115">
        <f ca="1">P22*(1-S22)</f>
        <v>6000</v>
      </c>
      <c r="U22" s="115">
        <f ca="1">T22*INDEX($R$46:$R$49,MATCH(Q22,$Q$46:$Q$49,0))</f>
        <v>600</v>
      </c>
      <c r="V22">
        <f ca="1">SUM($U$21:U22)</f>
        <v>600</v>
      </c>
      <c r="W22">
        <f ca="1">IF(V22&lt;=27500,U22,IF(V21&gt;=27500,0,27500-V21))</f>
        <v>600</v>
      </c>
      <c r="X22">
        <f t="shared" ref="X22:X31" si="1">INDEX($AB$46:$AB$49,MATCH(Q22,$Q$46:$Q$49,0))</f>
        <v>1700</v>
      </c>
      <c r="Y22" s="122">
        <f ca="1">X22*(W22/INDEX($R$46:$R$49,MATCH(Q22,$Q$46:$Q$49,0)))</f>
        <v>10200000</v>
      </c>
      <c r="AD22" s="15">
        <f t="shared" si="0"/>
        <v>84</v>
      </c>
      <c r="AE22">
        <v>831</v>
      </c>
    </row>
    <row r="23" spans="1:31" ht="16.5" thickTop="1">
      <c r="A23" s="78"/>
      <c r="B23" s="79"/>
      <c r="C23" s="81">
        <v>1</v>
      </c>
      <c r="D23" s="79"/>
      <c r="E23" s="79"/>
      <c r="F23" s="79"/>
      <c r="G23" s="80">
        <v>4</v>
      </c>
      <c r="H23" s="79"/>
      <c r="I23" s="82"/>
      <c r="J23" s="72">
        <v>11</v>
      </c>
      <c r="M23" t="str">
        <v>D4</v>
      </c>
      <c r="N23" s="111" t="str">
        <f>LEFT(M23,1)</f>
        <v>D</v>
      </c>
      <c r="O23" s="111">
        <f>VALUE(SUBSTITUTE(M23,N23,""))</f>
        <v>4</v>
      </c>
      <c r="P23">
        <f ca="1">INDIRECT("'Asteroid Field Map (Levels 4-6)'!"&amp;M23)*1000</f>
        <v>1000</v>
      </c>
      <c r="Q23" t="str">
        <f>INDEX($A$37:$I$51,MATCH(O23,$J$37:$J$51,0),MATCH(N23,$A$52:$I$52,0))</f>
        <v>b</v>
      </c>
      <c r="R23">
        <f t="shared" ref="R23:R31" si="2">INDEX($O$12:$R$12,MATCH(INDEX($M$46:$M$49,MATCH($Q23,$Q$46:$Q$49,0)),$O$10:$R$10,0))</f>
        <v>4</v>
      </c>
      <c r="S23" s="114">
        <f t="shared" ref="S23:S31" si="3">IF(R23=5,0,VLOOKUP(R23,$Q$15:$R$19,2,FALSE))</f>
        <v>0.05</v>
      </c>
      <c r="T23" s="115">
        <f t="shared" ref="T23:T31" ca="1" si="4">P23*(1-S23)</f>
        <v>950</v>
      </c>
      <c r="U23" s="115">
        <f t="shared" ref="U23:U31" ca="1" si="5">T23*INDEX($R$46:$R$49,MATCH(Q23,$Q$46:$Q$49,0))</f>
        <v>142.5</v>
      </c>
      <c r="V23">
        <f ca="1">SUM($U$21:U23)</f>
        <v>742.5</v>
      </c>
      <c r="W23">
        <f t="shared" ref="W23:W31" ca="1" si="6">IF(V23&lt;=27500,U23,IF(V22&gt;=27500,0,27500-V22))</f>
        <v>142.5</v>
      </c>
      <c r="X23">
        <f t="shared" si="1"/>
        <v>1548.3</v>
      </c>
      <c r="Y23" s="122">
        <f t="shared" ref="Y23:Y31" ca="1" si="7">X23*(W23/INDEX($R$46:$R$49,MATCH(Q23,$Q$46:$Q$49,0)))</f>
        <v>1470885</v>
      </c>
      <c r="AD23" s="15">
        <f t="shared" si="0"/>
        <v>85</v>
      </c>
      <c r="AE23">
        <v>949</v>
      </c>
    </row>
    <row r="24" spans="1:31" ht="15.75">
      <c r="A24" s="78"/>
      <c r="B24" s="84">
        <v>3</v>
      </c>
      <c r="C24" s="79"/>
      <c r="D24" s="79"/>
      <c r="E24" s="83">
        <v>3</v>
      </c>
      <c r="F24" s="79"/>
      <c r="G24" s="79"/>
      <c r="H24" s="79"/>
      <c r="I24" s="82"/>
      <c r="J24" s="72">
        <v>12</v>
      </c>
      <c r="M24" t="str">
        <v>D16</v>
      </c>
      <c r="N24" s="111" t="str">
        <f t="shared" ref="N24:N31" si="8">LEFT(M24,1)</f>
        <v>D</v>
      </c>
      <c r="O24" s="111">
        <f t="shared" ref="O24:O31" si="9">VALUE(SUBSTITUTE(M24,N24,""))</f>
        <v>16</v>
      </c>
      <c r="P24">
        <f t="shared" ref="P24:P31" ca="1" si="10">INDIRECT("'Asteroid Field Map (Levels 4-6)'!"&amp;M24)*1000</f>
        <v>2000</v>
      </c>
      <c r="Q24" t="str">
        <f t="shared" ref="Q24:Q31" si="11">INDEX($A$37:$I$51,MATCH(O24,$J$37:$J$51,0),MATCH(N24,$A$52:$I$52,0))</f>
        <v>a</v>
      </c>
      <c r="R24">
        <f t="shared" si="2"/>
        <v>5</v>
      </c>
      <c r="S24" s="114">
        <f t="shared" si="3"/>
        <v>0</v>
      </c>
      <c r="T24" s="115">
        <f t="shared" ca="1" si="4"/>
        <v>2000</v>
      </c>
      <c r="U24" s="115">
        <f t="shared" ca="1" si="5"/>
        <v>200</v>
      </c>
      <c r="V24">
        <f ca="1">SUM($U$21:U24)</f>
        <v>942.5</v>
      </c>
      <c r="W24">
        <f t="shared" ca="1" si="6"/>
        <v>200</v>
      </c>
      <c r="X24">
        <f t="shared" si="1"/>
        <v>1700</v>
      </c>
      <c r="Y24" s="122">
        <f t="shared" ca="1" si="7"/>
        <v>3400000</v>
      </c>
      <c r="AD24" s="15">
        <f t="shared" si="0"/>
        <v>86</v>
      </c>
      <c r="AE24">
        <v>823</v>
      </c>
    </row>
    <row r="25" spans="1:31" ht="15.75">
      <c r="A25" s="78"/>
      <c r="B25" s="79"/>
      <c r="C25" s="79"/>
      <c r="D25" s="79"/>
      <c r="E25" s="79"/>
      <c r="F25" s="79"/>
      <c r="G25" s="79"/>
      <c r="H25" s="81">
        <v>6</v>
      </c>
      <c r="I25" s="82"/>
      <c r="J25" s="72">
        <v>13</v>
      </c>
      <c r="M25" t="str">
        <v>G7</v>
      </c>
      <c r="N25" s="111" t="str">
        <f t="shared" si="8"/>
        <v>G</v>
      </c>
      <c r="O25" s="111">
        <f t="shared" si="9"/>
        <v>7</v>
      </c>
      <c r="P25">
        <f t="shared" ca="1" si="10"/>
        <v>5000</v>
      </c>
      <c r="Q25" t="str">
        <f t="shared" si="11"/>
        <v>a</v>
      </c>
      <c r="R25">
        <f t="shared" si="2"/>
        <v>5</v>
      </c>
      <c r="S25" s="114">
        <f t="shared" si="3"/>
        <v>0</v>
      </c>
      <c r="T25" s="115">
        <f t="shared" ca="1" si="4"/>
        <v>5000</v>
      </c>
      <c r="U25" s="115">
        <f t="shared" ca="1" si="5"/>
        <v>500</v>
      </c>
      <c r="V25">
        <f ca="1">SUM($U$21:U25)</f>
        <v>1442.5</v>
      </c>
      <c r="W25">
        <f t="shared" ca="1" si="6"/>
        <v>500</v>
      </c>
      <c r="X25">
        <f t="shared" si="1"/>
        <v>1700</v>
      </c>
      <c r="Y25" s="122">
        <f t="shared" ca="1" si="7"/>
        <v>8500000</v>
      </c>
      <c r="AD25" s="15">
        <f t="shared" si="0"/>
        <v>87</v>
      </c>
      <c r="AE25">
        <v>841</v>
      </c>
    </row>
    <row r="26" spans="1:31" ht="15.75">
      <c r="A26" s="78"/>
      <c r="B26" s="79"/>
      <c r="C26" s="80">
        <v>6</v>
      </c>
      <c r="D26" s="79"/>
      <c r="E26" s="79"/>
      <c r="F26" s="80">
        <v>5</v>
      </c>
      <c r="G26" s="79"/>
      <c r="H26" s="79"/>
      <c r="I26" s="82"/>
      <c r="J26" s="72">
        <v>14</v>
      </c>
      <c r="M26" t="str">
        <v>I13</v>
      </c>
      <c r="N26" s="111" t="str">
        <f t="shared" si="8"/>
        <v>I</v>
      </c>
      <c r="O26" s="111">
        <f t="shared" si="9"/>
        <v>13</v>
      </c>
      <c r="P26">
        <f t="shared" ca="1" si="10"/>
        <v>6000</v>
      </c>
      <c r="Q26" t="str">
        <f t="shared" si="11"/>
        <v>d</v>
      </c>
      <c r="R26">
        <f t="shared" si="2"/>
        <v>2</v>
      </c>
      <c r="S26" s="114">
        <f t="shared" si="3"/>
        <v>0.15</v>
      </c>
      <c r="T26" s="115">
        <f t="shared" ca="1" si="4"/>
        <v>5100</v>
      </c>
      <c r="U26" s="115">
        <f t="shared" ca="1" si="5"/>
        <v>6120</v>
      </c>
      <c r="V26">
        <f ca="1">SUM($U$21:U26)</f>
        <v>7562.5</v>
      </c>
      <c r="W26">
        <f t="shared" ca="1" si="6"/>
        <v>6120</v>
      </c>
      <c r="X26">
        <f t="shared" si="1"/>
        <v>58303.199999999997</v>
      </c>
      <c r="Y26" s="122">
        <f t="shared" ca="1" si="7"/>
        <v>297346320</v>
      </c>
      <c r="AD26" s="15">
        <f t="shared" si="0"/>
        <v>88</v>
      </c>
      <c r="AE26">
        <v>456</v>
      </c>
    </row>
    <row r="27" spans="1:31" ht="15.75">
      <c r="A27" s="78"/>
      <c r="B27" s="79"/>
      <c r="C27" s="79"/>
      <c r="D27" s="79"/>
      <c r="E27" s="79"/>
      <c r="F27" s="79"/>
      <c r="G27" s="81">
        <v>7</v>
      </c>
      <c r="H27" s="79"/>
      <c r="I27" s="82"/>
      <c r="J27" s="72">
        <v>15</v>
      </c>
      <c r="M27" t="str">
        <v>C9</v>
      </c>
      <c r="N27" s="111" t="str">
        <f t="shared" si="8"/>
        <v>C</v>
      </c>
      <c r="O27" s="111">
        <f t="shared" si="9"/>
        <v>9</v>
      </c>
      <c r="P27">
        <f t="shared" ca="1" si="10"/>
        <v>2000</v>
      </c>
      <c r="Q27" t="str">
        <f t="shared" si="11"/>
        <v>d</v>
      </c>
      <c r="R27">
        <f t="shared" si="2"/>
        <v>2</v>
      </c>
      <c r="S27" s="114">
        <f t="shared" si="3"/>
        <v>0.15</v>
      </c>
      <c r="T27" s="115">
        <f t="shared" ca="1" si="4"/>
        <v>1700</v>
      </c>
      <c r="U27" s="115">
        <f t="shared" ca="1" si="5"/>
        <v>2040</v>
      </c>
      <c r="V27">
        <f ca="1">SUM($U$21:U27)</f>
        <v>9602.5</v>
      </c>
      <c r="W27">
        <f t="shared" ca="1" si="6"/>
        <v>2040</v>
      </c>
      <c r="X27">
        <f t="shared" si="1"/>
        <v>58303.199999999997</v>
      </c>
      <c r="Y27" s="122">
        <f t="shared" ca="1" si="7"/>
        <v>99115440</v>
      </c>
      <c r="AD27" s="15">
        <f t="shared" si="0"/>
        <v>89</v>
      </c>
      <c r="AE27">
        <v>694</v>
      </c>
    </row>
    <row r="28" spans="1:31" ht="15.75">
      <c r="A28" s="78"/>
      <c r="B28" s="79"/>
      <c r="C28" s="83">
        <v>2</v>
      </c>
      <c r="D28" s="79"/>
      <c r="E28" s="84">
        <v>4</v>
      </c>
      <c r="F28" s="79"/>
      <c r="G28" s="79"/>
      <c r="H28" s="83">
        <v>1</v>
      </c>
      <c r="I28" s="82"/>
      <c r="J28" s="72">
        <v>16</v>
      </c>
      <c r="M28" t="str">
        <v>E9</v>
      </c>
      <c r="N28" s="111" t="str">
        <f t="shared" si="8"/>
        <v>E</v>
      </c>
      <c r="O28" s="111">
        <f t="shared" si="9"/>
        <v>9</v>
      </c>
      <c r="P28">
        <f t="shared" ca="1" si="10"/>
        <v>4000</v>
      </c>
      <c r="Q28" t="str">
        <f t="shared" si="11"/>
        <v>a</v>
      </c>
      <c r="R28">
        <f t="shared" si="2"/>
        <v>5</v>
      </c>
      <c r="S28" s="114">
        <f t="shared" si="3"/>
        <v>0</v>
      </c>
      <c r="T28" s="115">
        <f t="shared" ca="1" si="4"/>
        <v>4000</v>
      </c>
      <c r="U28" s="115">
        <f t="shared" ca="1" si="5"/>
        <v>400</v>
      </c>
      <c r="V28">
        <f ca="1">SUM($U$21:U28)</f>
        <v>10002.5</v>
      </c>
      <c r="W28">
        <f t="shared" ca="1" si="6"/>
        <v>400</v>
      </c>
      <c r="X28">
        <f t="shared" si="1"/>
        <v>1700</v>
      </c>
      <c r="Y28" s="122">
        <f t="shared" ca="1" si="7"/>
        <v>6800000</v>
      </c>
      <c r="AD28" s="15">
        <f t="shared" si="0"/>
        <v>90</v>
      </c>
      <c r="AE28">
        <v>720</v>
      </c>
    </row>
    <row r="29" spans="1:31" ht="16.5" thickBot="1">
      <c r="A29" s="86"/>
      <c r="B29" s="87"/>
      <c r="C29" s="87"/>
      <c r="D29" s="87"/>
      <c r="E29" s="87"/>
      <c r="F29" s="87"/>
      <c r="G29" s="87"/>
      <c r="H29" s="87"/>
      <c r="I29" s="88"/>
      <c r="J29" s="72">
        <v>17</v>
      </c>
      <c r="M29" t="str">
        <v>F16</v>
      </c>
      <c r="N29" s="111" t="str">
        <f t="shared" si="8"/>
        <v>F</v>
      </c>
      <c r="O29" s="111">
        <f t="shared" si="9"/>
        <v>16</v>
      </c>
      <c r="P29">
        <f t="shared" ca="1" si="10"/>
        <v>4000</v>
      </c>
      <c r="Q29" t="str">
        <f t="shared" si="11"/>
        <v>c</v>
      </c>
      <c r="R29">
        <f t="shared" si="2"/>
        <v>0</v>
      </c>
      <c r="S29" s="114">
        <f t="shared" si="3"/>
        <v>0.25</v>
      </c>
      <c r="T29" s="115">
        <f t="shared" ca="1" si="4"/>
        <v>3000</v>
      </c>
      <c r="U29" s="115">
        <f t="shared" ca="1" si="5"/>
        <v>1800</v>
      </c>
      <c r="V29">
        <f ca="1">SUM($U$21:U29)</f>
        <v>11802.5</v>
      </c>
      <c r="W29">
        <f t="shared" ca="1" si="6"/>
        <v>1800</v>
      </c>
      <c r="X29">
        <f t="shared" si="1"/>
        <v>35380.800000000003</v>
      </c>
      <c r="Y29" s="122">
        <f t="shared" ca="1" si="7"/>
        <v>106142400.00000001</v>
      </c>
      <c r="AD29" s="15">
        <f t="shared" si="0"/>
        <v>91</v>
      </c>
      <c r="AE29">
        <v>717</v>
      </c>
    </row>
    <row r="30" spans="1:31" ht="16.5" thickTop="1">
      <c r="A30" s="72" t="s">
        <v>214</v>
      </c>
      <c r="B30" s="72" t="s">
        <v>215</v>
      </c>
      <c r="C30" s="72" t="s">
        <v>216</v>
      </c>
      <c r="D30" s="72" t="s">
        <v>217</v>
      </c>
      <c r="E30" s="72" t="s">
        <v>218</v>
      </c>
      <c r="F30" s="72" t="s">
        <v>219</v>
      </c>
      <c r="G30" s="72" t="s">
        <v>220</v>
      </c>
      <c r="H30" s="72" t="s">
        <v>221</v>
      </c>
      <c r="I30" s="72" t="s">
        <v>222</v>
      </c>
      <c r="M30" t="str">
        <v>G14</v>
      </c>
      <c r="N30" s="111" t="str">
        <f t="shared" si="8"/>
        <v>G</v>
      </c>
      <c r="O30" s="111">
        <f t="shared" si="9"/>
        <v>14</v>
      </c>
      <c r="P30">
        <f t="shared" ca="1" si="10"/>
        <v>5000</v>
      </c>
      <c r="Q30" t="str">
        <f t="shared" si="11"/>
        <v>b</v>
      </c>
      <c r="R30">
        <f t="shared" si="2"/>
        <v>4</v>
      </c>
      <c r="S30" s="114">
        <f t="shared" si="3"/>
        <v>0.05</v>
      </c>
      <c r="T30" s="115">
        <f t="shared" ca="1" si="4"/>
        <v>4750</v>
      </c>
      <c r="U30" s="115">
        <f t="shared" ca="1" si="5"/>
        <v>712.5</v>
      </c>
      <c r="V30">
        <f ca="1">SUM($U$21:U30)</f>
        <v>12515</v>
      </c>
      <c r="W30">
        <f t="shared" ca="1" si="6"/>
        <v>712.5</v>
      </c>
      <c r="X30">
        <f t="shared" si="1"/>
        <v>1548.3</v>
      </c>
      <c r="Y30" s="122">
        <f t="shared" ca="1" si="7"/>
        <v>7354425</v>
      </c>
      <c r="AD30" s="15">
        <f t="shared" si="0"/>
        <v>92</v>
      </c>
      <c r="AE30">
        <v>932</v>
      </c>
    </row>
    <row r="31" spans="1:31" ht="15.75">
      <c r="M31" t="str">
        <v>F6</v>
      </c>
      <c r="N31" s="111" t="str">
        <f t="shared" si="8"/>
        <v>F</v>
      </c>
      <c r="O31" s="111">
        <f t="shared" si="9"/>
        <v>6</v>
      </c>
      <c r="P31">
        <f t="shared" ca="1" si="10"/>
        <v>1000</v>
      </c>
      <c r="Q31" t="str">
        <f t="shared" si="11"/>
        <v>c</v>
      </c>
      <c r="R31">
        <f t="shared" si="2"/>
        <v>0</v>
      </c>
      <c r="S31" s="114">
        <f t="shared" si="3"/>
        <v>0.25</v>
      </c>
      <c r="T31" s="115">
        <f t="shared" ca="1" si="4"/>
        <v>750</v>
      </c>
      <c r="U31" s="115">
        <f t="shared" ca="1" si="5"/>
        <v>450</v>
      </c>
      <c r="V31">
        <f ca="1">SUM($U$21:U31)</f>
        <v>12965</v>
      </c>
      <c r="W31">
        <f t="shared" ca="1" si="6"/>
        <v>450</v>
      </c>
      <c r="X31">
        <f t="shared" si="1"/>
        <v>35380.800000000003</v>
      </c>
      <c r="Y31" s="122">
        <f t="shared" ca="1" si="7"/>
        <v>26535600.000000004</v>
      </c>
      <c r="AD31" s="15">
        <f t="shared" si="0"/>
        <v>93</v>
      </c>
      <c r="AE31">
        <v>933</v>
      </c>
    </row>
    <row r="32" spans="1:31" ht="15.75">
      <c r="N32" s="111"/>
      <c r="O32" s="111"/>
      <c r="AD32" s="15">
        <f>AD31+1</f>
        <v>94</v>
      </c>
      <c r="AE32">
        <v>618</v>
      </c>
    </row>
    <row r="33" spans="1:31" ht="15.75">
      <c r="N33" s="111"/>
      <c r="O33" s="111"/>
      <c r="AD33" s="15">
        <f t="shared" si="0"/>
        <v>95</v>
      </c>
      <c r="AE33">
        <v>647</v>
      </c>
    </row>
    <row r="34" spans="1:31" ht="15.75">
      <c r="N34" s="111"/>
      <c r="O34" s="111"/>
      <c r="AD34" s="15">
        <f t="shared" si="0"/>
        <v>96</v>
      </c>
      <c r="AE34">
        <v>649</v>
      </c>
    </row>
    <row r="35" spans="1:31" ht="16.5" thickBot="1">
      <c r="A35" t="s">
        <v>294</v>
      </c>
      <c r="N35" s="111"/>
      <c r="O35" s="111"/>
      <c r="AD35" s="15">
        <f t="shared" si="0"/>
        <v>97</v>
      </c>
      <c r="AE35">
        <v>881</v>
      </c>
    </row>
    <row r="36" spans="1:31" ht="24.75" thickTop="1" thickBot="1">
      <c r="A36" s="212" t="s">
        <v>212</v>
      </c>
      <c r="B36" s="213"/>
      <c r="C36" s="213"/>
      <c r="D36" s="213"/>
      <c r="E36" s="213"/>
      <c r="F36" s="213"/>
      <c r="G36" s="213"/>
      <c r="H36" s="213"/>
      <c r="I36" s="214"/>
      <c r="M36" s="62"/>
      <c r="N36" s="111"/>
      <c r="O36" s="111"/>
      <c r="AD36" s="15">
        <f t="shared" si="0"/>
        <v>98</v>
      </c>
      <c r="AE36">
        <v>583</v>
      </c>
    </row>
    <row r="37" spans="1:31" ht="16.5" thickTop="1">
      <c r="A37" s="75"/>
      <c r="B37" s="76"/>
      <c r="C37" s="76"/>
      <c r="D37" s="76"/>
      <c r="E37" s="76"/>
      <c r="F37" s="76"/>
      <c r="G37" s="76"/>
      <c r="H37" s="76"/>
      <c r="I37" s="77"/>
      <c r="J37" s="72">
        <v>3</v>
      </c>
      <c r="M37" s="62"/>
      <c r="N37" s="111"/>
      <c r="O37" s="111"/>
      <c r="AD37" s="15">
        <f t="shared" si="0"/>
        <v>99</v>
      </c>
      <c r="AE37">
        <v>1336</v>
      </c>
    </row>
    <row r="38" spans="1:31" ht="15.75">
      <c r="A38" s="78"/>
      <c r="B38" s="79"/>
      <c r="C38" s="80" t="s">
        <v>174</v>
      </c>
      <c r="D38" s="79"/>
      <c r="E38" s="79"/>
      <c r="F38" s="80" t="s">
        <v>174</v>
      </c>
      <c r="G38" s="79"/>
      <c r="H38" s="81" t="s">
        <v>175</v>
      </c>
      <c r="I38" s="82"/>
      <c r="J38" s="72">
        <v>4</v>
      </c>
      <c r="M38" s="62"/>
      <c r="N38" s="111"/>
      <c r="O38" s="111"/>
      <c r="AD38" s="15">
        <f t="shared" si="0"/>
        <v>100</v>
      </c>
      <c r="AE38">
        <v>899</v>
      </c>
    </row>
    <row r="39" spans="1:31">
      <c r="A39" s="78"/>
      <c r="B39" s="79"/>
      <c r="C39" s="79"/>
      <c r="D39" s="81" t="s">
        <v>175</v>
      </c>
      <c r="E39" s="79"/>
      <c r="F39" s="79"/>
      <c r="G39" s="79"/>
      <c r="H39" s="79"/>
      <c r="I39" s="82"/>
      <c r="J39" s="72">
        <v>5</v>
      </c>
      <c r="M39" s="62"/>
      <c r="N39" s="111"/>
      <c r="O39" s="111"/>
    </row>
    <row r="40" spans="1:31">
      <c r="A40" s="78"/>
      <c r="B40" s="83" t="s">
        <v>173</v>
      </c>
      <c r="C40" s="79"/>
      <c r="D40" s="79"/>
      <c r="E40" s="84" t="s">
        <v>176</v>
      </c>
      <c r="F40" s="79"/>
      <c r="G40" s="79"/>
      <c r="H40" s="81" t="s">
        <v>175</v>
      </c>
      <c r="I40" s="82"/>
      <c r="J40" s="72">
        <v>6</v>
      </c>
      <c r="M40" s="62"/>
      <c r="N40" s="111"/>
      <c r="O40" s="111"/>
    </row>
    <row r="41" spans="1:31">
      <c r="A41" s="78"/>
      <c r="B41" s="79"/>
      <c r="C41" s="79"/>
      <c r="D41" s="84" t="s">
        <v>176</v>
      </c>
      <c r="E41" s="79"/>
      <c r="F41" s="83" t="s">
        <v>173</v>
      </c>
      <c r="G41" s="79"/>
      <c r="H41" s="79"/>
      <c r="I41" s="82"/>
      <c r="J41" s="72">
        <v>7</v>
      </c>
      <c r="M41" s="62"/>
      <c r="N41" s="111"/>
      <c r="O41" s="111"/>
    </row>
    <row r="42" spans="1:31">
      <c r="A42" s="78"/>
      <c r="B42" s="79"/>
      <c r="C42" s="79"/>
      <c r="D42" s="79"/>
      <c r="E42" s="79"/>
      <c r="F42" s="79"/>
      <c r="G42" s="79"/>
      <c r="H42" s="80" t="s">
        <v>174</v>
      </c>
      <c r="I42" s="82"/>
      <c r="J42" s="72">
        <v>8</v>
      </c>
      <c r="M42" s="62"/>
      <c r="N42" s="111"/>
      <c r="O42" s="111"/>
    </row>
    <row r="43" spans="1:31" ht="15.75" thickBot="1">
      <c r="A43" s="78"/>
      <c r="B43" s="81" t="s">
        <v>175</v>
      </c>
      <c r="C43" s="79"/>
      <c r="D43" s="83" t="s">
        <v>173</v>
      </c>
      <c r="E43" s="79"/>
      <c r="F43" s="79"/>
      <c r="G43" s="84" t="s">
        <v>176</v>
      </c>
      <c r="H43" s="79"/>
      <c r="I43" s="82"/>
      <c r="J43" s="72">
        <v>9</v>
      </c>
    </row>
    <row r="44" spans="1:31" ht="16.5" thickTop="1" thickBot="1">
      <c r="A44" s="78"/>
      <c r="B44" s="79"/>
      <c r="C44" s="79"/>
      <c r="D44" s="79"/>
      <c r="E44" s="85" t="s">
        <v>213</v>
      </c>
      <c r="F44" s="79"/>
      <c r="G44" s="79"/>
      <c r="H44" s="79"/>
      <c r="I44" s="82"/>
      <c r="J44" s="72">
        <v>10</v>
      </c>
      <c r="M44" s="60" t="s">
        <v>27</v>
      </c>
      <c r="N44" s="3"/>
      <c r="O44" s="3"/>
      <c r="P44" s="35"/>
      <c r="Q44" s="3"/>
      <c r="R44" s="107" t="s">
        <v>28</v>
      </c>
      <c r="S44" s="1"/>
      <c r="T44" s="60" t="s">
        <v>29</v>
      </c>
      <c r="U44" s="3"/>
      <c r="V44" s="3"/>
      <c r="W44" s="3"/>
      <c r="X44" s="3"/>
      <c r="Y44" s="3"/>
      <c r="Z44" s="3"/>
      <c r="AB44" t="s">
        <v>295</v>
      </c>
    </row>
    <row r="45" spans="1:31" ht="16.5" thickTop="1" thickBot="1">
      <c r="A45" s="78"/>
      <c r="B45" s="79"/>
      <c r="C45" s="81" t="s">
        <v>175</v>
      </c>
      <c r="D45" s="79"/>
      <c r="E45" s="79"/>
      <c r="F45" s="79"/>
      <c r="G45" s="80" t="s">
        <v>174</v>
      </c>
      <c r="H45" s="79"/>
      <c r="I45" s="82"/>
      <c r="J45" s="72">
        <v>11</v>
      </c>
      <c r="M45" s="170" t="s">
        <v>30</v>
      </c>
      <c r="N45" s="171"/>
      <c r="O45" s="171"/>
      <c r="P45" s="172"/>
      <c r="Q45" s="3" t="s">
        <v>236</v>
      </c>
      <c r="R45" s="49" t="s">
        <v>31</v>
      </c>
      <c r="S45" s="1"/>
      <c r="T45" s="49" t="s">
        <v>10</v>
      </c>
      <c r="U45" s="49" t="s">
        <v>11</v>
      </c>
      <c r="V45" s="49" t="s">
        <v>12</v>
      </c>
      <c r="W45" s="49" t="s">
        <v>13</v>
      </c>
      <c r="X45" s="49" t="s">
        <v>14</v>
      </c>
      <c r="Y45" s="49" t="s">
        <v>15</v>
      </c>
      <c r="Z45" s="49" t="s">
        <v>16</v>
      </c>
    </row>
    <row r="46" spans="1:31">
      <c r="A46" s="78"/>
      <c r="B46" s="84" t="s">
        <v>176</v>
      </c>
      <c r="C46" s="79"/>
      <c r="D46" s="79"/>
      <c r="E46" s="83" t="s">
        <v>173</v>
      </c>
      <c r="F46" s="79"/>
      <c r="G46" s="79"/>
      <c r="H46" s="79"/>
      <c r="I46" s="82"/>
      <c r="J46" s="72">
        <v>12</v>
      </c>
      <c r="M46" s="197" t="s">
        <v>32</v>
      </c>
      <c r="N46" s="198"/>
      <c r="O46" s="198"/>
      <c r="P46" s="199"/>
      <c r="Q46" s="3" t="s">
        <v>173</v>
      </c>
      <c r="R46" s="93">
        <v>0.1</v>
      </c>
      <c r="S46" s="1"/>
      <c r="T46" s="92">
        <v>400</v>
      </c>
      <c r="U46" s="92"/>
      <c r="V46" s="92"/>
      <c r="W46" s="92"/>
      <c r="X46" s="92"/>
      <c r="Y46" s="92"/>
      <c r="Z46" s="92"/>
      <c r="AB46">
        <f>SUMPRODUCT(T46:Z46,$A$12:$G$12)</f>
        <v>1700</v>
      </c>
    </row>
    <row r="47" spans="1:31">
      <c r="A47" s="78"/>
      <c r="B47" s="79"/>
      <c r="C47" s="79"/>
      <c r="D47" s="79"/>
      <c r="E47" s="79"/>
      <c r="F47" s="79"/>
      <c r="G47" s="79"/>
      <c r="H47" s="81" t="s">
        <v>175</v>
      </c>
      <c r="I47" s="82"/>
      <c r="J47" s="72">
        <v>13</v>
      </c>
      <c r="M47" s="200" t="s">
        <v>33</v>
      </c>
      <c r="N47" s="201"/>
      <c r="O47" s="201"/>
      <c r="P47" s="202"/>
      <c r="Q47" s="3" t="s">
        <v>174</v>
      </c>
      <c r="R47" s="94">
        <v>0.15</v>
      </c>
      <c r="S47" s="1"/>
      <c r="T47" s="89">
        <v>150</v>
      </c>
      <c r="U47" s="89">
        <v>90</v>
      </c>
      <c r="V47" s="89"/>
      <c r="W47" s="89"/>
      <c r="X47" s="89"/>
      <c r="Y47" s="89"/>
      <c r="Z47" s="89"/>
      <c r="AB47">
        <f t="shared" ref="AB47:AB49" si="12">SUMPRODUCT(T47:Z47,$A$12:$G$12)</f>
        <v>1548.3</v>
      </c>
    </row>
    <row r="48" spans="1:31">
      <c r="A48" s="78"/>
      <c r="B48" s="79"/>
      <c r="C48" s="80" t="s">
        <v>174</v>
      </c>
      <c r="D48" s="79"/>
      <c r="E48" s="79"/>
      <c r="F48" s="80" t="s">
        <v>174</v>
      </c>
      <c r="G48" s="79"/>
      <c r="H48" s="79"/>
      <c r="I48" s="82"/>
      <c r="J48" s="72">
        <v>14</v>
      </c>
      <c r="M48" s="203" t="s">
        <v>34</v>
      </c>
      <c r="N48" s="204"/>
      <c r="O48" s="204"/>
      <c r="P48" s="205"/>
      <c r="Q48" s="3" t="s">
        <v>176</v>
      </c>
      <c r="R48" s="95">
        <v>0.6</v>
      </c>
      <c r="S48" s="1"/>
      <c r="T48" s="90"/>
      <c r="U48" s="90">
        <v>90</v>
      </c>
      <c r="V48" s="90"/>
      <c r="W48" s="90">
        <v>75</v>
      </c>
      <c r="X48" s="90"/>
      <c r="Y48" s="90"/>
      <c r="Z48" s="90"/>
      <c r="AB48">
        <f t="shared" si="12"/>
        <v>35380.800000000003</v>
      </c>
    </row>
    <row r="49" spans="1:28">
      <c r="A49" s="78"/>
      <c r="B49" s="79"/>
      <c r="C49" s="79"/>
      <c r="D49" s="79"/>
      <c r="E49" s="79"/>
      <c r="F49" s="79"/>
      <c r="G49" s="81" t="s">
        <v>175</v>
      </c>
      <c r="H49" s="79"/>
      <c r="I49" s="82"/>
      <c r="J49" s="72">
        <v>15</v>
      </c>
      <c r="M49" s="166" t="s">
        <v>35</v>
      </c>
      <c r="N49" s="167"/>
      <c r="O49" s="167"/>
      <c r="P49" s="168"/>
      <c r="Q49" s="3" t="s">
        <v>175</v>
      </c>
      <c r="R49" s="96">
        <v>1.2</v>
      </c>
      <c r="S49" s="1"/>
      <c r="T49" s="91"/>
      <c r="U49" s="91"/>
      <c r="V49" s="91">
        <v>60</v>
      </c>
      <c r="W49" s="91">
        <v>120</v>
      </c>
      <c r="X49" s="91"/>
      <c r="Y49" s="91"/>
      <c r="Z49" s="91"/>
      <c r="AB49">
        <f t="shared" si="12"/>
        <v>58303.199999999997</v>
      </c>
    </row>
    <row r="50" spans="1:28">
      <c r="A50" s="78"/>
      <c r="B50" s="79"/>
      <c r="C50" s="83" t="s">
        <v>173</v>
      </c>
      <c r="D50" s="79"/>
      <c r="E50" s="84" t="s">
        <v>176</v>
      </c>
      <c r="F50" s="79"/>
      <c r="G50" s="79"/>
      <c r="H50" s="83" t="s">
        <v>173</v>
      </c>
      <c r="I50" s="82"/>
      <c r="J50" s="72">
        <v>16</v>
      </c>
    </row>
    <row r="51" spans="1:28" ht="15.75" thickBot="1">
      <c r="A51" s="86"/>
      <c r="B51" s="87"/>
      <c r="C51" s="87"/>
      <c r="D51" s="87"/>
      <c r="E51" s="87"/>
      <c r="F51" s="87"/>
      <c r="G51" s="87"/>
      <c r="H51" s="87"/>
      <c r="I51" s="88"/>
      <c r="J51" s="72">
        <v>17</v>
      </c>
      <c r="M51" s="60" t="s">
        <v>36</v>
      </c>
    </row>
    <row r="52" spans="1:28" ht="15.75" thickTop="1">
      <c r="A52" s="72" t="s">
        <v>214</v>
      </c>
      <c r="B52" s="72" t="s">
        <v>215</v>
      </c>
      <c r="C52" s="72" t="s">
        <v>216</v>
      </c>
      <c r="D52" s="72" t="s">
        <v>217</v>
      </c>
      <c r="E52" s="72" t="s">
        <v>218</v>
      </c>
      <c r="F52" s="72" t="s">
        <v>219</v>
      </c>
      <c r="G52" s="72" t="s">
        <v>220</v>
      </c>
      <c r="H52" s="72" t="s">
        <v>221</v>
      </c>
      <c r="I52" s="72" t="s">
        <v>222</v>
      </c>
      <c r="M52" s="97" t="s">
        <v>37</v>
      </c>
    </row>
  </sheetData>
  <mergeCells count="7">
    <mergeCell ref="M49:P49"/>
    <mergeCell ref="A14:I14"/>
    <mergeCell ref="A36:I36"/>
    <mergeCell ref="M45:P45"/>
    <mergeCell ref="M46:P46"/>
    <mergeCell ref="M47:P47"/>
    <mergeCell ref="M48:P4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5810F-D341-4A1B-9DFB-6EAE06D1EE23}">
  <dimension ref="A1:AR111"/>
  <sheetViews>
    <sheetView topLeftCell="AF61" workbookViewId="0">
      <selection activeCell="AP71" sqref="AP71"/>
    </sheetView>
  </sheetViews>
  <sheetFormatPr defaultRowHeight="15"/>
  <cols>
    <col min="1" max="1" width="10.5703125" bestFit="1" customWidth="1"/>
    <col min="2" max="2" width="16.28515625" customWidth="1"/>
    <col min="3" max="3" width="44.85546875" customWidth="1"/>
    <col min="4" max="4" width="49.42578125" customWidth="1"/>
    <col min="5" max="5" width="9.85546875" bestFit="1" customWidth="1"/>
    <col min="6" max="6" width="8.5703125" bestFit="1" customWidth="1"/>
    <col min="7" max="7" width="14.7109375" bestFit="1" customWidth="1"/>
    <col min="16" max="16" width="9.28515625" bestFit="1" customWidth="1"/>
    <col min="17" max="17" width="4.42578125" bestFit="1" customWidth="1"/>
    <col min="18" max="18" width="5.42578125" bestFit="1" customWidth="1"/>
    <col min="19" max="19" width="10.28515625" bestFit="1" customWidth="1"/>
    <col min="20" max="20" width="11" bestFit="1" customWidth="1"/>
    <col min="21" max="21" width="10" bestFit="1" customWidth="1"/>
    <col min="22" max="22" width="5.28515625" bestFit="1" customWidth="1"/>
    <col min="23" max="23" width="7.140625" bestFit="1" customWidth="1"/>
    <col min="24" max="24" width="12.28515625" bestFit="1" customWidth="1"/>
    <col min="25" max="25" width="7" bestFit="1" customWidth="1"/>
    <col min="26" max="26" width="10.5703125" bestFit="1" customWidth="1"/>
    <col min="27" max="27" width="8.140625" bestFit="1" customWidth="1"/>
    <col min="28" max="28" width="10.140625" bestFit="1" customWidth="1"/>
    <col min="29" max="29" width="7.85546875" bestFit="1" customWidth="1"/>
    <col min="30" max="30" width="9.7109375" bestFit="1" customWidth="1"/>
    <col min="31" max="31" width="8.42578125" bestFit="1" customWidth="1"/>
    <col min="32" max="32" width="10.7109375" bestFit="1" customWidth="1"/>
    <col min="33" max="33" width="15.42578125" bestFit="1" customWidth="1"/>
    <col min="34" max="34" width="12.5703125" bestFit="1" customWidth="1"/>
    <col min="35" max="35" width="12" bestFit="1" customWidth="1"/>
    <col min="36" max="36" width="13.85546875" bestFit="1" customWidth="1"/>
    <col min="37" max="37" width="15.5703125" bestFit="1" customWidth="1"/>
    <col min="38" max="38" width="21.85546875" bestFit="1" customWidth="1"/>
    <col min="39" max="39" width="15.85546875" bestFit="1" customWidth="1"/>
    <col min="40" max="40" width="12.42578125" bestFit="1" customWidth="1"/>
    <col min="41" max="41" width="12.5703125" bestFit="1" customWidth="1"/>
    <col min="42" max="42" width="14.28515625" bestFit="1" customWidth="1"/>
  </cols>
  <sheetData>
    <row r="1" spans="1:10" ht="15.75" thickBot="1"/>
    <row r="2" spans="1:10" ht="24.75" thickTop="1" thickBot="1">
      <c r="A2" s="212" t="s">
        <v>212</v>
      </c>
      <c r="B2" s="213"/>
      <c r="C2" s="213"/>
      <c r="D2" s="213"/>
      <c r="E2" s="213"/>
      <c r="F2" s="213"/>
      <c r="G2" s="213"/>
      <c r="H2" s="213"/>
      <c r="I2" s="214"/>
    </row>
    <row r="3" spans="1:10" ht="15.75" thickTop="1">
      <c r="A3" s="75"/>
      <c r="B3" s="76"/>
      <c r="C3" s="76"/>
      <c r="D3" s="76"/>
      <c r="E3" s="76"/>
      <c r="F3" s="76"/>
      <c r="G3" s="76"/>
      <c r="H3" s="76"/>
      <c r="I3" s="77"/>
      <c r="J3" s="72">
        <v>3</v>
      </c>
    </row>
    <row r="4" spans="1:10">
      <c r="A4" s="78"/>
      <c r="B4" s="79"/>
      <c r="C4" s="80">
        <v>1</v>
      </c>
      <c r="D4" s="79"/>
      <c r="E4" s="79"/>
      <c r="F4" s="80">
        <v>2</v>
      </c>
      <c r="G4" s="79"/>
      <c r="H4" s="81">
        <v>5</v>
      </c>
      <c r="I4" s="82"/>
      <c r="J4" s="72">
        <v>4</v>
      </c>
    </row>
    <row r="5" spans="1:10">
      <c r="A5" s="78"/>
      <c r="B5" s="79"/>
      <c r="C5" s="79"/>
      <c r="D5" s="81">
        <v>3</v>
      </c>
      <c r="E5" s="79"/>
      <c r="F5" s="79"/>
      <c r="G5" s="79"/>
      <c r="H5" s="79"/>
      <c r="I5" s="82"/>
      <c r="J5" s="72">
        <v>5</v>
      </c>
    </row>
    <row r="6" spans="1:10">
      <c r="A6" s="78"/>
      <c r="B6" s="83">
        <v>6</v>
      </c>
      <c r="C6" s="79"/>
      <c r="D6" s="79"/>
      <c r="E6" s="84">
        <v>1</v>
      </c>
      <c r="F6" s="79"/>
      <c r="G6" s="79"/>
      <c r="H6" s="81">
        <v>4</v>
      </c>
      <c r="I6" s="82"/>
      <c r="J6" s="72">
        <v>6</v>
      </c>
    </row>
    <row r="7" spans="1:10">
      <c r="A7" s="78"/>
      <c r="B7" s="79"/>
      <c r="C7" s="79"/>
      <c r="D7" s="84">
        <v>2</v>
      </c>
      <c r="E7" s="79"/>
      <c r="F7" s="83">
        <v>5</v>
      </c>
      <c r="G7" s="79"/>
      <c r="H7" s="79"/>
      <c r="I7" s="82"/>
      <c r="J7" s="72">
        <v>7</v>
      </c>
    </row>
    <row r="8" spans="1:10">
      <c r="A8" s="78"/>
      <c r="B8" s="79"/>
      <c r="C8" s="79"/>
      <c r="D8" s="79"/>
      <c r="E8" s="79"/>
      <c r="F8" s="79"/>
      <c r="G8" s="79"/>
      <c r="H8" s="80">
        <v>3</v>
      </c>
      <c r="I8" s="82"/>
      <c r="J8" s="72">
        <v>8</v>
      </c>
    </row>
    <row r="9" spans="1:10" ht="16.5" customHeight="1" thickBot="1">
      <c r="A9" s="78"/>
      <c r="B9" s="81">
        <v>2</v>
      </c>
      <c r="C9" s="79"/>
      <c r="D9" s="83">
        <v>4</v>
      </c>
      <c r="E9" s="79"/>
      <c r="F9" s="79"/>
      <c r="G9" s="84">
        <v>5</v>
      </c>
      <c r="H9" s="79"/>
      <c r="I9" s="82"/>
      <c r="J9" s="72">
        <v>9</v>
      </c>
    </row>
    <row r="10" spans="1:10" ht="16.5" thickTop="1" thickBot="1">
      <c r="A10" s="78"/>
      <c r="B10" s="79"/>
      <c r="C10" s="79"/>
      <c r="D10" s="79"/>
      <c r="E10" s="85" t="s">
        <v>213</v>
      </c>
      <c r="F10" s="79"/>
      <c r="G10" s="79"/>
      <c r="H10" s="79"/>
      <c r="I10" s="82"/>
      <c r="J10" s="72">
        <v>10</v>
      </c>
    </row>
    <row r="11" spans="1:10" ht="15.75" thickTop="1">
      <c r="A11" s="78"/>
      <c r="B11" s="79"/>
      <c r="C11" s="81">
        <v>1</v>
      </c>
      <c r="D11" s="79"/>
      <c r="E11" s="79"/>
      <c r="F11" s="79"/>
      <c r="G11" s="80">
        <v>4</v>
      </c>
      <c r="H11" s="79"/>
      <c r="I11" s="82"/>
      <c r="J11" s="72">
        <v>11</v>
      </c>
    </row>
    <row r="12" spans="1:10">
      <c r="A12" s="78"/>
      <c r="B12" s="84">
        <v>3</v>
      </c>
      <c r="C12" s="79"/>
      <c r="D12" s="79"/>
      <c r="E12" s="83">
        <v>3</v>
      </c>
      <c r="F12" s="79"/>
      <c r="G12" s="79"/>
      <c r="H12" s="79"/>
      <c r="I12" s="82"/>
      <c r="J12" s="72">
        <v>12</v>
      </c>
    </row>
    <row r="13" spans="1:10">
      <c r="A13" s="78"/>
      <c r="B13" s="79"/>
      <c r="C13" s="79"/>
      <c r="D13" s="79"/>
      <c r="E13" s="79"/>
      <c r="F13" s="79"/>
      <c r="G13" s="79"/>
      <c r="H13" s="81">
        <v>6</v>
      </c>
      <c r="I13" s="82"/>
      <c r="J13" s="72">
        <v>13</v>
      </c>
    </row>
    <row r="14" spans="1:10">
      <c r="A14" s="78"/>
      <c r="B14" s="79"/>
      <c r="C14" s="80">
        <v>6</v>
      </c>
      <c r="D14" s="79"/>
      <c r="E14" s="79"/>
      <c r="F14" s="80">
        <v>5</v>
      </c>
      <c r="G14" s="79"/>
      <c r="H14" s="79"/>
      <c r="I14" s="82"/>
      <c r="J14" s="72">
        <v>14</v>
      </c>
    </row>
    <row r="15" spans="1:10">
      <c r="A15" s="78"/>
      <c r="B15" s="79"/>
      <c r="C15" s="79"/>
      <c r="D15" s="79"/>
      <c r="E15" s="79"/>
      <c r="F15" s="79"/>
      <c r="G15" s="81">
        <v>7</v>
      </c>
      <c r="H15" s="79"/>
      <c r="I15" s="82"/>
      <c r="J15" s="72">
        <v>15</v>
      </c>
    </row>
    <row r="16" spans="1:10">
      <c r="A16" s="78"/>
      <c r="B16" s="79"/>
      <c r="C16" s="83">
        <v>2</v>
      </c>
      <c r="D16" s="79"/>
      <c r="E16" s="84">
        <v>4</v>
      </c>
      <c r="F16" s="79"/>
      <c r="G16" s="79"/>
      <c r="H16" s="83">
        <v>1</v>
      </c>
      <c r="I16" s="82"/>
      <c r="J16" s="72">
        <v>16</v>
      </c>
    </row>
    <row r="17" spans="1:21" ht="15.75" thickBot="1">
      <c r="A17" s="86"/>
      <c r="B17" s="87"/>
      <c r="C17" s="87"/>
      <c r="D17" s="87"/>
      <c r="E17" s="87"/>
      <c r="F17" s="87"/>
      <c r="G17" s="87"/>
      <c r="H17" s="87"/>
      <c r="I17" s="88"/>
      <c r="J17" s="72">
        <v>17</v>
      </c>
    </row>
    <row r="18" spans="1:21" ht="15.75" thickTop="1">
      <c r="A18" s="72" t="s">
        <v>214</v>
      </c>
      <c r="B18" s="72" t="s">
        <v>215</v>
      </c>
      <c r="C18" s="72" t="s">
        <v>216</v>
      </c>
      <c r="D18" s="72" t="s">
        <v>217</v>
      </c>
      <c r="E18" s="72" t="s">
        <v>218</v>
      </c>
      <c r="F18" s="72" t="s">
        <v>219</v>
      </c>
      <c r="G18" s="72" t="s">
        <v>220</v>
      </c>
      <c r="H18" s="72" t="s">
        <v>221</v>
      </c>
      <c r="I18" s="72" t="s">
        <v>222</v>
      </c>
    </row>
    <row r="23" spans="1:21" ht="15.75" thickBot="1"/>
    <row r="24" spans="1:21" ht="24.75" thickTop="1" thickBot="1">
      <c r="A24" s="212" t="s">
        <v>212</v>
      </c>
      <c r="B24" s="213"/>
      <c r="C24" s="213"/>
      <c r="D24" s="213"/>
      <c r="E24" s="213"/>
      <c r="F24" s="213"/>
      <c r="G24" s="213"/>
      <c r="H24" s="213"/>
      <c r="I24" s="214"/>
      <c r="L24" t="s">
        <v>223</v>
      </c>
      <c r="U24" t="s">
        <v>224</v>
      </c>
    </row>
    <row r="25" spans="1:21" ht="15.75" thickTop="1">
      <c r="A25" s="75"/>
      <c r="B25" s="76"/>
      <c r="C25" s="76"/>
      <c r="D25" s="76"/>
      <c r="E25" s="76"/>
      <c r="F25" s="76"/>
      <c r="G25" s="76"/>
      <c r="H25" s="76"/>
      <c r="I25" s="77"/>
      <c r="J25" s="72">
        <v>3</v>
      </c>
      <c r="L25" s="123" t="str">
        <f>IF(OR(A3="",A3="R"),"",A$18&amp;$J3)</f>
        <v/>
      </c>
      <c r="M25" s="124" t="str">
        <f t="shared" ref="M25:R39" si="0">IF(OR(B3="",B3="R"),"",B$18&amp;$J3)</f>
        <v/>
      </c>
      <c r="N25" s="124" t="str">
        <f t="shared" si="0"/>
        <v/>
      </c>
      <c r="O25" s="124" t="str">
        <f t="shared" si="0"/>
        <v/>
      </c>
      <c r="P25" s="124" t="str">
        <f t="shared" si="0"/>
        <v/>
      </c>
      <c r="Q25" s="124" t="str">
        <f t="shared" si="0"/>
        <v/>
      </c>
      <c r="R25" s="124" t="str">
        <f>IF(OR(G3="",G3="R"),"",G$18&amp;$J3)</f>
        <v/>
      </c>
      <c r="S25" s="124" t="str">
        <f t="shared" ref="S25:T39" si="1">IF(OR(H3="",H3="R"),"",H$18&amp;$J3)</f>
        <v/>
      </c>
      <c r="T25" s="125" t="str">
        <f>IF(OR(I3="",I3="R"),"",I$18&amp;$J3)</f>
        <v/>
      </c>
      <c r="U25" t="str">
        <f>_xlfn.TEXTJOIN(", ",TRUE,L25:T25)</f>
        <v/>
      </c>
    </row>
    <row r="26" spans="1:21">
      <c r="A26" s="78"/>
      <c r="B26" s="79"/>
      <c r="C26" s="80" t="s">
        <v>174</v>
      </c>
      <c r="D26" s="79"/>
      <c r="E26" s="79"/>
      <c r="F26" s="80" t="s">
        <v>174</v>
      </c>
      <c r="G26" s="79"/>
      <c r="H26" s="81" t="s">
        <v>175</v>
      </c>
      <c r="I26" s="82"/>
      <c r="J26" s="72">
        <v>4</v>
      </c>
      <c r="L26" s="126" t="str">
        <f t="shared" ref="L26:L39" si="2">IF(OR(A4="",A4="R"),"",A$18&amp;$J4)</f>
        <v/>
      </c>
      <c r="M26" t="str">
        <f t="shared" si="0"/>
        <v/>
      </c>
      <c r="N26" t="str">
        <f t="shared" si="0"/>
        <v>D4</v>
      </c>
      <c r="O26" t="str">
        <f t="shared" si="0"/>
        <v/>
      </c>
      <c r="P26" t="str">
        <f t="shared" si="0"/>
        <v/>
      </c>
      <c r="Q26" t="str">
        <f t="shared" si="0"/>
        <v>G4</v>
      </c>
      <c r="R26" t="str">
        <f t="shared" si="0"/>
        <v/>
      </c>
      <c r="S26" t="str">
        <f t="shared" si="1"/>
        <v>I4</v>
      </c>
      <c r="T26" s="127" t="str">
        <f t="shared" si="1"/>
        <v/>
      </c>
      <c r="U26" t="str">
        <f t="shared" ref="U26:U39" si="3">_xlfn.TEXTJOIN(", ",TRUE,L26:T26)</f>
        <v>D4, G4, I4</v>
      </c>
    </row>
    <row r="27" spans="1:21">
      <c r="A27" s="78"/>
      <c r="B27" s="79"/>
      <c r="C27" s="79"/>
      <c r="D27" s="81" t="s">
        <v>175</v>
      </c>
      <c r="E27" s="79"/>
      <c r="F27" s="79"/>
      <c r="G27" s="79"/>
      <c r="H27" s="79"/>
      <c r="I27" s="82"/>
      <c r="J27" s="72">
        <v>5</v>
      </c>
      <c r="L27" s="126" t="str">
        <f t="shared" si="2"/>
        <v/>
      </c>
      <c r="M27" t="str">
        <f t="shared" si="0"/>
        <v/>
      </c>
      <c r="N27" t="str">
        <f t="shared" si="0"/>
        <v/>
      </c>
      <c r="O27" t="str">
        <f t="shared" si="0"/>
        <v>E5</v>
      </c>
      <c r="P27" t="str">
        <f t="shared" si="0"/>
        <v/>
      </c>
      <c r="Q27" t="str">
        <f t="shared" si="0"/>
        <v/>
      </c>
      <c r="R27" t="str">
        <f t="shared" si="0"/>
        <v/>
      </c>
      <c r="S27" t="str">
        <f t="shared" si="1"/>
        <v/>
      </c>
      <c r="T27" s="127" t="str">
        <f t="shared" si="1"/>
        <v/>
      </c>
      <c r="U27" t="str">
        <f t="shared" si="3"/>
        <v>E5</v>
      </c>
    </row>
    <row r="28" spans="1:21">
      <c r="A28" s="78"/>
      <c r="B28" s="83" t="s">
        <v>173</v>
      </c>
      <c r="C28" s="79"/>
      <c r="D28" s="79"/>
      <c r="E28" s="84" t="s">
        <v>176</v>
      </c>
      <c r="F28" s="79"/>
      <c r="G28" s="79"/>
      <c r="H28" s="81" t="s">
        <v>175</v>
      </c>
      <c r="I28" s="82"/>
      <c r="J28" s="72">
        <v>6</v>
      </c>
      <c r="L28" s="126" t="str">
        <f t="shared" si="2"/>
        <v/>
      </c>
      <c r="M28" t="str">
        <f t="shared" si="0"/>
        <v>C6</v>
      </c>
      <c r="N28" t="str">
        <f t="shared" si="0"/>
        <v/>
      </c>
      <c r="O28" t="str">
        <f t="shared" si="0"/>
        <v/>
      </c>
      <c r="P28" t="str">
        <f t="shared" si="0"/>
        <v>F6</v>
      </c>
      <c r="Q28" t="str">
        <f t="shared" si="0"/>
        <v/>
      </c>
      <c r="R28" t="str">
        <f t="shared" si="0"/>
        <v/>
      </c>
      <c r="S28" t="str">
        <f t="shared" si="1"/>
        <v>I6</v>
      </c>
      <c r="T28" s="127" t="str">
        <f t="shared" si="1"/>
        <v/>
      </c>
      <c r="U28" t="str">
        <f t="shared" si="3"/>
        <v>C6, F6, I6</v>
      </c>
    </row>
    <row r="29" spans="1:21">
      <c r="A29" s="78"/>
      <c r="B29" s="79"/>
      <c r="C29" s="79"/>
      <c r="D29" s="84" t="s">
        <v>176</v>
      </c>
      <c r="E29" s="79"/>
      <c r="F29" s="83" t="s">
        <v>173</v>
      </c>
      <c r="G29" s="79"/>
      <c r="H29" s="79"/>
      <c r="I29" s="82"/>
      <c r="J29" s="72">
        <v>7</v>
      </c>
      <c r="L29" s="126" t="str">
        <f t="shared" si="2"/>
        <v/>
      </c>
      <c r="M29" t="str">
        <f t="shared" si="0"/>
        <v/>
      </c>
      <c r="N29" t="str">
        <f t="shared" si="0"/>
        <v/>
      </c>
      <c r="O29" t="str">
        <f t="shared" si="0"/>
        <v>E7</v>
      </c>
      <c r="P29" t="str">
        <f t="shared" si="0"/>
        <v/>
      </c>
      <c r="Q29" t="str">
        <f t="shared" si="0"/>
        <v>G7</v>
      </c>
      <c r="R29" t="str">
        <f t="shared" si="0"/>
        <v/>
      </c>
      <c r="S29" t="str">
        <f t="shared" si="1"/>
        <v/>
      </c>
      <c r="T29" s="127" t="str">
        <f t="shared" si="1"/>
        <v/>
      </c>
      <c r="U29" t="str">
        <f t="shared" si="3"/>
        <v>E7, G7</v>
      </c>
    </row>
    <row r="30" spans="1:21">
      <c r="A30" s="78"/>
      <c r="B30" s="79"/>
      <c r="C30" s="79"/>
      <c r="D30" s="79"/>
      <c r="E30" s="79"/>
      <c r="F30" s="79"/>
      <c r="G30" s="79"/>
      <c r="H30" s="80" t="s">
        <v>174</v>
      </c>
      <c r="I30" s="82"/>
      <c r="J30" s="72">
        <v>8</v>
      </c>
      <c r="L30" s="126" t="str">
        <f t="shared" si="2"/>
        <v/>
      </c>
      <c r="M30" t="str">
        <f t="shared" si="0"/>
        <v/>
      </c>
      <c r="N30" t="str">
        <f t="shared" si="0"/>
        <v/>
      </c>
      <c r="O30" t="str">
        <f t="shared" si="0"/>
        <v/>
      </c>
      <c r="P30" t="str">
        <f t="shared" si="0"/>
        <v/>
      </c>
      <c r="Q30" t="str">
        <f t="shared" si="0"/>
        <v/>
      </c>
      <c r="R30" t="str">
        <f t="shared" si="0"/>
        <v/>
      </c>
      <c r="S30" t="str">
        <f t="shared" si="1"/>
        <v>I8</v>
      </c>
      <c r="T30" s="127" t="str">
        <f t="shared" si="1"/>
        <v/>
      </c>
      <c r="U30" t="str">
        <f t="shared" si="3"/>
        <v>I8</v>
      </c>
    </row>
    <row r="31" spans="1:21" ht="15.75" thickBot="1">
      <c r="A31" s="78"/>
      <c r="B31" s="81" t="s">
        <v>175</v>
      </c>
      <c r="C31" s="79"/>
      <c r="D31" s="83" t="s">
        <v>173</v>
      </c>
      <c r="E31" s="79"/>
      <c r="F31" s="79"/>
      <c r="G31" s="84" t="s">
        <v>176</v>
      </c>
      <c r="H31" s="79"/>
      <c r="I31" s="82"/>
      <c r="J31" s="72">
        <v>9</v>
      </c>
      <c r="L31" s="126" t="str">
        <f t="shared" si="2"/>
        <v/>
      </c>
      <c r="M31" t="str">
        <f t="shared" si="0"/>
        <v>C9</v>
      </c>
      <c r="N31" t="str">
        <f t="shared" si="0"/>
        <v/>
      </c>
      <c r="O31" t="str">
        <f t="shared" si="0"/>
        <v>E9</v>
      </c>
      <c r="P31" t="str">
        <f t="shared" si="0"/>
        <v/>
      </c>
      <c r="Q31" t="str">
        <f t="shared" si="0"/>
        <v/>
      </c>
      <c r="R31" t="str">
        <f t="shared" si="0"/>
        <v>H9</v>
      </c>
      <c r="S31" t="str">
        <f t="shared" si="1"/>
        <v/>
      </c>
      <c r="T31" s="127" t="str">
        <f t="shared" si="1"/>
        <v/>
      </c>
      <c r="U31" t="str">
        <f t="shared" si="3"/>
        <v>C9, E9, H9</v>
      </c>
    </row>
    <row r="32" spans="1:21" ht="16.5" thickTop="1" thickBot="1">
      <c r="A32" s="78"/>
      <c r="B32" s="79"/>
      <c r="C32" s="79"/>
      <c r="D32" s="79"/>
      <c r="E32" s="85" t="s">
        <v>213</v>
      </c>
      <c r="F32" s="79"/>
      <c r="G32" s="79"/>
      <c r="H32" s="79"/>
      <c r="I32" s="82"/>
      <c r="J32" s="72">
        <v>10</v>
      </c>
      <c r="L32" s="126" t="str">
        <f t="shared" si="2"/>
        <v/>
      </c>
      <c r="M32" t="str">
        <f t="shared" si="0"/>
        <v/>
      </c>
      <c r="N32" t="str">
        <f t="shared" si="0"/>
        <v/>
      </c>
      <c r="O32" t="str">
        <f t="shared" si="0"/>
        <v/>
      </c>
      <c r="P32" t="str">
        <f t="shared" si="0"/>
        <v/>
      </c>
      <c r="Q32" t="str">
        <f t="shared" si="0"/>
        <v/>
      </c>
      <c r="R32" t="str">
        <f t="shared" si="0"/>
        <v/>
      </c>
      <c r="S32" t="str">
        <f t="shared" si="1"/>
        <v/>
      </c>
      <c r="T32" s="127" t="str">
        <f t="shared" si="1"/>
        <v/>
      </c>
      <c r="U32" t="str">
        <f t="shared" si="3"/>
        <v/>
      </c>
    </row>
    <row r="33" spans="1:44" ht="15.75" thickTop="1">
      <c r="A33" s="78"/>
      <c r="B33" s="79"/>
      <c r="C33" s="81" t="s">
        <v>175</v>
      </c>
      <c r="D33" s="79"/>
      <c r="E33" s="79"/>
      <c r="F33" s="79"/>
      <c r="G33" s="80" t="s">
        <v>174</v>
      </c>
      <c r="H33" s="79"/>
      <c r="I33" s="82"/>
      <c r="J33" s="72">
        <v>11</v>
      </c>
      <c r="L33" s="126" t="str">
        <f t="shared" si="2"/>
        <v/>
      </c>
      <c r="M33" t="str">
        <f t="shared" si="0"/>
        <v/>
      </c>
      <c r="N33" t="str">
        <f t="shared" si="0"/>
        <v>D11</v>
      </c>
      <c r="O33" t="str">
        <f t="shared" si="0"/>
        <v/>
      </c>
      <c r="P33" t="str">
        <f t="shared" si="0"/>
        <v/>
      </c>
      <c r="Q33" t="str">
        <f t="shared" si="0"/>
        <v/>
      </c>
      <c r="R33" t="str">
        <f t="shared" si="0"/>
        <v>H11</v>
      </c>
      <c r="S33" t="str">
        <f t="shared" si="1"/>
        <v/>
      </c>
      <c r="T33" s="127" t="str">
        <f t="shared" si="1"/>
        <v/>
      </c>
      <c r="U33" t="str">
        <f t="shared" si="3"/>
        <v>D11, H11</v>
      </c>
    </row>
    <row r="34" spans="1:44">
      <c r="A34" s="78"/>
      <c r="B34" s="84" t="s">
        <v>176</v>
      </c>
      <c r="C34" s="79"/>
      <c r="D34" s="79"/>
      <c r="E34" s="83" t="s">
        <v>173</v>
      </c>
      <c r="F34" s="79"/>
      <c r="G34" s="79"/>
      <c r="H34" s="79"/>
      <c r="I34" s="82"/>
      <c r="J34" s="72">
        <v>12</v>
      </c>
      <c r="L34" s="126" t="str">
        <f t="shared" si="2"/>
        <v/>
      </c>
      <c r="M34" t="str">
        <f t="shared" si="0"/>
        <v>C12</v>
      </c>
      <c r="N34" t="str">
        <f t="shared" si="0"/>
        <v/>
      </c>
      <c r="O34" t="str">
        <f t="shared" si="0"/>
        <v/>
      </c>
      <c r="P34" t="str">
        <f t="shared" si="0"/>
        <v>F12</v>
      </c>
      <c r="Q34" t="str">
        <f t="shared" si="0"/>
        <v/>
      </c>
      <c r="R34" t="str">
        <f t="shared" si="0"/>
        <v/>
      </c>
      <c r="S34" t="str">
        <f t="shared" si="1"/>
        <v/>
      </c>
      <c r="T34" s="127" t="str">
        <f t="shared" si="1"/>
        <v/>
      </c>
      <c r="U34" t="str">
        <f t="shared" si="3"/>
        <v>C12, F12</v>
      </c>
    </row>
    <row r="35" spans="1:44">
      <c r="A35" s="78"/>
      <c r="B35" s="79"/>
      <c r="C35" s="79"/>
      <c r="D35" s="79"/>
      <c r="E35" s="79"/>
      <c r="F35" s="79"/>
      <c r="G35" s="79"/>
      <c r="H35" s="81" t="s">
        <v>175</v>
      </c>
      <c r="I35" s="82"/>
      <c r="J35" s="72">
        <v>13</v>
      </c>
      <c r="L35" s="126" t="str">
        <f t="shared" si="2"/>
        <v/>
      </c>
      <c r="M35" t="str">
        <f t="shared" si="0"/>
        <v/>
      </c>
      <c r="N35" t="str">
        <f t="shared" si="0"/>
        <v/>
      </c>
      <c r="O35" t="str">
        <f t="shared" si="0"/>
        <v/>
      </c>
      <c r="P35" t="str">
        <f t="shared" si="0"/>
        <v/>
      </c>
      <c r="Q35" t="str">
        <f t="shared" si="0"/>
        <v/>
      </c>
      <c r="R35" t="str">
        <f t="shared" si="0"/>
        <v/>
      </c>
      <c r="S35" t="str">
        <f t="shared" si="1"/>
        <v>I13</v>
      </c>
      <c r="T35" s="127" t="str">
        <f t="shared" si="1"/>
        <v/>
      </c>
      <c r="U35" t="str">
        <f t="shared" si="3"/>
        <v>I13</v>
      </c>
    </row>
    <row r="36" spans="1:44">
      <c r="A36" s="78"/>
      <c r="B36" s="79"/>
      <c r="C36" s="80" t="s">
        <v>174</v>
      </c>
      <c r="D36" s="79"/>
      <c r="E36" s="79"/>
      <c r="F36" s="80" t="s">
        <v>174</v>
      </c>
      <c r="G36" s="79"/>
      <c r="H36" s="79"/>
      <c r="I36" s="82"/>
      <c r="J36" s="72">
        <v>14</v>
      </c>
      <c r="L36" s="126" t="str">
        <f t="shared" si="2"/>
        <v/>
      </c>
      <c r="M36" t="str">
        <f t="shared" si="0"/>
        <v/>
      </c>
      <c r="N36" t="str">
        <f t="shared" si="0"/>
        <v>D14</v>
      </c>
      <c r="O36" t="str">
        <f t="shared" si="0"/>
        <v/>
      </c>
      <c r="P36" t="str">
        <f t="shared" si="0"/>
        <v/>
      </c>
      <c r="Q36" t="str">
        <f t="shared" si="0"/>
        <v>G14</v>
      </c>
      <c r="R36" t="str">
        <f t="shared" si="0"/>
        <v/>
      </c>
      <c r="S36" t="str">
        <f t="shared" si="1"/>
        <v/>
      </c>
      <c r="T36" s="127" t="str">
        <f t="shared" si="1"/>
        <v/>
      </c>
      <c r="U36" t="str">
        <f t="shared" si="3"/>
        <v>D14, G14</v>
      </c>
    </row>
    <row r="37" spans="1:44">
      <c r="A37" s="78"/>
      <c r="B37" s="79"/>
      <c r="C37" s="79"/>
      <c r="D37" s="79"/>
      <c r="E37" s="79"/>
      <c r="F37" s="79"/>
      <c r="G37" s="81" t="s">
        <v>175</v>
      </c>
      <c r="H37" s="79"/>
      <c r="I37" s="82"/>
      <c r="J37" s="72">
        <v>15</v>
      </c>
      <c r="L37" s="126" t="str">
        <f t="shared" si="2"/>
        <v/>
      </c>
      <c r="M37" t="str">
        <f t="shared" si="0"/>
        <v/>
      </c>
      <c r="N37" t="str">
        <f t="shared" si="0"/>
        <v/>
      </c>
      <c r="O37" t="str">
        <f t="shared" si="0"/>
        <v/>
      </c>
      <c r="P37" t="str">
        <f t="shared" si="0"/>
        <v/>
      </c>
      <c r="Q37" t="str">
        <f t="shared" si="0"/>
        <v/>
      </c>
      <c r="R37" t="str">
        <f t="shared" si="0"/>
        <v>H15</v>
      </c>
      <c r="S37" t="str">
        <f t="shared" si="1"/>
        <v/>
      </c>
      <c r="T37" s="127" t="str">
        <f t="shared" si="1"/>
        <v/>
      </c>
      <c r="U37" t="str">
        <f t="shared" si="3"/>
        <v>H15</v>
      </c>
    </row>
    <row r="38" spans="1:44">
      <c r="A38" s="78"/>
      <c r="B38" s="79"/>
      <c r="C38" s="83" t="s">
        <v>173</v>
      </c>
      <c r="D38" s="79"/>
      <c r="E38" s="84" t="s">
        <v>176</v>
      </c>
      <c r="F38" s="79"/>
      <c r="G38" s="79"/>
      <c r="H38" s="83" t="s">
        <v>173</v>
      </c>
      <c r="I38" s="82"/>
      <c r="J38" s="72">
        <v>16</v>
      </c>
      <c r="L38" s="126" t="str">
        <f t="shared" si="2"/>
        <v/>
      </c>
      <c r="M38" t="str">
        <f t="shared" si="0"/>
        <v/>
      </c>
      <c r="N38" t="str">
        <f t="shared" si="0"/>
        <v>D16</v>
      </c>
      <c r="O38" t="str">
        <f t="shared" si="0"/>
        <v/>
      </c>
      <c r="P38" t="str">
        <f t="shared" si="0"/>
        <v>F16</v>
      </c>
      <c r="Q38" t="str">
        <f t="shared" si="0"/>
        <v/>
      </c>
      <c r="R38" t="str">
        <f t="shared" si="0"/>
        <v/>
      </c>
      <c r="S38" t="str">
        <f t="shared" si="1"/>
        <v>I16</v>
      </c>
      <c r="T38" s="127" t="str">
        <f t="shared" si="1"/>
        <v/>
      </c>
      <c r="U38" t="str">
        <f t="shared" si="3"/>
        <v>D16, F16, I16</v>
      </c>
    </row>
    <row r="39" spans="1:44" ht="15.75" thickBot="1">
      <c r="A39" s="86"/>
      <c r="B39" s="87"/>
      <c r="C39" s="87"/>
      <c r="D39" s="87"/>
      <c r="E39" s="87"/>
      <c r="F39" s="87"/>
      <c r="G39" s="87"/>
      <c r="H39" s="87"/>
      <c r="I39" s="88"/>
      <c r="J39" s="72">
        <v>17</v>
      </c>
      <c r="L39" s="128" t="str">
        <f t="shared" si="2"/>
        <v/>
      </c>
      <c r="M39" s="129" t="str">
        <f t="shared" si="0"/>
        <v/>
      </c>
      <c r="N39" s="129" t="str">
        <f t="shared" si="0"/>
        <v/>
      </c>
      <c r="O39" s="129" t="str">
        <f t="shared" si="0"/>
        <v/>
      </c>
      <c r="P39" s="129" t="str">
        <f t="shared" si="0"/>
        <v/>
      </c>
      <c r="Q39" s="129" t="str">
        <f t="shared" si="0"/>
        <v/>
      </c>
      <c r="R39" s="129" t="str">
        <f t="shared" si="0"/>
        <v/>
      </c>
      <c r="S39" s="129" t="str">
        <f t="shared" si="1"/>
        <v/>
      </c>
      <c r="T39" s="130" t="str">
        <f t="shared" si="1"/>
        <v/>
      </c>
      <c r="U39" t="str">
        <f t="shared" si="3"/>
        <v/>
      </c>
    </row>
    <row r="40" spans="1:44" ht="15.75" thickTop="1">
      <c r="A40" s="72" t="s">
        <v>214</v>
      </c>
      <c r="B40" s="72" t="s">
        <v>215</v>
      </c>
      <c r="C40" s="72" t="s">
        <v>216</v>
      </c>
      <c r="D40" s="72" t="s">
        <v>217</v>
      </c>
      <c r="E40" s="72" t="s">
        <v>218</v>
      </c>
      <c r="F40" s="72" t="s">
        <v>219</v>
      </c>
      <c r="G40" s="72" t="s">
        <v>220</v>
      </c>
      <c r="H40" s="72" t="s">
        <v>221</v>
      </c>
      <c r="I40" s="72" t="s">
        <v>222</v>
      </c>
      <c r="T40" t="s">
        <v>233</v>
      </c>
      <c r="U40" t="str">
        <f>_xlfn.TEXTJOIN(", ",TRUE,U25:U39)</f>
        <v>D4, G4, I4, E5, C6, F6, I6, E7, G7, I8, C9, E9, H9, D11, H11, C12, F12, I13, D14, G14, H15, D16, F16, I16</v>
      </c>
    </row>
    <row r="41" spans="1:44">
      <c r="T41" t="s">
        <v>234</v>
      </c>
      <c r="U41" t="str" cm="1">
        <f t="array" ref="U41:AR41">_xlfn.TEXTSPLIT(U40,", ")</f>
        <v>D4</v>
      </c>
      <c r="V41" t="str">
        <v>G4</v>
      </c>
      <c r="W41" t="str">
        <v>I4</v>
      </c>
      <c r="X41" t="str">
        <v>E5</v>
      </c>
      <c r="Y41" t="str">
        <v>C6</v>
      </c>
      <c r="Z41" t="str">
        <v>F6</v>
      </c>
      <c r="AA41" t="str">
        <v>I6</v>
      </c>
      <c r="AB41" t="str">
        <v>E7</v>
      </c>
      <c r="AC41" t="str">
        <v>G7</v>
      </c>
      <c r="AD41" t="str">
        <v>I8</v>
      </c>
      <c r="AE41" t="str">
        <v>C9</v>
      </c>
      <c r="AF41" t="str">
        <v>E9</v>
      </c>
      <c r="AG41" t="str">
        <v>H9</v>
      </c>
      <c r="AH41" t="str">
        <v>D11</v>
      </c>
      <c r="AI41" t="str">
        <v>H11</v>
      </c>
      <c r="AJ41" t="str">
        <v>C12</v>
      </c>
      <c r="AK41" t="str">
        <v>F12</v>
      </c>
      <c r="AL41" t="str">
        <v>I13</v>
      </c>
      <c r="AM41" t="str">
        <v>D14</v>
      </c>
      <c r="AN41" t="str">
        <v>G14</v>
      </c>
      <c r="AO41" t="str">
        <v>H15</v>
      </c>
      <c r="AP41" t="str">
        <v>D16</v>
      </c>
      <c r="AQ41" t="str">
        <v>F16</v>
      </c>
      <c r="AR41" t="str">
        <v>I16</v>
      </c>
    </row>
    <row r="42" spans="1:44" ht="15.75" thickBot="1">
      <c r="A42" s="60" t="s">
        <v>27</v>
      </c>
      <c r="B42" s="3"/>
      <c r="C42" s="3"/>
      <c r="D42" s="35"/>
      <c r="E42" s="3"/>
      <c r="F42" s="107" t="s">
        <v>28</v>
      </c>
      <c r="G42" s="1"/>
      <c r="H42" s="60" t="s">
        <v>29</v>
      </c>
      <c r="I42" s="3"/>
      <c r="J42" s="3"/>
      <c r="K42" s="3"/>
      <c r="L42" s="3"/>
      <c r="M42" s="3"/>
      <c r="N42" s="3"/>
      <c r="P42" t="s">
        <v>235</v>
      </c>
    </row>
    <row r="43" spans="1:44" ht="15.75" thickBot="1">
      <c r="A43" s="170" t="s">
        <v>30</v>
      </c>
      <c r="B43" s="171"/>
      <c r="C43" s="171"/>
      <c r="D43" s="172"/>
      <c r="E43" s="3" t="s">
        <v>236</v>
      </c>
      <c r="F43" s="49" t="s">
        <v>31</v>
      </c>
      <c r="G43" s="1"/>
      <c r="H43" s="49" t="s">
        <v>10</v>
      </c>
      <c r="I43" s="49" t="s">
        <v>11</v>
      </c>
      <c r="J43" s="49" t="s">
        <v>12</v>
      </c>
      <c r="K43" s="49" t="s">
        <v>13</v>
      </c>
      <c r="L43" s="49" t="s">
        <v>14</v>
      </c>
      <c r="M43" s="49" t="s">
        <v>15</v>
      </c>
      <c r="N43" s="49" t="s">
        <v>16</v>
      </c>
      <c r="P43" s="110" t="s">
        <v>105</v>
      </c>
      <c r="Q43" s="110" t="s">
        <v>237</v>
      </c>
      <c r="R43" s="110" t="s">
        <v>238</v>
      </c>
      <c r="S43" s="110" t="s">
        <v>239</v>
      </c>
      <c r="T43" s="110" t="s">
        <v>240</v>
      </c>
      <c r="U43" s="110" t="s">
        <v>241</v>
      </c>
      <c r="V43" s="110" t="s">
        <v>242</v>
      </c>
      <c r="W43" s="110" t="s">
        <v>243</v>
      </c>
      <c r="X43" s="110" t="s">
        <v>244</v>
      </c>
      <c r="Y43" s="110" t="s">
        <v>245</v>
      </c>
      <c r="Z43" s="49" t="s">
        <v>10</v>
      </c>
      <c r="AA43" s="49" t="s">
        <v>11</v>
      </c>
      <c r="AB43" s="49" t="s">
        <v>12</v>
      </c>
      <c r="AC43" s="49" t="s">
        <v>13</v>
      </c>
      <c r="AD43" s="49" t="s">
        <v>14</v>
      </c>
      <c r="AE43" s="49" t="s">
        <v>15</v>
      </c>
      <c r="AF43" s="49" t="s">
        <v>16</v>
      </c>
      <c r="AG43" s="112" t="s">
        <v>246</v>
      </c>
      <c r="AH43" s="112" t="s">
        <v>247</v>
      </c>
      <c r="AI43" s="112" t="s">
        <v>248</v>
      </c>
      <c r="AL43" t="s">
        <v>75</v>
      </c>
    </row>
    <row r="44" spans="1:44">
      <c r="A44" s="197" t="s">
        <v>32</v>
      </c>
      <c r="B44" s="198"/>
      <c r="C44" s="198"/>
      <c r="D44" s="199"/>
      <c r="E44" s="3" t="s">
        <v>173</v>
      </c>
      <c r="F44" s="93">
        <v>0.1</v>
      </c>
      <c r="G44" s="1"/>
      <c r="H44" s="92">
        <v>400</v>
      </c>
      <c r="I44" s="92"/>
      <c r="J44" s="92"/>
      <c r="K44" s="92"/>
      <c r="L44" s="92"/>
      <c r="M44" s="92"/>
      <c r="N44" s="92"/>
      <c r="P44" t="s">
        <v>140</v>
      </c>
      <c r="Q44" t="str">
        <f>LEFT(P44,1)</f>
        <v>D</v>
      </c>
      <c r="R44">
        <f>VALUE(SUBSTITUTE(P44,Q44,""))</f>
        <v>4</v>
      </c>
      <c r="S44" t="str">
        <f>INDEX($A$25:$I$39,MATCH(R44,$J$25:$J$39,0),MATCH(Q44,$A$40:$I$40,0))</f>
        <v>b</v>
      </c>
      <c r="T44" t="str">
        <f>INDEX($A$44:$A$47,MATCH(S44,$E$44:$E$47,0))</f>
        <v>Scordite</v>
      </c>
      <c r="U44">
        <f>INDEX($A$3:$I$17,MATCH(R44,$J$3:$J$17,0),MATCH(Q44,$A$18:$I$18,0))*1000</f>
        <v>1000</v>
      </c>
      <c r="V44">
        <f>INDEX($A$56:$D$56,1,MATCH(T44,$A$55:$D$55,0))</f>
        <v>4</v>
      </c>
      <c r="W44" s="114">
        <f>VLOOKUP(V44,$A$59:$B$64,2,FALSE)</f>
        <v>0.05</v>
      </c>
      <c r="X44" s="122">
        <f>U44*(1-W44)</f>
        <v>950</v>
      </c>
      <c r="Y44" s="122">
        <f>X44*INDEX($F$44:$F$47,MATCH(T44,$A$44:$A$47,0))</f>
        <v>142.5</v>
      </c>
      <c r="Z44">
        <f>INDEX($H$44:$N$47,MATCH($T44,$A$44:$A$47,0),MATCH(Z$43,$H$43:$N$43,0))</f>
        <v>150</v>
      </c>
      <c r="AA44">
        <f t="shared" ref="AA44:AF59" si="4">INDEX($H$44:$N$47,MATCH($T44,$A$44:$A$47,0),MATCH(AA$43,$H$43:$N$43,0))</f>
        <v>90</v>
      </c>
      <c r="AB44">
        <f t="shared" si="4"/>
        <v>0</v>
      </c>
      <c r="AC44">
        <f t="shared" si="4"/>
        <v>0</v>
      </c>
      <c r="AD44">
        <f t="shared" si="4"/>
        <v>0</v>
      </c>
      <c r="AE44">
        <f t="shared" si="4"/>
        <v>0</v>
      </c>
      <c r="AF44">
        <f t="shared" si="4"/>
        <v>0</v>
      </c>
      <c r="AG44">
        <f>SUMPRODUCT(Z44:AF44,$A$51:$G$51)</f>
        <v>1548.3</v>
      </c>
      <c r="AH44" s="122">
        <f>AG44*X44</f>
        <v>1470885</v>
      </c>
      <c r="AI44" s="134">
        <f>ROUND(AH44/Y44,10)</f>
        <v>10322</v>
      </c>
      <c r="AL44" t="s">
        <v>296</v>
      </c>
    </row>
    <row r="45" spans="1:44">
      <c r="A45" s="200" t="s">
        <v>33</v>
      </c>
      <c r="B45" s="201"/>
      <c r="C45" s="201"/>
      <c r="D45" s="202"/>
      <c r="E45" s="3" t="s">
        <v>174</v>
      </c>
      <c r="F45" s="94">
        <v>0.15</v>
      </c>
      <c r="G45" s="1"/>
      <c r="H45" s="89">
        <v>150</v>
      </c>
      <c r="I45" s="89">
        <v>90</v>
      </c>
      <c r="J45" s="89"/>
      <c r="K45" s="89"/>
      <c r="L45" s="89"/>
      <c r="M45" s="89"/>
      <c r="N45" s="89"/>
      <c r="P45" t="s">
        <v>127</v>
      </c>
      <c r="Q45" t="str">
        <f t="shared" ref="Q45:Q67" si="5">LEFT(P45,1)</f>
        <v>G</v>
      </c>
      <c r="R45">
        <f t="shared" ref="R45:R67" si="6">VALUE(SUBSTITUTE(P45,Q45,""))</f>
        <v>4</v>
      </c>
      <c r="S45" t="str">
        <f t="shared" ref="S45:S67" si="7">INDEX($A$25:$I$39,MATCH(R45,$J$25:$J$39,0),MATCH(Q45,$A$40:$I$40,0))</f>
        <v>b</v>
      </c>
      <c r="T45" t="str">
        <f t="shared" ref="T45:T67" si="8">INDEX($A$44:$A$47,MATCH(S45,$E$44:$E$47,0))</f>
        <v>Scordite</v>
      </c>
      <c r="U45">
        <f t="shared" ref="U45:U67" si="9">INDEX($A$3:$I$17,MATCH(R45,$J$3:$J$17,0),MATCH(Q45,$A$18:$I$18,0))*1000</f>
        <v>2000</v>
      </c>
      <c r="V45">
        <f t="shared" ref="V45:V67" si="10">INDEX($A$56:$D$56,1,MATCH(T45,$A$55:$D$55,0))</f>
        <v>4</v>
      </c>
      <c r="W45" s="114">
        <f t="shared" ref="W45:W67" si="11">VLOOKUP(V45,$A$59:$B$64,2,FALSE)</f>
        <v>0.05</v>
      </c>
      <c r="X45" s="122">
        <f t="shared" ref="X45:X67" si="12">U45*(1-W45)</f>
        <v>1900</v>
      </c>
      <c r="Y45" s="122">
        <f t="shared" ref="Y45:Y67" si="13">X45*INDEX($F$44:$F$47,MATCH(T45,$A$44:$A$47,0))</f>
        <v>285</v>
      </c>
      <c r="Z45">
        <f t="shared" ref="Z45:AF67" si="14">INDEX($H$44:$N$47,MATCH($T45,$A$44:$A$47,0),MATCH(Z$43,$H$43:$N$43,0))</f>
        <v>150</v>
      </c>
      <c r="AA45">
        <f t="shared" si="4"/>
        <v>90</v>
      </c>
      <c r="AB45">
        <f t="shared" si="4"/>
        <v>0</v>
      </c>
      <c r="AC45">
        <f t="shared" si="4"/>
        <v>0</v>
      </c>
      <c r="AD45">
        <f t="shared" si="4"/>
        <v>0</v>
      </c>
      <c r="AE45">
        <f t="shared" si="4"/>
        <v>0</v>
      </c>
      <c r="AF45">
        <f t="shared" si="4"/>
        <v>0</v>
      </c>
      <c r="AG45">
        <f t="shared" ref="AG45:AG67" si="15">SUMPRODUCT(Z45:AF45,$A$51:$G$51)</f>
        <v>1548.3</v>
      </c>
      <c r="AH45" s="122">
        <f t="shared" ref="AH45:AH67" si="16">AG45*X45</f>
        <v>2941770</v>
      </c>
      <c r="AI45" s="134">
        <f t="shared" ref="AI45:AI67" si="17">ROUND(AH45/Y45,10)</f>
        <v>10322</v>
      </c>
      <c r="AL45" t="s">
        <v>322</v>
      </c>
    </row>
    <row r="46" spans="1:44">
      <c r="A46" s="203" t="s">
        <v>34</v>
      </c>
      <c r="B46" s="204"/>
      <c r="C46" s="204"/>
      <c r="D46" s="205"/>
      <c r="E46" s="3" t="s">
        <v>176</v>
      </c>
      <c r="F46" s="95">
        <v>0.6</v>
      </c>
      <c r="G46" s="1"/>
      <c r="H46" s="90"/>
      <c r="I46" s="90">
        <v>90</v>
      </c>
      <c r="J46" s="90"/>
      <c r="K46" s="90">
        <v>75</v>
      </c>
      <c r="L46" s="90"/>
      <c r="M46" s="90"/>
      <c r="N46" s="90"/>
      <c r="P46" t="s">
        <v>109</v>
      </c>
      <c r="Q46" t="str">
        <f t="shared" si="5"/>
        <v>I</v>
      </c>
      <c r="R46">
        <f t="shared" si="6"/>
        <v>4</v>
      </c>
      <c r="S46" t="str">
        <f t="shared" si="7"/>
        <v>d</v>
      </c>
      <c r="T46" t="str">
        <f t="shared" si="8"/>
        <v>Kernite</v>
      </c>
      <c r="U46">
        <f t="shared" si="9"/>
        <v>5000</v>
      </c>
      <c r="V46">
        <f t="shared" si="10"/>
        <v>2</v>
      </c>
      <c r="W46" s="114">
        <f t="shared" si="11"/>
        <v>0.15</v>
      </c>
      <c r="X46" s="122">
        <f t="shared" si="12"/>
        <v>4250</v>
      </c>
      <c r="Y46" s="122">
        <f t="shared" si="13"/>
        <v>5100</v>
      </c>
      <c r="Z46">
        <f t="shared" si="14"/>
        <v>0</v>
      </c>
      <c r="AA46">
        <f t="shared" si="4"/>
        <v>0</v>
      </c>
      <c r="AB46">
        <f t="shared" si="4"/>
        <v>60</v>
      </c>
      <c r="AC46">
        <f t="shared" si="4"/>
        <v>120</v>
      </c>
      <c r="AD46">
        <f t="shared" si="4"/>
        <v>0</v>
      </c>
      <c r="AE46">
        <f t="shared" si="4"/>
        <v>0</v>
      </c>
      <c r="AF46">
        <f t="shared" si="4"/>
        <v>0</v>
      </c>
      <c r="AG46">
        <f t="shared" si="15"/>
        <v>58303.199999999997</v>
      </c>
      <c r="AH46" s="122">
        <f t="shared" si="16"/>
        <v>247788600</v>
      </c>
      <c r="AI46" s="134">
        <f t="shared" si="17"/>
        <v>48586</v>
      </c>
      <c r="AL46" t="s">
        <v>228</v>
      </c>
    </row>
    <row r="47" spans="1:44">
      <c r="A47" s="166" t="s">
        <v>35</v>
      </c>
      <c r="B47" s="167"/>
      <c r="C47" s="167"/>
      <c r="D47" s="168"/>
      <c r="E47" s="3" t="s">
        <v>175</v>
      </c>
      <c r="F47" s="96">
        <v>1.2</v>
      </c>
      <c r="G47" s="1"/>
      <c r="H47" s="91"/>
      <c r="I47" s="91"/>
      <c r="J47" s="91">
        <v>60</v>
      </c>
      <c r="K47" s="91">
        <v>120</v>
      </c>
      <c r="L47" s="91"/>
      <c r="M47" s="91"/>
      <c r="N47" s="91"/>
      <c r="P47" t="s">
        <v>111</v>
      </c>
      <c r="Q47" t="str">
        <f t="shared" si="5"/>
        <v>E</v>
      </c>
      <c r="R47">
        <f t="shared" si="6"/>
        <v>5</v>
      </c>
      <c r="S47" t="str">
        <f t="shared" si="7"/>
        <v>d</v>
      </c>
      <c r="T47" t="str">
        <f t="shared" si="8"/>
        <v>Kernite</v>
      </c>
      <c r="U47">
        <f t="shared" si="9"/>
        <v>3000</v>
      </c>
      <c r="V47">
        <f t="shared" si="10"/>
        <v>2</v>
      </c>
      <c r="W47" s="114">
        <f t="shared" si="11"/>
        <v>0.15</v>
      </c>
      <c r="X47" s="122">
        <f t="shared" si="12"/>
        <v>2550</v>
      </c>
      <c r="Y47" s="122">
        <f t="shared" si="13"/>
        <v>3060</v>
      </c>
      <c r="Z47">
        <f t="shared" si="14"/>
        <v>0</v>
      </c>
      <c r="AA47">
        <f t="shared" si="4"/>
        <v>0</v>
      </c>
      <c r="AB47">
        <f t="shared" si="4"/>
        <v>60</v>
      </c>
      <c r="AC47">
        <f t="shared" si="4"/>
        <v>120</v>
      </c>
      <c r="AD47">
        <f t="shared" si="4"/>
        <v>0</v>
      </c>
      <c r="AE47">
        <f t="shared" si="4"/>
        <v>0</v>
      </c>
      <c r="AF47">
        <f t="shared" si="4"/>
        <v>0</v>
      </c>
      <c r="AG47">
        <f t="shared" si="15"/>
        <v>58303.199999999997</v>
      </c>
      <c r="AH47" s="122">
        <f t="shared" si="16"/>
        <v>148673160</v>
      </c>
      <c r="AI47" s="134">
        <f t="shared" si="17"/>
        <v>48586</v>
      </c>
      <c r="AM47" t="s">
        <v>330</v>
      </c>
    </row>
    <row r="48" spans="1:44">
      <c r="P48" t="s">
        <v>108</v>
      </c>
      <c r="Q48" t="str">
        <f t="shared" si="5"/>
        <v>C</v>
      </c>
      <c r="R48">
        <f t="shared" si="6"/>
        <v>6</v>
      </c>
      <c r="S48" t="str">
        <f t="shared" si="7"/>
        <v>a</v>
      </c>
      <c r="T48" t="str">
        <f t="shared" si="8"/>
        <v>Veldspar</v>
      </c>
      <c r="U48">
        <f t="shared" si="9"/>
        <v>6000</v>
      </c>
      <c r="V48">
        <f t="shared" si="10"/>
        <v>5</v>
      </c>
      <c r="W48" s="114">
        <f t="shared" si="11"/>
        <v>0</v>
      </c>
      <c r="X48" s="122">
        <f t="shared" si="12"/>
        <v>6000</v>
      </c>
      <c r="Y48" s="122">
        <f t="shared" si="13"/>
        <v>600</v>
      </c>
      <c r="Z48">
        <f t="shared" si="14"/>
        <v>400</v>
      </c>
      <c r="AA48">
        <f t="shared" si="4"/>
        <v>0</v>
      </c>
      <c r="AB48">
        <f t="shared" si="4"/>
        <v>0</v>
      </c>
      <c r="AC48">
        <f t="shared" si="4"/>
        <v>0</v>
      </c>
      <c r="AD48">
        <f t="shared" si="4"/>
        <v>0</v>
      </c>
      <c r="AE48">
        <f t="shared" si="4"/>
        <v>0</v>
      </c>
      <c r="AF48">
        <f t="shared" si="4"/>
        <v>0</v>
      </c>
      <c r="AG48">
        <f t="shared" si="15"/>
        <v>1700</v>
      </c>
      <c r="AH48" s="122">
        <f t="shared" si="16"/>
        <v>10200000</v>
      </c>
      <c r="AI48" s="134">
        <f t="shared" si="17"/>
        <v>17000</v>
      </c>
      <c r="AM48" t="s">
        <v>297</v>
      </c>
    </row>
    <row r="49" spans="1:39" ht="16.5" thickBot="1">
      <c r="A49" s="46" t="s">
        <v>249</v>
      </c>
      <c r="B49" s="46"/>
      <c r="C49" s="46"/>
      <c r="D49" s="46"/>
      <c r="E49" s="46"/>
      <c r="F49" s="46"/>
      <c r="G49" s="44"/>
      <c r="P49" t="s">
        <v>125</v>
      </c>
      <c r="Q49" t="str">
        <f t="shared" si="5"/>
        <v>F</v>
      </c>
      <c r="R49">
        <f t="shared" si="6"/>
        <v>6</v>
      </c>
      <c r="S49" t="str">
        <f t="shared" si="7"/>
        <v>c</v>
      </c>
      <c r="T49" t="str">
        <f t="shared" si="8"/>
        <v>Omber</v>
      </c>
      <c r="U49">
        <f t="shared" si="9"/>
        <v>1000</v>
      </c>
      <c r="V49">
        <f t="shared" si="10"/>
        <v>0</v>
      </c>
      <c r="W49" s="114">
        <f t="shared" si="11"/>
        <v>0.25</v>
      </c>
      <c r="X49" s="122">
        <f t="shared" si="12"/>
        <v>750</v>
      </c>
      <c r="Y49" s="122">
        <f t="shared" si="13"/>
        <v>450</v>
      </c>
      <c r="Z49">
        <f t="shared" si="14"/>
        <v>0</v>
      </c>
      <c r="AA49">
        <f t="shared" si="4"/>
        <v>90</v>
      </c>
      <c r="AB49">
        <f t="shared" si="4"/>
        <v>0</v>
      </c>
      <c r="AC49">
        <f t="shared" si="4"/>
        <v>75</v>
      </c>
      <c r="AD49">
        <f t="shared" si="4"/>
        <v>0</v>
      </c>
      <c r="AE49">
        <f t="shared" si="4"/>
        <v>0</v>
      </c>
      <c r="AF49">
        <f t="shared" si="4"/>
        <v>0</v>
      </c>
      <c r="AG49">
        <f t="shared" si="15"/>
        <v>35380.800000000003</v>
      </c>
      <c r="AH49" s="122">
        <f t="shared" si="16"/>
        <v>26535600.000000004</v>
      </c>
      <c r="AI49" s="134">
        <f t="shared" si="17"/>
        <v>58968</v>
      </c>
      <c r="AM49" t="s">
        <v>298</v>
      </c>
    </row>
    <row r="50" spans="1:39" ht="15.75" thickBot="1">
      <c r="A50" s="49" t="s">
        <v>10</v>
      </c>
      <c r="B50" s="49" t="s">
        <v>11</v>
      </c>
      <c r="C50" s="49" t="s">
        <v>12</v>
      </c>
      <c r="D50" s="49" t="s">
        <v>13</v>
      </c>
      <c r="E50" s="49" t="s">
        <v>14</v>
      </c>
      <c r="F50" s="49" t="s">
        <v>15</v>
      </c>
      <c r="G50" s="49" t="s">
        <v>16</v>
      </c>
      <c r="P50" t="s">
        <v>124</v>
      </c>
      <c r="Q50" t="str">
        <f t="shared" si="5"/>
        <v>I</v>
      </c>
      <c r="R50">
        <f t="shared" si="6"/>
        <v>6</v>
      </c>
      <c r="S50" t="str">
        <f t="shared" si="7"/>
        <v>d</v>
      </c>
      <c r="T50" t="str">
        <f t="shared" si="8"/>
        <v>Kernite</v>
      </c>
      <c r="U50">
        <f t="shared" si="9"/>
        <v>4000</v>
      </c>
      <c r="V50">
        <f t="shared" si="10"/>
        <v>2</v>
      </c>
      <c r="W50" s="114">
        <f t="shared" si="11"/>
        <v>0.15</v>
      </c>
      <c r="X50" s="122">
        <f t="shared" si="12"/>
        <v>3400</v>
      </c>
      <c r="Y50" s="122">
        <f t="shared" si="13"/>
        <v>4080</v>
      </c>
      <c r="Z50">
        <f t="shared" si="14"/>
        <v>0</v>
      </c>
      <c r="AA50">
        <f t="shared" si="4"/>
        <v>0</v>
      </c>
      <c r="AB50">
        <f t="shared" si="4"/>
        <v>60</v>
      </c>
      <c r="AC50">
        <f t="shared" si="4"/>
        <v>120</v>
      </c>
      <c r="AD50">
        <f t="shared" si="4"/>
        <v>0</v>
      </c>
      <c r="AE50">
        <f t="shared" si="4"/>
        <v>0</v>
      </c>
      <c r="AF50">
        <f t="shared" si="4"/>
        <v>0</v>
      </c>
      <c r="AG50">
        <f t="shared" si="15"/>
        <v>58303.199999999997</v>
      </c>
      <c r="AH50" s="122">
        <f t="shared" si="16"/>
        <v>198230880</v>
      </c>
      <c r="AI50" s="134">
        <f t="shared" si="17"/>
        <v>48586</v>
      </c>
      <c r="AL50" t="s">
        <v>231</v>
      </c>
    </row>
    <row r="51" spans="1:39">
      <c r="A51">
        <f>INDEX('Add-In Output'!$B$4:$U$212,1,MATCH(A50&amp;" Price",'Add-In Output'!$B$2:$U$2,0))</f>
        <v>4.25</v>
      </c>
      <c r="B51">
        <f>INDEX('Add-In Output'!$B$4:$U$212,1,MATCH(B50&amp;" Price",'Add-In Output'!$B$2:$U$2,0))</f>
        <v>10.119999999999999</v>
      </c>
      <c r="C51">
        <f>INDEX('Add-In Output'!$B$4:$U$212,1,MATCH(C50&amp;" Price",'Add-In Output'!$B$2:$U$2,0))</f>
        <v>52.52</v>
      </c>
      <c r="D51">
        <f>INDEX('Add-In Output'!$B$4:$U$212,1,MATCH(D50&amp;" Price",'Add-In Output'!$B$2:$U$2,0))</f>
        <v>459.6</v>
      </c>
      <c r="E51">
        <f>INDEX('Add-In Output'!$B$4:$U$212,1,MATCH(E50&amp;" Price",'Add-In Output'!$B$2:$U$2,0))</f>
        <v>1110</v>
      </c>
      <c r="F51">
        <f>INDEX('Add-In Output'!$B$4:$U$212,1,MATCH(F50&amp;" Price",'Add-In Output'!$B$2:$U$2,0))</f>
        <v>1980</v>
      </c>
      <c r="G51">
        <f>INDEX('Add-In Output'!$B$4:$U$212,1,MATCH(G50&amp;" Price",'Add-In Output'!$B$2:$U$2,0))</f>
        <v>5500</v>
      </c>
      <c r="P51" t="s">
        <v>112</v>
      </c>
      <c r="Q51" t="str">
        <f t="shared" si="5"/>
        <v>E</v>
      </c>
      <c r="R51">
        <f t="shared" si="6"/>
        <v>7</v>
      </c>
      <c r="S51" t="str">
        <f t="shared" si="7"/>
        <v>c</v>
      </c>
      <c r="T51" t="str">
        <f t="shared" si="8"/>
        <v>Omber</v>
      </c>
      <c r="U51">
        <f t="shared" si="9"/>
        <v>2000</v>
      </c>
      <c r="V51">
        <f t="shared" si="10"/>
        <v>0</v>
      </c>
      <c r="W51" s="114">
        <f t="shared" si="11"/>
        <v>0.25</v>
      </c>
      <c r="X51" s="122">
        <f t="shared" si="12"/>
        <v>1500</v>
      </c>
      <c r="Y51" s="122">
        <f t="shared" si="13"/>
        <v>900</v>
      </c>
      <c r="Z51">
        <f t="shared" si="14"/>
        <v>0</v>
      </c>
      <c r="AA51">
        <f t="shared" si="4"/>
        <v>90</v>
      </c>
      <c r="AB51">
        <f t="shared" si="4"/>
        <v>0</v>
      </c>
      <c r="AC51">
        <f t="shared" si="4"/>
        <v>75</v>
      </c>
      <c r="AD51">
        <f t="shared" si="4"/>
        <v>0</v>
      </c>
      <c r="AE51">
        <f t="shared" si="4"/>
        <v>0</v>
      </c>
      <c r="AF51">
        <f t="shared" si="4"/>
        <v>0</v>
      </c>
      <c r="AG51">
        <f t="shared" si="15"/>
        <v>35380.800000000003</v>
      </c>
      <c r="AH51" s="122">
        <f t="shared" si="16"/>
        <v>53071200.000000007</v>
      </c>
      <c r="AI51" s="134">
        <f t="shared" si="17"/>
        <v>58968</v>
      </c>
      <c r="AL51" t="s">
        <v>232</v>
      </c>
    </row>
    <row r="52" spans="1:39">
      <c r="P52" t="s">
        <v>121</v>
      </c>
      <c r="Q52" t="str">
        <f t="shared" si="5"/>
        <v>G</v>
      </c>
      <c r="R52">
        <f t="shared" si="6"/>
        <v>7</v>
      </c>
      <c r="S52" t="str">
        <f t="shared" si="7"/>
        <v>a</v>
      </c>
      <c r="T52" t="str">
        <f t="shared" si="8"/>
        <v>Veldspar</v>
      </c>
      <c r="U52">
        <f t="shared" si="9"/>
        <v>5000</v>
      </c>
      <c r="V52">
        <f t="shared" si="10"/>
        <v>5</v>
      </c>
      <c r="W52" s="114">
        <f t="shared" si="11"/>
        <v>0</v>
      </c>
      <c r="X52" s="122">
        <f t="shared" si="12"/>
        <v>5000</v>
      </c>
      <c r="Y52" s="122">
        <f t="shared" si="13"/>
        <v>500</v>
      </c>
      <c r="Z52">
        <f t="shared" si="14"/>
        <v>400</v>
      </c>
      <c r="AA52">
        <f t="shared" si="4"/>
        <v>0</v>
      </c>
      <c r="AB52">
        <f t="shared" si="4"/>
        <v>0</v>
      </c>
      <c r="AC52">
        <f t="shared" si="4"/>
        <v>0</v>
      </c>
      <c r="AD52">
        <f t="shared" si="4"/>
        <v>0</v>
      </c>
      <c r="AE52">
        <f t="shared" si="4"/>
        <v>0</v>
      </c>
      <c r="AF52">
        <f t="shared" si="4"/>
        <v>0</v>
      </c>
      <c r="AG52">
        <f t="shared" si="15"/>
        <v>1700</v>
      </c>
      <c r="AH52" s="122">
        <f t="shared" si="16"/>
        <v>8500000</v>
      </c>
      <c r="AI52" s="134">
        <f t="shared" si="17"/>
        <v>17000</v>
      </c>
    </row>
    <row r="53" spans="1:39">
      <c r="A53" t="s">
        <v>250</v>
      </c>
      <c r="P53" t="s">
        <v>142</v>
      </c>
      <c r="Q53" t="str">
        <f t="shared" si="5"/>
        <v>I</v>
      </c>
      <c r="R53">
        <f t="shared" si="6"/>
        <v>8</v>
      </c>
      <c r="S53" t="str">
        <f t="shared" si="7"/>
        <v>b</v>
      </c>
      <c r="T53" t="str">
        <f t="shared" si="8"/>
        <v>Scordite</v>
      </c>
      <c r="U53">
        <f t="shared" si="9"/>
        <v>3000</v>
      </c>
      <c r="V53">
        <f t="shared" si="10"/>
        <v>4</v>
      </c>
      <c r="W53" s="114">
        <f t="shared" si="11"/>
        <v>0.05</v>
      </c>
      <c r="X53" s="122">
        <f t="shared" si="12"/>
        <v>2850</v>
      </c>
      <c r="Y53" s="122">
        <f t="shared" si="13"/>
        <v>427.5</v>
      </c>
      <c r="Z53">
        <f t="shared" si="14"/>
        <v>150</v>
      </c>
      <c r="AA53">
        <f t="shared" si="4"/>
        <v>90</v>
      </c>
      <c r="AB53">
        <f t="shared" si="4"/>
        <v>0</v>
      </c>
      <c r="AC53">
        <f t="shared" si="4"/>
        <v>0</v>
      </c>
      <c r="AD53">
        <f t="shared" si="4"/>
        <v>0</v>
      </c>
      <c r="AE53">
        <f t="shared" si="4"/>
        <v>0</v>
      </c>
      <c r="AF53">
        <f t="shared" si="4"/>
        <v>0</v>
      </c>
      <c r="AG53">
        <f t="shared" si="15"/>
        <v>1548.3</v>
      </c>
      <c r="AH53" s="122">
        <f t="shared" si="16"/>
        <v>4412655</v>
      </c>
      <c r="AI53" s="134">
        <f t="shared" si="17"/>
        <v>10322</v>
      </c>
    </row>
    <row r="54" spans="1:39" ht="16.5" thickBot="1">
      <c r="A54" s="98" t="s">
        <v>137</v>
      </c>
      <c r="B54" s="46"/>
      <c r="C54" s="46"/>
      <c r="D54" s="47"/>
      <c r="P54" t="s">
        <v>122</v>
      </c>
      <c r="Q54" t="str">
        <f t="shared" si="5"/>
        <v>C</v>
      </c>
      <c r="R54">
        <f t="shared" si="6"/>
        <v>9</v>
      </c>
      <c r="S54" t="str">
        <f t="shared" si="7"/>
        <v>d</v>
      </c>
      <c r="T54" t="str">
        <f t="shared" si="8"/>
        <v>Kernite</v>
      </c>
      <c r="U54">
        <f t="shared" si="9"/>
        <v>2000</v>
      </c>
      <c r="V54">
        <f t="shared" si="10"/>
        <v>2</v>
      </c>
      <c r="W54" s="114">
        <f t="shared" si="11"/>
        <v>0.15</v>
      </c>
      <c r="X54" s="122">
        <f t="shared" si="12"/>
        <v>1700</v>
      </c>
      <c r="Y54" s="122">
        <f t="shared" si="13"/>
        <v>2040</v>
      </c>
      <c r="Z54">
        <f t="shared" si="14"/>
        <v>0</v>
      </c>
      <c r="AA54">
        <f t="shared" si="4"/>
        <v>0</v>
      </c>
      <c r="AB54">
        <f t="shared" si="4"/>
        <v>60</v>
      </c>
      <c r="AC54">
        <f t="shared" si="4"/>
        <v>120</v>
      </c>
      <c r="AD54">
        <f t="shared" si="4"/>
        <v>0</v>
      </c>
      <c r="AE54">
        <f t="shared" si="4"/>
        <v>0</v>
      </c>
      <c r="AF54">
        <f t="shared" si="4"/>
        <v>0</v>
      </c>
      <c r="AG54">
        <f t="shared" si="15"/>
        <v>58303.199999999997</v>
      </c>
      <c r="AH54" s="122">
        <f t="shared" si="16"/>
        <v>99115440</v>
      </c>
      <c r="AI54" s="134">
        <f t="shared" si="17"/>
        <v>48586</v>
      </c>
    </row>
    <row r="55" spans="1:39" ht="15.75" thickBot="1">
      <c r="A55" s="99" t="s">
        <v>32</v>
      </c>
      <c r="B55" s="100" t="s">
        <v>33</v>
      </c>
      <c r="C55" s="101" t="s">
        <v>34</v>
      </c>
      <c r="D55" s="102" t="s">
        <v>35</v>
      </c>
      <c r="P55" t="s">
        <v>116</v>
      </c>
      <c r="Q55" t="str">
        <f t="shared" si="5"/>
        <v>E</v>
      </c>
      <c r="R55">
        <f t="shared" si="6"/>
        <v>9</v>
      </c>
      <c r="S55" t="str">
        <f t="shared" si="7"/>
        <v>a</v>
      </c>
      <c r="T55" t="str">
        <f t="shared" si="8"/>
        <v>Veldspar</v>
      </c>
      <c r="U55">
        <f t="shared" si="9"/>
        <v>4000</v>
      </c>
      <c r="V55">
        <f t="shared" si="10"/>
        <v>5</v>
      </c>
      <c r="W55" s="114">
        <f t="shared" si="11"/>
        <v>0</v>
      </c>
      <c r="X55" s="122">
        <f t="shared" si="12"/>
        <v>4000</v>
      </c>
      <c r="Y55" s="122">
        <f t="shared" si="13"/>
        <v>400</v>
      </c>
      <c r="Z55">
        <f t="shared" si="14"/>
        <v>400</v>
      </c>
      <c r="AA55">
        <f t="shared" si="4"/>
        <v>0</v>
      </c>
      <c r="AB55">
        <f t="shared" si="4"/>
        <v>0</v>
      </c>
      <c r="AC55">
        <f t="shared" si="4"/>
        <v>0</v>
      </c>
      <c r="AD55">
        <f t="shared" si="4"/>
        <v>0</v>
      </c>
      <c r="AE55">
        <f t="shared" si="4"/>
        <v>0</v>
      </c>
      <c r="AF55">
        <f t="shared" si="4"/>
        <v>0</v>
      </c>
      <c r="AG55">
        <f t="shared" si="15"/>
        <v>1700</v>
      </c>
      <c r="AH55" s="122">
        <f t="shared" si="16"/>
        <v>6800000</v>
      </c>
      <c r="AI55" s="134">
        <f t="shared" si="17"/>
        <v>17000</v>
      </c>
    </row>
    <row r="56" spans="1:39" ht="15.75">
      <c r="A56">
        <f>INDEX(Case!$I$257:$L$278,MATCH('vraag 6'!$F$56,Case!$B$257:$B$278,0),MATCH('vraag 6'!A$55,Case!$I$255:$L$255,0))</f>
        <v>5</v>
      </c>
      <c r="B56">
        <f>INDEX(Case!$I$257:$L$278,MATCH('vraag 6'!$F$56,Case!$B$257:$B$278,0),MATCH('vraag 6'!B$55,Case!$I$255:$L$255,0))</f>
        <v>4</v>
      </c>
      <c r="C56">
        <f>INDEX(Case!$I$257:$L$278,MATCH('vraag 6'!$F$56,Case!$B$257:$B$278,0),MATCH('vraag 6'!C$55,Case!$I$255:$L$255,0))</f>
        <v>0</v>
      </c>
      <c r="D56">
        <f>INDEX(Case!$I$257:$L$278,MATCH('vraag 6'!$F$56,Case!$B$257:$B$278,0),MATCH('vraag 6'!D$55,Case!$I$255:$L$255,0))</f>
        <v>2</v>
      </c>
      <c r="F56" s="121" t="s">
        <v>160</v>
      </c>
      <c r="P56" t="s">
        <v>117</v>
      </c>
      <c r="Q56" t="str">
        <f t="shared" si="5"/>
        <v>H</v>
      </c>
      <c r="R56">
        <f t="shared" si="6"/>
        <v>9</v>
      </c>
      <c r="S56" t="str">
        <f t="shared" si="7"/>
        <v>c</v>
      </c>
      <c r="T56" t="str">
        <f t="shared" si="8"/>
        <v>Omber</v>
      </c>
      <c r="U56">
        <f t="shared" si="9"/>
        <v>5000</v>
      </c>
      <c r="V56">
        <f t="shared" si="10"/>
        <v>0</v>
      </c>
      <c r="W56" s="114">
        <f t="shared" si="11"/>
        <v>0.25</v>
      </c>
      <c r="X56" s="122">
        <f t="shared" si="12"/>
        <v>3750</v>
      </c>
      <c r="Y56" s="122">
        <f t="shared" si="13"/>
        <v>2250</v>
      </c>
      <c r="Z56">
        <f t="shared" si="14"/>
        <v>0</v>
      </c>
      <c r="AA56">
        <f t="shared" si="4"/>
        <v>90</v>
      </c>
      <c r="AB56">
        <f t="shared" si="4"/>
        <v>0</v>
      </c>
      <c r="AC56">
        <f t="shared" si="4"/>
        <v>75</v>
      </c>
      <c r="AD56">
        <f t="shared" si="4"/>
        <v>0</v>
      </c>
      <c r="AE56">
        <f t="shared" si="4"/>
        <v>0</v>
      </c>
      <c r="AF56">
        <f t="shared" si="4"/>
        <v>0</v>
      </c>
      <c r="AG56">
        <f t="shared" si="15"/>
        <v>35380.800000000003</v>
      </c>
      <c r="AH56" s="122">
        <f t="shared" si="16"/>
        <v>132678000.00000001</v>
      </c>
      <c r="AI56" s="134">
        <f t="shared" si="17"/>
        <v>58968</v>
      </c>
    </row>
    <row r="57" spans="1:39">
      <c r="P57" t="s">
        <v>144</v>
      </c>
      <c r="Q57" t="str">
        <f t="shared" si="5"/>
        <v>D</v>
      </c>
      <c r="R57">
        <f t="shared" si="6"/>
        <v>11</v>
      </c>
      <c r="S57" t="str">
        <f t="shared" si="7"/>
        <v>d</v>
      </c>
      <c r="T57" t="str">
        <f t="shared" si="8"/>
        <v>Kernite</v>
      </c>
      <c r="U57">
        <f t="shared" si="9"/>
        <v>1000</v>
      </c>
      <c r="V57">
        <f t="shared" si="10"/>
        <v>2</v>
      </c>
      <c r="W57" s="114">
        <f t="shared" si="11"/>
        <v>0.15</v>
      </c>
      <c r="X57" s="122">
        <f t="shared" si="12"/>
        <v>850</v>
      </c>
      <c r="Y57" s="122">
        <f t="shared" si="13"/>
        <v>1020</v>
      </c>
      <c r="Z57">
        <f t="shared" si="14"/>
        <v>0</v>
      </c>
      <c r="AA57">
        <f t="shared" si="4"/>
        <v>0</v>
      </c>
      <c r="AB57">
        <f t="shared" si="4"/>
        <v>60</v>
      </c>
      <c r="AC57">
        <f t="shared" si="4"/>
        <v>120</v>
      </c>
      <c r="AD57">
        <f t="shared" si="4"/>
        <v>0</v>
      </c>
      <c r="AE57">
        <f t="shared" si="4"/>
        <v>0</v>
      </c>
      <c r="AF57">
        <f t="shared" si="4"/>
        <v>0</v>
      </c>
      <c r="AG57">
        <f t="shared" si="15"/>
        <v>58303.199999999997</v>
      </c>
      <c r="AH57" s="122">
        <f t="shared" si="16"/>
        <v>49557720</v>
      </c>
      <c r="AI57" s="134">
        <f t="shared" si="17"/>
        <v>48586</v>
      </c>
    </row>
    <row r="58" spans="1:39">
      <c r="A58" t="s">
        <v>251</v>
      </c>
      <c r="B58" t="s">
        <v>252</v>
      </c>
      <c r="P58" t="s">
        <v>114</v>
      </c>
      <c r="Q58" t="str">
        <f t="shared" si="5"/>
        <v>H</v>
      </c>
      <c r="R58">
        <f t="shared" si="6"/>
        <v>11</v>
      </c>
      <c r="S58" t="str">
        <f t="shared" si="7"/>
        <v>b</v>
      </c>
      <c r="T58" t="str">
        <f t="shared" si="8"/>
        <v>Scordite</v>
      </c>
      <c r="U58">
        <f t="shared" si="9"/>
        <v>4000</v>
      </c>
      <c r="V58">
        <f t="shared" si="10"/>
        <v>4</v>
      </c>
      <c r="W58" s="114">
        <f t="shared" si="11"/>
        <v>0.05</v>
      </c>
      <c r="X58" s="122">
        <f t="shared" si="12"/>
        <v>3800</v>
      </c>
      <c r="Y58" s="122">
        <f t="shared" si="13"/>
        <v>570</v>
      </c>
      <c r="Z58">
        <f t="shared" si="14"/>
        <v>150</v>
      </c>
      <c r="AA58">
        <f t="shared" si="4"/>
        <v>90</v>
      </c>
      <c r="AB58">
        <f t="shared" si="4"/>
        <v>0</v>
      </c>
      <c r="AC58">
        <f t="shared" si="4"/>
        <v>0</v>
      </c>
      <c r="AD58">
        <f t="shared" si="4"/>
        <v>0</v>
      </c>
      <c r="AE58">
        <f t="shared" si="4"/>
        <v>0</v>
      </c>
      <c r="AF58">
        <f t="shared" si="4"/>
        <v>0</v>
      </c>
      <c r="AG58">
        <f t="shared" si="15"/>
        <v>1548.3</v>
      </c>
      <c r="AH58" s="122">
        <f t="shared" si="16"/>
        <v>5883540</v>
      </c>
      <c r="AI58" s="134">
        <f t="shared" si="17"/>
        <v>10322</v>
      </c>
    </row>
    <row r="59" spans="1:39">
      <c r="A59">
        <v>0</v>
      </c>
      <c r="B59" s="116">
        <v>0.25</v>
      </c>
      <c r="P59" t="s">
        <v>118</v>
      </c>
      <c r="Q59" t="str">
        <f t="shared" si="5"/>
        <v>C</v>
      </c>
      <c r="R59">
        <f t="shared" si="6"/>
        <v>12</v>
      </c>
      <c r="S59" t="str">
        <f t="shared" si="7"/>
        <v>c</v>
      </c>
      <c r="T59" t="str">
        <f t="shared" si="8"/>
        <v>Omber</v>
      </c>
      <c r="U59">
        <f t="shared" si="9"/>
        <v>3000</v>
      </c>
      <c r="V59">
        <f t="shared" si="10"/>
        <v>0</v>
      </c>
      <c r="W59" s="114">
        <f t="shared" si="11"/>
        <v>0.25</v>
      </c>
      <c r="X59" s="122">
        <f t="shared" si="12"/>
        <v>2250</v>
      </c>
      <c r="Y59" s="122">
        <f t="shared" si="13"/>
        <v>1350</v>
      </c>
      <c r="Z59">
        <f t="shared" si="14"/>
        <v>0</v>
      </c>
      <c r="AA59">
        <f t="shared" si="4"/>
        <v>90</v>
      </c>
      <c r="AB59">
        <f t="shared" si="4"/>
        <v>0</v>
      </c>
      <c r="AC59">
        <f t="shared" si="4"/>
        <v>75</v>
      </c>
      <c r="AD59">
        <f t="shared" si="4"/>
        <v>0</v>
      </c>
      <c r="AE59">
        <f t="shared" si="4"/>
        <v>0</v>
      </c>
      <c r="AF59">
        <f t="shared" si="4"/>
        <v>0</v>
      </c>
      <c r="AG59">
        <f t="shared" si="15"/>
        <v>35380.800000000003</v>
      </c>
      <c r="AH59" s="122">
        <f t="shared" si="16"/>
        <v>79606800</v>
      </c>
      <c r="AI59" s="134">
        <f t="shared" si="17"/>
        <v>58968</v>
      </c>
    </row>
    <row r="60" spans="1:39">
      <c r="A60">
        <v>1</v>
      </c>
      <c r="B60" s="116">
        <v>0.2</v>
      </c>
      <c r="P60" t="s">
        <v>123</v>
      </c>
      <c r="Q60" t="str">
        <f t="shared" si="5"/>
        <v>F</v>
      </c>
      <c r="R60">
        <f t="shared" si="6"/>
        <v>12</v>
      </c>
      <c r="S60" t="str">
        <f t="shared" si="7"/>
        <v>a</v>
      </c>
      <c r="T60" t="str">
        <f t="shared" si="8"/>
        <v>Veldspar</v>
      </c>
      <c r="U60">
        <f t="shared" si="9"/>
        <v>3000</v>
      </c>
      <c r="V60">
        <f t="shared" si="10"/>
        <v>5</v>
      </c>
      <c r="W60" s="114">
        <f t="shared" si="11"/>
        <v>0</v>
      </c>
      <c r="X60" s="122">
        <f t="shared" si="12"/>
        <v>3000</v>
      </c>
      <c r="Y60" s="122">
        <f t="shared" si="13"/>
        <v>300</v>
      </c>
      <c r="Z60">
        <f t="shared" si="14"/>
        <v>400</v>
      </c>
      <c r="AA60">
        <f t="shared" si="14"/>
        <v>0</v>
      </c>
      <c r="AB60">
        <f t="shared" si="14"/>
        <v>0</v>
      </c>
      <c r="AC60">
        <f t="shared" si="14"/>
        <v>0</v>
      </c>
      <c r="AD60">
        <f t="shared" si="14"/>
        <v>0</v>
      </c>
      <c r="AE60">
        <f t="shared" si="14"/>
        <v>0</v>
      </c>
      <c r="AF60">
        <f t="shared" si="14"/>
        <v>0</v>
      </c>
      <c r="AG60">
        <f t="shared" si="15"/>
        <v>1700</v>
      </c>
      <c r="AH60" s="122">
        <f t="shared" si="16"/>
        <v>5100000</v>
      </c>
      <c r="AI60" s="134">
        <f t="shared" si="17"/>
        <v>17000</v>
      </c>
    </row>
    <row r="61" spans="1:39">
      <c r="A61">
        <v>2</v>
      </c>
      <c r="B61" s="116">
        <v>0.15</v>
      </c>
      <c r="P61" t="s">
        <v>141</v>
      </c>
      <c r="Q61" t="str">
        <f t="shared" si="5"/>
        <v>I</v>
      </c>
      <c r="R61">
        <f t="shared" si="6"/>
        <v>13</v>
      </c>
      <c r="S61" t="str">
        <f t="shared" si="7"/>
        <v>d</v>
      </c>
      <c r="T61" t="str">
        <f t="shared" si="8"/>
        <v>Kernite</v>
      </c>
      <c r="U61">
        <f t="shared" si="9"/>
        <v>6000</v>
      </c>
      <c r="V61">
        <f t="shared" si="10"/>
        <v>2</v>
      </c>
      <c r="W61" s="114">
        <f t="shared" si="11"/>
        <v>0.15</v>
      </c>
      <c r="X61" s="122">
        <f t="shared" si="12"/>
        <v>5100</v>
      </c>
      <c r="Y61" s="122">
        <f t="shared" si="13"/>
        <v>6120</v>
      </c>
      <c r="Z61">
        <f t="shared" si="14"/>
        <v>0</v>
      </c>
      <c r="AA61">
        <f t="shared" si="14"/>
        <v>0</v>
      </c>
      <c r="AB61">
        <f t="shared" si="14"/>
        <v>60</v>
      </c>
      <c r="AC61">
        <f t="shared" si="14"/>
        <v>120</v>
      </c>
      <c r="AD61">
        <f t="shared" si="14"/>
        <v>0</v>
      </c>
      <c r="AE61">
        <f t="shared" si="14"/>
        <v>0</v>
      </c>
      <c r="AF61">
        <f t="shared" si="14"/>
        <v>0</v>
      </c>
      <c r="AG61">
        <f t="shared" si="15"/>
        <v>58303.199999999997</v>
      </c>
      <c r="AH61" s="122">
        <f t="shared" si="16"/>
        <v>297346320</v>
      </c>
      <c r="AI61" s="134">
        <f t="shared" si="17"/>
        <v>48586</v>
      </c>
    </row>
    <row r="62" spans="1:39">
      <c r="A62">
        <v>3</v>
      </c>
      <c r="B62" s="116">
        <v>0.1</v>
      </c>
      <c r="P62" t="s">
        <v>143</v>
      </c>
      <c r="Q62" t="str">
        <f t="shared" si="5"/>
        <v>D</v>
      </c>
      <c r="R62">
        <f t="shared" si="6"/>
        <v>14</v>
      </c>
      <c r="S62" t="str">
        <f t="shared" si="7"/>
        <v>b</v>
      </c>
      <c r="T62" t="str">
        <f t="shared" si="8"/>
        <v>Scordite</v>
      </c>
      <c r="U62">
        <f t="shared" si="9"/>
        <v>6000</v>
      </c>
      <c r="V62">
        <f t="shared" si="10"/>
        <v>4</v>
      </c>
      <c r="W62" s="114">
        <f t="shared" si="11"/>
        <v>0.05</v>
      </c>
      <c r="X62" s="122">
        <f t="shared" si="12"/>
        <v>5700</v>
      </c>
      <c r="Y62" s="122">
        <f t="shared" si="13"/>
        <v>855</v>
      </c>
      <c r="Z62">
        <f t="shared" si="14"/>
        <v>150</v>
      </c>
      <c r="AA62">
        <f t="shared" si="14"/>
        <v>90</v>
      </c>
      <c r="AB62">
        <f t="shared" si="14"/>
        <v>0</v>
      </c>
      <c r="AC62">
        <f t="shared" si="14"/>
        <v>0</v>
      </c>
      <c r="AD62">
        <f t="shared" si="14"/>
        <v>0</v>
      </c>
      <c r="AE62">
        <f t="shared" si="14"/>
        <v>0</v>
      </c>
      <c r="AF62">
        <f t="shared" si="14"/>
        <v>0</v>
      </c>
      <c r="AG62">
        <f t="shared" si="15"/>
        <v>1548.3</v>
      </c>
      <c r="AH62" s="122">
        <f t="shared" si="16"/>
        <v>8825310</v>
      </c>
      <c r="AI62" s="134">
        <f t="shared" si="17"/>
        <v>10322</v>
      </c>
    </row>
    <row r="63" spans="1:39">
      <c r="A63">
        <v>4</v>
      </c>
      <c r="B63" s="116">
        <v>0.05</v>
      </c>
      <c r="P63" t="s">
        <v>128</v>
      </c>
      <c r="Q63" t="str">
        <f t="shared" si="5"/>
        <v>G</v>
      </c>
      <c r="R63">
        <f t="shared" si="6"/>
        <v>14</v>
      </c>
      <c r="S63" t="str">
        <f t="shared" si="7"/>
        <v>b</v>
      </c>
      <c r="T63" t="str">
        <f t="shared" si="8"/>
        <v>Scordite</v>
      </c>
      <c r="U63">
        <f t="shared" si="9"/>
        <v>5000</v>
      </c>
      <c r="V63">
        <f t="shared" si="10"/>
        <v>4</v>
      </c>
      <c r="W63" s="114">
        <f t="shared" si="11"/>
        <v>0.05</v>
      </c>
      <c r="X63" s="122">
        <f t="shared" si="12"/>
        <v>4750</v>
      </c>
      <c r="Y63" s="122">
        <f t="shared" si="13"/>
        <v>712.5</v>
      </c>
      <c r="Z63">
        <f t="shared" si="14"/>
        <v>150</v>
      </c>
      <c r="AA63">
        <f t="shared" si="14"/>
        <v>90</v>
      </c>
      <c r="AB63">
        <f t="shared" si="14"/>
        <v>0</v>
      </c>
      <c r="AC63">
        <f t="shared" si="14"/>
        <v>0</v>
      </c>
      <c r="AD63">
        <f t="shared" si="14"/>
        <v>0</v>
      </c>
      <c r="AE63">
        <f t="shared" si="14"/>
        <v>0</v>
      </c>
      <c r="AF63">
        <f t="shared" si="14"/>
        <v>0</v>
      </c>
      <c r="AG63">
        <f t="shared" si="15"/>
        <v>1548.3</v>
      </c>
      <c r="AH63" s="122">
        <f t="shared" si="16"/>
        <v>7354425</v>
      </c>
      <c r="AI63" s="134">
        <f t="shared" si="17"/>
        <v>10322</v>
      </c>
    </row>
    <row r="64" spans="1:39">
      <c r="A64">
        <v>5</v>
      </c>
      <c r="B64" s="116">
        <v>0</v>
      </c>
      <c r="P64" t="s">
        <v>113</v>
      </c>
      <c r="Q64" t="str">
        <f t="shared" si="5"/>
        <v>H</v>
      </c>
      <c r="R64">
        <f t="shared" si="6"/>
        <v>15</v>
      </c>
      <c r="S64" t="str">
        <f t="shared" si="7"/>
        <v>d</v>
      </c>
      <c r="T64" t="str">
        <f t="shared" si="8"/>
        <v>Kernite</v>
      </c>
      <c r="U64">
        <f t="shared" si="9"/>
        <v>7000</v>
      </c>
      <c r="V64">
        <f t="shared" si="10"/>
        <v>2</v>
      </c>
      <c r="W64" s="114">
        <f t="shared" si="11"/>
        <v>0.15</v>
      </c>
      <c r="X64" s="122">
        <f t="shared" si="12"/>
        <v>5950</v>
      </c>
      <c r="Y64" s="122">
        <f t="shared" si="13"/>
        <v>7140</v>
      </c>
      <c r="Z64">
        <f t="shared" si="14"/>
        <v>0</v>
      </c>
      <c r="AA64">
        <f t="shared" si="14"/>
        <v>0</v>
      </c>
      <c r="AB64">
        <f t="shared" si="14"/>
        <v>60</v>
      </c>
      <c r="AC64">
        <f t="shared" si="14"/>
        <v>120</v>
      </c>
      <c r="AD64">
        <f t="shared" si="14"/>
        <v>0</v>
      </c>
      <c r="AE64">
        <f t="shared" si="14"/>
        <v>0</v>
      </c>
      <c r="AF64">
        <f t="shared" si="14"/>
        <v>0</v>
      </c>
      <c r="AG64">
        <f t="shared" si="15"/>
        <v>58303.199999999997</v>
      </c>
      <c r="AH64" s="122">
        <f t="shared" si="16"/>
        <v>346904040</v>
      </c>
      <c r="AI64" s="134">
        <f t="shared" si="17"/>
        <v>48586</v>
      </c>
    </row>
    <row r="65" spans="1:42">
      <c r="B65" s="116"/>
      <c r="P65" t="s">
        <v>120</v>
      </c>
      <c r="Q65" t="str">
        <f t="shared" si="5"/>
        <v>D</v>
      </c>
      <c r="R65">
        <f t="shared" si="6"/>
        <v>16</v>
      </c>
      <c r="S65" t="str">
        <f t="shared" si="7"/>
        <v>a</v>
      </c>
      <c r="T65" t="str">
        <f t="shared" si="8"/>
        <v>Veldspar</v>
      </c>
      <c r="U65">
        <f t="shared" si="9"/>
        <v>2000</v>
      </c>
      <c r="V65">
        <f t="shared" si="10"/>
        <v>5</v>
      </c>
      <c r="W65" s="114">
        <f t="shared" si="11"/>
        <v>0</v>
      </c>
      <c r="X65" s="122">
        <f t="shared" si="12"/>
        <v>2000</v>
      </c>
      <c r="Y65" s="122">
        <f t="shared" si="13"/>
        <v>200</v>
      </c>
      <c r="Z65">
        <f t="shared" si="14"/>
        <v>400</v>
      </c>
      <c r="AA65">
        <f t="shared" si="14"/>
        <v>0</v>
      </c>
      <c r="AB65">
        <f t="shared" si="14"/>
        <v>0</v>
      </c>
      <c r="AC65">
        <f t="shared" si="14"/>
        <v>0</v>
      </c>
      <c r="AD65">
        <f t="shared" si="14"/>
        <v>0</v>
      </c>
      <c r="AE65">
        <f t="shared" si="14"/>
        <v>0</v>
      </c>
      <c r="AF65">
        <f t="shared" si="14"/>
        <v>0</v>
      </c>
      <c r="AG65">
        <f t="shared" si="15"/>
        <v>1700</v>
      </c>
      <c r="AH65" s="122">
        <f t="shared" si="16"/>
        <v>3400000</v>
      </c>
      <c r="AI65" s="134">
        <f t="shared" si="17"/>
        <v>17000</v>
      </c>
    </row>
    <row r="66" spans="1:42">
      <c r="B66" s="116"/>
      <c r="P66" t="s">
        <v>110</v>
      </c>
      <c r="Q66" t="str">
        <f t="shared" si="5"/>
        <v>F</v>
      </c>
      <c r="R66">
        <f t="shared" si="6"/>
        <v>16</v>
      </c>
      <c r="S66" t="str">
        <f t="shared" si="7"/>
        <v>c</v>
      </c>
      <c r="T66" t="str">
        <f t="shared" si="8"/>
        <v>Omber</v>
      </c>
      <c r="U66">
        <f t="shared" si="9"/>
        <v>4000</v>
      </c>
      <c r="V66">
        <f t="shared" si="10"/>
        <v>0</v>
      </c>
      <c r="W66" s="114">
        <f t="shared" si="11"/>
        <v>0.25</v>
      </c>
      <c r="X66" s="122">
        <f t="shared" si="12"/>
        <v>3000</v>
      </c>
      <c r="Y66" s="122">
        <f t="shared" si="13"/>
        <v>1800</v>
      </c>
      <c r="Z66">
        <f t="shared" si="14"/>
        <v>0</v>
      </c>
      <c r="AA66">
        <f t="shared" si="14"/>
        <v>90</v>
      </c>
      <c r="AB66">
        <f t="shared" si="14"/>
        <v>0</v>
      </c>
      <c r="AC66">
        <f t="shared" si="14"/>
        <v>75</v>
      </c>
      <c r="AD66">
        <f t="shared" si="14"/>
        <v>0</v>
      </c>
      <c r="AE66">
        <f t="shared" si="14"/>
        <v>0</v>
      </c>
      <c r="AF66">
        <f t="shared" si="14"/>
        <v>0</v>
      </c>
      <c r="AG66">
        <f t="shared" si="15"/>
        <v>35380.800000000003</v>
      </c>
      <c r="AH66" s="122">
        <f t="shared" si="16"/>
        <v>106142400.00000001</v>
      </c>
      <c r="AI66" s="134">
        <f t="shared" si="17"/>
        <v>58968</v>
      </c>
    </row>
    <row r="67" spans="1:42">
      <c r="A67" t="s">
        <v>253</v>
      </c>
      <c r="P67" t="s">
        <v>145</v>
      </c>
      <c r="Q67" t="str">
        <f t="shared" si="5"/>
        <v>I</v>
      </c>
      <c r="R67">
        <f t="shared" si="6"/>
        <v>16</v>
      </c>
      <c r="S67" t="str">
        <f t="shared" si="7"/>
        <v>a</v>
      </c>
      <c r="T67" t="str">
        <f t="shared" si="8"/>
        <v>Veldspar</v>
      </c>
      <c r="U67">
        <f t="shared" si="9"/>
        <v>1000</v>
      </c>
      <c r="V67">
        <f t="shared" si="10"/>
        <v>5</v>
      </c>
      <c r="W67" s="114">
        <f t="shared" si="11"/>
        <v>0</v>
      </c>
      <c r="X67" s="122">
        <f t="shared" si="12"/>
        <v>1000</v>
      </c>
      <c r="Y67" s="122">
        <f t="shared" si="13"/>
        <v>100</v>
      </c>
      <c r="Z67">
        <f t="shared" si="14"/>
        <v>400</v>
      </c>
      <c r="AA67">
        <f t="shared" si="14"/>
        <v>0</v>
      </c>
      <c r="AB67">
        <f t="shared" si="14"/>
        <v>0</v>
      </c>
      <c r="AC67">
        <f t="shared" si="14"/>
        <v>0</v>
      </c>
      <c r="AD67">
        <f t="shared" si="14"/>
        <v>0</v>
      </c>
      <c r="AE67">
        <f t="shared" si="14"/>
        <v>0</v>
      </c>
      <c r="AF67">
        <f t="shared" si="14"/>
        <v>0</v>
      </c>
      <c r="AG67">
        <f t="shared" si="15"/>
        <v>1700</v>
      </c>
      <c r="AH67" s="122">
        <f t="shared" si="16"/>
        <v>1700000</v>
      </c>
      <c r="AI67" s="134">
        <f t="shared" si="17"/>
        <v>17000</v>
      </c>
    </row>
    <row r="68" spans="1:42">
      <c r="AP68" s="139" t="e">
        <f ca="1">ROUND(SUM(AP71:AP94)/1000000,0)</f>
        <v>#NAME?</v>
      </c>
    </row>
    <row r="69" spans="1:42" ht="15.75" thickBot="1">
      <c r="A69" t="str">
        <f t="shared" ref="A69:I83" si="18">A$85&amp;$K69</f>
        <v>B3</v>
      </c>
      <c r="B69" t="str">
        <f t="shared" si="18"/>
        <v>C3</v>
      </c>
      <c r="C69" t="str">
        <f t="shared" si="18"/>
        <v>D3</v>
      </c>
      <c r="D69" t="str">
        <f t="shared" si="18"/>
        <v>E3</v>
      </c>
      <c r="E69" t="str">
        <f t="shared" si="18"/>
        <v>F3</v>
      </c>
      <c r="F69" t="str">
        <f t="shared" si="18"/>
        <v>G3</v>
      </c>
      <c r="G69" t="str">
        <f t="shared" si="18"/>
        <v>H3</v>
      </c>
      <c r="H69" t="str">
        <f t="shared" si="18"/>
        <v>I3</v>
      </c>
      <c r="I69" t="str">
        <f t="shared" si="18"/>
        <v>J3</v>
      </c>
      <c r="K69">
        <v>3</v>
      </c>
      <c r="M69" t="str">
        <f>_xlfn.TEXTJOIN(",",TRUE,grid)</f>
        <v>B3,C3,D3,E3,F3,G3,H3,I3,J3,B4,C4,D4,E4,F4,G4,H4,I4,J4,B5,C5,D5,E5,F5,G5,H5,I5,J5,B6,C6,D6,E6,F6,G6,H6,I6,J6,B7,C7,D7,E7,F7,G7,H7,I7,J7,B8,C8,D8,E8,F8,G8,H8,I8,J8,B9,C9,D9,E9,F9,G9,H9,I9,J9,B10,C10,D10,E10,F10,G10,H10,I10,J10,B11,C11,D11,E11,F11,G11,H11,I11,J11,B12,C12,D12,E12,F12,G12,H12,I12,J12,B13,C13,D13,E13,F13,G13,H13,I13,J13,B14,C14,D14,E14,F14,G14,H14,I14,J14,B15,C15,D15,E15,F15,G15,H15,I15,J15,B16,C16,D16,E16,F16,G16,H16,I16,J16,B17,C17,D17,E17,F17,G17,H17,I17,J17</v>
      </c>
      <c r="P69" t="s">
        <v>254</v>
      </c>
    </row>
    <row r="70" spans="1:42" ht="15.75" thickBot="1">
      <c r="A70" t="str">
        <f t="shared" si="18"/>
        <v>B4</v>
      </c>
      <c r="B70" t="str">
        <f t="shared" si="18"/>
        <v>C4</v>
      </c>
      <c r="C70" t="str">
        <f t="shared" si="18"/>
        <v>D4</v>
      </c>
      <c r="D70" t="str">
        <f t="shared" si="18"/>
        <v>E4</v>
      </c>
      <c r="E70" t="str">
        <f t="shared" si="18"/>
        <v>F4</v>
      </c>
      <c r="F70" t="str">
        <f t="shared" si="18"/>
        <v>G4</v>
      </c>
      <c r="G70" t="str">
        <f t="shared" si="18"/>
        <v>H4</v>
      </c>
      <c r="H70" t="str">
        <f t="shared" si="18"/>
        <v>I4</v>
      </c>
      <c r="I70" t="str">
        <f t="shared" si="18"/>
        <v>J4</v>
      </c>
      <c r="K70">
        <v>4</v>
      </c>
      <c r="P70" s="110" t="s">
        <v>105</v>
      </c>
      <c r="Q70" s="110" t="s">
        <v>237</v>
      </c>
      <c r="R70" s="110" t="s">
        <v>238</v>
      </c>
      <c r="S70" s="110" t="s">
        <v>239</v>
      </c>
      <c r="T70" s="110" t="s">
        <v>240</v>
      </c>
      <c r="U70" s="110" t="s">
        <v>241</v>
      </c>
      <c r="V70" s="110" t="s">
        <v>242</v>
      </c>
      <c r="W70" s="110" t="s">
        <v>243</v>
      </c>
      <c r="X70" s="110" t="s">
        <v>244</v>
      </c>
      <c r="Y70" s="110" t="s">
        <v>245</v>
      </c>
      <c r="Z70" s="49" t="s">
        <v>10</v>
      </c>
      <c r="AA70" s="49" t="s">
        <v>11</v>
      </c>
      <c r="AB70" s="49" t="s">
        <v>12</v>
      </c>
      <c r="AC70" s="49" t="s">
        <v>13</v>
      </c>
      <c r="AD70" s="49" t="s">
        <v>14</v>
      </c>
      <c r="AE70" s="49" t="s">
        <v>15</v>
      </c>
      <c r="AF70" s="49" t="s">
        <v>16</v>
      </c>
      <c r="AG70" s="112" t="s">
        <v>246</v>
      </c>
      <c r="AH70" s="112" t="s">
        <v>247</v>
      </c>
      <c r="AI70" s="112" t="s">
        <v>248</v>
      </c>
      <c r="AJ70" s="112" t="s">
        <v>255</v>
      </c>
      <c r="AK70" s="112" t="s">
        <v>256</v>
      </c>
      <c r="AL70" s="112" t="s">
        <v>299</v>
      </c>
      <c r="AM70" s="112" t="s">
        <v>300</v>
      </c>
      <c r="AN70" s="112" t="s">
        <v>301</v>
      </c>
      <c r="AO70" s="112" t="s">
        <v>302</v>
      </c>
      <c r="AP70" s="112" t="s">
        <v>208</v>
      </c>
    </row>
    <row r="71" spans="1:42">
      <c r="A71" t="str">
        <f t="shared" si="18"/>
        <v>B5</v>
      </c>
      <c r="B71" t="str">
        <f t="shared" si="18"/>
        <v>C5</v>
      </c>
      <c r="C71" t="str">
        <f t="shared" si="18"/>
        <v>D5</v>
      </c>
      <c r="D71" t="str">
        <f t="shared" si="18"/>
        <v>E5</v>
      </c>
      <c r="E71" t="str">
        <f t="shared" si="18"/>
        <v>F5</v>
      </c>
      <c r="F71" t="str">
        <f t="shared" si="18"/>
        <v>G5</v>
      </c>
      <c r="G71" t="str">
        <f t="shared" si="18"/>
        <v>H5</v>
      </c>
      <c r="H71" t="str">
        <f t="shared" si="18"/>
        <v>I5</v>
      </c>
      <c r="I71" t="str">
        <f t="shared" si="18"/>
        <v>J5</v>
      </c>
      <c r="K71">
        <v>5</v>
      </c>
      <c r="P71" t="str" cm="1">
        <f t="array" ref="P71:AI94">_xlfn.SORTBY($P$44:$AI$67,AI44:AI67,-1,U44:U67,-1)</f>
        <v>H9</v>
      </c>
      <c r="Q71" t="str">
        <v>H</v>
      </c>
      <c r="R71">
        <v>9</v>
      </c>
      <c r="S71" t="str">
        <v>c</v>
      </c>
      <c r="T71" t="str">
        <v>Omber</v>
      </c>
      <c r="U71">
        <v>5000</v>
      </c>
      <c r="V71">
        <v>0</v>
      </c>
      <c r="W71" s="114">
        <v>0.25</v>
      </c>
      <c r="X71" s="122">
        <v>3750</v>
      </c>
      <c r="Y71" s="122">
        <v>2250</v>
      </c>
      <c r="Z71">
        <v>0</v>
      </c>
      <c r="AA71">
        <v>90</v>
      </c>
      <c r="AB71">
        <v>0</v>
      </c>
      <c r="AC71">
        <v>75</v>
      </c>
      <c r="AD71">
        <v>0</v>
      </c>
      <c r="AE71">
        <v>0</v>
      </c>
      <c r="AF71">
        <v>0</v>
      </c>
      <c r="AG71">
        <v>35380.800000000003</v>
      </c>
      <c r="AH71" s="122">
        <v>132678000.00000001</v>
      </c>
      <c r="AI71" s="131">
        <v>58968</v>
      </c>
      <c r="AJ71" s="131">
        <f>SUM($Y$70:Y70)</f>
        <v>0</v>
      </c>
      <c r="AK71" s="131">
        <f>IF((27500-AJ71)&lt;0,0,MIN(27500-AJ71,Y71))</f>
        <v>2250</v>
      </c>
      <c r="AL71" t="str">
        <f ca="1">IF(AK71&gt;0,IF(OFFSET(P71,-1,0)=$P$70,"F10",P70),"")</f>
        <v>F10</v>
      </c>
      <c r="AM71" t="e" cm="1">
        <f t="array" aca="1" ref="AM71" ca="1">_xlfn.LET(
_xlpm.start_col,LEFT(AL71,1),
_xlpm.start_row,VALUE(SUBSTITUTE(AL71,_xlpm.start_col,"")),
_xlpm.end_col,LEFT(P71,1),
_xlpm.end_row,VALUE(SUBSTITUTE(P71,_xlpm.end_col,"")),
_xlpm.row_diff,ABS(_xlpm.end_row-_xlpm.start_row),
_xlpm.col_diff,ABS(MATCH(_xlpm.start_col,col_rng,0)-MATCH(_xlpm.end_col,col_rng,0)),
_xlpm.result,IF(AL71&lt;&gt;"",MAX(_xlpm.row_diff,_xlpm.col_diff),0),
_xlpm.result
)</f>
        <v>#NAME?</v>
      </c>
      <c r="AN71" t="e">
        <f ca="1">AM71*1000000</f>
        <v>#NAME?</v>
      </c>
      <c r="AO71" s="139">
        <f>AH71*AK71/Y71</f>
        <v>132678000.00000003</v>
      </c>
      <c r="AP71" s="139" t="e">
        <f ca="1">AO71-AN71</f>
        <v>#NAME?</v>
      </c>
    </row>
    <row r="72" spans="1:42">
      <c r="A72" t="str">
        <f t="shared" si="18"/>
        <v>B6</v>
      </c>
      <c r="B72" t="str">
        <f t="shared" si="18"/>
        <v>C6</v>
      </c>
      <c r="C72" t="str">
        <f t="shared" si="18"/>
        <v>D6</v>
      </c>
      <c r="D72" t="str">
        <f t="shared" si="18"/>
        <v>E6</v>
      </c>
      <c r="E72" t="str">
        <f t="shared" si="18"/>
        <v>F6</v>
      </c>
      <c r="F72" t="str">
        <f t="shared" si="18"/>
        <v>G6</v>
      </c>
      <c r="G72" t="str">
        <f t="shared" si="18"/>
        <v>H6</v>
      </c>
      <c r="H72" t="str">
        <f t="shared" si="18"/>
        <v>I6</v>
      </c>
      <c r="I72" t="str">
        <f t="shared" si="18"/>
        <v>J6</v>
      </c>
      <c r="K72">
        <v>6</v>
      </c>
      <c r="P72" t="str">
        <v>F16</v>
      </c>
      <c r="Q72" t="str">
        <v>F</v>
      </c>
      <c r="R72">
        <v>16</v>
      </c>
      <c r="S72" t="str">
        <v>c</v>
      </c>
      <c r="T72" t="str">
        <v>Omber</v>
      </c>
      <c r="U72">
        <v>4000</v>
      </c>
      <c r="V72">
        <v>0</v>
      </c>
      <c r="W72" s="114">
        <v>0.25</v>
      </c>
      <c r="X72" s="122">
        <v>3000</v>
      </c>
      <c r="Y72" s="122">
        <v>1800</v>
      </c>
      <c r="Z72">
        <v>0</v>
      </c>
      <c r="AA72">
        <v>90</v>
      </c>
      <c r="AB72">
        <v>0</v>
      </c>
      <c r="AC72">
        <v>75</v>
      </c>
      <c r="AD72">
        <v>0</v>
      </c>
      <c r="AE72">
        <v>0</v>
      </c>
      <c r="AF72">
        <v>0</v>
      </c>
      <c r="AG72">
        <v>35380.800000000003</v>
      </c>
      <c r="AH72" s="122">
        <v>106142400.00000001</v>
      </c>
      <c r="AI72" s="131">
        <v>58968</v>
      </c>
      <c r="AJ72" s="131">
        <f>SUM($Y$70:Y71)</f>
        <v>2250</v>
      </c>
      <c r="AK72" s="131">
        <f t="shared" ref="AK72:AK94" si="19">IF((27500-AJ72)&lt;0,0,MIN(27500-AJ72,Y72))</f>
        <v>1800</v>
      </c>
      <c r="AL72" t="str">
        <f t="shared" ref="AL72:AL94" ca="1" si="20">IF(AK72&gt;0,IF(OFFSET(P72,-1,0)=$P$70,"F10",P71),"")</f>
        <v>H9</v>
      </c>
      <c r="AM72" t="e" cm="1">
        <f t="array" aca="1" ref="AM72" ca="1">_xlfn.LET(
_xlpm.start_col,LEFT(AL72,1),
_xlpm.start_row,VALUE(SUBSTITUTE(AL72,_xlpm.start_col,"")),
_xlpm.end_col,LEFT(P72,1),
_xlpm.end_row,VALUE(SUBSTITUTE(P72,_xlpm.end_col,"")),
_xlpm.row_diff,ABS(_xlpm.end_row-_xlpm.start_row),
_xlpm.col_diff,ABS(MATCH(_xlpm.start_col,col_rng,0)-MATCH(_xlpm.end_col,col_rng,0)),
_xlpm.result,IF(AL72&lt;&gt;"",MAX(_xlpm.row_diff,_xlpm.col_diff),0),
_xlpm.result
)</f>
        <v>#NAME?</v>
      </c>
      <c r="AN72" t="e">
        <f t="shared" ref="AN72:AN94" ca="1" si="21">AM72*1000000</f>
        <v>#NAME?</v>
      </c>
      <c r="AO72" s="139">
        <f t="shared" ref="AO72:AO94" si="22">AH72*AK72/Y72</f>
        <v>106142400.00000001</v>
      </c>
      <c r="AP72" s="139" t="e">
        <f t="shared" ref="AP72:AP94" ca="1" si="23">AO72-AN72</f>
        <v>#NAME?</v>
      </c>
    </row>
    <row r="73" spans="1:42">
      <c r="A73" t="str">
        <f t="shared" si="18"/>
        <v>B7</v>
      </c>
      <c r="B73" t="str">
        <f t="shared" si="18"/>
        <v>C7</v>
      </c>
      <c r="C73" t="str">
        <f t="shared" si="18"/>
        <v>D7</v>
      </c>
      <c r="D73" t="str">
        <f t="shared" si="18"/>
        <v>E7</v>
      </c>
      <c r="E73" t="str">
        <f t="shared" si="18"/>
        <v>F7</v>
      </c>
      <c r="F73" t="str">
        <f t="shared" si="18"/>
        <v>G7</v>
      </c>
      <c r="G73" t="str">
        <f t="shared" si="18"/>
        <v>H7</v>
      </c>
      <c r="H73" t="str">
        <f t="shared" si="18"/>
        <v>I7</v>
      </c>
      <c r="I73" t="str">
        <f t="shared" si="18"/>
        <v>J7</v>
      </c>
      <c r="K73">
        <v>7</v>
      </c>
      <c r="P73" t="str">
        <v>C12</v>
      </c>
      <c r="Q73" t="str">
        <v>C</v>
      </c>
      <c r="R73">
        <v>12</v>
      </c>
      <c r="S73" t="str">
        <v>c</v>
      </c>
      <c r="T73" t="str">
        <v>Omber</v>
      </c>
      <c r="U73">
        <v>3000</v>
      </c>
      <c r="V73">
        <v>0</v>
      </c>
      <c r="W73" s="114">
        <v>0.25</v>
      </c>
      <c r="X73" s="122">
        <v>2250</v>
      </c>
      <c r="Y73" s="122">
        <v>1350</v>
      </c>
      <c r="Z73">
        <v>0</v>
      </c>
      <c r="AA73">
        <v>90</v>
      </c>
      <c r="AB73">
        <v>0</v>
      </c>
      <c r="AC73">
        <v>75</v>
      </c>
      <c r="AD73">
        <v>0</v>
      </c>
      <c r="AE73">
        <v>0</v>
      </c>
      <c r="AF73">
        <v>0</v>
      </c>
      <c r="AG73">
        <v>35380.800000000003</v>
      </c>
      <c r="AH73" s="122">
        <v>79606800</v>
      </c>
      <c r="AI73" s="131">
        <v>58968</v>
      </c>
      <c r="AJ73" s="131">
        <f>SUM($Y$70:Y72)</f>
        <v>4050</v>
      </c>
      <c r="AK73" s="131">
        <f t="shared" si="19"/>
        <v>1350</v>
      </c>
      <c r="AL73" t="str">
        <f t="shared" ca="1" si="20"/>
        <v>F16</v>
      </c>
      <c r="AM73" t="e" cm="1">
        <f t="array" aca="1" ref="AM73" ca="1">_xlfn.LET(
_xlpm.start_col,LEFT(AL73,1),
_xlpm.start_row,VALUE(SUBSTITUTE(AL73,_xlpm.start_col,"")),
_xlpm.end_col,LEFT(P73,1),
_xlpm.end_row,VALUE(SUBSTITUTE(P73,_xlpm.end_col,"")),
_xlpm.row_diff,ABS(_xlpm.end_row-_xlpm.start_row),
_xlpm.col_diff,ABS(MATCH(_xlpm.start_col,col_rng,0)-MATCH(_xlpm.end_col,col_rng,0)),
_xlpm.result,IF(AL73&lt;&gt;"",MAX(_xlpm.row_diff,_xlpm.col_diff),0),
_xlpm.result
)</f>
        <v>#NAME?</v>
      </c>
      <c r="AN73" t="e">
        <f t="shared" ca="1" si="21"/>
        <v>#NAME?</v>
      </c>
      <c r="AO73" s="139">
        <f t="shared" si="22"/>
        <v>79606800</v>
      </c>
      <c r="AP73" s="139" t="e">
        <f t="shared" ca="1" si="23"/>
        <v>#NAME?</v>
      </c>
    </row>
    <row r="74" spans="1:42">
      <c r="A74" t="str">
        <f t="shared" si="18"/>
        <v>B8</v>
      </c>
      <c r="B74" t="str">
        <f t="shared" si="18"/>
        <v>C8</v>
      </c>
      <c r="C74" t="str">
        <f t="shared" si="18"/>
        <v>D8</v>
      </c>
      <c r="D74" t="str">
        <f t="shared" si="18"/>
        <v>E8</v>
      </c>
      <c r="E74" t="str">
        <f t="shared" si="18"/>
        <v>F8</v>
      </c>
      <c r="F74" t="str">
        <f t="shared" si="18"/>
        <v>G8</v>
      </c>
      <c r="G74" t="str">
        <f t="shared" si="18"/>
        <v>H8</v>
      </c>
      <c r="H74" t="str">
        <f t="shared" si="18"/>
        <v>I8</v>
      </c>
      <c r="I74" t="str">
        <f t="shared" si="18"/>
        <v>J8</v>
      </c>
      <c r="K74">
        <v>8</v>
      </c>
      <c r="P74" t="str">
        <v>E7</v>
      </c>
      <c r="Q74" t="str">
        <v>E</v>
      </c>
      <c r="R74">
        <v>7</v>
      </c>
      <c r="S74" t="str">
        <v>c</v>
      </c>
      <c r="T74" t="str">
        <v>Omber</v>
      </c>
      <c r="U74">
        <v>2000</v>
      </c>
      <c r="V74">
        <v>0</v>
      </c>
      <c r="W74" s="114">
        <v>0.25</v>
      </c>
      <c r="X74" s="122">
        <v>1500</v>
      </c>
      <c r="Y74" s="122">
        <v>900</v>
      </c>
      <c r="Z74">
        <v>0</v>
      </c>
      <c r="AA74">
        <v>90</v>
      </c>
      <c r="AB74">
        <v>0</v>
      </c>
      <c r="AC74">
        <v>75</v>
      </c>
      <c r="AD74">
        <v>0</v>
      </c>
      <c r="AE74">
        <v>0</v>
      </c>
      <c r="AF74">
        <v>0</v>
      </c>
      <c r="AG74">
        <v>35380.800000000003</v>
      </c>
      <c r="AH74" s="122">
        <v>53071200.000000007</v>
      </c>
      <c r="AI74" s="131">
        <v>58968</v>
      </c>
      <c r="AJ74" s="131">
        <f>SUM($Y$70:Y73)</f>
        <v>5400</v>
      </c>
      <c r="AK74" s="131">
        <f t="shared" si="19"/>
        <v>900</v>
      </c>
      <c r="AL74" t="str">
        <f t="shared" ca="1" si="20"/>
        <v>C12</v>
      </c>
      <c r="AM74" t="e" cm="1">
        <f t="array" aca="1" ref="AM74" ca="1">_xlfn.LET(
_xlpm.start_col,LEFT(AL74,1),
_xlpm.start_row,VALUE(SUBSTITUTE(AL74,_xlpm.start_col,"")),
_xlpm.end_col,LEFT(P74,1),
_xlpm.end_row,VALUE(SUBSTITUTE(P74,_xlpm.end_col,"")),
_xlpm.row_diff,ABS(_xlpm.end_row-_xlpm.start_row),
_xlpm.col_diff,ABS(MATCH(_xlpm.start_col,col_rng,0)-MATCH(_xlpm.end_col,col_rng,0)),
_xlpm.result,IF(AL74&lt;&gt;"",MAX(_xlpm.row_diff,_xlpm.col_diff),0),
_xlpm.result
)</f>
        <v>#NAME?</v>
      </c>
      <c r="AN74" t="e">
        <f t="shared" ca="1" si="21"/>
        <v>#NAME?</v>
      </c>
      <c r="AO74" s="139">
        <f t="shared" si="22"/>
        <v>53071200.000000007</v>
      </c>
      <c r="AP74" s="139" t="e">
        <f t="shared" ca="1" si="23"/>
        <v>#NAME?</v>
      </c>
    </row>
    <row r="75" spans="1:42">
      <c r="A75" t="str">
        <f t="shared" si="18"/>
        <v>B9</v>
      </c>
      <c r="B75" t="str">
        <f t="shared" si="18"/>
        <v>C9</v>
      </c>
      <c r="C75" t="str">
        <f t="shared" si="18"/>
        <v>D9</v>
      </c>
      <c r="D75" t="str">
        <f t="shared" si="18"/>
        <v>E9</v>
      </c>
      <c r="E75" t="str">
        <f t="shared" si="18"/>
        <v>F9</v>
      </c>
      <c r="F75" t="str">
        <f t="shared" si="18"/>
        <v>G9</v>
      </c>
      <c r="G75" t="str">
        <f t="shared" si="18"/>
        <v>H9</v>
      </c>
      <c r="H75" t="str">
        <f t="shared" si="18"/>
        <v>I9</v>
      </c>
      <c r="I75" t="str">
        <f t="shared" si="18"/>
        <v>J9</v>
      </c>
      <c r="K75">
        <v>9</v>
      </c>
      <c r="P75" t="str">
        <v>F6</v>
      </c>
      <c r="Q75" t="str">
        <v>F</v>
      </c>
      <c r="R75">
        <v>6</v>
      </c>
      <c r="S75" t="str">
        <v>c</v>
      </c>
      <c r="T75" t="str">
        <v>Omber</v>
      </c>
      <c r="U75">
        <v>1000</v>
      </c>
      <c r="V75">
        <v>0</v>
      </c>
      <c r="W75" s="114">
        <v>0.25</v>
      </c>
      <c r="X75" s="122">
        <v>750</v>
      </c>
      <c r="Y75" s="122">
        <v>450</v>
      </c>
      <c r="Z75">
        <v>0</v>
      </c>
      <c r="AA75">
        <v>90</v>
      </c>
      <c r="AB75">
        <v>0</v>
      </c>
      <c r="AC75">
        <v>75</v>
      </c>
      <c r="AD75">
        <v>0</v>
      </c>
      <c r="AE75">
        <v>0</v>
      </c>
      <c r="AF75">
        <v>0</v>
      </c>
      <c r="AG75">
        <v>35380.800000000003</v>
      </c>
      <c r="AH75" s="122">
        <v>26535600.000000004</v>
      </c>
      <c r="AI75" s="131">
        <v>58968</v>
      </c>
      <c r="AJ75" s="131">
        <f>SUM($Y$70:Y74)</f>
        <v>6300</v>
      </c>
      <c r="AK75" s="131">
        <f t="shared" si="19"/>
        <v>450</v>
      </c>
      <c r="AL75" t="str">
        <f t="shared" ca="1" si="20"/>
        <v>E7</v>
      </c>
      <c r="AM75" t="e" cm="1">
        <f t="array" aca="1" ref="AM75" ca="1">_xlfn.LET(
_xlpm.start_col,LEFT(AL75,1),
_xlpm.start_row,VALUE(SUBSTITUTE(AL75,_xlpm.start_col,"")),
_xlpm.end_col,LEFT(P75,1),
_xlpm.end_row,VALUE(SUBSTITUTE(P75,_xlpm.end_col,"")),
_xlpm.row_diff,ABS(_xlpm.end_row-_xlpm.start_row),
_xlpm.col_diff,ABS(MATCH(_xlpm.start_col,col_rng,0)-MATCH(_xlpm.end_col,col_rng,0)),
_xlpm.result,IF(AL75&lt;&gt;"",MAX(_xlpm.row_diff,_xlpm.col_diff),0),
_xlpm.result
)</f>
        <v>#NAME?</v>
      </c>
      <c r="AN75" t="e">
        <f t="shared" ca="1" si="21"/>
        <v>#NAME?</v>
      </c>
      <c r="AO75" s="139">
        <f t="shared" si="22"/>
        <v>26535600.000000004</v>
      </c>
      <c r="AP75" s="139" t="e">
        <f t="shared" ca="1" si="23"/>
        <v>#NAME?</v>
      </c>
    </row>
    <row r="76" spans="1:42">
      <c r="A76" t="str">
        <f t="shared" si="18"/>
        <v>B10</v>
      </c>
      <c r="B76" t="str">
        <f t="shared" si="18"/>
        <v>C10</v>
      </c>
      <c r="C76" t="str">
        <f t="shared" si="18"/>
        <v>D10</v>
      </c>
      <c r="D76" t="str">
        <f t="shared" si="18"/>
        <v>E10</v>
      </c>
      <c r="E76" t="str">
        <f t="shared" si="18"/>
        <v>F10</v>
      </c>
      <c r="F76" t="str">
        <f t="shared" si="18"/>
        <v>G10</v>
      </c>
      <c r="G76" t="str">
        <f t="shared" si="18"/>
        <v>H10</v>
      </c>
      <c r="H76" t="str">
        <f t="shared" si="18"/>
        <v>I10</v>
      </c>
      <c r="I76" t="str">
        <f t="shared" si="18"/>
        <v>J10</v>
      </c>
      <c r="K76">
        <v>10</v>
      </c>
      <c r="P76" t="str">
        <v>H15</v>
      </c>
      <c r="Q76" t="str">
        <v>H</v>
      </c>
      <c r="R76">
        <v>15</v>
      </c>
      <c r="S76" t="str">
        <v>d</v>
      </c>
      <c r="T76" t="str">
        <v>Kernite</v>
      </c>
      <c r="U76">
        <v>7000</v>
      </c>
      <c r="V76">
        <v>2</v>
      </c>
      <c r="W76" s="114">
        <v>0.15</v>
      </c>
      <c r="X76" s="122">
        <v>5950</v>
      </c>
      <c r="Y76" s="122">
        <v>7140</v>
      </c>
      <c r="Z76">
        <v>0</v>
      </c>
      <c r="AA76">
        <v>0</v>
      </c>
      <c r="AB76">
        <v>60</v>
      </c>
      <c r="AC76">
        <v>120</v>
      </c>
      <c r="AD76">
        <v>0</v>
      </c>
      <c r="AE76">
        <v>0</v>
      </c>
      <c r="AF76">
        <v>0</v>
      </c>
      <c r="AG76">
        <v>58303.199999999997</v>
      </c>
      <c r="AH76" s="122">
        <v>346904040</v>
      </c>
      <c r="AI76" s="131">
        <v>48586</v>
      </c>
      <c r="AJ76" s="131">
        <f>SUM($Y$70:Y75)</f>
        <v>6750</v>
      </c>
      <c r="AK76" s="131">
        <f t="shared" si="19"/>
        <v>7140</v>
      </c>
      <c r="AL76" t="str">
        <f t="shared" ca="1" si="20"/>
        <v>F6</v>
      </c>
      <c r="AM76" t="e" cm="1">
        <f t="array" aca="1" ref="AM76" ca="1">_xlfn.LET(
_xlpm.start_col,LEFT(AL76,1),
_xlpm.start_row,VALUE(SUBSTITUTE(AL76,_xlpm.start_col,"")),
_xlpm.end_col,LEFT(P76,1),
_xlpm.end_row,VALUE(SUBSTITUTE(P76,_xlpm.end_col,"")),
_xlpm.row_diff,ABS(_xlpm.end_row-_xlpm.start_row),
_xlpm.col_diff,ABS(MATCH(_xlpm.start_col,col_rng,0)-MATCH(_xlpm.end_col,col_rng,0)),
_xlpm.result,IF(AL76&lt;&gt;"",MAX(_xlpm.row_diff,_xlpm.col_diff),0),
_xlpm.result
)</f>
        <v>#NAME?</v>
      </c>
      <c r="AN76" t="e">
        <f t="shared" ca="1" si="21"/>
        <v>#NAME?</v>
      </c>
      <c r="AO76" s="139">
        <f t="shared" si="22"/>
        <v>346904040</v>
      </c>
      <c r="AP76" s="139" t="e">
        <f t="shared" ca="1" si="23"/>
        <v>#NAME?</v>
      </c>
    </row>
    <row r="77" spans="1:42">
      <c r="A77" t="str">
        <f t="shared" si="18"/>
        <v>B11</v>
      </c>
      <c r="B77" t="str">
        <f t="shared" si="18"/>
        <v>C11</v>
      </c>
      <c r="C77" t="str">
        <f t="shared" si="18"/>
        <v>D11</v>
      </c>
      <c r="D77" t="str">
        <f t="shared" si="18"/>
        <v>E11</v>
      </c>
      <c r="E77" t="str">
        <f t="shared" si="18"/>
        <v>F11</v>
      </c>
      <c r="F77" t="str">
        <f t="shared" si="18"/>
        <v>G11</v>
      </c>
      <c r="G77" t="str">
        <f t="shared" si="18"/>
        <v>H11</v>
      </c>
      <c r="H77" t="str">
        <f t="shared" si="18"/>
        <v>I11</v>
      </c>
      <c r="I77" t="str">
        <f t="shared" si="18"/>
        <v>J11</v>
      </c>
      <c r="K77">
        <v>11</v>
      </c>
      <c r="P77" t="str">
        <v>I13</v>
      </c>
      <c r="Q77" t="str">
        <v>I</v>
      </c>
      <c r="R77">
        <v>13</v>
      </c>
      <c r="S77" t="str">
        <v>d</v>
      </c>
      <c r="T77" t="str">
        <v>Kernite</v>
      </c>
      <c r="U77">
        <v>6000</v>
      </c>
      <c r="V77">
        <v>2</v>
      </c>
      <c r="W77" s="114">
        <v>0.15</v>
      </c>
      <c r="X77" s="122">
        <v>5100</v>
      </c>
      <c r="Y77" s="122">
        <v>6120</v>
      </c>
      <c r="Z77">
        <v>0</v>
      </c>
      <c r="AA77">
        <v>0</v>
      </c>
      <c r="AB77">
        <v>60</v>
      </c>
      <c r="AC77">
        <v>120</v>
      </c>
      <c r="AD77">
        <v>0</v>
      </c>
      <c r="AE77">
        <v>0</v>
      </c>
      <c r="AF77">
        <v>0</v>
      </c>
      <c r="AG77">
        <v>58303.199999999997</v>
      </c>
      <c r="AH77" s="122">
        <v>297346320</v>
      </c>
      <c r="AI77" s="131">
        <v>48586</v>
      </c>
      <c r="AJ77" s="131">
        <f>SUM($Y$70:Y76)</f>
        <v>13890</v>
      </c>
      <c r="AK77" s="131">
        <f t="shared" si="19"/>
        <v>6120</v>
      </c>
      <c r="AL77" t="str">
        <f t="shared" ca="1" si="20"/>
        <v>H15</v>
      </c>
      <c r="AM77" t="e" cm="1">
        <f t="array" aca="1" ref="AM77" ca="1">_xlfn.LET(
_xlpm.start_col,LEFT(AL77,1),
_xlpm.start_row,VALUE(SUBSTITUTE(AL77,_xlpm.start_col,"")),
_xlpm.end_col,LEFT(P77,1),
_xlpm.end_row,VALUE(SUBSTITUTE(P77,_xlpm.end_col,"")),
_xlpm.row_diff,ABS(_xlpm.end_row-_xlpm.start_row),
_xlpm.col_diff,ABS(MATCH(_xlpm.start_col,col_rng,0)-MATCH(_xlpm.end_col,col_rng,0)),
_xlpm.result,IF(AL77&lt;&gt;"",MAX(_xlpm.row_diff,_xlpm.col_diff),0),
_xlpm.result
)</f>
        <v>#NAME?</v>
      </c>
      <c r="AN77" t="e">
        <f t="shared" ca="1" si="21"/>
        <v>#NAME?</v>
      </c>
      <c r="AO77" s="139">
        <f t="shared" si="22"/>
        <v>297346320</v>
      </c>
      <c r="AP77" s="139" t="e">
        <f t="shared" ca="1" si="23"/>
        <v>#NAME?</v>
      </c>
    </row>
    <row r="78" spans="1:42">
      <c r="A78" t="str">
        <f t="shared" si="18"/>
        <v>B12</v>
      </c>
      <c r="B78" t="str">
        <f t="shared" si="18"/>
        <v>C12</v>
      </c>
      <c r="C78" t="str">
        <f t="shared" si="18"/>
        <v>D12</v>
      </c>
      <c r="D78" t="str">
        <f t="shared" si="18"/>
        <v>E12</v>
      </c>
      <c r="E78" t="str">
        <f t="shared" si="18"/>
        <v>F12</v>
      </c>
      <c r="F78" t="str">
        <f t="shared" si="18"/>
        <v>G12</v>
      </c>
      <c r="G78" t="str">
        <f t="shared" si="18"/>
        <v>H12</v>
      </c>
      <c r="H78" t="str">
        <f t="shared" si="18"/>
        <v>I12</v>
      </c>
      <c r="I78" t="str">
        <f t="shared" si="18"/>
        <v>J12</v>
      </c>
      <c r="K78">
        <v>12</v>
      </c>
      <c r="P78" t="str">
        <v>I4</v>
      </c>
      <c r="Q78" t="str">
        <v>I</v>
      </c>
      <c r="R78">
        <v>4</v>
      </c>
      <c r="S78" t="str">
        <v>d</v>
      </c>
      <c r="T78" t="str">
        <v>Kernite</v>
      </c>
      <c r="U78">
        <v>5000</v>
      </c>
      <c r="V78">
        <v>2</v>
      </c>
      <c r="W78" s="114">
        <v>0.15</v>
      </c>
      <c r="X78" s="122">
        <v>4250</v>
      </c>
      <c r="Y78" s="122">
        <v>5100</v>
      </c>
      <c r="Z78">
        <v>0</v>
      </c>
      <c r="AA78">
        <v>0</v>
      </c>
      <c r="AB78">
        <v>60</v>
      </c>
      <c r="AC78">
        <v>120</v>
      </c>
      <c r="AD78">
        <v>0</v>
      </c>
      <c r="AE78">
        <v>0</v>
      </c>
      <c r="AF78">
        <v>0</v>
      </c>
      <c r="AG78">
        <v>58303.199999999997</v>
      </c>
      <c r="AH78" s="122">
        <v>247788600</v>
      </c>
      <c r="AI78" s="131">
        <v>48586</v>
      </c>
      <c r="AJ78" s="131">
        <f>SUM($Y$70:Y77)</f>
        <v>20010</v>
      </c>
      <c r="AK78" s="131">
        <f>IF((27500-AJ78)&lt;0,0,MIN(27500-AJ78,Y78))</f>
        <v>5100</v>
      </c>
      <c r="AL78" t="str">
        <f t="shared" ca="1" si="20"/>
        <v>I13</v>
      </c>
      <c r="AM78" t="e" cm="1">
        <f t="array" aca="1" ref="AM78" ca="1">_xlfn.LET(
_xlpm.start_col,LEFT(AL78,1),
_xlpm.start_row,VALUE(SUBSTITUTE(AL78,_xlpm.start_col,"")),
_xlpm.end_col,LEFT(P78,1),
_xlpm.end_row,VALUE(SUBSTITUTE(P78,_xlpm.end_col,"")),
_xlpm.row_diff,ABS(_xlpm.end_row-_xlpm.start_row),
_xlpm.col_diff,ABS(MATCH(_xlpm.start_col,col_rng,0)-MATCH(_xlpm.end_col,col_rng,0)),
_xlpm.result,IF(AL78&lt;&gt;"",MAX(_xlpm.row_diff,_xlpm.col_diff),0),
_xlpm.result
)</f>
        <v>#NAME?</v>
      </c>
      <c r="AN78" t="e">
        <f t="shared" ca="1" si="21"/>
        <v>#NAME?</v>
      </c>
      <c r="AO78" s="139">
        <f t="shared" si="22"/>
        <v>247788600</v>
      </c>
      <c r="AP78" s="139" t="e">
        <f t="shared" ca="1" si="23"/>
        <v>#NAME?</v>
      </c>
    </row>
    <row r="79" spans="1:42">
      <c r="A79" t="str">
        <f t="shared" si="18"/>
        <v>B13</v>
      </c>
      <c r="B79" t="str">
        <f t="shared" si="18"/>
        <v>C13</v>
      </c>
      <c r="C79" t="str">
        <f t="shared" si="18"/>
        <v>D13</v>
      </c>
      <c r="D79" t="str">
        <f t="shared" si="18"/>
        <v>E13</v>
      </c>
      <c r="E79" t="str">
        <f t="shared" si="18"/>
        <v>F13</v>
      </c>
      <c r="F79" t="str">
        <f t="shared" si="18"/>
        <v>G13</v>
      </c>
      <c r="G79" t="str">
        <f t="shared" si="18"/>
        <v>H13</v>
      </c>
      <c r="H79" t="str">
        <f t="shared" si="18"/>
        <v>I13</v>
      </c>
      <c r="I79" t="str">
        <f t="shared" si="18"/>
        <v>J13</v>
      </c>
      <c r="K79">
        <v>13</v>
      </c>
      <c r="P79" t="str">
        <v>I6</v>
      </c>
      <c r="Q79" t="str">
        <v>I</v>
      </c>
      <c r="R79">
        <v>6</v>
      </c>
      <c r="S79" t="str">
        <v>d</v>
      </c>
      <c r="T79" t="str">
        <v>Kernite</v>
      </c>
      <c r="U79">
        <v>4000</v>
      </c>
      <c r="V79">
        <v>2</v>
      </c>
      <c r="W79" s="114">
        <v>0.15</v>
      </c>
      <c r="X79" s="122">
        <v>3400</v>
      </c>
      <c r="Y79" s="122">
        <v>4080</v>
      </c>
      <c r="Z79">
        <v>0</v>
      </c>
      <c r="AA79">
        <v>0</v>
      </c>
      <c r="AB79">
        <v>60</v>
      </c>
      <c r="AC79">
        <v>120</v>
      </c>
      <c r="AD79">
        <v>0</v>
      </c>
      <c r="AE79">
        <v>0</v>
      </c>
      <c r="AF79">
        <v>0</v>
      </c>
      <c r="AG79">
        <v>58303.199999999997</v>
      </c>
      <c r="AH79" s="122">
        <v>198230880</v>
      </c>
      <c r="AI79" s="131">
        <v>48586</v>
      </c>
      <c r="AJ79" s="131">
        <f>SUM($Y$70:Y78)</f>
        <v>25110</v>
      </c>
      <c r="AK79" s="131">
        <f t="shared" si="19"/>
        <v>2390</v>
      </c>
      <c r="AL79" t="str">
        <f t="shared" ca="1" si="20"/>
        <v>I4</v>
      </c>
      <c r="AM79" t="e" cm="1">
        <f t="array" aca="1" ref="AM79" ca="1">_xlfn.LET(
_xlpm.start_col,LEFT(AL79,1),
_xlpm.start_row,VALUE(SUBSTITUTE(AL79,_xlpm.start_col,"")),
_xlpm.end_col,LEFT(P79,1),
_xlpm.end_row,VALUE(SUBSTITUTE(P79,_xlpm.end_col,"")),
_xlpm.row_diff,ABS(_xlpm.end_row-_xlpm.start_row),
_xlpm.col_diff,ABS(MATCH(_xlpm.start_col,col_rng,0)-MATCH(_xlpm.end_col,col_rng,0)),
_xlpm.result,IF(AL79&lt;&gt;"",MAX(_xlpm.row_diff,_xlpm.col_diff),0),
_xlpm.result
)</f>
        <v>#NAME?</v>
      </c>
      <c r="AN79" t="e">
        <f t="shared" ca="1" si="21"/>
        <v>#NAME?</v>
      </c>
      <c r="AO79" s="139">
        <f t="shared" si="22"/>
        <v>116120540</v>
      </c>
      <c r="AP79" s="139" t="e">
        <f t="shared" ca="1" si="23"/>
        <v>#NAME?</v>
      </c>
    </row>
    <row r="80" spans="1:42">
      <c r="A80" t="str">
        <f t="shared" si="18"/>
        <v>B14</v>
      </c>
      <c r="B80" t="str">
        <f t="shared" si="18"/>
        <v>C14</v>
      </c>
      <c r="C80" t="str">
        <f t="shared" si="18"/>
        <v>D14</v>
      </c>
      <c r="D80" t="str">
        <f t="shared" si="18"/>
        <v>E14</v>
      </c>
      <c r="E80" t="str">
        <f t="shared" si="18"/>
        <v>F14</v>
      </c>
      <c r="F80" t="str">
        <f t="shared" si="18"/>
        <v>G14</v>
      </c>
      <c r="G80" t="str">
        <f t="shared" si="18"/>
        <v>H14</v>
      </c>
      <c r="H80" t="str">
        <f t="shared" si="18"/>
        <v>I14</v>
      </c>
      <c r="I80" t="str">
        <f t="shared" si="18"/>
        <v>J14</v>
      </c>
      <c r="K80">
        <v>14</v>
      </c>
      <c r="P80" t="str">
        <v>E5</v>
      </c>
      <c r="Q80" t="str">
        <v>E</v>
      </c>
      <c r="R80">
        <v>5</v>
      </c>
      <c r="S80" t="str">
        <v>d</v>
      </c>
      <c r="T80" t="str">
        <v>Kernite</v>
      </c>
      <c r="U80">
        <v>3000</v>
      </c>
      <c r="V80">
        <v>2</v>
      </c>
      <c r="W80" s="114">
        <v>0.15</v>
      </c>
      <c r="X80" s="122">
        <v>2550</v>
      </c>
      <c r="Y80" s="122">
        <v>3060</v>
      </c>
      <c r="Z80">
        <v>0</v>
      </c>
      <c r="AA80">
        <v>0</v>
      </c>
      <c r="AB80">
        <v>60</v>
      </c>
      <c r="AC80">
        <v>120</v>
      </c>
      <c r="AD80">
        <v>0</v>
      </c>
      <c r="AE80">
        <v>0</v>
      </c>
      <c r="AF80">
        <v>0</v>
      </c>
      <c r="AG80">
        <v>58303.199999999997</v>
      </c>
      <c r="AH80" s="122">
        <v>148673160</v>
      </c>
      <c r="AI80" s="131">
        <v>48586</v>
      </c>
      <c r="AJ80" s="131">
        <f>SUM($Y$70:Y79)</f>
        <v>29190</v>
      </c>
      <c r="AK80" s="131">
        <f t="shared" si="19"/>
        <v>0</v>
      </c>
      <c r="AL80" t="str">
        <f t="shared" ca="1" si="20"/>
        <v/>
      </c>
      <c r="AM80" t="e" cm="1">
        <f t="array" aca="1" ref="AM80" ca="1">_xlfn.LET(
_xlpm.start_col,LEFT(AL80,1),
_xlpm.start_row,VALUE(SUBSTITUTE(AL80,_xlpm.start_col,"")),
_xlpm.end_col,LEFT(P80,1),
_xlpm.end_row,VALUE(SUBSTITUTE(P80,_xlpm.end_col,"")),
_xlpm.row_diff,ABS(_xlpm.end_row-_xlpm.start_row),
_xlpm.col_diff,ABS(MATCH(_xlpm.start_col,col_rng,0)-MATCH(_xlpm.end_col,col_rng,0)),
_xlpm.result,IF(AL80&lt;&gt;"",MAX(_xlpm.row_diff,_xlpm.col_diff),0),
_xlpm.result
)</f>
        <v>#NAME?</v>
      </c>
      <c r="AN80" t="e">
        <f t="shared" ca="1" si="21"/>
        <v>#NAME?</v>
      </c>
      <c r="AO80" s="139">
        <f t="shared" si="22"/>
        <v>0</v>
      </c>
      <c r="AP80" s="139" t="e">
        <f t="shared" ca="1" si="23"/>
        <v>#NAME?</v>
      </c>
    </row>
    <row r="81" spans="1:42">
      <c r="A81" t="str">
        <f t="shared" si="18"/>
        <v>B15</v>
      </c>
      <c r="B81" t="str">
        <f t="shared" si="18"/>
        <v>C15</v>
      </c>
      <c r="C81" t="str">
        <f t="shared" si="18"/>
        <v>D15</v>
      </c>
      <c r="D81" t="str">
        <f t="shared" si="18"/>
        <v>E15</v>
      </c>
      <c r="E81" t="str">
        <f t="shared" si="18"/>
        <v>F15</v>
      </c>
      <c r="F81" t="str">
        <f t="shared" si="18"/>
        <v>G15</v>
      </c>
      <c r="G81" t="str">
        <f t="shared" si="18"/>
        <v>H15</v>
      </c>
      <c r="H81" t="str">
        <f t="shared" si="18"/>
        <v>I15</v>
      </c>
      <c r="I81" t="str">
        <f t="shared" si="18"/>
        <v>J15</v>
      </c>
      <c r="K81">
        <v>15</v>
      </c>
      <c r="P81" t="str">
        <v>C9</v>
      </c>
      <c r="Q81" t="str">
        <v>C</v>
      </c>
      <c r="R81">
        <v>9</v>
      </c>
      <c r="S81" t="str">
        <v>d</v>
      </c>
      <c r="T81" t="str">
        <v>Kernite</v>
      </c>
      <c r="U81">
        <v>2000</v>
      </c>
      <c r="V81">
        <v>2</v>
      </c>
      <c r="W81" s="114">
        <v>0.15</v>
      </c>
      <c r="X81" s="122">
        <v>1700</v>
      </c>
      <c r="Y81" s="122">
        <v>2040</v>
      </c>
      <c r="Z81">
        <v>0</v>
      </c>
      <c r="AA81">
        <v>0</v>
      </c>
      <c r="AB81">
        <v>60</v>
      </c>
      <c r="AC81">
        <v>120</v>
      </c>
      <c r="AD81">
        <v>0</v>
      </c>
      <c r="AE81">
        <v>0</v>
      </c>
      <c r="AF81">
        <v>0</v>
      </c>
      <c r="AG81">
        <v>58303.199999999997</v>
      </c>
      <c r="AH81" s="122">
        <v>99115440</v>
      </c>
      <c r="AI81" s="131">
        <v>48586</v>
      </c>
      <c r="AJ81" s="131">
        <f>SUM($Y$70:Y80)</f>
        <v>32250</v>
      </c>
      <c r="AK81" s="131">
        <f t="shared" si="19"/>
        <v>0</v>
      </c>
      <c r="AL81" t="str">
        <f t="shared" ca="1" si="20"/>
        <v/>
      </c>
      <c r="AM81" t="e" cm="1">
        <f t="array" aca="1" ref="AM81" ca="1">_xlfn.LET(
_xlpm.start_col,LEFT(AL81,1),
_xlpm.start_row,VALUE(SUBSTITUTE(AL81,_xlpm.start_col,"")),
_xlpm.end_col,LEFT(P81,1),
_xlpm.end_row,VALUE(SUBSTITUTE(P81,_xlpm.end_col,"")),
_xlpm.row_diff,ABS(_xlpm.end_row-_xlpm.start_row),
_xlpm.col_diff,ABS(MATCH(_xlpm.start_col,col_rng,0)-MATCH(_xlpm.end_col,col_rng,0)),
_xlpm.result,IF(AL81&lt;&gt;"",MAX(_xlpm.row_diff,_xlpm.col_diff),0),
_xlpm.result
)</f>
        <v>#NAME?</v>
      </c>
      <c r="AN81" t="e">
        <f t="shared" ca="1" si="21"/>
        <v>#NAME?</v>
      </c>
      <c r="AO81" s="139">
        <f t="shared" si="22"/>
        <v>0</v>
      </c>
      <c r="AP81" s="139" t="e">
        <f t="shared" ca="1" si="23"/>
        <v>#NAME?</v>
      </c>
    </row>
    <row r="82" spans="1:42">
      <c r="A82" t="str">
        <f t="shared" si="18"/>
        <v>B16</v>
      </c>
      <c r="B82" t="str">
        <f t="shared" si="18"/>
        <v>C16</v>
      </c>
      <c r="C82" t="str">
        <f t="shared" si="18"/>
        <v>D16</v>
      </c>
      <c r="D82" t="str">
        <f t="shared" si="18"/>
        <v>E16</v>
      </c>
      <c r="E82" t="str">
        <f t="shared" si="18"/>
        <v>F16</v>
      </c>
      <c r="F82" t="str">
        <f t="shared" si="18"/>
        <v>G16</v>
      </c>
      <c r="G82" t="str">
        <f t="shared" si="18"/>
        <v>H16</v>
      </c>
      <c r="H82" t="str">
        <f t="shared" si="18"/>
        <v>I16</v>
      </c>
      <c r="I82" t="str">
        <f t="shared" si="18"/>
        <v>J16</v>
      </c>
      <c r="K82">
        <v>16</v>
      </c>
      <c r="P82" t="str">
        <v>D11</v>
      </c>
      <c r="Q82" t="str">
        <v>D</v>
      </c>
      <c r="R82">
        <v>11</v>
      </c>
      <c r="S82" t="str">
        <v>d</v>
      </c>
      <c r="T82" t="str">
        <v>Kernite</v>
      </c>
      <c r="U82">
        <v>1000</v>
      </c>
      <c r="V82">
        <v>2</v>
      </c>
      <c r="W82" s="114">
        <v>0.15</v>
      </c>
      <c r="X82" s="122">
        <v>850</v>
      </c>
      <c r="Y82" s="122">
        <v>1020</v>
      </c>
      <c r="Z82">
        <v>0</v>
      </c>
      <c r="AA82">
        <v>0</v>
      </c>
      <c r="AB82">
        <v>60</v>
      </c>
      <c r="AC82">
        <v>120</v>
      </c>
      <c r="AD82">
        <v>0</v>
      </c>
      <c r="AE82">
        <v>0</v>
      </c>
      <c r="AF82">
        <v>0</v>
      </c>
      <c r="AG82">
        <v>58303.199999999997</v>
      </c>
      <c r="AH82" s="122">
        <v>49557720</v>
      </c>
      <c r="AI82" s="131">
        <v>48586</v>
      </c>
      <c r="AJ82" s="131">
        <f>SUM($Y$70:Y81)</f>
        <v>34290</v>
      </c>
      <c r="AK82" s="131">
        <f t="shared" si="19"/>
        <v>0</v>
      </c>
      <c r="AL82" t="str">
        <f t="shared" ca="1" si="20"/>
        <v/>
      </c>
      <c r="AM82" t="e" cm="1">
        <f t="array" aca="1" ref="AM82" ca="1">_xlfn.LET(
_xlpm.start_col,LEFT(AL82,1),
_xlpm.start_row,VALUE(SUBSTITUTE(AL82,_xlpm.start_col,"")),
_xlpm.end_col,LEFT(P82,1),
_xlpm.end_row,VALUE(SUBSTITUTE(P82,_xlpm.end_col,"")),
_xlpm.row_diff,ABS(_xlpm.end_row-_xlpm.start_row),
_xlpm.col_diff,ABS(MATCH(_xlpm.start_col,col_rng,0)-MATCH(_xlpm.end_col,col_rng,0)),
_xlpm.result,IF(AL82&lt;&gt;"",MAX(_xlpm.row_diff,_xlpm.col_diff),0),
_xlpm.result
)</f>
        <v>#NAME?</v>
      </c>
      <c r="AN82" t="e">
        <f t="shared" ca="1" si="21"/>
        <v>#NAME?</v>
      </c>
      <c r="AO82" s="139">
        <f t="shared" si="22"/>
        <v>0</v>
      </c>
      <c r="AP82" s="139" t="e">
        <f t="shared" ca="1" si="23"/>
        <v>#NAME?</v>
      </c>
    </row>
    <row r="83" spans="1:42">
      <c r="A83" t="str">
        <f t="shared" si="18"/>
        <v>B17</v>
      </c>
      <c r="B83" t="str">
        <f t="shared" si="18"/>
        <v>C17</v>
      </c>
      <c r="C83" t="str">
        <f t="shared" si="18"/>
        <v>D17</v>
      </c>
      <c r="D83" t="str">
        <f t="shared" si="18"/>
        <v>E17</v>
      </c>
      <c r="E83" t="str">
        <f t="shared" si="18"/>
        <v>F17</v>
      </c>
      <c r="F83" t="str">
        <f t="shared" si="18"/>
        <v>G17</v>
      </c>
      <c r="G83" t="str">
        <f t="shared" si="18"/>
        <v>H17</v>
      </c>
      <c r="H83" t="str">
        <f t="shared" si="18"/>
        <v>I17</v>
      </c>
      <c r="I83" t="str">
        <f t="shared" si="18"/>
        <v>J17</v>
      </c>
      <c r="K83">
        <v>17</v>
      </c>
      <c r="P83" t="str">
        <v>C6</v>
      </c>
      <c r="Q83" t="str">
        <v>C</v>
      </c>
      <c r="R83">
        <v>6</v>
      </c>
      <c r="S83" t="str">
        <v>a</v>
      </c>
      <c r="T83" t="str">
        <v>Veldspar</v>
      </c>
      <c r="U83">
        <v>6000</v>
      </c>
      <c r="V83">
        <v>5</v>
      </c>
      <c r="W83" s="114">
        <v>0</v>
      </c>
      <c r="X83" s="122">
        <v>6000</v>
      </c>
      <c r="Y83" s="122">
        <v>600</v>
      </c>
      <c r="Z83">
        <v>400</v>
      </c>
      <c r="AA83">
        <v>0</v>
      </c>
      <c r="AB83">
        <v>0</v>
      </c>
      <c r="AC83">
        <v>0</v>
      </c>
      <c r="AD83">
        <v>0</v>
      </c>
      <c r="AE83">
        <v>0</v>
      </c>
      <c r="AF83">
        <v>0</v>
      </c>
      <c r="AG83">
        <v>1700</v>
      </c>
      <c r="AH83" s="122">
        <v>10200000</v>
      </c>
      <c r="AI83" s="131">
        <v>17000</v>
      </c>
      <c r="AJ83" s="131">
        <f>SUM($Y$70:Y82)</f>
        <v>35310</v>
      </c>
      <c r="AK83" s="131">
        <f t="shared" si="19"/>
        <v>0</v>
      </c>
      <c r="AL83" t="str">
        <f t="shared" ca="1" si="20"/>
        <v/>
      </c>
      <c r="AM83" t="e" cm="1">
        <f t="array" aca="1" ref="AM83" ca="1">_xlfn.LET(
_xlpm.start_col,LEFT(AL83,1),
_xlpm.start_row,VALUE(SUBSTITUTE(AL83,_xlpm.start_col,"")),
_xlpm.end_col,LEFT(P83,1),
_xlpm.end_row,VALUE(SUBSTITUTE(P83,_xlpm.end_col,"")),
_xlpm.row_diff,ABS(_xlpm.end_row-_xlpm.start_row),
_xlpm.col_diff,ABS(MATCH(_xlpm.start_col,col_rng,0)-MATCH(_xlpm.end_col,col_rng,0)),
_xlpm.result,IF(AL83&lt;&gt;"",MAX(_xlpm.row_diff,_xlpm.col_diff),0),
_xlpm.result
)</f>
        <v>#NAME?</v>
      </c>
      <c r="AN83" t="e">
        <f t="shared" ca="1" si="21"/>
        <v>#NAME?</v>
      </c>
      <c r="AO83" s="139">
        <f t="shared" si="22"/>
        <v>0</v>
      </c>
      <c r="AP83" s="139" t="e">
        <f t="shared" ca="1" si="23"/>
        <v>#NAME?</v>
      </c>
    </row>
    <row r="84" spans="1:42">
      <c r="P84" t="str">
        <v>G7</v>
      </c>
      <c r="Q84" t="str">
        <v>G</v>
      </c>
      <c r="R84">
        <v>7</v>
      </c>
      <c r="S84" t="str">
        <v>a</v>
      </c>
      <c r="T84" t="str">
        <v>Veldspar</v>
      </c>
      <c r="U84">
        <v>5000</v>
      </c>
      <c r="V84">
        <v>5</v>
      </c>
      <c r="W84" s="114">
        <v>0</v>
      </c>
      <c r="X84" s="122">
        <v>5000</v>
      </c>
      <c r="Y84" s="122">
        <v>500</v>
      </c>
      <c r="Z84">
        <v>400</v>
      </c>
      <c r="AA84">
        <v>0</v>
      </c>
      <c r="AB84">
        <v>0</v>
      </c>
      <c r="AC84">
        <v>0</v>
      </c>
      <c r="AD84">
        <v>0</v>
      </c>
      <c r="AE84">
        <v>0</v>
      </c>
      <c r="AF84">
        <v>0</v>
      </c>
      <c r="AG84">
        <v>1700</v>
      </c>
      <c r="AH84" s="122">
        <v>8500000</v>
      </c>
      <c r="AI84" s="131">
        <v>17000</v>
      </c>
      <c r="AJ84" s="131">
        <f>SUM($Y$70:Y83)</f>
        <v>35910</v>
      </c>
      <c r="AK84" s="131">
        <f t="shared" si="19"/>
        <v>0</v>
      </c>
      <c r="AL84" t="str">
        <f t="shared" ca="1" si="20"/>
        <v/>
      </c>
      <c r="AM84" t="e" cm="1">
        <f t="array" aca="1" ref="AM84" ca="1">_xlfn.LET(
_xlpm.start_col,LEFT(AL84,1),
_xlpm.start_row,VALUE(SUBSTITUTE(AL84,_xlpm.start_col,"")),
_xlpm.end_col,LEFT(P84,1),
_xlpm.end_row,VALUE(SUBSTITUTE(P84,_xlpm.end_col,"")),
_xlpm.row_diff,ABS(_xlpm.end_row-_xlpm.start_row),
_xlpm.col_diff,ABS(MATCH(_xlpm.start_col,col_rng,0)-MATCH(_xlpm.end_col,col_rng,0)),
_xlpm.result,IF(AL84&lt;&gt;"",MAX(_xlpm.row_diff,_xlpm.col_diff),0),
_xlpm.result
)</f>
        <v>#NAME?</v>
      </c>
      <c r="AN84" t="e">
        <f t="shared" ca="1" si="21"/>
        <v>#NAME?</v>
      </c>
      <c r="AO84" s="139">
        <f t="shared" si="22"/>
        <v>0</v>
      </c>
      <c r="AP84" s="139" t="e">
        <f t="shared" ca="1" si="23"/>
        <v>#NAME?</v>
      </c>
    </row>
    <row r="85" spans="1:42">
      <c r="A85" t="s">
        <v>214</v>
      </c>
      <c r="B85" t="s">
        <v>215</v>
      </c>
      <c r="C85" t="s">
        <v>216</v>
      </c>
      <c r="D85" t="s">
        <v>217</v>
      </c>
      <c r="E85" t="s">
        <v>218</v>
      </c>
      <c r="F85" t="s">
        <v>219</v>
      </c>
      <c r="G85" t="s">
        <v>220</v>
      </c>
      <c r="H85" t="s">
        <v>221</v>
      </c>
      <c r="I85" t="s">
        <v>222</v>
      </c>
      <c r="P85" t="str">
        <v>E9</v>
      </c>
      <c r="Q85" t="str">
        <v>E</v>
      </c>
      <c r="R85">
        <v>9</v>
      </c>
      <c r="S85" t="str">
        <v>a</v>
      </c>
      <c r="T85" t="str">
        <v>Veldspar</v>
      </c>
      <c r="U85">
        <v>4000</v>
      </c>
      <c r="V85">
        <v>5</v>
      </c>
      <c r="W85" s="114">
        <v>0</v>
      </c>
      <c r="X85" s="122">
        <v>4000</v>
      </c>
      <c r="Y85" s="122">
        <v>400</v>
      </c>
      <c r="Z85">
        <v>400</v>
      </c>
      <c r="AA85">
        <v>0</v>
      </c>
      <c r="AB85">
        <v>0</v>
      </c>
      <c r="AC85">
        <v>0</v>
      </c>
      <c r="AD85">
        <v>0</v>
      </c>
      <c r="AE85">
        <v>0</v>
      </c>
      <c r="AF85">
        <v>0</v>
      </c>
      <c r="AG85">
        <v>1700</v>
      </c>
      <c r="AH85" s="122">
        <v>6800000</v>
      </c>
      <c r="AI85" s="131">
        <v>17000</v>
      </c>
      <c r="AJ85" s="131">
        <f>SUM($Y$70:Y84)</f>
        <v>36410</v>
      </c>
      <c r="AK85" s="131">
        <f t="shared" si="19"/>
        <v>0</v>
      </c>
      <c r="AL85" t="str">
        <f t="shared" ca="1" si="20"/>
        <v/>
      </c>
      <c r="AM85" t="e" cm="1">
        <f t="array" aca="1" ref="AM85" ca="1">_xlfn.LET(
_xlpm.start_col,LEFT(AL85,1),
_xlpm.start_row,VALUE(SUBSTITUTE(AL85,_xlpm.start_col,"")),
_xlpm.end_col,LEFT(P85,1),
_xlpm.end_row,VALUE(SUBSTITUTE(P85,_xlpm.end_col,"")),
_xlpm.row_diff,ABS(_xlpm.end_row-_xlpm.start_row),
_xlpm.col_diff,ABS(MATCH(_xlpm.start_col,col_rng,0)-MATCH(_xlpm.end_col,col_rng,0)),
_xlpm.result,IF(AL85&lt;&gt;"",MAX(_xlpm.row_diff,_xlpm.col_diff),0),
_xlpm.result
)</f>
        <v>#NAME?</v>
      </c>
      <c r="AN85" t="e">
        <f t="shared" ca="1" si="21"/>
        <v>#NAME?</v>
      </c>
      <c r="AO85" s="139">
        <f t="shared" si="22"/>
        <v>0</v>
      </c>
      <c r="AP85" s="139" t="e">
        <f t="shared" ca="1" si="23"/>
        <v>#NAME?</v>
      </c>
    </row>
    <row r="86" spans="1:42">
      <c r="A86" t="s">
        <v>258</v>
      </c>
      <c r="P86" t="str">
        <v>F12</v>
      </c>
      <c r="Q86" t="str">
        <v>F</v>
      </c>
      <c r="R86">
        <v>12</v>
      </c>
      <c r="S86" t="str">
        <v>a</v>
      </c>
      <c r="T86" t="str">
        <v>Veldspar</v>
      </c>
      <c r="U86">
        <v>3000</v>
      </c>
      <c r="V86">
        <v>5</v>
      </c>
      <c r="W86" s="114">
        <v>0</v>
      </c>
      <c r="X86" s="122">
        <v>3000</v>
      </c>
      <c r="Y86" s="122">
        <v>300</v>
      </c>
      <c r="Z86">
        <v>400</v>
      </c>
      <c r="AA86">
        <v>0</v>
      </c>
      <c r="AB86">
        <v>0</v>
      </c>
      <c r="AC86">
        <v>0</v>
      </c>
      <c r="AD86">
        <v>0</v>
      </c>
      <c r="AE86">
        <v>0</v>
      </c>
      <c r="AF86">
        <v>0</v>
      </c>
      <c r="AG86">
        <v>1700</v>
      </c>
      <c r="AH86" s="122">
        <v>5100000</v>
      </c>
      <c r="AI86" s="131">
        <v>17000</v>
      </c>
      <c r="AJ86" s="131">
        <f>SUM($Y$70:Y85)</f>
        <v>36810</v>
      </c>
      <c r="AK86" s="131">
        <f t="shared" si="19"/>
        <v>0</v>
      </c>
      <c r="AL86" t="str">
        <f t="shared" ca="1" si="20"/>
        <v/>
      </c>
      <c r="AM86" t="e" cm="1">
        <f t="array" aca="1" ref="AM86" ca="1">_xlfn.LET(
_xlpm.start_col,LEFT(AL86,1),
_xlpm.start_row,VALUE(SUBSTITUTE(AL86,_xlpm.start_col,"")),
_xlpm.end_col,LEFT(P86,1),
_xlpm.end_row,VALUE(SUBSTITUTE(P86,_xlpm.end_col,"")),
_xlpm.row_diff,ABS(_xlpm.end_row-_xlpm.start_row),
_xlpm.col_diff,ABS(MATCH(_xlpm.start_col,col_rng,0)-MATCH(_xlpm.end_col,col_rng,0)),
_xlpm.result,IF(AL86&lt;&gt;"",MAX(_xlpm.row_diff,_xlpm.col_diff),0),
_xlpm.result
)</f>
        <v>#NAME?</v>
      </c>
      <c r="AN86" t="e">
        <f t="shared" ca="1" si="21"/>
        <v>#NAME?</v>
      </c>
      <c r="AO86" s="139">
        <f t="shared" si="22"/>
        <v>0</v>
      </c>
      <c r="AP86" s="139" t="e">
        <f t="shared" ca="1" si="23"/>
        <v>#NAME?</v>
      </c>
    </row>
    <row r="87" spans="1:42">
      <c r="A87" t="s">
        <v>259</v>
      </c>
      <c r="P87" t="str">
        <v>D16</v>
      </c>
      <c r="Q87" t="str">
        <v>D</v>
      </c>
      <c r="R87">
        <v>16</v>
      </c>
      <c r="S87" t="str">
        <v>a</v>
      </c>
      <c r="T87" t="str">
        <v>Veldspar</v>
      </c>
      <c r="U87">
        <v>2000</v>
      </c>
      <c r="V87">
        <v>5</v>
      </c>
      <c r="W87" s="114">
        <v>0</v>
      </c>
      <c r="X87" s="122">
        <v>2000</v>
      </c>
      <c r="Y87" s="122">
        <v>200</v>
      </c>
      <c r="Z87">
        <v>400</v>
      </c>
      <c r="AA87">
        <v>0</v>
      </c>
      <c r="AB87">
        <v>0</v>
      </c>
      <c r="AC87">
        <v>0</v>
      </c>
      <c r="AD87">
        <v>0</v>
      </c>
      <c r="AE87">
        <v>0</v>
      </c>
      <c r="AF87">
        <v>0</v>
      </c>
      <c r="AG87">
        <v>1700</v>
      </c>
      <c r="AH87" s="122">
        <v>3400000</v>
      </c>
      <c r="AI87" s="131">
        <v>17000</v>
      </c>
      <c r="AJ87" s="131">
        <f>SUM($Y$70:Y86)</f>
        <v>37110</v>
      </c>
      <c r="AK87" s="131">
        <f t="shared" si="19"/>
        <v>0</v>
      </c>
      <c r="AL87" t="str">
        <f t="shared" ca="1" si="20"/>
        <v/>
      </c>
      <c r="AM87" t="e" cm="1">
        <f t="array" aca="1" ref="AM87" ca="1">_xlfn.LET(
_xlpm.start_col,LEFT(AL87,1),
_xlpm.start_row,VALUE(SUBSTITUTE(AL87,_xlpm.start_col,"")),
_xlpm.end_col,LEFT(P87,1),
_xlpm.end_row,VALUE(SUBSTITUTE(P87,_xlpm.end_col,"")),
_xlpm.row_diff,ABS(_xlpm.end_row-_xlpm.start_row),
_xlpm.col_diff,ABS(MATCH(_xlpm.start_col,col_rng,0)-MATCH(_xlpm.end_col,col_rng,0)),
_xlpm.result,IF(AL87&lt;&gt;"",MAX(_xlpm.row_diff,_xlpm.col_diff),0),
_xlpm.result
)</f>
        <v>#NAME?</v>
      </c>
      <c r="AN87" t="e">
        <f t="shared" ca="1" si="21"/>
        <v>#NAME?</v>
      </c>
      <c r="AO87" s="139">
        <f t="shared" si="22"/>
        <v>0</v>
      </c>
      <c r="AP87" s="139" t="e">
        <f t="shared" ca="1" si="23"/>
        <v>#NAME?</v>
      </c>
    </row>
    <row r="88" spans="1:42">
      <c r="P88" t="str">
        <v>I16</v>
      </c>
      <c r="Q88" t="str">
        <v>I</v>
      </c>
      <c r="R88">
        <v>16</v>
      </c>
      <c r="S88" t="str">
        <v>a</v>
      </c>
      <c r="T88" t="str">
        <v>Veldspar</v>
      </c>
      <c r="U88">
        <v>1000</v>
      </c>
      <c r="V88">
        <v>5</v>
      </c>
      <c r="W88" s="114">
        <v>0</v>
      </c>
      <c r="X88" s="122">
        <v>1000</v>
      </c>
      <c r="Y88" s="122">
        <v>100</v>
      </c>
      <c r="Z88">
        <v>400</v>
      </c>
      <c r="AA88">
        <v>0</v>
      </c>
      <c r="AB88">
        <v>0</v>
      </c>
      <c r="AC88">
        <v>0</v>
      </c>
      <c r="AD88">
        <v>0</v>
      </c>
      <c r="AE88">
        <v>0</v>
      </c>
      <c r="AF88">
        <v>0</v>
      </c>
      <c r="AG88">
        <v>1700</v>
      </c>
      <c r="AH88" s="122">
        <v>1700000</v>
      </c>
      <c r="AI88" s="131">
        <v>17000</v>
      </c>
      <c r="AJ88" s="131">
        <f>SUM($Y$70:Y87)</f>
        <v>37310</v>
      </c>
      <c r="AK88" s="131">
        <f t="shared" si="19"/>
        <v>0</v>
      </c>
      <c r="AL88" t="str">
        <f t="shared" ca="1" si="20"/>
        <v/>
      </c>
      <c r="AM88" t="e" cm="1">
        <f t="array" aca="1" ref="AM88" ca="1">_xlfn.LET(
_xlpm.start_col,LEFT(AL88,1),
_xlpm.start_row,VALUE(SUBSTITUTE(AL88,_xlpm.start_col,"")),
_xlpm.end_col,LEFT(P88,1),
_xlpm.end_row,VALUE(SUBSTITUTE(P88,_xlpm.end_col,"")),
_xlpm.row_diff,ABS(_xlpm.end_row-_xlpm.start_row),
_xlpm.col_diff,ABS(MATCH(_xlpm.start_col,col_rng,0)-MATCH(_xlpm.end_col,col_rng,0)),
_xlpm.result,IF(AL88&lt;&gt;"",MAX(_xlpm.row_diff,_xlpm.col_diff),0),
_xlpm.result
)</f>
        <v>#NAME?</v>
      </c>
      <c r="AN88" t="e">
        <f t="shared" ca="1" si="21"/>
        <v>#NAME?</v>
      </c>
      <c r="AO88" s="139">
        <f t="shared" si="22"/>
        <v>0</v>
      </c>
      <c r="AP88" s="139" t="e">
        <f t="shared" ca="1" si="23"/>
        <v>#NAME?</v>
      </c>
    </row>
    <row r="89" spans="1:42">
      <c r="P89" t="str">
        <v>D14</v>
      </c>
      <c r="Q89" t="str">
        <v>D</v>
      </c>
      <c r="R89">
        <v>14</v>
      </c>
      <c r="S89" t="str">
        <v>b</v>
      </c>
      <c r="T89" t="str">
        <v>Scordite</v>
      </c>
      <c r="U89">
        <v>6000</v>
      </c>
      <c r="V89">
        <v>4</v>
      </c>
      <c r="W89" s="114">
        <v>0.05</v>
      </c>
      <c r="X89" s="122">
        <v>5700</v>
      </c>
      <c r="Y89" s="122">
        <v>855</v>
      </c>
      <c r="Z89">
        <v>150</v>
      </c>
      <c r="AA89">
        <v>90</v>
      </c>
      <c r="AB89">
        <v>0</v>
      </c>
      <c r="AC89">
        <v>0</v>
      </c>
      <c r="AD89">
        <v>0</v>
      </c>
      <c r="AE89">
        <v>0</v>
      </c>
      <c r="AF89">
        <v>0</v>
      </c>
      <c r="AG89">
        <v>1548.3</v>
      </c>
      <c r="AH89" s="122">
        <v>8825310</v>
      </c>
      <c r="AI89" s="131">
        <v>10322</v>
      </c>
      <c r="AJ89" s="131">
        <f>SUM($Y$70:Y88)</f>
        <v>37410</v>
      </c>
      <c r="AK89" s="131">
        <f t="shared" si="19"/>
        <v>0</v>
      </c>
      <c r="AL89" t="str">
        <f t="shared" ca="1" si="20"/>
        <v/>
      </c>
      <c r="AM89" t="e" cm="1">
        <f t="array" aca="1" ref="AM89" ca="1">_xlfn.LET(
_xlpm.start_col,LEFT(AL89,1),
_xlpm.start_row,VALUE(SUBSTITUTE(AL89,_xlpm.start_col,"")),
_xlpm.end_col,LEFT(P89,1),
_xlpm.end_row,VALUE(SUBSTITUTE(P89,_xlpm.end_col,"")),
_xlpm.row_diff,ABS(_xlpm.end_row-_xlpm.start_row),
_xlpm.col_diff,ABS(MATCH(_xlpm.start_col,col_rng,0)-MATCH(_xlpm.end_col,col_rng,0)),
_xlpm.result,IF(AL89&lt;&gt;"",MAX(_xlpm.row_diff,_xlpm.col_diff),0),
_xlpm.result
)</f>
        <v>#NAME?</v>
      </c>
      <c r="AN89" t="e">
        <f t="shared" ca="1" si="21"/>
        <v>#NAME?</v>
      </c>
      <c r="AO89" s="139">
        <f t="shared" si="22"/>
        <v>0</v>
      </c>
      <c r="AP89" s="139" t="e">
        <f t="shared" ca="1" si="23"/>
        <v>#NAME?</v>
      </c>
    </row>
    <row r="90" spans="1:42">
      <c r="B90" s="139" t="e">
        <f ca="1">AP68</f>
        <v>#NAME?</v>
      </c>
      <c r="P90" t="str">
        <v>G14</v>
      </c>
      <c r="Q90" t="str">
        <v>G</v>
      </c>
      <c r="R90">
        <v>14</v>
      </c>
      <c r="S90" t="str">
        <v>b</v>
      </c>
      <c r="T90" t="str">
        <v>Scordite</v>
      </c>
      <c r="U90">
        <v>5000</v>
      </c>
      <c r="V90">
        <v>4</v>
      </c>
      <c r="W90" s="114">
        <v>0.05</v>
      </c>
      <c r="X90" s="122">
        <v>4750</v>
      </c>
      <c r="Y90" s="122">
        <v>712.5</v>
      </c>
      <c r="Z90">
        <v>150</v>
      </c>
      <c r="AA90">
        <v>90</v>
      </c>
      <c r="AB90">
        <v>0</v>
      </c>
      <c r="AC90">
        <v>0</v>
      </c>
      <c r="AD90">
        <v>0</v>
      </c>
      <c r="AE90">
        <v>0</v>
      </c>
      <c r="AF90">
        <v>0</v>
      </c>
      <c r="AG90">
        <v>1548.3</v>
      </c>
      <c r="AH90" s="122">
        <v>7354425</v>
      </c>
      <c r="AI90" s="131">
        <v>10322</v>
      </c>
      <c r="AJ90" s="131">
        <f>SUM($Y$70:Y89)</f>
        <v>38265</v>
      </c>
      <c r="AK90" s="131">
        <f t="shared" si="19"/>
        <v>0</v>
      </c>
      <c r="AL90" t="str">
        <f t="shared" ca="1" si="20"/>
        <v/>
      </c>
      <c r="AM90" t="e" cm="1">
        <f t="array" aca="1" ref="AM90" ca="1">_xlfn.LET(
_xlpm.start_col,LEFT(AL90,1),
_xlpm.start_row,VALUE(SUBSTITUTE(AL90,_xlpm.start_col,"")),
_xlpm.end_col,LEFT(P90,1),
_xlpm.end_row,VALUE(SUBSTITUTE(P90,_xlpm.end_col,"")),
_xlpm.row_diff,ABS(_xlpm.end_row-_xlpm.start_row),
_xlpm.col_diff,ABS(MATCH(_xlpm.start_col,col_rng,0)-MATCH(_xlpm.end_col,col_rng,0)),
_xlpm.result,IF(AL90&lt;&gt;"",MAX(_xlpm.row_diff,_xlpm.col_diff),0),
_xlpm.result
)</f>
        <v>#NAME?</v>
      </c>
      <c r="AN90" t="e">
        <f t="shared" ca="1" si="21"/>
        <v>#NAME?</v>
      </c>
      <c r="AO90" s="139">
        <f t="shared" si="22"/>
        <v>0</v>
      </c>
      <c r="AP90" s="139" t="e">
        <f t="shared" ca="1" si="23"/>
        <v>#NAME?</v>
      </c>
    </row>
    <row r="91" spans="1:42" ht="15.75">
      <c r="A91" s="121" t="s">
        <v>160</v>
      </c>
      <c r="B91">
        <f t="dataTable" ref="B91:B111" dt2D="0" dtr="0" r1="F56" ca="1"/>
        <v>1365</v>
      </c>
      <c r="P91" t="str">
        <v>H11</v>
      </c>
      <c r="Q91" t="str">
        <v>H</v>
      </c>
      <c r="R91">
        <v>11</v>
      </c>
      <c r="S91" t="str">
        <v>b</v>
      </c>
      <c r="T91" t="str">
        <v>Scordite</v>
      </c>
      <c r="U91">
        <v>4000</v>
      </c>
      <c r="V91">
        <v>4</v>
      </c>
      <c r="W91" s="114">
        <v>0.05</v>
      </c>
      <c r="X91" s="122">
        <v>3800</v>
      </c>
      <c r="Y91" s="122">
        <v>570</v>
      </c>
      <c r="Z91">
        <v>150</v>
      </c>
      <c r="AA91">
        <v>90</v>
      </c>
      <c r="AB91">
        <v>0</v>
      </c>
      <c r="AC91">
        <v>0</v>
      </c>
      <c r="AD91">
        <v>0</v>
      </c>
      <c r="AE91">
        <v>0</v>
      </c>
      <c r="AF91">
        <v>0</v>
      </c>
      <c r="AG91">
        <v>1548.3</v>
      </c>
      <c r="AH91" s="122">
        <v>5883540</v>
      </c>
      <c r="AI91" s="131">
        <v>10322</v>
      </c>
      <c r="AJ91" s="131">
        <f>SUM($Y$70:Y90)</f>
        <v>38977.5</v>
      </c>
      <c r="AK91" s="131">
        <f t="shared" si="19"/>
        <v>0</v>
      </c>
      <c r="AL91" t="str">
        <f t="shared" ca="1" si="20"/>
        <v/>
      </c>
      <c r="AM91" t="e" cm="1">
        <f t="array" aca="1" ref="AM91" ca="1">_xlfn.LET(
_xlpm.start_col,LEFT(AL91,1),
_xlpm.start_row,VALUE(SUBSTITUTE(AL91,_xlpm.start_col,"")),
_xlpm.end_col,LEFT(P91,1),
_xlpm.end_row,VALUE(SUBSTITUTE(P91,_xlpm.end_col,"")),
_xlpm.row_diff,ABS(_xlpm.end_row-_xlpm.start_row),
_xlpm.col_diff,ABS(MATCH(_xlpm.start_col,col_rng,0)-MATCH(_xlpm.end_col,col_rng,0)),
_xlpm.result,IF(AL91&lt;&gt;"",MAX(_xlpm.row_diff,_xlpm.col_diff),0),
_xlpm.result
)</f>
        <v>#NAME?</v>
      </c>
      <c r="AN91" t="e">
        <f t="shared" ca="1" si="21"/>
        <v>#NAME?</v>
      </c>
      <c r="AO91" s="139">
        <f t="shared" si="22"/>
        <v>0</v>
      </c>
      <c r="AP91" s="139" t="e">
        <f t="shared" ca="1" si="23"/>
        <v>#NAME?</v>
      </c>
    </row>
    <row r="92" spans="1:42" ht="15.75">
      <c r="A92" s="15">
        <v>101</v>
      </c>
      <c r="B92">
        <v>1365</v>
      </c>
      <c r="P92" t="str">
        <v>I8</v>
      </c>
      <c r="Q92" t="str">
        <v>I</v>
      </c>
      <c r="R92">
        <v>8</v>
      </c>
      <c r="S92" t="str">
        <v>b</v>
      </c>
      <c r="T92" t="str">
        <v>Scordite</v>
      </c>
      <c r="U92">
        <v>3000</v>
      </c>
      <c r="V92">
        <v>4</v>
      </c>
      <c r="W92" s="114">
        <v>0.05</v>
      </c>
      <c r="X92" s="122">
        <v>2850</v>
      </c>
      <c r="Y92" s="122">
        <v>427.5</v>
      </c>
      <c r="Z92">
        <v>150</v>
      </c>
      <c r="AA92">
        <v>90</v>
      </c>
      <c r="AB92">
        <v>0</v>
      </c>
      <c r="AC92">
        <v>0</v>
      </c>
      <c r="AD92">
        <v>0</v>
      </c>
      <c r="AE92">
        <v>0</v>
      </c>
      <c r="AF92">
        <v>0</v>
      </c>
      <c r="AG92">
        <v>1548.3</v>
      </c>
      <c r="AH92" s="122">
        <v>4412655</v>
      </c>
      <c r="AI92" s="131">
        <v>10322</v>
      </c>
      <c r="AJ92" s="131">
        <f>SUM($Y$70:Y91)</f>
        <v>39547.5</v>
      </c>
      <c r="AK92" s="131">
        <f t="shared" si="19"/>
        <v>0</v>
      </c>
      <c r="AL92" t="str">
        <f t="shared" ca="1" si="20"/>
        <v/>
      </c>
      <c r="AM92" t="e" cm="1">
        <f t="array" aca="1" ref="AM92" ca="1">_xlfn.LET(
_xlpm.start_col,LEFT(AL92,1),
_xlpm.start_row,VALUE(SUBSTITUTE(AL92,_xlpm.start_col,"")),
_xlpm.end_col,LEFT(P92,1),
_xlpm.end_row,VALUE(SUBSTITUTE(P92,_xlpm.end_col,"")),
_xlpm.row_diff,ABS(_xlpm.end_row-_xlpm.start_row),
_xlpm.col_diff,ABS(MATCH(_xlpm.start_col,col_rng,0)-MATCH(_xlpm.end_col,col_rng,0)),
_xlpm.result,IF(AL92&lt;&gt;"",MAX(_xlpm.row_diff,_xlpm.col_diff),0),
_xlpm.result
)</f>
        <v>#NAME?</v>
      </c>
      <c r="AN92" t="e">
        <f t="shared" ca="1" si="21"/>
        <v>#NAME?</v>
      </c>
      <c r="AO92" s="139">
        <f t="shared" si="22"/>
        <v>0</v>
      </c>
      <c r="AP92" s="139" t="e">
        <f t="shared" ca="1" si="23"/>
        <v>#NAME?</v>
      </c>
    </row>
    <row r="93" spans="1:42" ht="15.75">
      <c r="A93" s="15">
        <f t="shared" ref="A93:A111" si="24">A92+1</f>
        <v>102</v>
      </c>
      <c r="B93">
        <v>1386</v>
      </c>
      <c r="P93" t="str">
        <v>G4</v>
      </c>
      <c r="Q93" t="str">
        <v>G</v>
      </c>
      <c r="R93">
        <v>4</v>
      </c>
      <c r="S93" t="str">
        <v>b</v>
      </c>
      <c r="T93" t="str">
        <v>Scordite</v>
      </c>
      <c r="U93">
        <v>2000</v>
      </c>
      <c r="V93">
        <v>4</v>
      </c>
      <c r="W93" s="114">
        <v>0.05</v>
      </c>
      <c r="X93" s="122">
        <v>1900</v>
      </c>
      <c r="Y93" s="122">
        <v>285</v>
      </c>
      <c r="Z93">
        <v>150</v>
      </c>
      <c r="AA93">
        <v>90</v>
      </c>
      <c r="AB93">
        <v>0</v>
      </c>
      <c r="AC93">
        <v>0</v>
      </c>
      <c r="AD93">
        <v>0</v>
      </c>
      <c r="AE93">
        <v>0</v>
      </c>
      <c r="AF93">
        <v>0</v>
      </c>
      <c r="AG93">
        <v>1548.3</v>
      </c>
      <c r="AH93" s="122">
        <v>2941770</v>
      </c>
      <c r="AI93" s="131">
        <v>10322</v>
      </c>
      <c r="AJ93" s="131">
        <f>SUM($Y$70:Y92)</f>
        <v>39975</v>
      </c>
      <c r="AK93" s="131">
        <f t="shared" si="19"/>
        <v>0</v>
      </c>
      <c r="AL93" t="str">
        <f t="shared" ca="1" si="20"/>
        <v/>
      </c>
      <c r="AM93" t="e" cm="1">
        <f t="array" aca="1" ref="AM93" ca="1">_xlfn.LET(
_xlpm.start_col,LEFT(AL93,1),
_xlpm.start_row,VALUE(SUBSTITUTE(AL93,_xlpm.start_col,"")),
_xlpm.end_col,LEFT(P93,1),
_xlpm.end_row,VALUE(SUBSTITUTE(P93,_xlpm.end_col,"")),
_xlpm.row_diff,ABS(_xlpm.end_row-_xlpm.start_row),
_xlpm.col_diff,ABS(MATCH(_xlpm.start_col,col_rng,0)-MATCH(_xlpm.end_col,col_rng,0)),
_xlpm.result,IF(AL93&lt;&gt;"",MAX(_xlpm.row_diff,_xlpm.col_diff),0),
_xlpm.result
)</f>
        <v>#NAME?</v>
      </c>
      <c r="AN93" t="e">
        <f t="shared" ca="1" si="21"/>
        <v>#NAME?</v>
      </c>
      <c r="AO93" s="139">
        <f t="shared" si="22"/>
        <v>0</v>
      </c>
      <c r="AP93" s="139" t="e">
        <f t="shared" ca="1" si="23"/>
        <v>#NAME?</v>
      </c>
    </row>
    <row r="94" spans="1:42" ht="15.75">
      <c r="A94" s="15">
        <f t="shared" si="24"/>
        <v>103</v>
      </c>
      <c r="B94">
        <v>1371</v>
      </c>
      <c r="P94" t="str">
        <v>D4</v>
      </c>
      <c r="Q94" t="str">
        <v>D</v>
      </c>
      <c r="R94">
        <v>4</v>
      </c>
      <c r="S94" t="str">
        <v>b</v>
      </c>
      <c r="T94" t="str">
        <v>Scordite</v>
      </c>
      <c r="U94">
        <v>1000</v>
      </c>
      <c r="V94">
        <v>4</v>
      </c>
      <c r="W94" s="114">
        <v>0.05</v>
      </c>
      <c r="X94" s="122">
        <v>950</v>
      </c>
      <c r="Y94" s="122">
        <v>142.5</v>
      </c>
      <c r="Z94">
        <v>150</v>
      </c>
      <c r="AA94">
        <v>90</v>
      </c>
      <c r="AB94">
        <v>0</v>
      </c>
      <c r="AC94">
        <v>0</v>
      </c>
      <c r="AD94">
        <v>0</v>
      </c>
      <c r="AE94">
        <v>0</v>
      </c>
      <c r="AF94">
        <v>0</v>
      </c>
      <c r="AG94">
        <v>1548.3</v>
      </c>
      <c r="AH94" s="122">
        <v>1470885</v>
      </c>
      <c r="AI94" s="131">
        <v>10322</v>
      </c>
      <c r="AJ94" s="131">
        <f>SUM($Y$70:Y93)</f>
        <v>40260</v>
      </c>
      <c r="AK94" s="131">
        <f t="shared" si="19"/>
        <v>0</v>
      </c>
      <c r="AL94" t="str">
        <f t="shared" ca="1" si="20"/>
        <v/>
      </c>
      <c r="AM94" t="e" cm="1">
        <f t="array" aca="1" ref="AM94" ca="1">_xlfn.LET(
_xlpm.start_col,LEFT(AL94,1),
_xlpm.start_row,VALUE(SUBSTITUTE(AL94,_xlpm.start_col,"")),
_xlpm.end_col,LEFT(P94,1),
_xlpm.end_row,VALUE(SUBSTITUTE(P94,_xlpm.end_col,"")),
_xlpm.row_diff,ABS(_xlpm.end_row-_xlpm.start_row),
_xlpm.col_diff,ABS(MATCH(_xlpm.start_col,col_rng,0)-MATCH(_xlpm.end_col,col_rng,0)),
_xlpm.result,IF(AL94&lt;&gt;"",MAX(_xlpm.row_diff,_xlpm.col_diff),0),
_xlpm.result
)</f>
        <v>#NAME?</v>
      </c>
      <c r="AN94" t="e">
        <f t="shared" ca="1" si="21"/>
        <v>#NAME?</v>
      </c>
      <c r="AO94" s="139">
        <f t="shared" si="22"/>
        <v>0</v>
      </c>
      <c r="AP94" s="139" t="e">
        <f t="shared" ca="1" si="23"/>
        <v>#NAME?</v>
      </c>
    </row>
    <row r="95" spans="1:42" ht="15.75">
      <c r="A95" s="15">
        <f t="shared" si="24"/>
        <v>104</v>
      </c>
      <c r="B95">
        <v>1389</v>
      </c>
      <c r="W95" s="114"/>
      <c r="X95" s="122"/>
      <c r="Y95" s="122"/>
      <c r="AH95" s="122"/>
      <c r="AI95" s="131"/>
    </row>
    <row r="96" spans="1:42" ht="15.75">
      <c r="A96" s="15">
        <f t="shared" si="24"/>
        <v>105</v>
      </c>
      <c r="B96">
        <v>1386</v>
      </c>
    </row>
    <row r="97" spans="1:16" ht="15.75">
      <c r="A97" s="15">
        <f t="shared" si="24"/>
        <v>106</v>
      </c>
      <c r="B97">
        <v>1370</v>
      </c>
    </row>
    <row r="98" spans="1:16" ht="15.75">
      <c r="A98" s="15">
        <f t="shared" si="24"/>
        <v>107</v>
      </c>
      <c r="B98">
        <v>1389</v>
      </c>
      <c r="P98" s="135"/>
    </row>
    <row r="99" spans="1:16" ht="15.75">
      <c r="A99" s="15">
        <f t="shared" si="24"/>
        <v>108</v>
      </c>
      <c r="B99">
        <v>1365</v>
      </c>
    </row>
    <row r="100" spans="1:16" ht="15.75">
      <c r="A100" s="15">
        <f t="shared" si="24"/>
        <v>109</v>
      </c>
      <c r="B100">
        <v>1365</v>
      </c>
    </row>
    <row r="101" spans="1:16" ht="15.75">
      <c r="A101" s="15">
        <f t="shared" si="24"/>
        <v>110</v>
      </c>
      <c r="B101">
        <v>1384</v>
      </c>
    </row>
    <row r="102" spans="1:16" ht="15.75">
      <c r="A102" s="15">
        <f t="shared" si="24"/>
        <v>111</v>
      </c>
      <c r="B102">
        <v>1384</v>
      </c>
    </row>
    <row r="103" spans="1:16" ht="15.75">
      <c r="A103" s="15">
        <f t="shared" si="24"/>
        <v>112</v>
      </c>
      <c r="B103">
        <v>1365</v>
      </c>
    </row>
    <row r="104" spans="1:16" ht="15.75">
      <c r="A104" s="15">
        <f t="shared" si="24"/>
        <v>113</v>
      </c>
      <c r="B104">
        <v>1391</v>
      </c>
    </row>
    <row r="105" spans="1:16" ht="15.75">
      <c r="A105" s="15">
        <f t="shared" si="24"/>
        <v>114</v>
      </c>
      <c r="B105">
        <v>1386</v>
      </c>
    </row>
    <row r="106" spans="1:16" ht="15.75">
      <c r="A106" s="15">
        <f t="shared" si="24"/>
        <v>115</v>
      </c>
      <c r="B106">
        <v>1372</v>
      </c>
    </row>
    <row r="107" spans="1:16" ht="15.75">
      <c r="A107" s="15">
        <f t="shared" si="24"/>
        <v>116</v>
      </c>
      <c r="B107">
        <v>1377</v>
      </c>
    </row>
    <row r="108" spans="1:16" ht="15.75">
      <c r="A108" s="15">
        <f t="shared" si="24"/>
        <v>117</v>
      </c>
      <c r="B108">
        <v>1389</v>
      </c>
    </row>
    <row r="109" spans="1:16" ht="15.75">
      <c r="A109" s="15">
        <f t="shared" si="24"/>
        <v>118</v>
      </c>
      <c r="B109">
        <v>1384</v>
      </c>
    </row>
    <row r="110" spans="1:16" ht="15.75">
      <c r="A110" s="15">
        <f t="shared" si="24"/>
        <v>119</v>
      </c>
      <c r="B110">
        <v>1381</v>
      </c>
    </row>
    <row r="111" spans="1:16" ht="15.75">
      <c r="A111" s="15">
        <f t="shared" si="24"/>
        <v>120</v>
      </c>
      <c r="B111">
        <v>1381</v>
      </c>
    </row>
  </sheetData>
  <mergeCells count="7">
    <mergeCell ref="A47:D47"/>
    <mergeCell ref="A2:I2"/>
    <mergeCell ref="A24:I24"/>
    <mergeCell ref="A43:D43"/>
    <mergeCell ref="A44:D44"/>
    <mergeCell ref="A45:D45"/>
    <mergeCell ref="A46:D46"/>
  </mergeCells>
  <conditionalFormatting sqref="A69:I83">
    <cfRule type="expression" dxfId="0" priority="1">
      <formula>A25&lt;&gt;""</formula>
    </cfRule>
  </conditionalFormatting>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88EA-2282-4681-A869-D3FC4801C5B9}">
  <dimension ref="A14:S86"/>
  <sheetViews>
    <sheetView topLeftCell="A26" workbookViewId="0">
      <selection activeCell="R57" sqref="R57"/>
    </sheetView>
  </sheetViews>
  <sheetFormatPr defaultRowHeight="15"/>
  <sheetData>
    <row r="14" spans="1:10" ht="16.5" thickBot="1">
      <c r="D14" s="98" t="s">
        <v>137</v>
      </c>
      <c r="E14" s="46"/>
      <c r="F14" s="46"/>
      <c r="G14" s="47"/>
      <c r="I14" t="s">
        <v>251</v>
      </c>
      <c r="J14" t="s">
        <v>252</v>
      </c>
    </row>
    <row r="15" spans="1:10" ht="15.75" thickBot="1">
      <c r="D15" s="99" t="s">
        <v>32</v>
      </c>
      <c r="E15" s="100" t="s">
        <v>33</v>
      </c>
      <c r="F15" s="101" t="s">
        <v>34</v>
      </c>
      <c r="G15" s="102" t="s">
        <v>35</v>
      </c>
      <c r="I15">
        <v>0</v>
      </c>
      <c r="J15" s="116">
        <v>0.25</v>
      </c>
    </row>
    <row r="16" spans="1:10" ht="15.75">
      <c r="A16" s="121" t="s">
        <v>171</v>
      </c>
      <c r="D16">
        <f>INDEX(Case!$I$296:$L$327,MATCH('vraag 7'!$A$16,Case!$B$296:$B$327,0),MATCH('vraag 7'!D$15,Case!$I$294:$L$294,0))</f>
        <v>0</v>
      </c>
      <c r="E16">
        <f>INDEX(Case!$I$296:$L$327,MATCH('vraag 7'!$A$16,Case!$B$296:$B$327,0),MATCH('vraag 7'!E$15,Case!$I$294:$L$294,0))</f>
        <v>0</v>
      </c>
      <c r="F16">
        <f>INDEX(Case!$I$296:$L$327,MATCH('vraag 7'!$A$16,Case!$B$296:$B$327,0),MATCH('vraag 7'!F$15,Case!$I$294:$L$294,0))</f>
        <v>3</v>
      </c>
      <c r="G16">
        <f>INDEX(Case!$I$296:$L$327,MATCH('vraag 7'!$A$16,Case!$B$296:$B$327,0),MATCH('vraag 7'!G$15,Case!$I$294:$L$294,0))</f>
        <v>3</v>
      </c>
      <c r="I16">
        <v>1</v>
      </c>
      <c r="J16" s="116">
        <v>0.2</v>
      </c>
    </row>
    <row r="17" spans="1:16">
      <c r="I17">
        <v>2</v>
      </c>
      <c r="J17" s="116">
        <v>0.15</v>
      </c>
    </row>
    <row r="18" spans="1:16">
      <c r="I18">
        <v>3</v>
      </c>
      <c r="J18" s="116">
        <v>0.1</v>
      </c>
    </row>
    <row r="19" spans="1:16">
      <c r="I19">
        <v>4</v>
      </c>
      <c r="J19" s="116">
        <v>0.05</v>
      </c>
    </row>
    <row r="20" spans="1:16">
      <c r="I20">
        <v>5</v>
      </c>
      <c r="J20" s="116">
        <v>0</v>
      </c>
    </row>
    <row r="22" spans="1:16" ht="15.75" thickBot="1">
      <c r="A22" s="60" t="s">
        <v>6</v>
      </c>
      <c r="B22" s="3"/>
      <c r="C22" s="3"/>
      <c r="D22" s="35"/>
      <c r="E22" s="3"/>
      <c r="F22" s="3"/>
      <c r="G22" s="1"/>
      <c r="H22" s="60" t="s">
        <v>7</v>
      </c>
      <c r="I22" s="3"/>
      <c r="J22" s="3"/>
      <c r="K22" s="3"/>
      <c r="L22" s="3"/>
      <c r="M22" s="3"/>
      <c r="N22" s="3"/>
    </row>
    <row r="23" spans="1:16" ht="15.75" thickBot="1">
      <c r="A23" s="170" t="s">
        <v>8</v>
      </c>
      <c r="B23" s="171"/>
      <c r="C23" s="171"/>
      <c r="D23" s="172"/>
      <c r="E23" s="3"/>
      <c r="F23" s="49" t="s">
        <v>9</v>
      </c>
      <c r="G23" s="1"/>
      <c r="H23" s="49" t="s">
        <v>10</v>
      </c>
      <c r="I23" s="49" t="s">
        <v>11</v>
      </c>
      <c r="J23" s="49" t="s">
        <v>12</v>
      </c>
      <c r="K23" s="49" t="s">
        <v>13</v>
      </c>
      <c r="L23" s="49" t="s">
        <v>14</v>
      </c>
      <c r="M23" s="49" t="s">
        <v>15</v>
      </c>
      <c r="N23" s="49" t="s">
        <v>16</v>
      </c>
      <c r="P23" t="s">
        <v>75</v>
      </c>
    </row>
    <row r="24" spans="1:16">
      <c r="A24" s="173" t="s">
        <v>17</v>
      </c>
      <c r="B24" s="174"/>
      <c r="C24" s="174"/>
      <c r="D24" s="175"/>
      <c r="E24" s="3"/>
      <c r="F24" s="136" t="s">
        <v>18</v>
      </c>
      <c r="G24" s="1"/>
      <c r="H24" s="55">
        <v>24000</v>
      </c>
      <c r="I24" s="55">
        <v>4500</v>
      </c>
      <c r="J24" s="55">
        <v>1875</v>
      </c>
      <c r="K24" s="55">
        <v>375</v>
      </c>
      <c r="L24" s="55"/>
      <c r="M24" s="55"/>
      <c r="N24" s="55"/>
      <c r="P24" t="s">
        <v>324</v>
      </c>
    </row>
    <row r="25" spans="1:16">
      <c r="A25" s="176" t="s">
        <v>19</v>
      </c>
      <c r="B25" s="177"/>
      <c r="C25" s="177"/>
      <c r="D25" s="178"/>
      <c r="E25" s="3"/>
      <c r="F25" s="137" t="s">
        <v>20</v>
      </c>
      <c r="G25" s="1"/>
      <c r="H25" s="56">
        <v>80000</v>
      </c>
      <c r="I25" s="56">
        <v>15000</v>
      </c>
      <c r="J25" s="56">
        <v>5000</v>
      </c>
      <c r="K25" s="56">
        <v>1000</v>
      </c>
      <c r="L25" s="56"/>
      <c r="M25" s="56"/>
      <c r="N25" s="56"/>
      <c r="P25" t="s">
        <v>319</v>
      </c>
    </row>
    <row r="26" spans="1:16">
      <c r="A26" s="3"/>
      <c r="B26" s="3"/>
      <c r="C26" s="3"/>
      <c r="D26" s="35"/>
      <c r="E26" s="3"/>
      <c r="F26" s="3"/>
      <c r="G26" s="3"/>
      <c r="H26" s="3"/>
      <c r="I26" s="3"/>
      <c r="J26" s="3"/>
      <c r="K26" s="3"/>
      <c r="L26" s="3"/>
      <c r="M26" s="3"/>
      <c r="N26" s="3"/>
      <c r="P26" t="s">
        <v>320</v>
      </c>
    </row>
    <row r="27" spans="1:16" ht="15.75" thickBot="1">
      <c r="A27" s="60" t="s">
        <v>27</v>
      </c>
      <c r="B27" s="3"/>
      <c r="C27" s="3"/>
      <c r="D27" s="35"/>
      <c r="E27" s="3"/>
      <c r="F27" s="107" t="s">
        <v>28</v>
      </c>
      <c r="G27" s="1"/>
      <c r="H27" s="60" t="s">
        <v>29</v>
      </c>
      <c r="I27" s="3"/>
      <c r="J27" s="3"/>
      <c r="K27" s="3"/>
      <c r="L27" s="3"/>
      <c r="M27" s="3"/>
      <c r="N27" s="3"/>
      <c r="P27" t="s">
        <v>321</v>
      </c>
    </row>
    <row r="28" spans="1:16" ht="15.75" thickBot="1">
      <c r="A28" s="170" t="s">
        <v>30</v>
      </c>
      <c r="B28" s="171"/>
      <c r="C28" s="171"/>
      <c r="D28" s="172"/>
      <c r="E28" s="3"/>
      <c r="F28" s="49" t="s">
        <v>31</v>
      </c>
      <c r="G28" s="1"/>
      <c r="H28" s="49" t="s">
        <v>10</v>
      </c>
      <c r="I28" s="49" t="s">
        <v>11</v>
      </c>
      <c r="J28" s="49" t="s">
        <v>12</v>
      </c>
      <c r="K28" s="49" t="s">
        <v>13</v>
      </c>
      <c r="L28" s="49" t="s">
        <v>14</v>
      </c>
      <c r="M28" s="49" t="s">
        <v>15</v>
      </c>
      <c r="N28" s="49" t="s">
        <v>16</v>
      </c>
      <c r="P28" t="s">
        <v>323</v>
      </c>
    </row>
    <row r="29" spans="1:16">
      <c r="A29" s="197" t="s">
        <v>32</v>
      </c>
      <c r="B29" s="198"/>
      <c r="C29" s="198"/>
      <c r="D29" s="199"/>
      <c r="E29" s="3" t="s">
        <v>173</v>
      </c>
      <c r="F29" s="93">
        <v>0.1</v>
      </c>
      <c r="G29" s="1"/>
      <c r="H29" s="92">
        <v>400</v>
      </c>
      <c r="I29" s="92"/>
      <c r="J29" s="92"/>
      <c r="K29" s="92"/>
      <c r="L29" s="92"/>
      <c r="M29" s="92"/>
      <c r="N29" s="92"/>
      <c r="P29" t="s">
        <v>231</v>
      </c>
    </row>
    <row r="30" spans="1:16">
      <c r="A30" s="200" t="s">
        <v>33</v>
      </c>
      <c r="B30" s="201"/>
      <c r="C30" s="201"/>
      <c r="D30" s="202"/>
      <c r="E30" s="3" t="s">
        <v>174</v>
      </c>
      <c r="F30" s="94">
        <v>0.15</v>
      </c>
      <c r="G30" s="1"/>
      <c r="H30" s="89">
        <v>150</v>
      </c>
      <c r="I30" s="89">
        <v>90</v>
      </c>
      <c r="J30" s="89"/>
      <c r="K30" s="89"/>
      <c r="L30" s="89"/>
      <c r="M30" s="89"/>
      <c r="N30" s="89"/>
    </row>
    <row r="31" spans="1:16">
      <c r="A31" s="203" t="s">
        <v>34</v>
      </c>
      <c r="B31" s="204"/>
      <c r="C31" s="204"/>
      <c r="D31" s="205"/>
      <c r="E31" s="3" t="s">
        <v>176</v>
      </c>
      <c r="F31" s="95">
        <v>0.6</v>
      </c>
      <c r="G31" s="1"/>
      <c r="H31" s="90"/>
      <c r="I31" s="90">
        <v>90</v>
      </c>
      <c r="J31" s="90"/>
      <c r="K31" s="90">
        <v>75</v>
      </c>
      <c r="L31" s="90"/>
      <c r="M31" s="90"/>
      <c r="N31" s="90"/>
    </row>
    <row r="32" spans="1:16">
      <c r="A32" s="166" t="s">
        <v>35</v>
      </c>
      <c r="B32" s="167"/>
      <c r="C32" s="167"/>
      <c r="D32" s="168"/>
      <c r="E32" s="3" t="s">
        <v>175</v>
      </c>
      <c r="F32" s="96">
        <v>1.2</v>
      </c>
      <c r="G32" s="1"/>
      <c r="H32" s="91"/>
      <c r="I32" s="91"/>
      <c r="J32" s="91">
        <v>60</v>
      </c>
      <c r="K32" s="91">
        <v>120</v>
      </c>
      <c r="L32" s="91"/>
      <c r="M32" s="91"/>
      <c r="N32" s="91"/>
    </row>
    <row r="35" spans="1:18">
      <c r="I35" t="s">
        <v>303</v>
      </c>
      <c r="O35" t="s">
        <v>304</v>
      </c>
    </row>
    <row r="36" spans="1:18">
      <c r="A36" t="s">
        <v>305</v>
      </c>
      <c r="B36" t="s">
        <v>306</v>
      </c>
      <c r="C36" t="s">
        <v>239</v>
      </c>
      <c r="D36" t="s">
        <v>252</v>
      </c>
      <c r="E36" t="s">
        <v>10</v>
      </c>
      <c r="F36" t="s">
        <v>11</v>
      </c>
      <c r="G36" t="s">
        <v>12</v>
      </c>
      <c r="H36" t="s">
        <v>13</v>
      </c>
      <c r="I36" t="s">
        <v>10</v>
      </c>
      <c r="J36" t="s">
        <v>11</v>
      </c>
      <c r="K36" t="s">
        <v>12</v>
      </c>
      <c r="L36" t="s">
        <v>13</v>
      </c>
      <c r="O36" t="s">
        <v>10</v>
      </c>
      <c r="P36" t="s">
        <v>11</v>
      </c>
      <c r="Q36" t="s">
        <v>12</v>
      </c>
      <c r="R36" t="s">
        <v>13</v>
      </c>
    </row>
    <row r="37" spans="1:18">
      <c r="A37">
        <v>1</v>
      </c>
      <c r="B37">
        <f>INDEX(Case!$N$296:$BK$327,MATCH('vraag 7'!$A$16,Case!$B$296:$B$327,0),MATCH('vraag 7'!$A37,Case!$N$294:$BK$294,0))</f>
        <v>6</v>
      </c>
      <c r="C37" t="str">
        <f>INDEX($A$29:$A$32,MATCH(INDEX(Case!$BM$296:$DJ$327,MATCH('vraag 7'!$A$16,Case!$B$296:$B$327,0),MATCH('vraag 7'!$A37,Case!$BM$294:$DJ$294,0)),$E$29:$E$32,0))</f>
        <v>Veldspar</v>
      </c>
      <c r="D37" s="114">
        <f>VLOOKUP(INDEX($D$16:$G$16,MATCH(C37,$D$15:$G$15,0)),$I$15:$J$20,2,FALSE)</f>
        <v>0.25</v>
      </c>
      <c r="E37">
        <f>INDEX($H$29:$K$32,MATCH($C37,$A$29:$A$32,0),MATCH(E$36,$H$28:$K$28,0))</f>
        <v>400</v>
      </c>
      <c r="F37">
        <f t="shared" ref="F37:H52" si="0">INDEX($H$29:$K$32,MATCH($C37,$A$29:$A$32,0),MATCH(F$36,$H$28:$K$28,0))</f>
        <v>0</v>
      </c>
      <c r="G37">
        <f t="shared" si="0"/>
        <v>0</v>
      </c>
      <c r="H37">
        <f t="shared" si="0"/>
        <v>0</v>
      </c>
      <c r="I37">
        <f>$B37*1000*E37*(1-$D37)</f>
        <v>1800000</v>
      </c>
      <c r="J37">
        <f t="shared" ref="J37:L37" si="1">$B37*1000*F37*(1-$D37)</f>
        <v>0</v>
      </c>
      <c r="K37">
        <f t="shared" si="1"/>
        <v>0</v>
      </c>
      <c r="L37">
        <f t="shared" si="1"/>
        <v>0</v>
      </c>
      <c r="O37">
        <f>SUM(I37:I86)</f>
        <v>21487500</v>
      </c>
      <c r="P37">
        <f t="shared" ref="P37:R37" si="2">SUM(J37:J86)</f>
        <v>7519500</v>
      </c>
      <c r="Q37">
        <f t="shared" si="2"/>
        <v>2916000</v>
      </c>
      <c r="R37">
        <f t="shared" si="2"/>
        <v>9004500</v>
      </c>
    </row>
    <row r="38" spans="1:18">
      <c r="A38">
        <v>2</v>
      </c>
      <c r="B38">
        <f>INDEX(Case!$N$296:$BK$327,MATCH('vraag 7'!$A$16,Case!$B$296:$B$327,0),MATCH('vraag 7'!$A38,Case!$N$294:$BK$294,0))</f>
        <v>1</v>
      </c>
      <c r="C38" t="str">
        <f>INDEX($A$29:$A$32,MATCH(INDEX(Case!$BM$296:$DJ$327,MATCH('vraag 7'!$A$16,Case!$B$296:$B$327,0),MATCH('vraag 7'!$A38,Case!$BM$294:$DJ$294,0)),$E$29:$E$32,0))</f>
        <v>Veldspar</v>
      </c>
      <c r="D38" s="114">
        <f t="shared" ref="D38:D86" si="3">VLOOKUP(INDEX($D$16:$G$16,MATCH(C38,$D$15:$G$15,0)),$I$15:$J$20,2,FALSE)</f>
        <v>0.25</v>
      </c>
      <c r="E38">
        <f t="shared" ref="E38:H69" si="4">INDEX($H$29:$K$32,MATCH($C38,$A$29:$A$32,0),MATCH(E$36,$H$28:$K$28,0))</f>
        <v>400</v>
      </c>
      <c r="F38">
        <f t="shared" si="0"/>
        <v>0</v>
      </c>
      <c r="G38">
        <f t="shared" si="0"/>
        <v>0</v>
      </c>
      <c r="H38">
        <f t="shared" si="0"/>
        <v>0</v>
      </c>
      <c r="I38">
        <f t="shared" ref="I38:I86" si="5">$B38*1000*E38*(1-$D38)</f>
        <v>300000</v>
      </c>
      <c r="J38">
        <f t="shared" ref="J38:J86" si="6">$B38*1000*F38*(1-$D38)</f>
        <v>0</v>
      </c>
      <c r="K38">
        <f t="shared" ref="K38:K86" si="7">$B38*1000*G38*(1-$D38)</f>
        <v>0</v>
      </c>
      <c r="L38">
        <f t="shared" ref="L38:L86" si="8">$B38*1000*H38*(1-$D38)</f>
        <v>0</v>
      </c>
    </row>
    <row r="39" spans="1:18">
      <c r="A39">
        <v>3</v>
      </c>
      <c r="B39">
        <f>INDEX(Case!$N$296:$BK$327,MATCH('vraag 7'!$A$16,Case!$B$296:$B$327,0),MATCH('vraag 7'!$A39,Case!$N$294:$BK$294,0))</f>
        <v>3</v>
      </c>
      <c r="C39" t="str">
        <f>INDEX($A$29:$A$32,MATCH(INDEX(Case!$BM$296:$DJ$327,MATCH('vraag 7'!$A$16,Case!$B$296:$B$327,0),MATCH('vraag 7'!$A39,Case!$BM$294:$DJ$294,0)),$E$29:$E$32,0))</f>
        <v>Scordite</v>
      </c>
      <c r="D39" s="114">
        <f t="shared" si="3"/>
        <v>0.25</v>
      </c>
      <c r="E39">
        <f t="shared" si="4"/>
        <v>150</v>
      </c>
      <c r="F39">
        <f t="shared" si="0"/>
        <v>90</v>
      </c>
      <c r="G39">
        <f t="shared" si="0"/>
        <v>0</v>
      </c>
      <c r="H39">
        <f t="shared" si="0"/>
        <v>0</v>
      </c>
      <c r="I39">
        <f t="shared" si="5"/>
        <v>337500</v>
      </c>
      <c r="J39">
        <f t="shared" si="6"/>
        <v>202500</v>
      </c>
      <c r="K39">
        <f t="shared" si="7"/>
        <v>0</v>
      </c>
      <c r="L39">
        <f t="shared" si="8"/>
        <v>0</v>
      </c>
    </row>
    <row r="40" spans="1:18">
      <c r="A40">
        <v>4</v>
      </c>
      <c r="B40">
        <f>INDEX(Case!$N$296:$BK$327,MATCH('vraag 7'!$A$16,Case!$B$296:$B$327,0),MATCH('vraag 7'!$A40,Case!$N$294:$BK$294,0))</f>
        <v>5</v>
      </c>
      <c r="C40" t="str">
        <f>INDEX($A$29:$A$32,MATCH(INDEX(Case!$BM$296:$DJ$327,MATCH('vraag 7'!$A$16,Case!$B$296:$B$327,0),MATCH('vraag 7'!$A40,Case!$BM$294:$DJ$294,0)),$E$29:$E$32,0))</f>
        <v>Kernite</v>
      </c>
      <c r="D40" s="114">
        <f t="shared" si="3"/>
        <v>0.1</v>
      </c>
      <c r="E40">
        <f t="shared" si="4"/>
        <v>0</v>
      </c>
      <c r="F40">
        <f t="shared" si="0"/>
        <v>0</v>
      </c>
      <c r="G40">
        <f t="shared" si="0"/>
        <v>60</v>
      </c>
      <c r="H40">
        <f t="shared" si="0"/>
        <v>120</v>
      </c>
      <c r="I40">
        <f t="shared" si="5"/>
        <v>0</v>
      </c>
      <c r="J40">
        <f t="shared" si="6"/>
        <v>0</v>
      </c>
      <c r="K40">
        <f t="shared" si="7"/>
        <v>270000</v>
      </c>
      <c r="L40">
        <f t="shared" si="8"/>
        <v>540000</v>
      </c>
      <c r="O40" t="s">
        <v>307</v>
      </c>
    </row>
    <row r="41" spans="1:18">
      <c r="A41">
        <v>5</v>
      </c>
      <c r="B41">
        <f>INDEX(Case!$N$296:$BK$327,MATCH('vraag 7'!$A$16,Case!$B$296:$B$327,0),MATCH('vraag 7'!$A41,Case!$N$294:$BK$294,0))</f>
        <v>7</v>
      </c>
      <c r="C41" t="str">
        <f>INDEX($A$29:$A$32,MATCH(INDEX(Case!$BM$296:$DJ$327,MATCH('vraag 7'!$A$16,Case!$B$296:$B$327,0),MATCH('vraag 7'!$A41,Case!$BM$294:$DJ$294,0)),$E$29:$E$32,0))</f>
        <v>Scordite</v>
      </c>
      <c r="D41" s="114">
        <f t="shared" si="3"/>
        <v>0.25</v>
      </c>
      <c r="E41">
        <f t="shared" si="4"/>
        <v>150</v>
      </c>
      <c r="F41">
        <f t="shared" si="0"/>
        <v>90</v>
      </c>
      <c r="G41">
        <f t="shared" si="0"/>
        <v>0</v>
      </c>
      <c r="H41">
        <f t="shared" si="0"/>
        <v>0</v>
      </c>
      <c r="I41">
        <f t="shared" si="5"/>
        <v>787500</v>
      </c>
      <c r="J41">
        <f t="shared" si="6"/>
        <v>472500</v>
      </c>
      <c r="K41">
        <f t="shared" si="7"/>
        <v>0</v>
      </c>
      <c r="L41">
        <f t="shared" si="8"/>
        <v>0</v>
      </c>
      <c r="O41">
        <f>O37/H25</f>
        <v>268.59375</v>
      </c>
      <c r="P41">
        <f t="shared" ref="P41:R41" si="9">P37/I25</f>
        <v>501.3</v>
      </c>
      <c r="Q41">
        <f t="shared" si="9"/>
        <v>583.20000000000005</v>
      </c>
      <c r="R41">
        <f t="shared" si="9"/>
        <v>9004.5</v>
      </c>
    </row>
    <row r="42" spans="1:18">
      <c r="A42">
        <v>6</v>
      </c>
      <c r="B42">
        <f>INDEX(Case!$N$296:$BK$327,MATCH('vraag 7'!$A$16,Case!$B$296:$B$327,0),MATCH('vraag 7'!$A42,Case!$N$294:$BK$294,0))</f>
        <v>5</v>
      </c>
      <c r="C42" t="str">
        <f>INDEX($A$29:$A$32,MATCH(INDEX(Case!$BM$296:$DJ$327,MATCH('vraag 7'!$A$16,Case!$B$296:$B$327,0),MATCH('vraag 7'!$A42,Case!$BM$294:$DJ$294,0)),$E$29:$E$32,0))</f>
        <v>Scordite</v>
      </c>
      <c r="D42" s="114">
        <f t="shared" si="3"/>
        <v>0.25</v>
      </c>
      <c r="E42">
        <f t="shared" si="4"/>
        <v>150</v>
      </c>
      <c r="F42">
        <f t="shared" si="0"/>
        <v>90</v>
      </c>
      <c r="G42">
        <f t="shared" si="0"/>
        <v>0</v>
      </c>
      <c r="H42">
        <f t="shared" si="0"/>
        <v>0</v>
      </c>
      <c r="I42">
        <f t="shared" si="5"/>
        <v>562500</v>
      </c>
      <c r="J42">
        <f t="shared" si="6"/>
        <v>337500</v>
      </c>
      <c r="K42">
        <f t="shared" si="7"/>
        <v>0</v>
      </c>
      <c r="L42">
        <f t="shared" si="8"/>
        <v>0</v>
      </c>
    </row>
    <row r="43" spans="1:18">
      <c r="A43">
        <v>7</v>
      </c>
      <c r="B43">
        <f>INDEX(Case!$N$296:$BK$327,MATCH('vraag 7'!$A$16,Case!$B$296:$B$327,0),MATCH('vraag 7'!$A43,Case!$N$294:$BK$294,0))</f>
        <v>4</v>
      </c>
      <c r="C43" t="str">
        <f>INDEX($A$29:$A$32,MATCH(INDEX(Case!$BM$296:$DJ$327,MATCH('vraag 7'!$A$16,Case!$B$296:$B$327,0),MATCH('vraag 7'!$A43,Case!$BM$294:$DJ$294,0)),$E$29:$E$32,0))</f>
        <v>Omber</v>
      </c>
      <c r="D43" s="114">
        <f t="shared" si="3"/>
        <v>0.1</v>
      </c>
      <c r="E43">
        <f t="shared" si="4"/>
        <v>0</v>
      </c>
      <c r="F43">
        <f t="shared" si="0"/>
        <v>90</v>
      </c>
      <c r="G43">
        <f t="shared" si="0"/>
        <v>0</v>
      </c>
      <c r="H43">
        <f t="shared" si="0"/>
        <v>75</v>
      </c>
      <c r="I43">
        <f t="shared" si="5"/>
        <v>0</v>
      </c>
      <c r="J43">
        <f t="shared" si="6"/>
        <v>324000</v>
      </c>
      <c r="K43">
        <f t="shared" si="7"/>
        <v>0</v>
      </c>
      <c r="L43">
        <f t="shared" si="8"/>
        <v>270000</v>
      </c>
      <c r="O43">
        <f>INT(MIN(O41:R41))</f>
        <v>268</v>
      </c>
    </row>
    <row r="44" spans="1:18">
      <c r="A44">
        <v>8</v>
      </c>
      <c r="B44">
        <f>INDEX(Case!$N$296:$BK$327,MATCH('vraag 7'!$A$16,Case!$B$296:$B$327,0),MATCH('vraag 7'!$A44,Case!$N$294:$BK$294,0))</f>
        <v>4</v>
      </c>
      <c r="C44" t="str">
        <f>INDEX($A$29:$A$32,MATCH(INDEX(Case!$BM$296:$DJ$327,MATCH('vraag 7'!$A$16,Case!$B$296:$B$327,0),MATCH('vraag 7'!$A44,Case!$BM$294:$DJ$294,0)),$E$29:$E$32,0))</f>
        <v>Veldspar</v>
      </c>
      <c r="D44" s="114">
        <f t="shared" si="3"/>
        <v>0.25</v>
      </c>
      <c r="E44">
        <f t="shared" si="4"/>
        <v>400</v>
      </c>
      <c r="F44">
        <f t="shared" si="0"/>
        <v>0</v>
      </c>
      <c r="G44">
        <f t="shared" si="0"/>
        <v>0</v>
      </c>
      <c r="H44">
        <f t="shared" si="0"/>
        <v>0</v>
      </c>
      <c r="I44">
        <f t="shared" si="5"/>
        <v>1200000</v>
      </c>
      <c r="J44">
        <f t="shared" si="6"/>
        <v>0</v>
      </c>
      <c r="K44">
        <f t="shared" si="7"/>
        <v>0</v>
      </c>
      <c r="L44">
        <f t="shared" si="8"/>
        <v>0</v>
      </c>
    </row>
    <row r="45" spans="1:18">
      <c r="A45">
        <v>9</v>
      </c>
      <c r="B45">
        <f>INDEX(Case!$N$296:$BK$327,MATCH('vraag 7'!$A$16,Case!$B$296:$B$327,0),MATCH('vraag 7'!$A45,Case!$N$294:$BK$294,0))</f>
        <v>2</v>
      </c>
      <c r="C45" t="str">
        <f>INDEX($A$29:$A$32,MATCH(INDEX(Case!$BM$296:$DJ$327,MATCH('vraag 7'!$A$16,Case!$B$296:$B$327,0),MATCH('vraag 7'!$A45,Case!$BM$294:$DJ$294,0)),$E$29:$E$32,0))</f>
        <v>Omber</v>
      </c>
      <c r="D45" s="114">
        <f t="shared" si="3"/>
        <v>0.1</v>
      </c>
      <c r="E45">
        <f t="shared" si="4"/>
        <v>0</v>
      </c>
      <c r="F45">
        <f t="shared" si="0"/>
        <v>90</v>
      </c>
      <c r="G45">
        <f t="shared" si="0"/>
        <v>0</v>
      </c>
      <c r="H45">
        <f t="shared" si="0"/>
        <v>75</v>
      </c>
      <c r="I45">
        <f t="shared" si="5"/>
        <v>0</v>
      </c>
      <c r="J45">
        <f t="shared" si="6"/>
        <v>162000</v>
      </c>
      <c r="K45">
        <f t="shared" si="7"/>
        <v>0</v>
      </c>
      <c r="L45">
        <f t="shared" si="8"/>
        <v>135000</v>
      </c>
      <c r="O45" t="s">
        <v>308</v>
      </c>
    </row>
    <row r="46" spans="1:18">
      <c r="A46">
        <v>10</v>
      </c>
      <c r="B46">
        <f>INDEX(Case!$N$296:$BK$327,MATCH('vraag 7'!$A$16,Case!$B$296:$B$327,0),MATCH('vraag 7'!$A46,Case!$N$294:$BK$294,0))</f>
        <v>7</v>
      </c>
      <c r="C46" t="str">
        <f>INDEX($A$29:$A$32,MATCH(INDEX(Case!$BM$296:$DJ$327,MATCH('vraag 7'!$A$16,Case!$B$296:$B$327,0),MATCH('vraag 7'!$A46,Case!$BM$294:$DJ$294,0)),$E$29:$E$32,0))</f>
        <v>Veldspar</v>
      </c>
      <c r="D46" s="114">
        <f t="shared" si="3"/>
        <v>0.25</v>
      </c>
      <c r="E46">
        <f t="shared" si="4"/>
        <v>400</v>
      </c>
      <c r="F46">
        <f t="shared" si="0"/>
        <v>0</v>
      </c>
      <c r="G46">
        <f t="shared" si="0"/>
        <v>0</v>
      </c>
      <c r="H46">
        <f t="shared" si="0"/>
        <v>0</v>
      </c>
      <c r="I46">
        <f t="shared" si="5"/>
        <v>2100000</v>
      </c>
      <c r="J46">
        <f t="shared" si="6"/>
        <v>0</v>
      </c>
      <c r="K46">
        <f t="shared" si="7"/>
        <v>0</v>
      </c>
      <c r="L46">
        <f t="shared" si="8"/>
        <v>0</v>
      </c>
      <c r="O46" t="s">
        <v>10</v>
      </c>
      <c r="P46" t="s">
        <v>11</v>
      </c>
      <c r="Q46" t="s">
        <v>12</v>
      </c>
      <c r="R46" t="s">
        <v>13</v>
      </c>
    </row>
    <row r="47" spans="1:18">
      <c r="A47">
        <v>11</v>
      </c>
      <c r="B47">
        <f>INDEX(Case!$N$296:$BK$327,MATCH('vraag 7'!$A$16,Case!$B$296:$B$327,0),MATCH('vraag 7'!$A47,Case!$N$294:$BK$294,0))</f>
        <v>4</v>
      </c>
      <c r="C47" t="str">
        <f>INDEX($A$29:$A$32,MATCH(INDEX(Case!$BM$296:$DJ$327,MATCH('vraag 7'!$A$16,Case!$B$296:$B$327,0),MATCH('vraag 7'!$A47,Case!$BM$294:$DJ$294,0)),$E$29:$E$32,0))</f>
        <v>Veldspar</v>
      </c>
      <c r="D47" s="114">
        <f t="shared" si="3"/>
        <v>0.25</v>
      </c>
      <c r="E47">
        <f t="shared" si="4"/>
        <v>400</v>
      </c>
      <c r="F47">
        <f t="shared" si="0"/>
        <v>0</v>
      </c>
      <c r="G47">
        <f t="shared" si="0"/>
        <v>0</v>
      </c>
      <c r="H47">
        <f t="shared" si="0"/>
        <v>0</v>
      </c>
      <c r="I47">
        <f t="shared" si="5"/>
        <v>1200000</v>
      </c>
      <c r="J47">
        <f t="shared" si="6"/>
        <v>0</v>
      </c>
      <c r="K47">
        <f t="shared" si="7"/>
        <v>0</v>
      </c>
      <c r="L47">
        <f t="shared" si="8"/>
        <v>0</v>
      </c>
      <c r="O47">
        <f>O37-($O$43*H25)</f>
        <v>47500</v>
      </c>
      <c r="P47">
        <f t="shared" ref="P47:R47" si="10">P37-($O$43*I25)</f>
        <v>3499500</v>
      </c>
      <c r="Q47">
        <f t="shared" si="10"/>
        <v>1576000</v>
      </c>
      <c r="R47">
        <f t="shared" si="10"/>
        <v>8736500</v>
      </c>
    </row>
    <row r="48" spans="1:18">
      <c r="A48">
        <v>12</v>
      </c>
      <c r="B48">
        <f>INDEX(Case!$N$296:$BK$327,MATCH('vraag 7'!$A$16,Case!$B$296:$B$327,0),MATCH('vraag 7'!$A48,Case!$N$294:$BK$294,0))</f>
        <v>7</v>
      </c>
      <c r="C48" t="str">
        <f>INDEX($A$29:$A$32,MATCH(INDEX(Case!$BM$296:$DJ$327,MATCH('vraag 7'!$A$16,Case!$B$296:$B$327,0),MATCH('vraag 7'!$A48,Case!$BM$294:$DJ$294,0)),$E$29:$E$32,0))</f>
        <v>Omber</v>
      </c>
      <c r="D48" s="114">
        <f t="shared" si="3"/>
        <v>0.1</v>
      </c>
      <c r="E48">
        <f t="shared" si="4"/>
        <v>0</v>
      </c>
      <c r="F48">
        <f t="shared" si="0"/>
        <v>90</v>
      </c>
      <c r="G48">
        <f t="shared" si="0"/>
        <v>0</v>
      </c>
      <c r="H48">
        <f t="shared" si="0"/>
        <v>75</v>
      </c>
      <c r="I48">
        <f t="shared" si="5"/>
        <v>0</v>
      </c>
      <c r="J48">
        <f t="shared" si="6"/>
        <v>567000</v>
      </c>
      <c r="K48">
        <f t="shared" si="7"/>
        <v>0</v>
      </c>
      <c r="L48">
        <f t="shared" si="8"/>
        <v>472500</v>
      </c>
    </row>
    <row r="49" spans="1:19">
      <c r="A49">
        <v>13</v>
      </c>
      <c r="B49">
        <f>INDEX(Case!$N$296:$BK$327,MATCH('vraag 7'!$A$16,Case!$B$296:$B$327,0),MATCH('vraag 7'!$A49,Case!$N$294:$BK$294,0))</f>
        <v>3</v>
      </c>
      <c r="C49" t="str">
        <f>INDEX($A$29:$A$32,MATCH(INDEX(Case!$BM$296:$DJ$327,MATCH('vraag 7'!$A$16,Case!$B$296:$B$327,0),MATCH('vraag 7'!$A49,Case!$BM$294:$DJ$294,0)),$E$29:$E$32,0))</f>
        <v>Kernite</v>
      </c>
      <c r="D49" s="114">
        <f t="shared" si="3"/>
        <v>0.1</v>
      </c>
      <c r="E49">
        <f t="shared" si="4"/>
        <v>0</v>
      </c>
      <c r="F49">
        <f t="shared" si="0"/>
        <v>0</v>
      </c>
      <c r="G49">
        <f t="shared" si="0"/>
        <v>60</v>
      </c>
      <c r="H49">
        <f t="shared" si="0"/>
        <v>120</v>
      </c>
      <c r="I49">
        <f t="shared" si="5"/>
        <v>0</v>
      </c>
      <c r="J49">
        <f t="shared" si="6"/>
        <v>0</v>
      </c>
      <c r="K49">
        <f t="shared" si="7"/>
        <v>162000</v>
      </c>
      <c r="L49">
        <f t="shared" si="8"/>
        <v>324000</v>
      </c>
    </row>
    <row r="50" spans="1:19">
      <c r="A50">
        <v>14</v>
      </c>
      <c r="B50">
        <f>INDEX(Case!$N$296:$BK$327,MATCH('vraag 7'!$A$16,Case!$B$296:$B$327,0),MATCH('vraag 7'!$A50,Case!$N$294:$BK$294,0))</f>
        <v>2</v>
      </c>
      <c r="C50" t="str">
        <f>INDEX($A$29:$A$32,MATCH(INDEX(Case!$BM$296:$DJ$327,MATCH('vraag 7'!$A$16,Case!$B$296:$B$327,0),MATCH('vraag 7'!$A50,Case!$BM$294:$DJ$294,0)),$E$29:$E$32,0))</f>
        <v>Scordite</v>
      </c>
      <c r="D50" s="114">
        <f t="shared" si="3"/>
        <v>0.25</v>
      </c>
      <c r="E50">
        <f t="shared" si="4"/>
        <v>150</v>
      </c>
      <c r="F50">
        <f t="shared" si="0"/>
        <v>90</v>
      </c>
      <c r="G50">
        <f t="shared" si="0"/>
        <v>0</v>
      </c>
      <c r="H50">
        <f t="shared" si="0"/>
        <v>0</v>
      </c>
      <c r="I50">
        <f t="shared" si="5"/>
        <v>225000</v>
      </c>
      <c r="J50">
        <f t="shared" si="6"/>
        <v>135000</v>
      </c>
      <c r="K50">
        <f t="shared" si="7"/>
        <v>0</v>
      </c>
      <c r="L50">
        <f t="shared" si="8"/>
        <v>0</v>
      </c>
      <c r="O50" t="s">
        <v>309</v>
      </c>
    </row>
    <row r="51" spans="1:19">
      <c r="A51">
        <v>15</v>
      </c>
      <c r="B51">
        <f>INDEX(Case!$N$296:$BK$327,MATCH('vraag 7'!$A$16,Case!$B$296:$B$327,0),MATCH('vraag 7'!$A51,Case!$N$294:$BK$294,0))</f>
        <v>6</v>
      </c>
      <c r="C51" t="str">
        <f>INDEX($A$29:$A$32,MATCH(INDEX(Case!$BM$296:$DJ$327,MATCH('vraag 7'!$A$16,Case!$B$296:$B$327,0),MATCH('vraag 7'!$A51,Case!$BM$294:$DJ$294,0)),$E$29:$E$32,0))</f>
        <v>Veldspar</v>
      </c>
      <c r="D51" s="114">
        <f t="shared" si="3"/>
        <v>0.25</v>
      </c>
      <c r="E51">
        <f t="shared" si="4"/>
        <v>400</v>
      </c>
      <c r="F51">
        <f t="shared" si="0"/>
        <v>0</v>
      </c>
      <c r="G51">
        <f t="shared" si="0"/>
        <v>0</v>
      </c>
      <c r="H51">
        <f t="shared" si="0"/>
        <v>0</v>
      </c>
      <c r="I51">
        <f t="shared" si="5"/>
        <v>1800000</v>
      </c>
      <c r="J51">
        <f t="shared" si="6"/>
        <v>0</v>
      </c>
      <c r="K51">
        <f t="shared" si="7"/>
        <v>0</v>
      </c>
      <c r="L51">
        <f t="shared" si="8"/>
        <v>0</v>
      </c>
      <c r="O51">
        <f>O47/H24</f>
        <v>1.9791666666666667</v>
      </c>
      <c r="P51">
        <f t="shared" ref="P51:R51" si="11">P47/I24</f>
        <v>777.66666666666663</v>
      </c>
      <c r="Q51">
        <f t="shared" si="11"/>
        <v>840.5333333333333</v>
      </c>
      <c r="R51">
        <f t="shared" si="11"/>
        <v>23297.333333333332</v>
      </c>
    </row>
    <row r="52" spans="1:19">
      <c r="A52">
        <v>16</v>
      </c>
      <c r="B52">
        <f>INDEX(Case!$N$296:$BK$327,MATCH('vraag 7'!$A$16,Case!$B$296:$B$327,0),MATCH('vraag 7'!$A52,Case!$N$294:$BK$294,0))</f>
        <v>2</v>
      </c>
      <c r="C52" t="str">
        <f>INDEX($A$29:$A$32,MATCH(INDEX(Case!$BM$296:$DJ$327,MATCH('vraag 7'!$A$16,Case!$B$296:$B$327,0),MATCH('vraag 7'!$A52,Case!$BM$294:$DJ$294,0)),$E$29:$E$32,0))</f>
        <v>Kernite</v>
      </c>
      <c r="D52" s="114">
        <f t="shared" si="3"/>
        <v>0.1</v>
      </c>
      <c r="E52">
        <f t="shared" si="4"/>
        <v>0</v>
      </c>
      <c r="F52">
        <f t="shared" si="0"/>
        <v>0</v>
      </c>
      <c r="G52">
        <f t="shared" si="0"/>
        <v>60</v>
      </c>
      <c r="H52">
        <f t="shared" si="0"/>
        <v>120</v>
      </c>
      <c r="I52">
        <f t="shared" si="5"/>
        <v>0</v>
      </c>
      <c r="J52">
        <f t="shared" si="6"/>
        <v>0</v>
      </c>
      <c r="K52">
        <f t="shared" si="7"/>
        <v>108000</v>
      </c>
      <c r="L52">
        <f t="shared" si="8"/>
        <v>216000</v>
      </c>
    </row>
    <row r="53" spans="1:19">
      <c r="A53">
        <v>17</v>
      </c>
      <c r="B53">
        <f>INDEX(Case!$N$296:$BK$327,MATCH('vraag 7'!$A$16,Case!$B$296:$B$327,0),MATCH('vraag 7'!$A53,Case!$N$294:$BK$294,0))</f>
        <v>7</v>
      </c>
      <c r="C53" t="str">
        <f>INDEX($A$29:$A$32,MATCH(INDEX(Case!$BM$296:$DJ$327,MATCH('vraag 7'!$A$16,Case!$B$296:$B$327,0),MATCH('vraag 7'!$A53,Case!$BM$294:$DJ$294,0)),$E$29:$E$32,0))</f>
        <v>Kernite</v>
      </c>
      <c r="D53" s="114">
        <f t="shared" si="3"/>
        <v>0.1</v>
      </c>
      <c r="E53">
        <f t="shared" si="4"/>
        <v>0</v>
      </c>
      <c r="F53">
        <f t="shared" si="4"/>
        <v>0</v>
      </c>
      <c r="G53">
        <f t="shared" si="4"/>
        <v>60</v>
      </c>
      <c r="H53">
        <f t="shared" si="4"/>
        <v>120</v>
      </c>
      <c r="I53">
        <f t="shared" si="5"/>
        <v>0</v>
      </c>
      <c r="J53">
        <f t="shared" si="6"/>
        <v>0</v>
      </c>
      <c r="K53">
        <f t="shared" si="7"/>
        <v>378000</v>
      </c>
      <c r="L53">
        <f t="shared" si="8"/>
        <v>756000</v>
      </c>
      <c r="O53">
        <f>INT(MIN(O51:R51))</f>
        <v>1</v>
      </c>
    </row>
    <row r="54" spans="1:19">
      <c r="A54">
        <v>18</v>
      </c>
      <c r="B54">
        <f>INDEX(Case!$N$296:$BK$327,MATCH('vraag 7'!$A$16,Case!$B$296:$B$327,0),MATCH('vraag 7'!$A54,Case!$N$294:$BK$294,0))</f>
        <v>3</v>
      </c>
      <c r="C54" t="str">
        <f>INDEX($A$29:$A$32,MATCH(INDEX(Case!$BM$296:$DJ$327,MATCH('vraag 7'!$A$16,Case!$B$296:$B$327,0),MATCH('vraag 7'!$A54,Case!$BM$294:$DJ$294,0)),$E$29:$E$32,0))</f>
        <v>Kernite</v>
      </c>
      <c r="D54" s="114">
        <f t="shared" si="3"/>
        <v>0.1</v>
      </c>
      <c r="E54">
        <f t="shared" si="4"/>
        <v>0</v>
      </c>
      <c r="F54">
        <f t="shared" si="4"/>
        <v>0</v>
      </c>
      <c r="G54">
        <f t="shared" si="4"/>
        <v>60</v>
      </c>
      <c r="H54">
        <f t="shared" si="4"/>
        <v>120</v>
      </c>
      <c r="I54">
        <f t="shared" si="5"/>
        <v>0</v>
      </c>
      <c r="J54">
        <f t="shared" si="6"/>
        <v>0</v>
      </c>
      <c r="K54">
        <f t="shared" si="7"/>
        <v>162000</v>
      </c>
      <c r="L54">
        <f t="shared" si="8"/>
        <v>324000</v>
      </c>
    </row>
    <row r="55" spans="1:19">
      <c r="A55">
        <v>19</v>
      </c>
      <c r="B55">
        <f>INDEX(Case!$N$296:$BK$327,MATCH('vraag 7'!$A$16,Case!$B$296:$B$327,0),MATCH('vraag 7'!$A55,Case!$N$294:$BK$294,0))</f>
        <v>3</v>
      </c>
      <c r="C55" t="str">
        <f>INDEX($A$29:$A$32,MATCH(INDEX(Case!$BM$296:$DJ$327,MATCH('vraag 7'!$A$16,Case!$B$296:$B$327,0),MATCH('vraag 7'!$A55,Case!$BM$294:$DJ$294,0)),$E$29:$E$32,0))</f>
        <v>Scordite</v>
      </c>
      <c r="D55" s="114">
        <f t="shared" si="3"/>
        <v>0.25</v>
      </c>
      <c r="E55">
        <f t="shared" si="4"/>
        <v>150</v>
      </c>
      <c r="F55">
        <f t="shared" si="4"/>
        <v>90</v>
      </c>
      <c r="G55">
        <f t="shared" si="4"/>
        <v>0</v>
      </c>
      <c r="H55">
        <f t="shared" si="4"/>
        <v>0</v>
      </c>
      <c r="I55">
        <f t="shared" si="5"/>
        <v>337500</v>
      </c>
      <c r="J55">
        <f t="shared" si="6"/>
        <v>202500</v>
      </c>
      <c r="K55">
        <f t="shared" si="7"/>
        <v>0</v>
      </c>
      <c r="L55">
        <f t="shared" si="8"/>
        <v>0</v>
      </c>
      <c r="O55" t="s">
        <v>44</v>
      </c>
      <c r="S55" t="str">
        <f>O56</f>
        <v>T268G1</v>
      </c>
    </row>
    <row r="56" spans="1:19" ht="18.75">
      <c r="A56">
        <v>20</v>
      </c>
      <c r="B56">
        <f>INDEX(Case!$N$296:$BK$327,MATCH('vraag 7'!$A$16,Case!$B$296:$B$327,0),MATCH('vraag 7'!$A56,Case!$N$294:$BK$294,0))</f>
        <v>5</v>
      </c>
      <c r="C56" t="str">
        <f>INDEX($A$29:$A$32,MATCH(INDEX(Case!$BM$296:$DJ$327,MATCH('vraag 7'!$A$16,Case!$B$296:$B$327,0),MATCH('vraag 7'!$A56,Case!$BM$294:$DJ$294,0)),$E$29:$E$32,0))</f>
        <v>Omber</v>
      </c>
      <c r="D56" s="114">
        <f t="shared" si="3"/>
        <v>0.1</v>
      </c>
      <c r="E56">
        <f t="shared" si="4"/>
        <v>0</v>
      </c>
      <c r="F56">
        <f t="shared" si="4"/>
        <v>90</v>
      </c>
      <c r="G56">
        <f t="shared" si="4"/>
        <v>0</v>
      </c>
      <c r="H56">
        <f t="shared" si="4"/>
        <v>75</v>
      </c>
      <c r="I56">
        <f t="shared" si="5"/>
        <v>0</v>
      </c>
      <c r="J56">
        <f t="shared" si="6"/>
        <v>405000</v>
      </c>
      <c r="K56">
        <f t="shared" si="7"/>
        <v>0</v>
      </c>
      <c r="L56">
        <f t="shared" si="8"/>
        <v>337500</v>
      </c>
      <c r="O56" s="138" t="str">
        <f>"T"&amp;O43&amp;"G"&amp;O53</f>
        <v>T268G1</v>
      </c>
      <c r="R56" s="121" t="s">
        <v>171</v>
      </c>
      <c r="S56" t="str">
        <f t="dataTable" ref="S56:S86" dt2D="0" dtr="0" r1="A16"/>
        <v>T268G1</v>
      </c>
    </row>
    <row r="57" spans="1:19" ht="15.75">
      <c r="A57">
        <v>21</v>
      </c>
      <c r="B57">
        <f>INDEX(Case!$N$296:$BK$327,MATCH('vraag 7'!$A$16,Case!$B$296:$B$327,0),MATCH('vraag 7'!$A57,Case!$N$294:$BK$294,0))</f>
        <v>4</v>
      </c>
      <c r="C57" t="str">
        <f>INDEX($A$29:$A$32,MATCH(INDEX(Case!$BM$296:$DJ$327,MATCH('vraag 7'!$A$16,Case!$B$296:$B$327,0),MATCH('vraag 7'!$A57,Case!$BM$294:$DJ$294,0)),$E$29:$E$32,0))</f>
        <v>Omber</v>
      </c>
      <c r="D57" s="114">
        <f t="shared" si="3"/>
        <v>0.1</v>
      </c>
      <c r="E57">
        <f t="shared" si="4"/>
        <v>0</v>
      </c>
      <c r="F57">
        <f t="shared" si="4"/>
        <v>90</v>
      </c>
      <c r="G57">
        <f t="shared" si="4"/>
        <v>0</v>
      </c>
      <c r="H57">
        <f t="shared" si="4"/>
        <v>75</v>
      </c>
      <c r="I57">
        <f t="shared" si="5"/>
        <v>0</v>
      </c>
      <c r="J57">
        <f t="shared" si="6"/>
        <v>324000</v>
      </c>
      <c r="K57">
        <f t="shared" si="7"/>
        <v>0</v>
      </c>
      <c r="L57">
        <f t="shared" si="8"/>
        <v>270000</v>
      </c>
      <c r="R57" s="15">
        <v>121</v>
      </c>
      <c r="S57" t="str">
        <v>T283G2</v>
      </c>
    </row>
    <row r="58" spans="1:19" ht="15.75">
      <c r="A58">
        <v>22</v>
      </c>
      <c r="B58">
        <f>INDEX(Case!$N$296:$BK$327,MATCH('vraag 7'!$A$16,Case!$B$296:$B$327,0),MATCH('vraag 7'!$A58,Case!$N$294:$BK$294,0))</f>
        <v>7</v>
      </c>
      <c r="C58" t="str">
        <f>INDEX($A$29:$A$32,MATCH(INDEX(Case!$BM$296:$DJ$327,MATCH('vraag 7'!$A$16,Case!$B$296:$B$327,0),MATCH('vraag 7'!$A58,Case!$BM$294:$DJ$294,0)),$E$29:$E$32,0))</f>
        <v>Kernite</v>
      </c>
      <c r="D58" s="114">
        <f t="shared" si="3"/>
        <v>0.1</v>
      </c>
      <c r="E58">
        <f t="shared" si="4"/>
        <v>0</v>
      </c>
      <c r="F58">
        <f t="shared" si="4"/>
        <v>0</v>
      </c>
      <c r="G58">
        <f t="shared" si="4"/>
        <v>60</v>
      </c>
      <c r="H58">
        <f t="shared" si="4"/>
        <v>120</v>
      </c>
      <c r="I58">
        <f t="shared" si="5"/>
        <v>0</v>
      </c>
      <c r="J58">
        <f t="shared" si="6"/>
        <v>0</v>
      </c>
      <c r="K58">
        <f t="shared" si="7"/>
        <v>378000</v>
      </c>
      <c r="L58">
        <f t="shared" si="8"/>
        <v>756000</v>
      </c>
      <c r="R58" s="15">
        <f t="shared" ref="R58:R86" si="12">R57+1</f>
        <v>122</v>
      </c>
      <c r="S58" t="str">
        <v>T216G0</v>
      </c>
    </row>
    <row r="59" spans="1:19" ht="15.75">
      <c r="A59">
        <v>23</v>
      </c>
      <c r="B59">
        <f>INDEX(Case!$N$296:$BK$327,MATCH('vraag 7'!$A$16,Case!$B$296:$B$327,0),MATCH('vraag 7'!$A59,Case!$N$294:$BK$294,0))</f>
        <v>3</v>
      </c>
      <c r="C59" t="str">
        <f>INDEX($A$29:$A$32,MATCH(INDEX(Case!$BM$296:$DJ$327,MATCH('vraag 7'!$A$16,Case!$B$296:$B$327,0),MATCH('vraag 7'!$A59,Case!$BM$294:$DJ$294,0)),$E$29:$E$32,0))</f>
        <v>Veldspar</v>
      </c>
      <c r="D59" s="114">
        <f t="shared" si="3"/>
        <v>0.25</v>
      </c>
      <c r="E59">
        <f t="shared" si="4"/>
        <v>400</v>
      </c>
      <c r="F59">
        <f t="shared" si="4"/>
        <v>0</v>
      </c>
      <c r="G59">
        <f t="shared" si="4"/>
        <v>0</v>
      </c>
      <c r="H59">
        <f t="shared" si="4"/>
        <v>0</v>
      </c>
      <c r="I59">
        <f t="shared" si="5"/>
        <v>900000</v>
      </c>
      <c r="J59">
        <f t="shared" si="6"/>
        <v>0</v>
      </c>
      <c r="K59">
        <f t="shared" si="7"/>
        <v>0</v>
      </c>
      <c r="L59">
        <f t="shared" si="8"/>
        <v>0</v>
      </c>
      <c r="R59" s="15">
        <f t="shared" si="12"/>
        <v>123</v>
      </c>
      <c r="S59" t="str">
        <v>T350G1</v>
      </c>
    </row>
    <row r="60" spans="1:19" ht="15.75">
      <c r="A60">
        <v>24</v>
      </c>
      <c r="B60">
        <f>INDEX(Case!$N$296:$BK$327,MATCH('vraag 7'!$A$16,Case!$B$296:$B$327,0),MATCH('vraag 7'!$A60,Case!$N$294:$BK$294,0))</f>
        <v>3</v>
      </c>
      <c r="C60" t="str">
        <f>INDEX($A$29:$A$32,MATCH(INDEX(Case!$BM$296:$DJ$327,MATCH('vraag 7'!$A$16,Case!$B$296:$B$327,0),MATCH('vraag 7'!$A60,Case!$BM$294:$DJ$294,0)),$E$29:$E$32,0))</f>
        <v>Veldspar</v>
      </c>
      <c r="D60" s="114">
        <f t="shared" si="3"/>
        <v>0.25</v>
      </c>
      <c r="E60">
        <f t="shared" si="4"/>
        <v>400</v>
      </c>
      <c r="F60">
        <f t="shared" si="4"/>
        <v>0</v>
      </c>
      <c r="G60">
        <f t="shared" si="4"/>
        <v>0</v>
      </c>
      <c r="H60">
        <f t="shared" si="4"/>
        <v>0</v>
      </c>
      <c r="I60">
        <f t="shared" si="5"/>
        <v>900000</v>
      </c>
      <c r="J60">
        <f t="shared" si="6"/>
        <v>0</v>
      </c>
      <c r="K60">
        <f t="shared" si="7"/>
        <v>0</v>
      </c>
      <c r="L60">
        <f t="shared" si="8"/>
        <v>0</v>
      </c>
      <c r="R60" s="15">
        <f t="shared" si="12"/>
        <v>124</v>
      </c>
      <c r="S60" t="str">
        <v>T212G0</v>
      </c>
    </row>
    <row r="61" spans="1:19" ht="15.75">
      <c r="A61">
        <v>25</v>
      </c>
      <c r="B61">
        <f>INDEX(Case!$N$296:$BK$327,MATCH('vraag 7'!$A$16,Case!$B$296:$B$327,0),MATCH('vraag 7'!$A61,Case!$N$294:$BK$294,0))</f>
        <v>6</v>
      </c>
      <c r="C61" t="str">
        <f>INDEX($A$29:$A$32,MATCH(INDEX(Case!$BM$296:$DJ$327,MATCH('vraag 7'!$A$16,Case!$B$296:$B$327,0),MATCH('vraag 7'!$A61,Case!$BM$294:$DJ$294,0)),$E$29:$E$32,0))</f>
        <v>Omber</v>
      </c>
      <c r="D61" s="114">
        <f t="shared" si="3"/>
        <v>0.1</v>
      </c>
      <c r="E61">
        <f t="shared" si="4"/>
        <v>0</v>
      </c>
      <c r="F61">
        <f t="shared" si="4"/>
        <v>90</v>
      </c>
      <c r="G61">
        <f t="shared" si="4"/>
        <v>0</v>
      </c>
      <c r="H61">
        <f t="shared" si="4"/>
        <v>75</v>
      </c>
      <c r="I61">
        <f t="shared" si="5"/>
        <v>0</v>
      </c>
      <c r="J61">
        <f t="shared" si="6"/>
        <v>486000</v>
      </c>
      <c r="K61">
        <f t="shared" si="7"/>
        <v>0</v>
      </c>
      <c r="L61">
        <f t="shared" si="8"/>
        <v>405000</v>
      </c>
      <c r="R61" s="15">
        <f t="shared" si="12"/>
        <v>125</v>
      </c>
      <c r="S61" t="str">
        <v>T314G2</v>
      </c>
    </row>
    <row r="62" spans="1:19" ht="15.75">
      <c r="A62">
        <v>26</v>
      </c>
      <c r="B62">
        <f>INDEX(Case!$N$296:$BK$327,MATCH('vraag 7'!$A$16,Case!$B$296:$B$327,0),MATCH('vraag 7'!$A62,Case!$N$294:$BK$294,0))</f>
        <v>7</v>
      </c>
      <c r="C62" t="str">
        <f>INDEX($A$29:$A$32,MATCH(INDEX(Case!$BM$296:$DJ$327,MATCH('vraag 7'!$A$16,Case!$B$296:$B$327,0),MATCH('vraag 7'!$A62,Case!$BM$294:$DJ$294,0)),$E$29:$E$32,0))</f>
        <v>Kernite</v>
      </c>
      <c r="D62" s="114">
        <f t="shared" si="3"/>
        <v>0.1</v>
      </c>
      <c r="E62">
        <f t="shared" si="4"/>
        <v>0</v>
      </c>
      <c r="F62">
        <f t="shared" si="4"/>
        <v>0</v>
      </c>
      <c r="G62">
        <f t="shared" si="4"/>
        <v>60</v>
      </c>
      <c r="H62">
        <f t="shared" si="4"/>
        <v>120</v>
      </c>
      <c r="I62">
        <f t="shared" si="5"/>
        <v>0</v>
      </c>
      <c r="J62">
        <f t="shared" si="6"/>
        <v>0</v>
      </c>
      <c r="K62">
        <f t="shared" si="7"/>
        <v>378000</v>
      </c>
      <c r="L62">
        <f t="shared" si="8"/>
        <v>756000</v>
      </c>
      <c r="R62" s="15">
        <f t="shared" si="12"/>
        <v>126</v>
      </c>
      <c r="S62" t="str">
        <v>T267G0</v>
      </c>
    </row>
    <row r="63" spans="1:19" ht="15.75">
      <c r="A63">
        <v>27</v>
      </c>
      <c r="B63">
        <f>INDEX(Case!$N$296:$BK$327,MATCH('vraag 7'!$A$16,Case!$B$296:$B$327,0),MATCH('vraag 7'!$A63,Case!$N$294:$BK$294,0))</f>
        <v>5</v>
      </c>
      <c r="C63" t="str">
        <f>INDEX($A$29:$A$32,MATCH(INDEX(Case!$BM$296:$DJ$327,MATCH('vraag 7'!$A$16,Case!$B$296:$B$327,0),MATCH('vraag 7'!$A63,Case!$BM$294:$DJ$294,0)),$E$29:$E$32,0))</f>
        <v>Kernite</v>
      </c>
      <c r="D63" s="114">
        <f t="shared" si="3"/>
        <v>0.1</v>
      </c>
      <c r="E63">
        <f t="shared" si="4"/>
        <v>0</v>
      </c>
      <c r="F63">
        <f t="shared" si="4"/>
        <v>0</v>
      </c>
      <c r="G63">
        <f t="shared" si="4"/>
        <v>60</v>
      </c>
      <c r="H63">
        <f t="shared" si="4"/>
        <v>120</v>
      </c>
      <c r="I63">
        <f t="shared" si="5"/>
        <v>0</v>
      </c>
      <c r="J63">
        <f t="shared" si="6"/>
        <v>0</v>
      </c>
      <c r="K63">
        <f t="shared" si="7"/>
        <v>270000</v>
      </c>
      <c r="L63">
        <f t="shared" si="8"/>
        <v>540000</v>
      </c>
      <c r="R63" s="15">
        <f t="shared" si="12"/>
        <v>127</v>
      </c>
      <c r="S63" t="str">
        <v>T288G0</v>
      </c>
    </row>
    <row r="64" spans="1:19" ht="15.75">
      <c r="A64">
        <v>28</v>
      </c>
      <c r="B64">
        <f>INDEX(Case!$N$296:$BK$327,MATCH('vraag 7'!$A$16,Case!$B$296:$B$327,0),MATCH('vraag 7'!$A64,Case!$N$294:$BK$294,0))</f>
        <v>5</v>
      </c>
      <c r="C64" t="str">
        <f>INDEX($A$29:$A$32,MATCH(INDEX(Case!$BM$296:$DJ$327,MATCH('vraag 7'!$A$16,Case!$B$296:$B$327,0),MATCH('vraag 7'!$A64,Case!$BM$294:$DJ$294,0)),$E$29:$E$32,0))</f>
        <v>Omber</v>
      </c>
      <c r="D64" s="114">
        <f t="shared" si="3"/>
        <v>0.1</v>
      </c>
      <c r="E64">
        <f t="shared" si="4"/>
        <v>0</v>
      </c>
      <c r="F64">
        <f t="shared" si="4"/>
        <v>90</v>
      </c>
      <c r="G64">
        <f t="shared" si="4"/>
        <v>0</v>
      </c>
      <c r="H64">
        <f t="shared" si="4"/>
        <v>75</v>
      </c>
      <c r="I64">
        <f t="shared" si="5"/>
        <v>0</v>
      </c>
      <c r="J64">
        <f t="shared" si="6"/>
        <v>405000</v>
      </c>
      <c r="K64">
        <f t="shared" si="7"/>
        <v>0</v>
      </c>
      <c r="L64">
        <f t="shared" si="8"/>
        <v>337500</v>
      </c>
      <c r="R64" s="15">
        <f t="shared" si="12"/>
        <v>128</v>
      </c>
      <c r="S64" t="str">
        <v>T254G1</v>
      </c>
    </row>
    <row r="65" spans="1:19" ht="15.75">
      <c r="A65">
        <v>29</v>
      </c>
      <c r="B65">
        <f>INDEX(Case!$N$296:$BK$327,MATCH('vraag 7'!$A$16,Case!$B$296:$B$327,0),MATCH('vraag 7'!$A65,Case!$N$294:$BK$294,0))</f>
        <v>1</v>
      </c>
      <c r="C65" t="str">
        <f>INDEX($A$29:$A$32,MATCH(INDEX(Case!$BM$296:$DJ$327,MATCH('vraag 7'!$A$16,Case!$B$296:$B$327,0),MATCH('vraag 7'!$A65,Case!$BM$294:$DJ$294,0)),$E$29:$E$32,0))</f>
        <v>Veldspar</v>
      </c>
      <c r="D65" s="114">
        <f t="shared" si="3"/>
        <v>0.25</v>
      </c>
      <c r="E65">
        <f t="shared" si="4"/>
        <v>400</v>
      </c>
      <c r="F65">
        <f t="shared" si="4"/>
        <v>0</v>
      </c>
      <c r="G65">
        <f t="shared" si="4"/>
        <v>0</v>
      </c>
      <c r="H65">
        <f t="shared" si="4"/>
        <v>0</v>
      </c>
      <c r="I65">
        <f t="shared" si="5"/>
        <v>300000</v>
      </c>
      <c r="J65">
        <f t="shared" si="6"/>
        <v>0</v>
      </c>
      <c r="K65">
        <f t="shared" si="7"/>
        <v>0</v>
      </c>
      <c r="L65">
        <f t="shared" si="8"/>
        <v>0</v>
      </c>
      <c r="R65" s="15">
        <f t="shared" si="12"/>
        <v>129</v>
      </c>
      <c r="S65" t="str">
        <v>T354G3</v>
      </c>
    </row>
    <row r="66" spans="1:19" ht="15.75">
      <c r="A66">
        <v>30</v>
      </c>
      <c r="B66">
        <f>INDEX(Case!$N$296:$BK$327,MATCH('vraag 7'!$A$16,Case!$B$296:$B$327,0),MATCH('vraag 7'!$A66,Case!$N$294:$BK$294,0))</f>
        <v>7</v>
      </c>
      <c r="C66" t="str">
        <f>INDEX($A$29:$A$32,MATCH(INDEX(Case!$BM$296:$DJ$327,MATCH('vraag 7'!$A$16,Case!$B$296:$B$327,0),MATCH('vraag 7'!$A66,Case!$BM$294:$DJ$294,0)),$E$29:$E$32,0))</f>
        <v>Kernite</v>
      </c>
      <c r="D66" s="114">
        <f t="shared" si="3"/>
        <v>0.1</v>
      </c>
      <c r="E66">
        <f t="shared" si="4"/>
        <v>0</v>
      </c>
      <c r="F66">
        <f t="shared" si="4"/>
        <v>0</v>
      </c>
      <c r="G66">
        <f t="shared" si="4"/>
        <v>60</v>
      </c>
      <c r="H66">
        <f t="shared" si="4"/>
        <v>120</v>
      </c>
      <c r="I66">
        <f t="shared" si="5"/>
        <v>0</v>
      </c>
      <c r="J66">
        <f t="shared" si="6"/>
        <v>0</v>
      </c>
      <c r="K66">
        <f t="shared" si="7"/>
        <v>378000</v>
      </c>
      <c r="L66">
        <f t="shared" si="8"/>
        <v>756000</v>
      </c>
      <c r="R66" s="15">
        <f t="shared" si="12"/>
        <v>130</v>
      </c>
      <c r="S66" t="str">
        <v>T329G1</v>
      </c>
    </row>
    <row r="67" spans="1:19" ht="15.75">
      <c r="A67">
        <v>31</v>
      </c>
      <c r="B67">
        <f>INDEX(Case!$N$296:$BK$327,MATCH('vraag 7'!$A$16,Case!$B$296:$B$327,0),MATCH('vraag 7'!$A67,Case!$N$294:$BK$294,0))</f>
        <v>4</v>
      </c>
      <c r="C67" t="str">
        <f>INDEX($A$29:$A$32,MATCH(INDEX(Case!$BM$296:$DJ$327,MATCH('vraag 7'!$A$16,Case!$B$296:$B$327,0),MATCH('vraag 7'!$A67,Case!$BM$294:$DJ$294,0)),$E$29:$E$32,0))</f>
        <v>Veldspar</v>
      </c>
      <c r="D67" s="114">
        <f t="shared" si="3"/>
        <v>0.25</v>
      </c>
      <c r="E67">
        <f t="shared" si="4"/>
        <v>400</v>
      </c>
      <c r="F67">
        <f t="shared" si="4"/>
        <v>0</v>
      </c>
      <c r="G67">
        <f t="shared" si="4"/>
        <v>0</v>
      </c>
      <c r="H67">
        <f t="shared" si="4"/>
        <v>0</v>
      </c>
      <c r="I67">
        <f t="shared" si="5"/>
        <v>1200000</v>
      </c>
      <c r="J67">
        <f t="shared" si="6"/>
        <v>0</v>
      </c>
      <c r="K67">
        <f t="shared" si="7"/>
        <v>0</v>
      </c>
      <c r="L67">
        <f t="shared" si="8"/>
        <v>0</v>
      </c>
      <c r="R67" s="15">
        <f t="shared" si="12"/>
        <v>131</v>
      </c>
      <c r="S67" t="str">
        <v>T252G0</v>
      </c>
    </row>
    <row r="68" spans="1:19" ht="15.75">
      <c r="A68">
        <v>32</v>
      </c>
      <c r="B68">
        <f>INDEX(Case!$N$296:$BK$327,MATCH('vraag 7'!$A$16,Case!$B$296:$B$327,0),MATCH('vraag 7'!$A68,Case!$N$294:$BK$294,0))</f>
        <v>5</v>
      </c>
      <c r="C68" t="str">
        <f>INDEX($A$29:$A$32,MATCH(INDEX(Case!$BM$296:$DJ$327,MATCH('vraag 7'!$A$16,Case!$B$296:$B$327,0),MATCH('vraag 7'!$A68,Case!$BM$294:$DJ$294,0)),$E$29:$E$32,0))</f>
        <v>Scordite</v>
      </c>
      <c r="D68" s="114">
        <f t="shared" si="3"/>
        <v>0.25</v>
      </c>
      <c r="E68">
        <f t="shared" si="4"/>
        <v>150</v>
      </c>
      <c r="F68">
        <f t="shared" si="4"/>
        <v>90</v>
      </c>
      <c r="G68">
        <f t="shared" si="4"/>
        <v>0</v>
      </c>
      <c r="H68">
        <f t="shared" si="4"/>
        <v>0</v>
      </c>
      <c r="I68">
        <f t="shared" si="5"/>
        <v>562500</v>
      </c>
      <c r="J68">
        <f t="shared" si="6"/>
        <v>337500</v>
      </c>
      <c r="K68">
        <f t="shared" si="7"/>
        <v>0</v>
      </c>
      <c r="L68">
        <f t="shared" si="8"/>
        <v>0</v>
      </c>
      <c r="R68" s="15">
        <f t="shared" si="12"/>
        <v>132</v>
      </c>
      <c r="S68" t="str">
        <v>T200G0</v>
      </c>
    </row>
    <row r="69" spans="1:19" ht="15.75">
      <c r="A69">
        <v>33</v>
      </c>
      <c r="B69">
        <f>INDEX(Case!$N$296:$BK$327,MATCH('vraag 7'!$A$16,Case!$B$296:$B$327,0),MATCH('vraag 7'!$A69,Case!$N$294:$BK$294,0))</f>
        <v>1</v>
      </c>
      <c r="C69" t="str">
        <f>INDEX($A$29:$A$32,MATCH(INDEX(Case!$BM$296:$DJ$327,MATCH('vraag 7'!$A$16,Case!$B$296:$B$327,0),MATCH('vraag 7'!$A69,Case!$BM$294:$DJ$294,0)),$E$29:$E$32,0))</f>
        <v>Scordite</v>
      </c>
      <c r="D69" s="114">
        <f t="shared" si="3"/>
        <v>0.25</v>
      </c>
      <c r="E69">
        <f t="shared" si="4"/>
        <v>150</v>
      </c>
      <c r="F69">
        <f t="shared" si="4"/>
        <v>90</v>
      </c>
      <c r="G69">
        <f t="shared" si="4"/>
        <v>0</v>
      </c>
      <c r="H69">
        <f t="shared" si="4"/>
        <v>0</v>
      </c>
      <c r="I69">
        <f t="shared" si="5"/>
        <v>112500</v>
      </c>
      <c r="J69">
        <f t="shared" si="6"/>
        <v>67500</v>
      </c>
      <c r="K69">
        <f t="shared" si="7"/>
        <v>0</v>
      </c>
      <c r="L69">
        <f t="shared" si="8"/>
        <v>0</v>
      </c>
      <c r="R69" s="15">
        <f t="shared" si="12"/>
        <v>133</v>
      </c>
      <c r="S69" t="str">
        <v>T266G2</v>
      </c>
    </row>
    <row r="70" spans="1:19" ht="15.75">
      <c r="A70">
        <v>34</v>
      </c>
      <c r="B70">
        <f>INDEX(Case!$N$296:$BK$327,MATCH('vraag 7'!$A$16,Case!$B$296:$B$327,0),MATCH('vraag 7'!$A70,Case!$N$294:$BK$294,0))</f>
        <v>5</v>
      </c>
      <c r="C70" t="str">
        <f>INDEX($A$29:$A$32,MATCH(INDEX(Case!$BM$296:$DJ$327,MATCH('vraag 7'!$A$16,Case!$B$296:$B$327,0),MATCH('vraag 7'!$A70,Case!$BM$294:$DJ$294,0)),$E$29:$E$32,0))</f>
        <v>Kernite</v>
      </c>
      <c r="D70" s="114">
        <f t="shared" si="3"/>
        <v>0.1</v>
      </c>
      <c r="E70">
        <f t="shared" ref="E70:H86" si="13">INDEX($H$29:$K$32,MATCH($C70,$A$29:$A$32,0),MATCH(E$36,$H$28:$K$28,0))</f>
        <v>0</v>
      </c>
      <c r="F70">
        <f t="shared" si="13"/>
        <v>0</v>
      </c>
      <c r="G70">
        <f t="shared" si="13"/>
        <v>60</v>
      </c>
      <c r="H70">
        <f t="shared" si="13"/>
        <v>120</v>
      </c>
      <c r="I70">
        <f t="shared" si="5"/>
        <v>0</v>
      </c>
      <c r="J70">
        <f t="shared" si="6"/>
        <v>0</v>
      </c>
      <c r="K70">
        <f t="shared" si="7"/>
        <v>270000</v>
      </c>
      <c r="L70">
        <f t="shared" si="8"/>
        <v>540000</v>
      </c>
      <c r="R70" s="15">
        <f t="shared" si="12"/>
        <v>134</v>
      </c>
      <c r="S70" t="str">
        <v>T365G1</v>
      </c>
    </row>
    <row r="71" spans="1:19" ht="15.75">
      <c r="A71">
        <v>35</v>
      </c>
      <c r="B71">
        <f>INDEX(Case!$N$296:$BK$327,MATCH('vraag 7'!$A$16,Case!$B$296:$B$327,0),MATCH('vraag 7'!$A71,Case!$N$294:$BK$294,0))</f>
        <v>2</v>
      </c>
      <c r="C71" t="str">
        <f>INDEX($A$29:$A$32,MATCH(INDEX(Case!$BM$296:$DJ$327,MATCH('vraag 7'!$A$16,Case!$B$296:$B$327,0),MATCH('vraag 7'!$A71,Case!$BM$294:$DJ$294,0)),$E$29:$E$32,0))</f>
        <v>Veldspar</v>
      </c>
      <c r="D71" s="114">
        <f t="shared" si="3"/>
        <v>0.25</v>
      </c>
      <c r="E71">
        <f t="shared" si="13"/>
        <v>400</v>
      </c>
      <c r="F71">
        <f t="shared" si="13"/>
        <v>0</v>
      </c>
      <c r="G71">
        <f t="shared" si="13"/>
        <v>0</v>
      </c>
      <c r="H71">
        <f t="shared" si="13"/>
        <v>0</v>
      </c>
      <c r="I71">
        <f t="shared" si="5"/>
        <v>600000</v>
      </c>
      <c r="J71">
        <f t="shared" si="6"/>
        <v>0</v>
      </c>
      <c r="K71">
        <f t="shared" si="7"/>
        <v>0</v>
      </c>
      <c r="L71">
        <f t="shared" si="8"/>
        <v>0</v>
      </c>
      <c r="R71" s="15">
        <f t="shared" si="12"/>
        <v>135</v>
      </c>
      <c r="S71" t="str">
        <v>T361G1</v>
      </c>
    </row>
    <row r="72" spans="1:19" ht="15.75">
      <c r="A72">
        <v>36</v>
      </c>
      <c r="B72">
        <f>INDEX(Case!$N$296:$BK$327,MATCH('vraag 7'!$A$16,Case!$B$296:$B$327,0),MATCH('vraag 7'!$A72,Case!$N$294:$BK$294,0))</f>
        <v>3</v>
      </c>
      <c r="C72" t="str">
        <f>INDEX($A$29:$A$32,MATCH(INDEX(Case!$BM$296:$DJ$327,MATCH('vraag 7'!$A$16,Case!$B$296:$B$327,0),MATCH('vraag 7'!$A72,Case!$BM$294:$DJ$294,0)),$E$29:$E$32,0))</f>
        <v>Omber</v>
      </c>
      <c r="D72" s="114">
        <f t="shared" si="3"/>
        <v>0.1</v>
      </c>
      <c r="E72">
        <f t="shared" si="13"/>
        <v>0</v>
      </c>
      <c r="F72">
        <f t="shared" si="13"/>
        <v>90</v>
      </c>
      <c r="G72">
        <f t="shared" si="13"/>
        <v>0</v>
      </c>
      <c r="H72">
        <f t="shared" si="13"/>
        <v>75</v>
      </c>
      <c r="I72">
        <f t="shared" si="5"/>
        <v>0</v>
      </c>
      <c r="J72">
        <f t="shared" si="6"/>
        <v>243000</v>
      </c>
      <c r="K72">
        <f t="shared" si="7"/>
        <v>0</v>
      </c>
      <c r="L72">
        <f t="shared" si="8"/>
        <v>202500</v>
      </c>
      <c r="R72" s="15">
        <f t="shared" si="12"/>
        <v>136</v>
      </c>
      <c r="S72" t="str">
        <v>T313G0</v>
      </c>
    </row>
    <row r="73" spans="1:19" ht="15.75">
      <c r="A73">
        <v>37</v>
      </c>
      <c r="B73">
        <f>INDEX(Case!$N$296:$BK$327,MATCH('vraag 7'!$A$16,Case!$B$296:$B$327,0),MATCH('vraag 7'!$A73,Case!$N$294:$BK$294,0))</f>
        <v>6</v>
      </c>
      <c r="C73" t="str">
        <f>INDEX($A$29:$A$32,MATCH(INDEX(Case!$BM$296:$DJ$327,MATCH('vraag 7'!$A$16,Case!$B$296:$B$327,0),MATCH('vraag 7'!$A73,Case!$BM$294:$DJ$294,0)),$E$29:$E$32,0))</f>
        <v>Omber</v>
      </c>
      <c r="D73" s="114">
        <f t="shared" si="3"/>
        <v>0.1</v>
      </c>
      <c r="E73">
        <f t="shared" si="13"/>
        <v>0</v>
      </c>
      <c r="F73">
        <f t="shared" si="13"/>
        <v>90</v>
      </c>
      <c r="G73">
        <f t="shared" si="13"/>
        <v>0</v>
      </c>
      <c r="H73">
        <f t="shared" si="13"/>
        <v>75</v>
      </c>
      <c r="I73">
        <f t="shared" si="5"/>
        <v>0</v>
      </c>
      <c r="J73">
        <f t="shared" si="6"/>
        <v>486000</v>
      </c>
      <c r="K73">
        <f t="shared" si="7"/>
        <v>0</v>
      </c>
      <c r="L73">
        <f t="shared" si="8"/>
        <v>405000</v>
      </c>
      <c r="R73" s="15">
        <f t="shared" si="12"/>
        <v>137</v>
      </c>
      <c r="S73" t="str">
        <v>T285G1</v>
      </c>
    </row>
    <row r="74" spans="1:19" ht="15.75">
      <c r="A74">
        <v>38</v>
      </c>
      <c r="B74">
        <f>INDEX(Case!$N$296:$BK$327,MATCH('vraag 7'!$A$16,Case!$B$296:$B$327,0),MATCH('vraag 7'!$A74,Case!$N$294:$BK$294,0))</f>
        <v>4</v>
      </c>
      <c r="C74" t="str">
        <f>INDEX($A$29:$A$32,MATCH(INDEX(Case!$BM$296:$DJ$327,MATCH('vraag 7'!$A$16,Case!$B$296:$B$327,0),MATCH('vraag 7'!$A74,Case!$BM$294:$DJ$294,0)),$E$29:$E$32,0))</f>
        <v>Veldspar</v>
      </c>
      <c r="D74" s="114">
        <f t="shared" si="3"/>
        <v>0.25</v>
      </c>
      <c r="E74">
        <f t="shared" si="13"/>
        <v>400</v>
      </c>
      <c r="F74">
        <f t="shared" si="13"/>
        <v>0</v>
      </c>
      <c r="G74">
        <f t="shared" si="13"/>
        <v>0</v>
      </c>
      <c r="H74">
        <f t="shared" si="13"/>
        <v>0</v>
      </c>
      <c r="I74">
        <f t="shared" si="5"/>
        <v>1200000</v>
      </c>
      <c r="J74">
        <f t="shared" si="6"/>
        <v>0</v>
      </c>
      <c r="K74">
        <f t="shared" si="7"/>
        <v>0</v>
      </c>
      <c r="L74">
        <f t="shared" si="8"/>
        <v>0</v>
      </c>
      <c r="R74" s="15">
        <f t="shared" si="12"/>
        <v>138</v>
      </c>
      <c r="S74" t="str">
        <v>T229G0</v>
      </c>
    </row>
    <row r="75" spans="1:19" ht="15.75">
      <c r="A75">
        <v>39</v>
      </c>
      <c r="B75">
        <f>INDEX(Case!$N$296:$BK$327,MATCH('vraag 7'!$A$16,Case!$B$296:$B$327,0),MATCH('vraag 7'!$A75,Case!$N$294:$BK$294,0))</f>
        <v>7</v>
      </c>
      <c r="C75" t="str">
        <f>INDEX($A$29:$A$32,MATCH(INDEX(Case!$BM$296:$DJ$327,MATCH('vraag 7'!$A$16,Case!$B$296:$B$327,0),MATCH('vraag 7'!$A75,Case!$BM$294:$DJ$294,0)),$E$29:$E$32,0))</f>
        <v>Scordite</v>
      </c>
      <c r="D75" s="114">
        <f t="shared" si="3"/>
        <v>0.25</v>
      </c>
      <c r="E75">
        <f t="shared" si="13"/>
        <v>150</v>
      </c>
      <c r="F75">
        <f t="shared" si="13"/>
        <v>90</v>
      </c>
      <c r="G75">
        <f t="shared" si="13"/>
        <v>0</v>
      </c>
      <c r="H75">
        <f t="shared" si="13"/>
        <v>0</v>
      </c>
      <c r="I75">
        <f t="shared" si="5"/>
        <v>787500</v>
      </c>
      <c r="J75">
        <f t="shared" si="6"/>
        <v>472500</v>
      </c>
      <c r="K75">
        <f t="shared" si="7"/>
        <v>0</v>
      </c>
      <c r="L75">
        <f t="shared" si="8"/>
        <v>0</v>
      </c>
      <c r="R75" s="15">
        <f t="shared" si="12"/>
        <v>139</v>
      </c>
      <c r="S75" t="str">
        <v>T277G0</v>
      </c>
    </row>
    <row r="76" spans="1:19" ht="15.75">
      <c r="A76">
        <v>40</v>
      </c>
      <c r="B76">
        <f>INDEX(Case!$N$296:$BK$327,MATCH('vraag 7'!$A$16,Case!$B$296:$B$327,0),MATCH('vraag 7'!$A76,Case!$N$294:$BK$294,0))</f>
        <v>1</v>
      </c>
      <c r="C76" t="str">
        <f>INDEX($A$29:$A$32,MATCH(INDEX(Case!$BM$296:$DJ$327,MATCH('vraag 7'!$A$16,Case!$B$296:$B$327,0),MATCH('vraag 7'!$A76,Case!$BM$294:$DJ$294,0)),$E$29:$E$32,0))</f>
        <v>Veldspar</v>
      </c>
      <c r="D76" s="114">
        <f t="shared" si="3"/>
        <v>0.25</v>
      </c>
      <c r="E76">
        <f t="shared" si="13"/>
        <v>400</v>
      </c>
      <c r="F76">
        <f t="shared" si="13"/>
        <v>0</v>
      </c>
      <c r="G76">
        <f t="shared" si="13"/>
        <v>0</v>
      </c>
      <c r="H76">
        <f t="shared" si="13"/>
        <v>0</v>
      </c>
      <c r="I76">
        <f t="shared" si="5"/>
        <v>300000</v>
      </c>
      <c r="J76">
        <f t="shared" si="6"/>
        <v>0</v>
      </c>
      <c r="K76">
        <f t="shared" si="7"/>
        <v>0</v>
      </c>
      <c r="L76">
        <f t="shared" si="8"/>
        <v>0</v>
      </c>
      <c r="R76" s="15">
        <f t="shared" si="12"/>
        <v>140</v>
      </c>
      <c r="S76" t="str">
        <v>T204G2</v>
      </c>
    </row>
    <row r="77" spans="1:19" ht="15.75">
      <c r="A77">
        <v>41</v>
      </c>
      <c r="B77">
        <f>INDEX(Case!$N$296:$BK$327,MATCH('vraag 7'!$A$16,Case!$B$296:$B$327,0),MATCH('vraag 7'!$A77,Case!$N$294:$BK$294,0))</f>
        <v>7</v>
      </c>
      <c r="C77" t="str">
        <f>INDEX($A$29:$A$32,MATCH(INDEX(Case!$BM$296:$DJ$327,MATCH('vraag 7'!$A$16,Case!$B$296:$B$327,0),MATCH('vraag 7'!$A77,Case!$BM$294:$DJ$294,0)),$E$29:$E$32,0))</f>
        <v>Scordite</v>
      </c>
      <c r="D77" s="114">
        <f t="shared" si="3"/>
        <v>0.25</v>
      </c>
      <c r="E77">
        <f t="shared" si="13"/>
        <v>150</v>
      </c>
      <c r="F77">
        <f t="shared" si="13"/>
        <v>90</v>
      </c>
      <c r="G77">
        <f t="shared" si="13"/>
        <v>0</v>
      </c>
      <c r="H77">
        <f t="shared" si="13"/>
        <v>0</v>
      </c>
      <c r="I77">
        <f t="shared" si="5"/>
        <v>787500</v>
      </c>
      <c r="J77">
        <f t="shared" si="6"/>
        <v>472500</v>
      </c>
      <c r="K77">
        <f t="shared" si="7"/>
        <v>0</v>
      </c>
      <c r="L77">
        <f t="shared" si="8"/>
        <v>0</v>
      </c>
      <c r="R77" s="15">
        <f t="shared" si="12"/>
        <v>141</v>
      </c>
      <c r="S77" t="str">
        <v>T343G1</v>
      </c>
    </row>
    <row r="78" spans="1:19" ht="15.75">
      <c r="A78">
        <v>42</v>
      </c>
      <c r="B78">
        <f>INDEX(Case!$N$296:$BK$327,MATCH('vraag 7'!$A$16,Case!$B$296:$B$327,0),MATCH('vraag 7'!$A78,Case!$N$294:$BK$294,0))</f>
        <v>4</v>
      </c>
      <c r="C78" t="str">
        <f>INDEX($A$29:$A$32,MATCH(INDEX(Case!$BM$296:$DJ$327,MATCH('vraag 7'!$A$16,Case!$B$296:$B$327,0),MATCH('vraag 7'!$A78,Case!$BM$294:$DJ$294,0)),$E$29:$E$32,0))</f>
        <v>Veldspar</v>
      </c>
      <c r="D78" s="114">
        <f t="shared" si="3"/>
        <v>0.25</v>
      </c>
      <c r="E78">
        <f t="shared" si="13"/>
        <v>400</v>
      </c>
      <c r="F78">
        <f t="shared" si="13"/>
        <v>0</v>
      </c>
      <c r="G78">
        <f t="shared" si="13"/>
        <v>0</v>
      </c>
      <c r="H78">
        <f t="shared" si="13"/>
        <v>0</v>
      </c>
      <c r="I78">
        <f t="shared" si="5"/>
        <v>1200000</v>
      </c>
      <c r="J78">
        <f t="shared" si="6"/>
        <v>0</v>
      </c>
      <c r="K78">
        <f t="shared" si="7"/>
        <v>0</v>
      </c>
      <c r="L78">
        <f t="shared" si="8"/>
        <v>0</v>
      </c>
      <c r="R78" s="15">
        <f t="shared" si="12"/>
        <v>142</v>
      </c>
      <c r="S78" t="str">
        <v>T262G1</v>
      </c>
    </row>
    <row r="79" spans="1:19" ht="15.75">
      <c r="A79">
        <v>43</v>
      </c>
      <c r="B79">
        <f>INDEX(Case!$N$296:$BK$327,MATCH('vraag 7'!$A$16,Case!$B$296:$B$327,0),MATCH('vraag 7'!$A79,Case!$N$294:$BK$294,0))</f>
        <v>2</v>
      </c>
      <c r="C79" t="str">
        <f>INDEX($A$29:$A$32,MATCH(INDEX(Case!$BM$296:$DJ$327,MATCH('vraag 7'!$A$16,Case!$B$296:$B$327,0),MATCH('vraag 7'!$A79,Case!$BM$294:$DJ$294,0)),$E$29:$E$32,0))</f>
        <v>Scordite</v>
      </c>
      <c r="D79" s="114">
        <f t="shared" si="3"/>
        <v>0.25</v>
      </c>
      <c r="E79">
        <f t="shared" si="13"/>
        <v>150</v>
      </c>
      <c r="F79">
        <f t="shared" si="13"/>
        <v>90</v>
      </c>
      <c r="G79">
        <f t="shared" si="13"/>
        <v>0</v>
      </c>
      <c r="H79">
        <f t="shared" si="13"/>
        <v>0</v>
      </c>
      <c r="I79">
        <f t="shared" si="5"/>
        <v>225000</v>
      </c>
      <c r="J79">
        <f t="shared" si="6"/>
        <v>135000</v>
      </c>
      <c r="K79">
        <f t="shared" si="7"/>
        <v>0</v>
      </c>
      <c r="L79">
        <f t="shared" si="8"/>
        <v>0</v>
      </c>
      <c r="R79" s="15">
        <f t="shared" si="12"/>
        <v>143</v>
      </c>
      <c r="S79" t="str">
        <v>T211G0</v>
      </c>
    </row>
    <row r="80" spans="1:19" ht="15.75">
      <c r="A80">
        <v>44</v>
      </c>
      <c r="B80">
        <f>INDEX(Case!$N$296:$BK$327,MATCH('vraag 7'!$A$16,Case!$B$296:$B$327,0),MATCH('vraag 7'!$A80,Case!$N$294:$BK$294,0))</f>
        <v>5</v>
      </c>
      <c r="C80" t="str">
        <f>INDEX($A$29:$A$32,MATCH(INDEX(Case!$BM$296:$DJ$327,MATCH('vraag 7'!$A$16,Case!$B$296:$B$327,0),MATCH('vraag 7'!$A80,Case!$BM$294:$DJ$294,0)),$E$29:$E$32,0))</f>
        <v>Omber</v>
      </c>
      <c r="D80" s="114">
        <f t="shared" si="3"/>
        <v>0.1</v>
      </c>
      <c r="E80">
        <f t="shared" si="13"/>
        <v>0</v>
      </c>
      <c r="F80">
        <f t="shared" si="13"/>
        <v>90</v>
      </c>
      <c r="G80">
        <f t="shared" si="13"/>
        <v>0</v>
      </c>
      <c r="H80">
        <f t="shared" si="13"/>
        <v>75</v>
      </c>
      <c r="I80">
        <f t="shared" si="5"/>
        <v>0</v>
      </c>
      <c r="J80">
        <f t="shared" si="6"/>
        <v>405000</v>
      </c>
      <c r="K80">
        <f t="shared" si="7"/>
        <v>0</v>
      </c>
      <c r="L80">
        <f t="shared" si="8"/>
        <v>337500</v>
      </c>
      <c r="R80" s="15">
        <f t="shared" si="12"/>
        <v>144</v>
      </c>
      <c r="S80" t="str">
        <v>T225G3</v>
      </c>
    </row>
    <row r="81" spans="1:19" ht="15.75">
      <c r="A81">
        <v>45</v>
      </c>
      <c r="B81">
        <f>INDEX(Case!$N$296:$BK$327,MATCH('vraag 7'!$A$16,Case!$B$296:$B$327,0),MATCH('vraag 7'!$A81,Case!$N$294:$BK$294,0))</f>
        <v>6</v>
      </c>
      <c r="C81" t="str">
        <f>INDEX($A$29:$A$32,MATCH(INDEX(Case!$BM$296:$DJ$327,MATCH('vraag 7'!$A$16,Case!$B$296:$B$327,0),MATCH('vraag 7'!$A81,Case!$BM$294:$DJ$294,0)),$E$29:$E$32,0))</f>
        <v>Scordite</v>
      </c>
      <c r="D81" s="114">
        <f t="shared" si="3"/>
        <v>0.25</v>
      </c>
      <c r="E81">
        <f t="shared" si="13"/>
        <v>150</v>
      </c>
      <c r="F81">
        <f t="shared" si="13"/>
        <v>90</v>
      </c>
      <c r="G81">
        <f t="shared" si="13"/>
        <v>0</v>
      </c>
      <c r="H81">
        <f t="shared" si="13"/>
        <v>0</v>
      </c>
      <c r="I81">
        <f t="shared" si="5"/>
        <v>675000</v>
      </c>
      <c r="J81">
        <f t="shared" si="6"/>
        <v>405000</v>
      </c>
      <c r="K81">
        <f t="shared" si="7"/>
        <v>0</v>
      </c>
      <c r="L81">
        <f t="shared" si="8"/>
        <v>0</v>
      </c>
      <c r="R81" s="15">
        <f t="shared" si="12"/>
        <v>145</v>
      </c>
      <c r="S81" t="str">
        <v>T288G0</v>
      </c>
    </row>
    <row r="82" spans="1:19" ht="15.75">
      <c r="A82">
        <v>46</v>
      </c>
      <c r="B82">
        <f>INDEX(Case!$N$296:$BK$327,MATCH('vraag 7'!$A$16,Case!$B$296:$B$327,0),MATCH('vraag 7'!$A82,Case!$N$294:$BK$294,0))</f>
        <v>2</v>
      </c>
      <c r="C82" t="str">
        <f>INDEX($A$29:$A$32,MATCH(INDEX(Case!$BM$296:$DJ$327,MATCH('vraag 7'!$A$16,Case!$B$296:$B$327,0),MATCH('vraag 7'!$A82,Case!$BM$294:$DJ$294,0)),$E$29:$E$32,0))</f>
        <v>Kernite</v>
      </c>
      <c r="D82" s="114">
        <f t="shared" si="3"/>
        <v>0.1</v>
      </c>
      <c r="E82">
        <f t="shared" si="13"/>
        <v>0</v>
      </c>
      <c r="F82">
        <f t="shared" si="13"/>
        <v>0</v>
      </c>
      <c r="G82">
        <f t="shared" si="13"/>
        <v>60</v>
      </c>
      <c r="H82">
        <f t="shared" si="13"/>
        <v>120</v>
      </c>
      <c r="I82">
        <f t="shared" si="5"/>
        <v>0</v>
      </c>
      <c r="J82">
        <f t="shared" si="6"/>
        <v>0</v>
      </c>
      <c r="K82">
        <f t="shared" si="7"/>
        <v>108000</v>
      </c>
      <c r="L82">
        <f t="shared" si="8"/>
        <v>216000</v>
      </c>
      <c r="R82" s="15">
        <f t="shared" si="12"/>
        <v>146</v>
      </c>
      <c r="S82" t="str">
        <v>T156G2</v>
      </c>
    </row>
    <row r="83" spans="1:19" ht="15.75">
      <c r="A83">
        <v>47</v>
      </c>
      <c r="B83">
        <f>INDEX(Case!$N$296:$BK$327,MATCH('vraag 7'!$A$16,Case!$B$296:$B$327,0),MATCH('vraag 7'!$A83,Case!$N$294:$BK$294,0))</f>
        <v>1</v>
      </c>
      <c r="C83" t="str">
        <f>INDEX($A$29:$A$32,MATCH(INDEX(Case!$BM$296:$DJ$327,MATCH('vraag 7'!$A$16,Case!$B$296:$B$327,0),MATCH('vraag 7'!$A83,Case!$BM$294:$DJ$294,0)),$E$29:$E$32,0))</f>
        <v>Scordite</v>
      </c>
      <c r="D83" s="114">
        <f t="shared" si="3"/>
        <v>0.25</v>
      </c>
      <c r="E83">
        <f t="shared" si="13"/>
        <v>150</v>
      </c>
      <c r="F83">
        <f t="shared" si="13"/>
        <v>90</v>
      </c>
      <c r="G83">
        <f t="shared" si="13"/>
        <v>0</v>
      </c>
      <c r="H83">
        <f t="shared" si="13"/>
        <v>0</v>
      </c>
      <c r="I83">
        <f t="shared" si="5"/>
        <v>112500</v>
      </c>
      <c r="J83">
        <f t="shared" si="6"/>
        <v>67500</v>
      </c>
      <c r="K83">
        <f t="shared" si="7"/>
        <v>0</v>
      </c>
      <c r="L83">
        <f t="shared" si="8"/>
        <v>0</v>
      </c>
      <c r="R83" s="15">
        <f t="shared" si="12"/>
        <v>147</v>
      </c>
      <c r="S83" t="str">
        <v>T163G0</v>
      </c>
    </row>
    <row r="84" spans="1:19" ht="15.75">
      <c r="A84">
        <v>48</v>
      </c>
      <c r="B84">
        <f>INDEX(Case!$N$296:$BK$327,MATCH('vraag 7'!$A$16,Case!$B$296:$B$327,0),MATCH('vraag 7'!$A84,Case!$N$294:$BK$294,0))</f>
        <v>1</v>
      </c>
      <c r="C84" t="str">
        <f>INDEX($A$29:$A$32,MATCH(INDEX(Case!$BM$296:$DJ$327,MATCH('vraag 7'!$A$16,Case!$B$296:$B$327,0),MATCH('vraag 7'!$A84,Case!$BM$294:$DJ$294,0)),$E$29:$E$32,0))</f>
        <v>Kernite</v>
      </c>
      <c r="D84" s="114">
        <f t="shared" si="3"/>
        <v>0.1</v>
      </c>
      <c r="E84">
        <f t="shared" si="13"/>
        <v>0</v>
      </c>
      <c r="F84">
        <f t="shared" si="13"/>
        <v>0</v>
      </c>
      <c r="G84">
        <f t="shared" si="13"/>
        <v>60</v>
      </c>
      <c r="H84">
        <f t="shared" si="13"/>
        <v>120</v>
      </c>
      <c r="I84">
        <f t="shared" si="5"/>
        <v>0</v>
      </c>
      <c r="J84">
        <f t="shared" si="6"/>
        <v>0</v>
      </c>
      <c r="K84">
        <f t="shared" si="7"/>
        <v>54000</v>
      </c>
      <c r="L84">
        <f t="shared" si="8"/>
        <v>108000</v>
      </c>
      <c r="R84" s="15">
        <f t="shared" si="12"/>
        <v>148</v>
      </c>
      <c r="S84" t="str">
        <v>T323G2</v>
      </c>
    </row>
    <row r="85" spans="1:19" ht="15.75">
      <c r="A85">
        <v>49</v>
      </c>
      <c r="B85">
        <f>INDEX(Case!$N$296:$BK$327,MATCH('vraag 7'!$A$16,Case!$B$296:$B$327,0),MATCH('vraag 7'!$A85,Case!$N$294:$BK$294,0))</f>
        <v>6</v>
      </c>
      <c r="C85" t="str">
        <f>INDEX($A$29:$A$32,MATCH(INDEX(Case!$BM$296:$DJ$327,MATCH('vraag 7'!$A$16,Case!$B$296:$B$327,0),MATCH('vraag 7'!$A85,Case!$BM$294:$DJ$294,0)),$E$29:$E$32,0))</f>
        <v>Scordite</v>
      </c>
      <c r="D85" s="114">
        <f t="shared" si="3"/>
        <v>0.25</v>
      </c>
      <c r="E85">
        <f t="shared" si="13"/>
        <v>150</v>
      </c>
      <c r="F85">
        <f t="shared" si="13"/>
        <v>90</v>
      </c>
      <c r="G85">
        <f t="shared" si="13"/>
        <v>0</v>
      </c>
      <c r="H85">
        <f t="shared" si="13"/>
        <v>0</v>
      </c>
      <c r="I85">
        <f t="shared" si="5"/>
        <v>675000</v>
      </c>
      <c r="J85">
        <f t="shared" si="6"/>
        <v>405000</v>
      </c>
      <c r="K85">
        <f t="shared" si="7"/>
        <v>0</v>
      </c>
      <c r="L85">
        <f t="shared" si="8"/>
        <v>0</v>
      </c>
      <c r="R85" s="15">
        <f t="shared" si="12"/>
        <v>149</v>
      </c>
      <c r="S85" t="str">
        <v>T349G1</v>
      </c>
    </row>
    <row r="86" spans="1:19" ht="15.75">
      <c r="A86">
        <v>50</v>
      </c>
      <c r="B86">
        <f>INDEX(Case!$N$296:$BK$327,MATCH('vraag 7'!$A$16,Case!$B$296:$B$327,0),MATCH('vraag 7'!$A86,Case!$N$294:$BK$294,0))</f>
        <v>1</v>
      </c>
      <c r="C86" t="str">
        <f>INDEX($A$29:$A$32,MATCH(INDEX(Case!$BM$296:$DJ$327,MATCH('vraag 7'!$A$16,Case!$B$296:$B$327,0),MATCH('vraag 7'!$A86,Case!$BM$294:$DJ$294,0)),$E$29:$E$32,0))</f>
        <v>Veldspar</v>
      </c>
      <c r="D86" s="114">
        <f t="shared" si="3"/>
        <v>0.25</v>
      </c>
      <c r="E86">
        <f t="shared" si="13"/>
        <v>400</v>
      </c>
      <c r="F86">
        <f t="shared" si="13"/>
        <v>0</v>
      </c>
      <c r="G86">
        <f t="shared" si="13"/>
        <v>0</v>
      </c>
      <c r="H86">
        <f t="shared" si="13"/>
        <v>0</v>
      </c>
      <c r="I86">
        <f t="shared" si="5"/>
        <v>300000</v>
      </c>
      <c r="J86">
        <f t="shared" si="6"/>
        <v>0</v>
      </c>
      <c r="K86">
        <f t="shared" si="7"/>
        <v>0</v>
      </c>
      <c r="L86">
        <f t="shared" si="8"/>
        <v>0</v>
      </c>
      <c r="R86" s="15">
        <f t="shared" si="12"/>
        <v>150</v>
      </c>
      <c r="S86" t="str">
        <v>T307G2</v>
      </c>
    </row>
  </sheetData>
  <mergeCells count="8">
    <mergeCell ref="A32:D32"/>
    <mergeCell ref="A28:D28"/>
    <mergeCell ref="A29:D29"/>
    <mergeCell ref="A23:D23"/>
    <mergeCell ref="A24:D24"/>
    <mergeCell ref="A25:D25"/>
    <mergeCell ref="A30:D30"/>
    <mergeCell ref="A31:D31"/>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C3E05-E65A-4D1D-AA60-7E322113B6B5}">
  <sheetPr codeName="Sheet2"/>
  <dimension ref="A1:DE327"/>
  <sheetViews>
    <sheetView showGridLines="0" topLeftCell="A212" zoomScale="70" zoomScaleNormal="70" workbookViewId="0">
      <selection activeCell="E54" sqref="E54"/>
    </sheetView>
  </sheetViews>
  <sheetFormatPr defaultColWidth="8.5703125" defaultRowHeight="15"/>
  <cols>
    <col min="1" max="1" width="3.140625" style="1" customWidth="1"/>
    <col min="2" max="2" width="13.85546875" style="2" customWidth="1"/>
    <col min="3" max="3" width="13" style="2" customWidth="1"/>
    <col min="4" max="4" width="12.140625" style="2" bestFit="1" customWidth="1"/>
    <col min="5" max="5" width="21.5703125" style="32" bestFit="1" customWidth="1"/>
    <col min="6" max="6" width="6" style="2" bestFit="1" customWidth="1"/>
    <col min="7" max="7" width="13" style="1" customWidth="1"/>
    <col min="8" max="8" width="6" style="1" bestFit="1" customWidth="1"/>
    <col min="9" max="14" width="10.42578125" style="1" bestFit="1" customWidth="1"/>
    <col min="15" max="49" width="10.28515625" style="1" bestFit="1" customWidth="1"/>
    <col min="50" max="16373" width="10.28515625" style="4" bestFit="1" customWidth="1"/>
    <col min="16374" max="16384" width="10.28515625" style="4" customWidth="1"/>
  </cols>
  <sheetData>
    <row r="1" spans="2:49" ht="15" customHeight="1">
      <c r="B1" s="1"/>
      <c r="C1" s="1"/>
      <c r="D1" s="1"/>
      <c r="E1" s="31"/>
      <c r="F1" s="1"/>
      <c r="AD1" s="3"/>
      <c r="AE1" s="3"/>
      <c r="AF1" s="3"/>
      <c r="AG1" s="3"/>
      <c r="AH1" s="3"/>
      <c r="AI1" s="3"/>
      <c r="AJ1" s="3"/>
      <c r="AK1" s="3"/>
      <c r="AL1" s="3"/>
      <c r="AM1" s="6"/>
      <c r="AN1" s="6"/>
      <c r="AO1" s="4"/>
      <c r="AP1" s="4"/>
      <c r="AQ1" s="4"/>
      <c r="AR1" s="4"/>
      <c r="AS1" s="4"/>
      <c r="AT1" s="4"/>
      <c r="AU1" s="4"/>
      <c r="AV1" s="4"/>
      <c r="AW1" s="4"/>
    </row>
    <row r="2" spans="2:49" ht="15" customHeight="1">
      <c r="B2" s="1"/>
      <c r="C2" s="1"/>
      <c r="D2" s="1"/>
      <c r="E2" s="31"/>
      <c r="F2" s="1"/>
      <c r="V2" s="7"/>
      <c r="W2" s="7"/>
      <c r="AI2" s="7"/>
      <c r="AJ2" s="7"/>
      <c r="AK2" s="7"/>
      <c r="AL2" s="7"/>
      <c r="AM2" s="7"/>
      <c r="AN2" s="7"/>
      <c r="AO2" s="7"/>
      <c r="AP2" s="7"/>
      <c r="AQ2" s="4"/>
      <c r="AR2" s="4"/>
      <c r="AS2" s="4"/>
      <c r="AT2" s="4"/>
      <c r="AU2" s="4"/>
      <c r="AV2" s="4"/>
      <c r="AW2" s="4"/>
    </row>
    <row r="3" spans="2:49" ht="60.6" customHeight="1">
      <c r="B3" s="206" t="s">
        <v>0</v>
      </c>
      <c r="C3" s="207"/>
      <c r="D3" s="207"/>
      <c r="E3" s="207"/>
      <c r="F3" s="207"/>
      <c r="G3" s="207"/>
      <c r="H3" s="207"/>
      <c r="I3" s="207"/>
      <c r="J3" s="207"/>
      <c r="K3" s="207"/>
      <c r="L3" s="207"/>
      <c r="M3" s="207"/>
      <c r="N3" s="207"/>
      <c r="O3" s="207"/>
      <c r="P3" s="207"/>
      <c r="Q3" s="207"/>
      <c r="R3" s="207"/>
      <c r="S3" s="207"/>
      <c r="T3" s="207"/>
      <c r="U3" s="208"/>
      <c r="AI3" s="3"/>
      <c r="AS3" s="4"/>
      <c r="AT3" s="4"/>
      <c r="AU3" s="4"/>
      <c r="AV3" s="4"/>
      <c r="AW3" s="4"/>
    </row>
    <row r="4" spans="2:49" ht="21.75" customHeight="1">
      <c r="B4" s="1"/>
      <c r="C4" s="1"/>
      <c r="D4" s="1"/>
      <c r="E4" s="31"/>
      <c r="F4" s="1"/>
      <c r="AI4" s="3"/>
      <c r="AS4" s="4"/>
      <c r="AT4" s="4"/>
      <c r="AU4" s="4"/>
      <c r="AV4" s="4"/>
      <c r="AW4" s="4"/>
    </row>
    <row r="5" spans="2:49" ht="33.6" customHeight="1">
      <c r="B5" s="147" t="s">
        <v>1</v>
      </c>
      <c r="C5" s="148"/>
      <c r="D5" s="148"/>
      <c r="E5" s="148"/>
      <c r="F5" s="148"/>
      <c r="G5" s="148"/>
      <c r="H5" s="148"/>
      <c r="I5" s="148"/>
      <c r="J5" s="148"/>
      <c r="K5" s="148"/>
      <c r="L5" s="148"/>
      <c r="M5" s="148"/>
      <c r="N5" s="148"/>
      <c r="O5" s="148"/>
      <c r="P5" s="149"/>
      <c r="R5" s="147" t="s">
        <v>2</v>
      </c>
      <c r="S5" s="148"/>
      <c r="T5" s="148"/>
      <c r="U5" s="149"/>
      <c r="AA5" s="3"/>
      <c r="AD5" s="39"/>
      <c r="AK5" s="4"/>
      <c r="AL5" s="4"/>
      <c r="AM5" s="4"/>
      <c r="AN5" s="4"/>
      <c r="AO5" s="4"/>
      <c r="AP5" s="4"/>
      <c r="AQ5" s="4"/>
      <c r="AR5" s="4"/>
      <c r="AS5" s="4"/>
      <c r="AT5" s="4"/>
      <c r="AU5" s="4"/>
      <c r="AV5" s="4"/>
      <c r="AW5" s="4"/>
    </row>
    <row r="6" spans="2:49" ht="33.6" customHeight="1">
      <c r="B6" s="27"/>
      <c r="C6" s="27"/>
      <c r="D6" s="27"/>
      <c r="E6" s="34"/>
      <c r="F6" s="27"/>
      <c r="G6" s="27"/>
      <c r="H6" s="27"/>
      <c r="I6" s="27"/>
      <c r="J6" s="27"/>
      <c r="K6" s="27"/>
      <c r="L6" s="27"/>
      <c r="M6" s="27"/>
      <c r="N6" s="27"/>
      <c r="O6" s="27"/>
      <c r="P6" s="27"/>
      <c r="Q6" s="27"/>
      <c r="R6" s="209" t="s">
        <v>3</v>
      </c>
      <c r="S6" s="209"/>
      <c r="T6" s="209"/>
      <c r="U6" s="209"/>
      <c r="AA6" s="3"/>
      <c r="AD6" s="39"/>
      <c r="AK6" s="4"/>
      <c r="AL6" s="4"/>
      <c r="AM6" s="4"/>
      <c r="AN6" s="4"/>
      <c r="AO6" s="4"/>
      <c r="AP6" s="4"/>
      <c r="AQ6" s="4"/>
      <c r="AR6" s="4"/>
      <c r="AS6" s="4"/>
      <c r="AT6" s="4"/>
      <c r="AU6" s="4"/>
      <c r="AV6" s="4"/>
      <c r="AW6" s="4"/>
    </row>
    <row r="7" spans="2:49" ht="33.6" customHeight="1">
      <c r="B7" s="27"/>
      <c r="C7" s="27"/>
      <c r="D7" s="27"/>
      <c r="E7" s="34"/>
      <c r="F7" s="27"/>
      <c r="G7" s="27"/>
      <c r="H7" s="27"/>
      <c r="I7" s="27"/>
      <c r="J7" s="27"/>
      <c r="K7" s="27"/>
      <c r="L7" s="27"/>
      <c r="M7" s="27"/>
      <c r="N7" s="27"/>
      <c r="O7" s="27"/>
      <c r="P7" s="27"/>
      <c r="Q7" s="27"/>
      <c r="R7" s="209"/>
      <c r="S7" s="209"/>
      <c r="T7" s="209"/>
      <c r="U7" s="209"/>
      <c r="AA7" s="3"/>
      <c r="AD7" s="39"/>
      <c r="AK7" s="4"/>
      <c r="AL7" s="4"/>
      <c r="AM7" s="4"/>
      <c r="AN7" s="4"/>
      <c r="AO7" s="4"/>
      <c r="AP7" s="4"/>
      <c r="AQ7" s="4"/>
      <c r="AR7" s="4"/>
      <c r="AS7" s="4"/>
      <c r="AT7" s="4"/>
      <c r="AU7" s="4"/>
      <c r="AV7" s="4"/>
      <c r="AW7" s="4"/>
    </row>
    <row r="8" spans="2:49" ht="33.6" customHeight="1">
      <c r="B8" s="27"/>
      <c r="C8" s="27"/>
      <c r="D8" s="27"/>
      <c r="E8" s="34"/>
      <c r="F8" s="27"/>
      <c r="G8" s="27"/>
      <c r="H8" s="27"/>
      <c r="I8" s="27"/>
      <c r="J8" s="27"/>
      <c r="K8" s="27"/>
      <c r="L8" s="27"/>
      <c r="M8" s="27"/>
      <c r="N8" s="27"/>
      <c r="O8" s="27"/>
      <c r="P8" s="27"/>
      <c r="Q8" s="27"/>
      <c r="R8" s="209"/>
      <c r="S8" s="209"/>
      <c r="T8" s="209"/>
      <c r="U8" s="209"/>
      <c r="AA8" s="3"/>
      <c r="AD8" s="39"/>
      <c r="AK8" s="4"/>
      <c r="AL8" s="4"/>
      <c r="AM8" s="4"/>
      <c r="AN8" s="4"/>
      <c r="AO8" s="4"/>
      <c r="AP8" s="4"/>
      <c r="AQ8" s="4"/>
      <c r="AR8" s="4"/>
      <c r="AS8" s="4"/>
      <c r="AT8" s="4"/>
      <c r="AU8" s="4"/>
      <c r="AV8" s="4"/>
      <c r="AW8" s="4"/>
    </row>
    <row r="9" spans="2:49" ht="33.6" customHeight="1">
      <c r="B9" s="27"/>
      <c r="C9" s="27"/>
      <c r="D9" s="27"/>
      <c r="E9" s="34"/>
      <c r="F9" s="27"/>
      <c r="G9" s="27"/>
      <c r="H9" s="27"/>
      <c r="I9" s="27"/>
      <c r="J9" s="27"/>
      <c r="K9" s="27"/>
      <c r="L9" s="27"/>
      <c r="M9" s="27"/>
      <c r="N9" s="27"/>
      <c r="O9" s="27"/>
      <c r="P9" s="27"/>
      <c r="Q9" s="27"/>
      <c r="R9" s="209"/>
      <c r="S9" s="209"/>
      <c r="T9" s="209"/>
      <c r="U9" s="209"/>
      <c r="AA9" s="3"/>
      <c r="AD9" s="39"/>
      <c r="AK9" s="4"/>
      <c r="AL9" s="4"/>
      <c r="AM9" s="4"/>
      <c r="AN9" s="4"/>
      <c r="AO9" s="4"/>
      <c r="AP9" s="4"/>
      <c r="AQ9" s="4"/>
      <c r="AR9" s="4"/>
      <c r="AS9" s="4"/>
      <c r="AT9" s="4"/>
      <c r="AU9" s="4"/>
      <c r="AV9" s="4"/>
      <c r="AW9" s="4"/>
    </row>
    <row r="10" spans="2:49" ht="33.6" customHeight="1">
      <c r="B10" s="27"/>
      <c r="C10" s="27"/>
      <c r="D10" s="27"/>
      <c r="E10" s="34"/>
      <c r="F10" s="27"/>
      <c r="G10" s="27"/>
      <c r="H10" s="27"/>
      <c r="I10" s="27"/>
      <c r="J10" s="27"/>
      <c r="K10" s="27"/>
      <c r="L10" s="27"/>
      <c r="M10" s="27"/>
      <c r="N10" s="27"/>
      <c r="O10" s="27"/>
      <c r="P10" s="27"/>
      <c r="Q10" s="27"/>
      <c r="R10" s="209"/>
      <c r="S10" s="209"/>
      <c r="T10" s="209"/>
      <c r="U10" s="209"/>
      <c r="AA10" s="3"/>
      <c r="AD10" s="39"/>
      <c r="AK10" s="4"/>
      <c r="AL10" s="4"/>
      <c r="AM10" s="4"/>
      <c r="AN10" s="4"/>
      <c r="AO10" s="4"/>
      <c r="AP10" s="4"/>
      <c r="AQ10" s="4"/>
      <c r="AR10" s="4"/>
      <c r="AS10" s="4"/>
      <c r="AT10" s="4"/>
      <c r="AU10" s="4"/>
      <c r="AV10" s="4"/>
      <c r="AW10" s="4"/>
    </row>
    <row r="11" spans="2:49" ht="33.6" customHeight="1">
      <c r="B11" s="27"/>
      <c r="C11" s="27"/>
      <c r="D11" s="27"/>
      <c r="E11" s="34"/>
      <c r="F11" s="27"/>
      <c r="G11" s="27"/>
      <c r="H11" s="27"/>
      <c r="I11" s="27"/>
      <c r="J11" s="27"/>
      <c r="K11" s="27"/>
      <c r="L11" s="27"/>
      <c r="M11" s="27"/>
      <c r="N11" s="27"/>
      <c r="O11" s="27"/>
      <c r="P11" s="27"/>
      <c r="Q11" s="27"/>
      <c r="R11" s="209"/>
      <c r="S11" s="209"/>
      <c r="T11" s="209"/>
      <c r="U11" s="209"/>
      <c r="AA11" s="3"/>
      <c r="AD11" s="39"/>
      <c r="AK11" s="4"/>
      <c r="AL11" s="4"/>
      <c r="AM11" s="4"/>
      <c r="AN11" s="4"/>
      <c r="AO11" s="4"/>
      <c r="AP11" s="4"/>
      <c r="AQ11" s="4"/>
      <c r="AR11" s="4"/>
      <c r="AS11" s="4"/>
      <c r="AT11" s="4"/>
      <c r="AU11" s="4"/>
      <c r="AV11" s="4"/>
      <c r="AW11" s="4"/>
    </row>
    <row r="12" spans="2:49" ht="13.5" customHeight="1">
      <c r="B12" s="27"/>
      <c r="C12" s="27"/>
      <c r="D12" s="27"/>
      <c r="E12" s="34"/>
      <c r="F12" s="27"/>
      <c r="G12" s="27"/>
      <c r="H12" s="27"/>
      <c r="I12" s="27"/>
      <c r="J12" s="27"/>
      <c r="K12" s="27"/>
      <c r="L12" s="27"/>
      <c r="M12" s="27"/>
      <c r="N12" s="27"/>
      <c r="O12" s="27"/>
      <c r="P12" s="27"/>
      <c r="Q12" s="27"/>
      <c r="R12" s="209"/>
      <c r="S12" s="209"/>
      <c r="T12" s="209"/>
      <c r="U12" s="209"/>
      <c r="AA12" s="3"/>
      <c r="AD12" s="39"/>
      <c r="AK12" s="4"/>
      <c r="AL12" s="4"/>
      <c r="AM12" s="4"/>
      <c r="AN12" s="4"/>
      <c r="AO12" s="4"/>
      <c r="AP12" s="4"/>
      <c r="AQ12" s="4"/>
      <c r="AR12" s="4"/>
      <c r="AS12" s="4"/>
      <c r="AT12" s="4"/>
      <c r="AU12" s="4"/>
      <c r="AV12" s="4"/>
      <c r="AW12" s="4"/>
    </row>
    <row r="13" spans="2:49" ht="33.6" customHeight="1">
      <c r="B13" s="27"/>
      <c r="C13" s="27"/>
      <c r="D13" s="27"/>
      <c r="E13" s="34"/>
      <c r="F13" s="27"/>
      <c r="G13" s="27"/>
      <c r="H13" s="27"/>
      <c r="I13" s="27"/>
      <c r="J13" s="27"/>
      <c r="K13" s="27"/>
      <c r="L13" s="27"/>
      <c r="M13" s="27"/>
      <c r="N13" s="27"/>
      <c r="O13" s="27"/>
      <c r="P13" s="27"/>
      <c r="Q13" s="27"/>
      <c r="R13" s="42"/>
      <c r="S13" s="42"/>
      <c r="T13" s="42"/>
      <c r="U13" s="42"/>
      <c r="X13" s="30"/>
      <c r="Y13" s="30"/>
      <c r="Z13" s="30"/>
      <c r="AA13" s="30"/>
      <c r="AB13" s="30"/>
      <c r="AC13" s="30"/>
      <c r="AD13" s="39"/>
      <c r="AE13" s="30"/>
      <c r="AI13" s="3"/>
      <c r="AS13" s="4"/>
      <c r="AT13" s="4"/>
      <c r="AU13" s="4"/>
      <c r="AV13" s="4"/>
      <c r="AW13" s="4"/>
    </row>
    <row r="14" spans="2:49" ht="24.95" customHeight="1">
      <c r="B14" s="147" t="s">
        <v>4</v>
      </c>
      <c r="C14" s="148"/>
      <c r="D14" s="148"/>
      <c r="E14" s="148"/>
      <c r="F14" s="148"/>
      <c r="G14" s="148"/>
      <c r="H14" s="148"/>
      <c r="I14" s="148"/>
      <c r="J14" s="148"/>
      <c r="K14" s="148"/>
      <c r="L14" s="148"/>
      <c r="M14" s="148"/>
      <c r="N14" s="148"/>
      <c r="O14" s="148"/>
      <c r="P14" s="148"/>
      <c r="Q14" s="148"/>
      <c r="R14" s="148"/>
      <c r="S14" s="148"/>
      <c r="T14" s="148"/>
      <c r="U14" s="149"/>
      <c r="AD14"/>
      <c r="AG14" s="3"/>
      <c r="AH14" s="3"/>
      <c r="AV14" s="4"/>
      <c r="AW14" s="4"/>
    </row>
    <row r="15" spans="2:49" ht="25.5" customHeight="1">
      <c r="B15" s="185" t="s">
        <v>5</v>
      </c>
      <c r="C15" s="186"/>
      <c r="D15" s="186"/>
      <c r="E15" s="186"/>
      <c r="F15" s="186"/>
      <c r="G15" s="186"/>
      <c r="H15" s="186"/>
      <c r="I15" s="186"/>
      <c r="J15" s="186"/>
      <c r="K15" s="186"/>
      <c r="L15" s="186"/>
      <c r="M15" s="186"/>
      <c r="N15" s="186"/>
      <c r="O15" s="186"/>
      <c r="P15" s="186"/>
      <c r="Q15" s="186"/>
      <c r="R15" s="186"/>
      <c r="S15" s="186"/>
      <c r="T15" s="186"/>
      <c r="U15" s="187"/>
      <c r="AD15"/>
      <c r="AH15" s="3"/>
      <c r="AV15" s="4"/>
      <c r="AW15" s="4"/>
    </row>
    <row r="16" spans="2:49" ht="25.5" customHeight="1">
      <c r="B16" s="188"/>
      <c r="C16" s="189"/>
      <c r="D16" s="189"/>
      <c r="E16" s="189"/>
      <c r="F16" s="189"/>
      <c r="G16" s="189"/>
      <c r="H16" s="189"/>
      <c r="I16" s="189"/>
      <c r="J16" s="189"/>
      <c r="K16" s="189"/>
      <c r="L16" s="189"/>
      <c r="M16" s="189"/>
      <c r="N16" s="189"/>
      <c r="O16" s="189"/>
      <c r="P16" s="189"/>
      <c r="Q16" s="189"/>
      <c r="R16" s="189"/>
      <c r="S16" s="189"/>
      <c r="T16" s="189"/>
      <c r="U16" s="190"/>
      <c r="AD16"/>
      <c r="AH16" s="3"/>
      <c r="AV16" s="4"/>
      <c r="AW16" s="4"/>
    </row>
    <row r="17" spans="2:49" ht="25.5" customHeight="1">
      <c r="B17" s="188"/>
      <c r="C17" s="189"/>
      <c r="D17" s="189"/>
      <c r="E17" s="189"/>
      <c r="F17" s="189"/>
      <c r="G17" s="189"/>
      <c r="H17" s="189"/>
      <c r="I17" s="189"/>
      <c r="J17" s="189"/>
      <c r="K17" s="189"/>
      <c r="L17" s="189"/>
      <c r="M17" s="189"/>
      <c r="N17" s="189"/>
      <c r="O17" s="189"/>
      <c r="P17" s="189"/>
      <c r="Q17" s="189"/>
      <c r="R17" s="189"/>
      <c r="S17" s="189"/>
      <c r="T17" s="189"/>
      <c r="U17" s="190"/>
      <c r="AD17"/>
      <c r="AH17" s="3"/>
      <c r="AV17" s="4"/>
      <c r="AW17" s="4"/>
    </row>
    <row r="18" spans="2:49" ht="25.5" customHeight="1">
      <c r="B18" s="188"/>
      <c r="C18" s="189"/>
      <c r="D18" s="189"/>
      <c r="E18" s="189"/>
      <c r="F18" s="189"/>
      <c r="G18" s="189"/>
      <c r="H18" s="189"/>
      <c r="I18" s="189"/>
      <c r="J18" s="189"/>
      <c r="K18" s="189"/>
      <c r="L18" s="189"/>
      <c r="M18" s="189"/>
      <c r="N18" s="189"/>
      <c r="O18" s="189"/>
      <c r="P18" s="189"/>
      <c r="Q18" s="189"/>
      <c r="R18" s="189"/>
      <c r="S18" s="189"/>
      <c r="T18" s="189"/>
      <c r="U18" s="190"/>
      <c r="AD18"/>
      <c r="AH18" s="3"/>
      <c r="AV18" s="4"/>
      <c r="AW18" s="4"/>
    </row>
    <row r="19" spans="2:49" ht="25.5" customHeight="1">
      <c r="B19" s="188"/>
      <c r="C19" s="189"/>
      <c r="D19" s="189"/>
      <c r="E19" s="189"/>
      <c r="F19" s="189"/>
      <c r="G19" s="189"/>
      <c r="H19" s="189"/>
      <c r="I19" s="189"/>
      <c r="J19" s="189"/>
      <c r="K19" s="189"/>
      <c r="L19" s="189"/>
      <c r="M19" s="189"/>
      <c r="N19" s="189"/>
      <c r="O19" s="189"/>
      <c r="P19" s="189"/>
      <c r="Q19" s="189"/>
      <c r="R19" s="189"/>
      <c r="S19" s="189"/>
      <c r="T19" s="189"/>
      <c r="U19" s="190"/>
      <c r="AD19"/>
      <c r="AS19" s="4"/>
      <c r="AT19" s="4"/>
      <c r="AU19" s="4"/>
      <c r="AV19" s="4"/>
      <c r="AW19" s="4"/>
    </row>
    <row r="20" spans="2:49" ht="25.5" customHeight="1">
      <c r="B20" s="188"/>
      <c r="C20" s="189"/>
      <c r="D20" s="189"/>
      <c r="E20" s="189"/>
      <c r="F20" s="189"/>
      <c r="G20" s="189"/>
      <c r="H20" s="189"/>
      <c r="I20" s="189"/>
      <c r="J20" s="189"/>
      <c r="K20" s="189"/>
      <c r="L20" s="189"/>
      <c r="M20" s="189"/>
      <c r="N20" s="189"/>
      <c r="O20" s="189"/>
      <c r="P20" s="189"/>
      <c r="Q20" s="189"/>
      <c r="R20" s="189"/>
      <c r="S20" s="189"/>
      <c r="T20" s="189"/>
      <c r="U20" s="190"/>
      <c r="AD20"/>
      <c r="AS20" s="4"/>
      <c r="AT20" s="4"/>
      <c r="AU20" s="4"/>
      <c r="AV20" s="4"/>
      <c r="AW20" s="4"/>
    </row>
    <row r="21" spans="2:49" ht="25.5" customHeight="1">
      <c r="B21" s="188"/>
      <c r="C21" s="189"/>
      <c r="D21" s="189"/>
      <c r="E21" s="189"/>
      <c r="F21" s="189"/>
      <c r="G21" s="189"/>
      <c r="H21" s="189"/>
      <c r="I21" s="189"/>
      <c r="J21" s="189"/>
      <c r="K21" s="189"/>
      <c r="L21" s="189"/>
      <c r="M21" s="189"/>
      <c r="N21" s="189"/>
      <c r="O21" s="189"/>
      <c r="P21" s="189"/>
      <c r="Q21" s="189"/>
      <c r="R21" s="189"/>
      <c r="S21" s="189"/>
      <c r="T21" s="189"/>
      <c r="U21" s="190"/>
      <c r="AD21"/>
      <c r="AS21" s="4"/>
      <c r="AT21" s="4"/>
      <c r="AU21" s="4"/>
      <c r="AV21" s="4"/>
      <c r="AW21" s="4"/>
    </row>
    <row r="22" spans="2:49" ht="25.5" customHeight="1">
      <c r="B22" s="188"/>
      <c r="C22" s="189"/>
      <c r="D22" s="189"/>
      <c r="E22" s="189"/>
      <c r="F22" s="189"/>
      <c r="G22" s="189"/>
      <c r="H22" s="189"/>
      <c r="I22" s="189"/>
      <c r="J22" s="189"/>
      <c r="K22" s="189"/>
      <c r="L22" s="189"/>
      <c r="M22" s="189"/>
      <c r="N22" s="189"/>
      <c r="O22" s="189"/>
      <c r="P22" s="189"/>
      <c r="Q22" s="189"/>
      <c r="R22" s="189"/>
      <c r="S22" s="189"/>
      <c r="T22" s="189"/>
      <c r="U22" s="190"/>
      <c r="AD22"/>
      <c r="AS22" s="4"/>
      <c r="AT22" s="4"/>
      <c r="AU22" s="4"/>
      <c r="AV22" s="4"/>
      <c r="AW22" s="4"/>
    </row>
    <row r="23" spans="2:49" ht="25.5" customHeight="1">
      <c r="B23" s="188"/>
      <c r="C23" s="189"/>
      <c r="D23" s="189"/>
      <c r="E23" s="189"/>
      <c r="F23" s="189"/>
      <c r="G23" s="189"/>
      <c r="H23" s="189"/>
      <c r="I23" s="189"/>
      <c r="J23" s="189"/>
      <c r="K23" s="189"/>
      <c r="L23" s="189"/>
      <c r="M23" s="189"/>
      <c r="N23" s="189"/>
      <c r="O23" s="189"/>
      <c r="P23" s="189"/>
      <c r="Q23" s="189"/>
      <c r="R23" s="189"/>
      <c r="S23" s="189"/>
      <c r="T23" s="189"/>
      <c r="U23" s="190"/>
      <c r="AD23"/>
      <c r="AS23" s="4"/>
      <c r="AT23" s="4"/>
      <c r="AU23" s="4"/>
      <c r="AV23" s="4"/>
      <c r="AW23" s="4"/>
    </row>
    <row r="24" spans="2:49" ht="25.5" customHeight="1">
      <c r="B24" s="188"/>
      <c r="C24" s="189"/>
      <c r="D24" s="189"/>
      <c r="E24" s="189"/>
      <c r="F24" s="189"/>
      <c r="G24" s="189"/>
      <c r="H24" s="189"/>
      <c r="I24" s="189"/>
      <c r="J24" s="189"/>
      <c r="K24" s="189"/>
      <c r="L24" s="189"/>
      <c r="M24" s="189"/>
      <c r="N24" s="189"/>
      <c r="O24" s="189"/>
      <c r="P24" s="189"/>
      <c r="Q24" s="189"/>
      <c r="R24" s="189"/>
      <c r="S24" s="189"/>
      <c r="T24" s="189"/>
      <c r="U24" s="190"/>
      <c r="AD24"/>
      <c r="AS24" s="4"/>
      <c r="AT24" s="4"/>
      <c r="AU24" s="4"/>
      <c r="AV24" s="4"/>
      <c r="AW24" s="4"/>
    </row>
    <row r="25" spans="2:49" ht="25.5" customHeight="1">
      <c r="B25" s="188"/>
      <c r="C25" s="189"/>
      <c r="D25" s="189"/>
      <c r="E25" s="189"/>
      <c r="F25" s="189"/>
      <c r="G25" s="189"/>
      <c r="H25" s="189"/>
      <c r="I25" s="189"/>
      <c r="J25" s="189"/>
      <c r="K25" s="189"/>
      <c r="L25" s="189"/>
      <c r="M25" s="189"/>
      <c r="N25" s="189"/>
      <c r="O25" s="189"/>
      <c r="P25" s="189"/>
      <c r="Q25" s="189"/>
      <c r="R25" s="189"/>
      <c r="S25" s="189"/>
      <c r="T25" s="189"/>
      <c r="U25" s="190"/>
      <c r="AD25"/>
      <c r="AS25" s="4"/>
      <c r="AT25" s="4"/>
      <c r="AU25" s="4"/>
      <c r="AV25" s="4"/>
      <c r="AW25" s="4"/>
    </row>
    <row r="26" spans="2:49" ht="25.5" customHeight="1">
      <c r="B26" s="188"/>
      <c r="C26" s="189"/>
      <c r="D26" s="189"/>
      <c r="E26" s="189"/>
      <c r="F26" s="189"/>
      <c r="G26" s="189"/>
      <c r="H26" s="189"/>
      <c r="I26" s="189"/>
      <c r="J26" s="189"/>
      <c r="K26" s="189"/>
      <c r="L26" s="189"/>
      <c r="M26" s="189"/>
      <c r="N26" s="189"/>
      <c r="O26" s="189"/>
      <c r="P26" s="189"/>
      <c r="Q26" s="189"/>
      <c r="R26" s="189"/>
      <c r="S26" s="189"/>
      <c r="T26" s="189"/>
      <c r="U26" s="190"/>
      <c r="AD26"/>
      <c r="AS26" s="4"/>
      <c r="AT26" s="4"/>
      <c r="AU26" s="4"/>
      <c r="AV26" s="4"/>
      <c r="AW26" s="4"/>
    </row>
    <row r="27" spans="2:49" ht="25.5" customHeight="1">
      <c r="B27" s="188"/>
      <c r="C27" s="189"/>
      <c r="D27" s="189"/>
      <c r="E27" s="189"/>
      <c r="F27" s="189"/>
      <c r="G27" s="189"/>
      <c r="H27" s="189"/>
      <c r="I27" s="189"/>
      <c r="J27" s="189"/>
      <c r="K27" s="189"/>
      <c r="L27" s="189"/>
      <c r="M27" s="189"/>
      <c r="N27" s="189"/>
      <c r="O27" s="189"/>
      <c r="P27" s="189"/>
      <c r="Q27" s="189"/>
      <c r="R27" s="189"/>
      <c r="S27" s="189"/>
      <c r="T27" s="189"/>
      <c r="U27" s="190"/>
      <c r="W27" s="25"/>
      <c r="AB27" s="169"/>
      <c r="AC27" s="169"/>
      <c r="AD27"/>
      <c r="AI27" s="3"/>
      <c r="AJ27" s="3"/>
    </row>
    <row r="28" spans="2:49" ht="25.5" customHeight="1">
      <c r="B28" s="191"/>
      <c r="C28" s="192"/>
      <c r="D28" s="192"/>
      <c r="E28" s="192"/>
      <c r="F28" s="192"/>
      <c r="G28" s="192"/>
      <c r="H28" s="192"/>
      <c r="I28" s="192"/>
      <c r="J28" s="192"/>
      <c r="K28" s="192"/>
      <c r="L28" s="192"/>
      <c r="M28" s="192"/>
      <c r="N28" s="192"/>
      <c r="O28" s="192"/>
      <c r="P28" s="192"/>
      <c r="Q28" s="192"/>
      <c r="R28" s="192"/>
      <c r="S28" s="192"/>
      <c r="T28" s="192"/>
      <c r="U28" s="193"/>
      <c r="X28" s="4"/>
      <c r="Y28" s="4"/>
      <c r="Z28" s="4"/>
      <c r="AA28" s="4"/>
      <c r="AI28" s="3"/>
      <c r="AJ28" s="3"/>
      <c r="AK28" s="3"/>
      <c r="AL28" s="3"/>
      <c r="AM28" s="6"/>
      <c r="AN28" s="6"/>
      <c r="AO28" s="4"/>
      <c r="AP28" s="4"/>
      <c r="AQ28" s="4"/>
      <c r="AR28" s="4"/>
      <c r="AS28" s="4"/>
      <c r="AT28" s="4"/>
      <c r="AU28" s="4"/>
      <c r="AV28" s="4"/>
      <c r="AW28" s="4"/>
    </row>
    <row r="29" spans="2:49" ht="25.5" customHeight="1">
      <c r="B29" s="3"/>
      <c r="C29" s="3"/>
      <c r="D29" s="3"/>
      <c r="E29" s="35"/>
      <c r="F29" s="3"/>
      <c r="G29" s="3"/>
      <c r="H29" s="3"/>
      <c r="I29" s="3"/>
      <c r="J29" s="3"/>
      <c r="K29" s="3"/>
      <c r="L29" s="3"/>
      <c r="M29" s="3"/>
      <c r="N29" s="3"/>
      <c r="O29" s="3"/>
      <c r="P29" s="3"/>
      <c r="X29" s="40"/>
      <c r="Y29" s="40"/>
      <c r="Z29" s="41"/>
      <c r="AA29" s="41"/>
      <c r="AI29" s="3"/>
      <c r="AJ29" s="3"/>
      <c r="AK29" s="3"/>
      <c r="AL29" s="3"/>
      <c r="AM29" s="6"/>
      <c r="AN29" s="6"/>
      <c r="AO29" s="4"/>
      <c r="AP29" s="4"/>
      <c r="AQ29" s="4"/>
      <c r="AR29" s="4"/>
      <c r="AS29" s="4"/>
      <c r="AT29" s="4"/>
      <c r="AU29" s="4"/>
      <c r="AV29" s="4"/>
      <c r="AW29" s="4"/>
    </row>
    <row r="30" spans="2:49" ht="25.5" customHeight="1" thickBot="1">
      <c r="B30" s="60" t="s">
        <v>6</v>
      </c>
      <c r="C30" s="3"/>
      <c r="D30" s="3"/>
      <c r="E30" s="35"/>
      <c r="F30" s="3"/>
      <c r="G30" s="3"/>
      <c r="I30" s="60" t="s">
        <v>7</v>
      </c>
      <c r="J30" s="3"/>
      <c r="K30" s="3"/>
      <c r="L30" s="3"/>
      <c r="M30" s="3"/>
      <c r="N30" s="3"/>
      <c r="O30" s="3"/>
      <c r="P30" s="3"/>
      <c r="X30" s="40"/>
      <c r="Y30" s="40"/>
      <c r="Z30" s="41"/>
      <c r="AA30" s="41"/>
      <c r="AI30" s="3"/>
      <c r="AJ30" s="3"/>
      <c r="AK30" s="3"/>
      <c r="AL30" s="3"/>
      <c r="AM30" s="6"/>
      <c r="AN30" s="6"/>
      <c r="AO30" s="4"/>
      <c r="AP30" s="4"/>
      <c r="AQ30" s="4"/>
      <c r="AR30" s="4"/>
      <c r="AS30" s="4"/>
      <c r="AT30" s="4"/>
      <c r="AU30" s="4"/>
      <c r="AV30" s="4"/>
      <c r="AW30" s="4"/>
    </row>
    <row r="31" spans="2:49" ht="25.5" customHeight="1" thickBot="1">
      <c r="B31" s="170" t="s">
        <v>8</v>
      </c>
      <c r="C31" s="171"/>
      <c r="D31" s="171"/>
      <c r="E31" s="172"/>
      <c r="F31" s="3"/>
      <c r="G31" s="49" t="s">
        <v>9</v>
      </c>
      <c r="I31" s="49" t="s">
        <v>10</v>
      </c>
      <c r="J31" s="49" t="s">
        <v>11</v>
      </c>
      <c r="K31" s="49" t="s">
        <v>12</v>
      </c>
      <c r="L31" s="49" t="s">
        <v>13</v>
      </c>
      <c r="M31" s="49" t="s">
        <v>14</v>
      </c>
      <c r="N31" s="49" t="s">
        <v>15</v>
      </c>
      <c r="O31" s="49" t="s">
        <v>16</v>
      </c>
      <c r="P31" s="3"/>
      <c r="Q31" s="3"/>
      <c r="R31" s="3"/>
      <c r="S31" s="3"/>
      <c r="T31" s="3"/>
      <c r="U31" s="3"/>
      <c r="AW31" s="4"/>
    </row>
    <row r="32" spans="2:49" ht="57" customHeight="1">
      <c r="B32" s="173" t="s">
        <v>17</v>
      </c>
      <c r="C32" s="174"/>
      <c r="D32" s="174"/>
      <c r="E32" s="175"/>
      <c r="F32" s="3"/>
      <c r="G32" s="50" t="s">
        <v>18</v>
      </c>
      <c r="I32" s="55">
        <v>24000</v>
      </c>
      <c r="J32" s="55">
        <v>4500</v>
      </c>
      <c r="K32" s="55">
        <v>1875</v>
      </c>
      <c r="L32" s="55">
        <v>375</v>
      </c>
      <c r="M32" s="55"/>
      <c r="N32" s="55"/>
      <c r="O32" s="55"/>
      <c r="P32" s="3"/>
      <c r="Q32" s="3"/>
      <c r="R32" s="3"/>
      <c r="S32" s="3"/>
      <c r="T32" s="3"/>
      <c r="U32" s="3"/>
      <c r="AW32" s="4"/>
    </row>
    <row r="33" spans="2:49" ht="57" customHeight="1">
      <c r="B33" s="176" t="s">
        <v>19</v>
      </c>
      <c r="C33" s="177"/>
      <c r="D33" s="177"/>
      <c r="E33" s="178"/>
      <c r="F33" s="3"/>
      <c r="G33" s="51" t="s">
        <v>20</v>
      </c>
      <c r="I33" s="56">
        <v>80000</v>
      </c>
      <c r="J33" s="56">
        <v>15000</v>
      </c>
      <c r="K33" s="56">
        <v>5000</v>
      </c>
      <c r="L33" s="56">
        <v>1000</v>
      </c>
      <c r="M33" s="56"/>
      <c r="N33" s="56"/>
      <c r="O33" s="56"/>
      <c r="P33" s="3"/>
      <c r="Q33" s="3"/>
      <c r="R33" s="3"/>
      <c r="S33" s="3"/>
      <c r="T33" s="3"/>
      <c r="U33" s="3"/>
      <c r="AW33" s="4"/>
    </row>
    <row r="34" spans="2:49" ht="57" customHeight="1">
      <c r="B34" s="179" t="s">
        <v>21</v>
      </c>
      <c r="C34" s="180"/>
      <c r="D34" s="180"/>
      <c r="E34" s="181"/>
      <c r="F34" s="3"/>
      <c r="G34" s="52" t="s">
        <v>22</v>
      </c>
      <c r="I34" s="57">
        <v>540000</v>
      </c>
      <c r="J34" s="57">
        <v>180000</v>
      </c>
      <c r="K34" s="57">
        <v>36000</v>
      </c>
      <c r="L34" s="57">
        <v>10000</v>
      </c>
      <c r="M34" s="57">
        <v>1500</v>
      </c>
      <c r="N34" s="57">
        <v>350</v>
      </c>
      <c r="O34" s="57">
        <v>140</v>
      </c>
      <c r="P34" s="3"/>
      <c r="Q34" s="3"/>
      <c r="R34" s="3"/>
      <c r="S34" s="3"/>
      <c r="T34" s="3"/>
      <c r="U34" s="3"/>
      <c r="AW34" s="4"/>
    </row>
    <row r="35" spans="2:49" ht="57" customHeight="1">
      <c r="B35" s="182" t="s">
        <v>23</v>
      </c>
      <c r="C35" s="183"/>
      <c r="D35" s="183"/>
      <c r="E35" s="184"/>
      <c r="F35" s="3"/>
      <c r="G35" s="53" t="s">
        <v>24</v>
      </c>
      <c r="I35" s="58">
        <v>2800000</v>
      </c>
      <c r="J35" s="58">
        <v>1000000</v>
      </c>
      <c r="K35" s="58">
        <v>180000</v>
      </c>
      <c r="L35" s="58">
        <v>20000</v>
      </c>
      <c r="M35" s="58">
        <v>8000</v>
      </c>
      <c r="N35" s="58">
        <v>2000</v>
      </c>
      <c r="O35" s="58">
        <v>400</v>
      </c>
      <c r="P35" s="3"/>
      <c r="Q35" s="3"/>
      <c r="R35" s="3"/>
      <c r="S35" s="3"/>
      <c r="T35" s="3"/>
      <c r="U35" s="3"/>
      <c r="AW35" s="4"/>
    </row>
    <row r="36" spans="2:49" ht="57" customHeight="1">
      <c r="B36" s="194" t="s">
        <v>25</v>
      </c>
      <c r="C36" s="195"/>
      <c r="D36" s="195"/>
      <c r="E36" s="196"/>
      <c r="F36" s="3"/>
      <c r="G36" s="54" t="s">
        <v>26</v>
      </c>
      <c r="I36" s="59">
        <v>8000000</v>
      </c>
      <c r="J36" s="59">
        <v>4000000</v>
      </c>
      <c r="K36" s="59">
        <v>600000</v>
      </c>
      <c r="L36" s="59">
        <v>400000</v>
      </c>
      <c r="M36" s="59">
        <v>12000</v>
      </c>
      <c r="N36" s="59">
        <v>6000</v>
      </c>
      <c r="O36" s="59">
        <v>3000</v>
      </c>
      <c r="P36" s="3"/>
      <c r="Q36" s="3"/>
      <c r="R36" s="3"/>
      <c r="S36" s="3"/>
      <c r="T36" s="3"/>
      <c r="U36" s="3"/>
      <c r="AW36" s="4"/>
    </row>
    <row r="37" spans="2:49" ht="25.5" customHeight="1">
      <c r="B37" s="3"/>
      <c r="C37" s="3"/>
      <c r="D37" s="3"/>
      <c r="E37" s="35"/>
      <c r="F37" s="3"/>
      <c r="G37" s="3"/>
      <c r="H37" s="3"/>
      <c r="I37" s="3"/>
      <c r="J37" s="3"/>
      <c r="K37" s="3"/>
      <c r="L37" s="3"/>
      <c r="M37" s="3"/>
      <c r="N37" s="3"/>
      <c r="O37" s="3"/>
      <c r="P37" s="3"/>
      <c r="X37" s="40"/>
      <c r="Y37" s="40"/>
      <c r="Z37" s="41"/>
      <c r="AA37" s="41"/>
      <c r="AI37" s="3"/>
      <c r="AJ37" s="3"/>
      <c r="AK37" s="3"/>
      <c r="AL37" s="3"/>
      <c r="AM37" s="6"/>
      <c r="AN37" s="6"/>
      <c r="AO37" s="4"/>
      <c r="AP37" s="4"/>
      <c r="AQ37" s="4"/>
      <c r="AR37" s="4"/>
      <c r="AS37" s="4"/>
      <c r="AT37" s="4"/>
      <c r="AU37" s="4"/>
      <c r="AV37" s="4"/>
      <c r="AW37" s="4"/>
    </row>
    <row r="38" spans="2:49" ht="25.5" customHeight="1" thickBot="1">
      <c r="B38" s="60" t="s">
        <v>27</v>
      </c>
      <c r="C38" s="3"/>
      <c r="D38" s="3"/>
      <c r="E38" s="35"/>
      <c r="F38" s="3"/>
      <c r="G38" s="107" t="s">
        <v>28</v>
      </c>
      <c r="I38" s="60" t="s">
        <v>29</v>
      </c>
      <c r="J38" s="3"/>
      <c r="K38" s="3"/>
      <c r="L38" s="3"/>
      <c r="M38" s="3"/>
      <c r="N38" s="3"/>
      <c r="O38" s="3"/>
      <c r="P38" s="3"/>
      <c r="X38" s="40"/>
      <c r="Y38" s="40"/>
      <c r="Z38" s="41"/>
      <c r="AA38" s="41"/>
      <c r="AI38" s="3"/>
      <c r="AJ38" s="3"/>
      <c r="AK38" s="3"/>
      <c r="AL38" s="3"/>
      <c r="AM38" s="6"/>
      <c r="AN38" s="6"/>
      <c r="AO38" s="4"/>
      <c r="AP38" s="4"/>
      <c r="AQ38" s="4"/>
      <c r="AR38" s="4"/>
      <c r="AS38" s="4"/>
      <c r="AT38" s="4"/>
      <c r="AU38" s="4"/>
      <c r="AV38" s="4"/>
      <c r="AW38" s="4"/>
    </row>
    <row r="39" spans="2:49" ht="25.5" customHeight="1" thickBot="1">
      <c r="B39" s="170" t="s">
        <v>30</v>
      </c>
      <c r="C39" s="171"/>
      <c r="D39" s="171"/>
      <c r="E39" s="172"/>
      <c r="F39" s="3"/>
      <c r="G39" s="49" t="s">
        <v>31</v>
      </c>
      <c r="I39" s="49" t="s">
        <v>10</v>
      </c>
      <c r="J39" s="49" t="s">
        <v>11</v>
      </c>
      <c r="K39" s="49" t="s">
        <v>12</v>
      </c>
      <c r="L39" s="49" t="s">
        <v>13</v>
      </c>
      <c r="M39" s="49" t="s">
        <v>14</v>
      </c>
      <c r="N39" s="49" t="s">
        <v>15</v>
      </c>
      <c r="O39" s="49" t="s">
        <v>16</v>
      </c>
      <c r="P39" s="3"/>
      <c r="X39" s="40"/>
      <c r="Y39" s="40"/>
      <c r="Z39" s="41"/>
      <c r="AA39" s="41"/>
      <c r="AI39" s="3"/>
      <c r="AJ39" s="3"/>
      <c r="AK39" s="3"/>
      <c r="AL39" s="3"/>
      <c r="AM39" s="6"/>
      <c r="AN39" s="6"/>
      <c r="AO39" s="4"/>
      <c r="AP39" s="4"/>
      <c r="AQ39" s="4"/>
      <c r="AR39" s="4"/>
      <c r="AS39" s="4"/>
      <c r="AT39" s="4"/>
      <c r="AU39" s="4"/>
      <c r="AV39" s="4"/>
      <c r="AW39" s="4"/>
    </row>
    <row r="40" spans="2:49" ht="25.5" customHeight="1">
      <c r="B40" s="197" t="s">
        <v>32</v>
      </c>
      <c r="C40" s="198"/>
      <c r="D40" s="198"/>
      <c r="E40" s="199"/>
      <c r="F40" s="3"/>
      <c r="G40" s="93">
        <v>0.1</v>
      </c>
      <c r="I40" s="92">
        <v>400</v>
      </c>
      <c r="J40" s="92"/>
      <c r="K40" s="92"/>
      <c r="L40" s="92"/>
      <c r="M40" s="92"/>
      <c r="N40" s="92"/>
      <c r="O40" s="92"/>
      <c r="P40" s="3"/>
      <c r="X40" s="40"/>
      <c r="Y40" s="40"/>
      <c r="Z40" s="41"/>
      <c r="AA40" s="41"/>
      <c r="AI40" s="3"/>
      <c r="AJ40" s="3"/>
      <c r="AK40" s="3"/>
      <c r="AL40" s="3"/>
      <c r="AM40" s="6"/>
      <c r="AN40" s="6"/>
      <c r="AO40" s="4"/>
      <c r="AP40" s="4"/>
      <c r="AQ40" s="4"/>
      <c r="AR40" s="4"/>
      <c r="AS40" s="4"/>
      <c r="AT40" s="4"/>
      <c r="AU40" s="4"/>
      <c r="AV40" s="4"/>
      <c r="AW40" s="4"/>
    </row>
    <row r="41" spans="2:49" ht="25.5" customHeight="1">
      <c r="B41" s="200" t="s">
        <v>33</v>
      </c>
      <c r="C41" s="201"/>
      <c r="D41" s="201"/>
      <c r="E41" s="202"/>
      <c r="F41" s="3"/>
      <c r="G41" s="94">
        <v>0.15</v>
      </c>
      <c r="I41" s="89">
        <v>150</v>
      </c>
      <c r="J41" s="89">
        <v>90</v>
      </c>
      <c r="K41" s="89"/>
      <c r="L41" s="89"/>
      <c r="M41" s="89"/>
      <c r="N41" s="89"/>
      <c r="O41" s="89"/>
      <c r="P41" s="3"/>
      <c r="X41" s="40"/>
      <c r="Y41" s="40"/>
      <c r="Z41" s="41"/>
      <c r="AA41" s="41"/>
      <c r="AI41" s="3"/>
      <c r="AJ41" s="3"/>
      <c r="AK41" s="3"/>
      <c r="AL41" s="3"/>
      <c r="AM41" s="6"/>
      <c r="AN41" s="6"/>
      <c r="AO41" s="4"/>
      <c r="AP41" s="4"/>
      <c r="AQ41" s="4"/>
      <c r="AR41" s="4"/>
      <c r="AS41" s="4"/>
      <c r="AT41" s="4"/>
      <c r="AU41" s="4"/>
      <c r="AV41" s="4"/>
      <c r="AW41" s="4"/>
    </row>
    <row r="42" spans="2:49" ht="25.5" customHeight="1">
      <c r="B42" s="203" t="s">
        <v>34</v>
      </c>
      <c r="C42" s="204"/>
      <c r="D42" s="204"/>
      <c r="E42" s="205"/>
      <c r="F42" s="3"/>
      <c r="G42" s="95">
        <v>0.6</v>
      </c>
      <c r="I42" s="90"/>
      <c r="J42" s="90">
        <v>90</v>
      </c>
      <c r="K42" s="90"/>
      <c r="L42" s="90">
        <v>75</v>
      </c>
      <c r="M42" s="90"/>
      <c r="N42" s="90"/>
      <c r="O42" s="90"/>
      <c r="P42" s="3"/>
      <c r="X42" s="40"/>
      <c r="Y42" s="40"/>
      <c r="Z42" s="41"/>
      <c r="AA42" s="41"/>
      <c r="AI42" s="3"/>
      <c r="AJ42" s="3"/>
      <c r="AK42" s="3"/>
      <c r="AL42" s="3"/>
      <c r="AM42" s="6"/>
      <c r="AN42" s="6"/>
      <c r="AO42" s="4"/>
      <c r="AP42" s="4"/>
      <c r="AQ42" s="4"/>
      <c r="AR42" s="4"/>
      <c r="AS42" s="4"/>
      <c r="AT42" s="4"/>
      <c r="AU42" s="4"/>
      <c r="AV42" s="4"/>
      <c r="AW42" s="4"/>
    </row>
    <row r="43" spans="2:49" ht="25.5" customHeight="1">
      <c r="B43" s="166" t="s">
        <v>35</v>
      </c>
      <c r="C43" s="167"/>
      <c r="D43" s="167"/>
      <c r="E43" s="168"/>
      <c r="F43" s="3"/>
      <c r="G43" s="96">
        <v>1.2</v>
      </c>
      <c r="I43" s="91"/>
      <c r="J43" s="91"/>
      <c r="K43" s="91">
        <v>60</v>
      </c>
      <c r="L43" s="91">
        <v>120</v>
      </c>
      <c r="M43" s="91"/>
      <c r="N43" s="91"/>
      <c r="O43" s="91"/>
      <c r="P43" s="3"/>
      <c r="X43" s="40"/>
      <c r="Y43" s="40"/>
      <c r="Z43" s="41"/>
      <c r="AA43" s="41"/>
      <c r="AI43" s="3"/>
      <c r="AJ43" s="3"/>
      <c r="AK43" s="3"/>
      <c r="AL43" s="3"/>
      <c r="AM43" s="6"/>
      <c r="AN43" s="6"/>
      <c r="AO43" s="4"/>
      <c r="AP43" s="4"/>
      <c r="AQ43" s="4"/>
      <c r="AR43" s="4"/>
      <c r="AS43" s="4"/>
      <c r="AT43" s="4"/>
      <c r="AU43" s="4"/>
      <c r="AV43" s="4"/>
      <c r="AW43" s="4"/>
    </row>
    <row r="44" spans="2:49" ht="25.5" customHeight="1">
      <c r="B44" s="60" t="s">
        <v>36</v>
      </c>
      <c r="C44" s="3"/>
      <c r="D44" s="3"/>
      <c r="E44" s="35"/>
      <c r="F44" s="3"/>
      <c r="G44" s="3"/>
      <c r="H44" s="3"/>
      <c r="I44" s="3"/>
      <c r="J44" s="3"/>
      <c r="K44" s="3"/>
      <c r="L44" s="3"/>
      <c r="M44" s="3"/>
      <c r="N44" s="3"/>
      <c r="O44" s="3"/>
      <c r="P44" s="3"/>
      <c r="X44" s="40"/>
      <c r="Y44" s="40"/>
      <c r="Z44" s="41"/>
      <c r="AA44" s="41"/>
      <c r="AI44" s="3"/>
      <c r="AJ44" s="3"/>
      <c r="AK44" s="3"/>
      <c r="AL44" s="3"/>
      <c r="AM44" s="6"/>
      <c r="AN44" s="6"/>
      <c r="AO44" s="4"/>
      <c r="AP44" s="4"/>
      <c r="AQ44" s="4"/>
      <c r="AR44" s="4"/>
      <c r="AS44" s="4"/>
      <c r="AT44" s="4"/>
      <c r="AU44" s="4"/>
      <c r="AV44" s="4"/>
      <c r="AW44" s="4"/>
    </row>
    <row r="45" spans="2:49" ht="25.5" customHeight="1">
      <c r="B45" s="97" t="s">
        <v>37</v>
      </c>
      <c r="C45" s="3"/>
      <c r="D45" s="3"/>
      <c r="E45" s="35"/>
      <c r="F45" s="3"/>
      <c r="G45" s="3"/>
      <c r="H45" s="3"/>
      <c r="I45" s="3"/>
      <c r="J45" s="3"/>
      <c r="K45" s="3"/>
      <c r="L45" s="3"/>
      <c r="M45" s="3"/>
      <c r="N45" s="3"/>
      <c r="O45" s="3"/>
      <c r="P45" s="3"/>
      <c r="X45" s="40"/>
      <c r="Y45" s="40"/>
      <c r="Z45" s="41"/>
      <c r="AA45" s="41"/>
      <c r="AI45" s="3"/>
      <c r="AJ45" s="3"/>
      <c r="AK45" s="3"/>
      <c r="AL45" s="3"/>
      <c r="AM45" s="6"/>
      <c r="AN45" s="6"/>
      <c r="AO45" s="4"/>
      <c r="AP45" s="4"/>
      <c r="AQ45" s="4"/>
      <c r="AR45" s="4"/>
      <c r="AS45" s="4"/>
      <c r="AT45" s="4"/>
      <c r="AU45" s="4"/>
      <c r="AV45" s="4"/>
      <c r="AW45" s="4"/>
    </row>
    <row r="46" spans="2:49" ht="25.5" customHeight="1">
      <c r="B46" s="3"/>
      <c r="C46" s="3"/>
      <c r="D46" s="3"/>
      <c r="E46" s="35"/>
      <c r="F46" s="3"/>
      <c r="G46" s="3"/>
      <c r="H46" s="3"/>
      <c r="I46" s="3"/>
      <c r="J46" s="3"/>
      <c r="K46" s="3"/>
      <c r="L46" s="3"/>
      <c r="M46" s="3"/>
      <c r="N46" s="3"/>
      <c r="O46" s="3"/>
      <c r="P46" s="3"/>
      <c r="X46" s="40"/>
      <c r="Y46" s="40"/>
      <c r="Z46" s="41"/>
      <c r="AA46" s="41"/>
      <c r="AI46" s="3"/>
      <c r="AJ46" s="3"/>
      <c r="AK46" s="3"/>
      <c r="AL46" s="3"/>
      <c r="AM46" s="6"/>
      <c r="AN46" s="6"/>
      <c r="AO46" s="4"/>
      <c r="AP46" s="4"/>
      <c r="AQ46" s="4"/>
      <c r="AR46" s="4"/>
      <c r="AS46" s="4"/>
      <c r="AT46" s="4"/>
      <c r="AU46" s="4"/>
      <c r="AV46" s="4"/>
      <c r="AW46" s="4"/>
    </row>
    <row r="47" spans="2:49" ht="25.5" customHeight="1">
      <c r="B47" s="147" t="s">
        <v>39</v>
      </c>
      <c r="C47" s="148"/>
      <c r="D47" s="148"/>
      <c r="E47" s="148"/>
      <c r="F47" s="148"/>
      <c r="G47" s="148"/>
      <c r="H47" s="148"/>
      <c r="I47" s="148"/>
      <c r="J47" s="148"/>
      <c r="K47" s="148"/>
      <c r="L47" s="148"/>
      <c r="M47" s="148"/>
      <c r="N47" s="148"/>
      <c r="O47" s="148"/>
      <c r="P47" s="148"/>
      <c r="Q47" s="148"/>
      <c r="R47" s="148"/>
      <c r="S47" s="148"/>
      <c r="T47" s="148"/>
      <c r="U47" s="148"/>
      <c r="AU47" s="4"/>
      <c r="AV47" s="4"/>
      <c r="AW47" s="4"/>
    </row>
    <row r="48" spans="2:49" ht="14.45" customHeight="1">
      <c r="D48" s="3"/>
      <c r="E48" s="35"/>
      <c r="F48" s="3"/>
      <c r="G48" s="3"/>
      <c r="H48" s="3"/>
      <c r="I48" s="3"/>
      <c r="J48" s="3"/>
      <c r="K48" s="3"/>
      <c r="L48" s="3"/>
      <c r="M48" s="3"/>
      <c r="N48" s="3"/>
      <c r="O48" s="3"/>
      <c r="P48" s="3"/>
      <c r="Q48" s="24"/>
      <c r="AU48" s="4"/>
      <c r="AV48" s="4"/>
      <c r="AW48" s="4"/>
    </row>
    <row r="49" spans="2:109" ht="39" customHeight="1">
      <c r="B49" s="159" t="s">
        <v>40</v>
      </c>
      <c r="C49" s="159"/>
      <c r="D49" s="159"/>
      <c r="E49" s="159"/>
      <c r="F49" s="159"/>
      <c r="G49" s="159"/>
      <c r="H49" s="159"/>
      <c r="I49" s="159"/>
      <c r="J49" s="159"/>
      <c r="K49" s="159"/>
      <c r="L49" s="159"/>
      <c r="M49" s="159"/>
      <c r="N49" s="159"/>
      <c r="O49" s="159"/>
      <c r="P49" s="159"/>
      <c r="Q49" s="159"/>
      <c r="R49" s="159"/>
      <c r="S49" s="159"/>
      <c r="T49" s="159"/>
      <c r="U49" s="159"/>
      <c r="AU49" s="4"/>
      <c r="AV49" s="4"/>
      <c r="AW49" s="4"/>
    </row>
    <row r="50" spans="2:109" ht="25.5" customHeight="1" thickBot="1">
      <c r="B50" s="28"/>
      <c r="Q50" s="24"/>
      <c r="AU50" s="4"/>
      <c r="AV50" s="4"/>
      <c r="AW50" s="4"/>
    </row>
    <row r="51" spans="2:109" ht="25.5" customHeight="1" thickTop="1" thickBot="1">
      <c r="B51" s="17" t="s">
        <v>41</v>
      </c>
      <c r="C51" s="17" t="s">
        <v>42</v>
      </c>
      <c r="D51" s="17" t="s">
        <v>43</v>
      </c>
      <c r="E51" s="36" t="s">
        <v>44</v>
      </c>
      <c r="G51" s="160" t="s">
        <v>45</v>
      </c>
      <c r="H51" s="161"/>
      <c r="I51" s="161"/>
      <c r="J51" s="161"/>
      <c r="K51" s="161"/>
      <c r="L51" s="161"/>
      <c r="M51" s="161"/>
      <c r="N51" s="161"/>
      <c r="O51" s="161"/>
      <c r="P51" s="161"/>
      <c r="Q51" s="161"/>
      <c r="R51" s="161"/>
      <c r="S51" s="161"/>
      <c r="T51" s="161"/>
      <c r="U51" s="162"/>
      <c r="AU51" s="4"/>
      <c r="AV51" s="4"/>
      <c r="AW51" s="4"/>
    </row>
    <row r="52" spans="2:109" ht="33.75" customHeight="1" thickTop="1">
      <c r="B52" s="12" t="s">
        <v>47</v>
      </c>
      <c r="C52" s="13" t="s">
        <v>48</v>
      </c>
      <c r="D52" s="14">
        <v>50</v>
      </c>
      <c r="E52" s="26">
        <v>26667</v>
      </c>
      <c r="F52" s="29"/>
      <c r="G52" s="163" t="s">
        <v>49</v>
      </c>
      <c r="H52" s="164"/>
      <c r="I52" s="164"/>
      <c r="J52" s="164"/>
      <c r="K52" s="164"/>
      <c r="L52" s="164"/>
      <c r="M52" s="164"/>
      <c r="N52" s="164"/>
      <c r="O52" s="164"/>
      <c r="P52" s="164"/>
      <c r="Q52" s="164"/>
      <c r="R52" s="164"/>
      <c r="S52" s="164"/>
      <c r="T52" s="164"/>
      <c r="U52" s="165"/>
      <c r="AU52" s="4"/>
      <c r="AV52" s="4"/>
      <c r="AW52" s="4"/>
    </row>
    <row r="53" spans="2:109" ht="33.75" customHeight="1">
      <c r="B53" s="12" t="s">
        <v>51</v>
      </c>
      <c r="C53" s="13" t="s">
        <v>52</v>
      </c>
      <c r="D53" s="14">
        <v>75</v>
      </c>
      <c r="E53" s="26">
        <v>58687</v>
      </c>
      <c r="F53" s="29"/>
      <c r="G53" s="144" t="s">
        <v>53</v>
      </c>
      <c r="H53" s="145"/>
      <c r="I53" s="145"/>
      <c r="J53" s="145"/>
      <c r="K53" s="145"/>
      <c r="L53" s="145"/>
      <c r="M53" s="145"/>
      <c r="N53" s="145"/>
      <c r="O53" s="145"/>
      <c r="P53" s="145"/>
      <c r="Q53" s="145"/>
      <c r="R53" s="145"/>
      <c r="S53" s="145"/>
      <c r="T53" s="145"/>
      <c r="U53" s="146"/>
      <c r="AU53" s="4"/>
      <c r="AV53" s="4"/>
      <c r="AW53" s="4"/>
    </row>
    <row r="54" spans="2:109" ht="58.5" customHeight="1">
      <c r="B54" s="12" t="s">
        <v>54</v>
      </c>
      <c r="C54" s="13" t="s">
        <v>55</v>
      </c>
      <c r="D54" s="14">
        <v>100</v>
      </c>
      <c r="E54" s="26">
        <v>49</v>
      </c>
      <c r="F54" s="29"/>
      <c r="G54" s="144" t="s">
        <v>56</v>
      </c>
      <c r="H54" s="145"/>
      <c r="I54" s="145"/>
      <c r="J54" s="145"/>
      <c r="K54" s="145"/>
      <c r="L54" s="145"/>
      <c r="M54" s="145"/>
      <c r="N54" s="145"/>
      <c r="O54" s="145"/>
      <c r="P54" s="145"/>
      <c r="Q54" s="145"/>
      <c r="R54" s="145"/>
      <c r="S54" s="145"/>
      <c r="T54" s="145"/>
      <c r="U54" s="146"/>
      <c r="AU54" s="4"/>
      <c r="AV54" s="4"/>
      <c r="AW54" s="4"/>
    </row>
    <row r="55" spans="2:109" ht="33.75" customHeight="1">
      <c r="B55" s="12" t="s">
        <v>57</v>
      </c>
      <c r="C55" s="13" t="s">
        <v>58</v>
      </c>
      <c r="D55" s="14">
        <v>125</v>
      </c>
      <c r="E55" s="26">
        <v>63921</v>
      </c>
      <c r="F55" s="29"/>
      <c r="G55" s="144" t="s">
        <v>59</v>
      </c>
      <c r="H55" s="145"/>
      <c r="I55" s="145"/>
      <c r="J55" s="145"/>
      <c r="K55" s="145"/>
      <c r="L55" s="145"/>
      <c r="M55" s="145"/>
      <c r="N55" s="145"/>
      <c r="O55" s="145"/>
      <c r="P55" s="145"/>
      <c r="Q55" s="145"/>
      <c r="R55" s="145"/>
      <c r="S55" s="145"/>
      <c r="T55" s="145"/>
      <c r="U55" s="146"/>
      <c r="AU55" s="4"/>
      <c r="AV55" s="4"/>
      <c r="AW55" s="4"/>
    </row>
    <row r="56" spans="2:109" ht="33" customHeight="1">
      <c r="B56" s="12" t="s">
        <v>60</v>
      </c>
      <c r="C56" s="13" t="s">
        <v>61</v>
      </c>
      <c r="D56" s="14">
        <v>150</v>
      </c>
      <c r="E56" s="26">
        <v>287923</v>
      </c>
      <c r="F56" s="29"/>
      <c r="G56" s="144" t="s">
        <v>62</v>
      </c>
      <c r="H56" s="145"/>
      <c r="I56" s="145"/>
      <c r="J56" s="145"/>
      <c r="K56" s="145"/>
      <c r="L56" s="145"/>
      <c r="M56" s="145"/>
      <c r="N56" s="145"/>
      <c r="O56" s="145"/>
      <c r="P56" s="145"/>
      <c r="Q56" s="145"/>
      <c r="R56" s="145"/>
      <c r="S56" s="145"/>
      <c r="T56" s="145"/>
      <c r="U56" s="146"/>
      <c r="AI56" s="3"/>
      <c r="AS56" s="4"/>
      <c r="AT56" s="4"/>
      <c r="AU56" s="4"/>
      <c r="AV56" s="4"/>
      <c r="AW56" s="4"/>
    </row>
    <row r="57" spans="2:109" ht="21.75" customHeight="1">
      <c r="B57" s="1"/>
      <c r="C57" s="1"/>
      <c r="D57" s="1"/>
      <c r="E57" s="31"/>
      <c r="AI57" s="3"/>
      <c r="AS57" s="4"/>
      <c r="AT57" s="4"/>
      <c r="AU57" s="4"/>
      <c r="AV57" s="4"/>
      <c r="AW57" s="4"/>
    </row>
    <row r="58" spans="2:109" ht="21.75" customHeight="1">
      <c r="B58" s="1"/>
      <c r="C58" s="1"/>
      <c r="D58" s="1"/>
      <c r="E58" s="31"/>
      <c r="AI58" s="3"/>
      <c r="AS58" s="4"/>
      <c r="AT58" s="4"/>
      <c r="AU58" s="4"/>
      <c r="AV58" s="4"/>
      <c r="AW58" s="4"/>
    </row>
    <row r="59" spans="2:109" ht="27.75">
      <c r="B59" s="23" t="s">
        <v>64</v>
      </c>
      <c r="C59" s="132"/>
      <c r="D59" s="132"/>
      <c r="E59" s="133"/>
      <c r="F59" s="132"/>
      <c r="G59" s="132"/>
      <c r="H59" s="132"/>
      <c r="I59" s="132"/>
      <c r="J59" s="20"/>
      <c r="K59" s="20"/>
      <c r="L59" s="20"/>
      <c r="M59" s="20"/>
      <c r="N59" s="20"/>
      <c r="O59" s="20"/>
      <c r="P59" s="20"/>
      <c r="Q59" s="20"/>
      <c r="R59" s="20"/>
      <c r="S59" s="20"/>
      <c r="T59" s="20"/>
      <c r="U59" s="20"/>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row>
    <row r="60" spans="2:109" ht="20.25" customHeight="1" thickBot="1">
      <c r="B60" s="8"/>
      <c r="C60" s="8"/>
      <c r="D60" s="8"/>
      <c r="E60" s="37"/>
      <c r="F60" s="8"/>
      <c r="G60" s="8"/>
      <c r="H60" s="8"/>
      <c r="I60" s="8"/>
      <c r="J60" s="8"/>
      <c r="K60" s="8"/>
      <c r="L60" s="8"/>
      <c r="M60" s="8"/>
      <c r="N60" s="8"/>
      <c r="O60" s="8"/>
      <c r="P60" s="8"/>
      <c r="Q60" s="8"/>
      <c r="R60" s="8"/>
      <c r="S60" s="8"/>
      <c r="T60" s="8"/>
      <c r="U60" s="8"/>
      <c r="AM60" s="4"/>
      <c r="AN60" s="4"/>
      <c r="AO60" s="4"/>
      <c r="AP60" s="4"/>
      <c r="AQ60" s="4"/>
      <c r="AR60" s="4"/>
      <c r="AS60" s="4"/>
      <c r="AT60" s="4"/>
      <c r="AU60" s="4"/>
      <c r="AV60" s="4"/>
      <c r="AW60" s="4"/>
    </row>
    <row r="61" spans="2:109" ht="24.75" customHeight="1" thickTop="1" thickBot="1">
      <c r="B61" s="19" t="s">
        <v>65</v>
      </c>
      <c r="C61" s="9" t="s">
        <v>66</v>
      </c>
      <c r="Q61" s="4"/>
      <c r="R61" s="4"/>
      <c r="S61" s="4"/>
      <c r="T61" s="4"/>
      <c r="U61" s="4"/>
      <c r="AM61" s="4"/>
      <c r="AN61" s="4"/>
      <c r="AO61" s="4"/>
      <c r="AP61" s="4"/>
      <c r="AQ61" s="4"/>
      <c r="AR61" s="4"/>
      <c r="AS61" s="4"/>
      <c r="AT61" s="4"/>
      <c r="AU61" s="4"/>
      <c r="AV61" s="4"/>
      <c r="AW61" s="4"/>
    </row>
    <row r="62" spans="2:109" ht="15" customHeight="1" thickTop="1">
      <c r="Q62" s="4"/>
      <c r="R62" s="4"/>
      <c r="S62" s="4"/>
      <c r="T62" s="4"/>
      <c r="U62" s="4"/>
      <c r="AM62" s="4"/>
      <c r="AN62" s="4"/>
      <c r="AO62" s="4"/>
      <c r="AP62" s="4"/>
      <c r="AQ62" s="4"/>
      <c r="AR62" s="4"/>
      <c r="AS62" s="4"/>
      <c r="AT62" s="4"/>
      <c r="AU62" s="4"/>
      <c r="AV62" s="4"/>
      <c r="AW62" s="4"/>
    </row>
    <row r="63" spans="2:109" ht="15" customHeight="1">
      <c r="B63" s="18" t="s">
        <v>68</v>
      </c>
      <c r="Q63" s="4"/>
      <c r="R63" s="4"/>
      <c r="S63" s="4"/>
      <c r="T63" s="4"/>
      <c r="U63" s="4"/>
      <c r="AM63" s="4"/>
      <c r="AN63" s="4"/>
      <c r="AO63" s="4"/>
      <c r="AP63" s="4"/>
      <c r="AQ63" s="4"/>
      <c r="AR63" s="4"/>
      <c r="AS63" s="4"/>
      <c r="AT63" s="4"/>
      <c r="AU63" s="4"/>
      <c r="AV63" s="4"/>
      <c r="AW63" s="4"/>
    </row>
    <row r="64" spans="2:109" ht="15" customHeight="1">
      <c r="B64" s="18" t="s">
        <v>69</v>
      </c>
      <c r="Q64" s="4"/>
      <c r="R64" s="4"/>
      <c r="S64" s="4"/>
      <c r="T64" s="4"/>
      <c r="U64" s="4"/>
      <c r="AM64" s="4"/>
      <c r="AN64" s="4"/>
      <c r="AO64" s="4"/>
      <c r="AP64" s="4"/>
      <c r="AQ64" s="4"/>
      <c r="AR64" s="4"/>
      <c r="AS64" s="4"/>
      <c r="AT64" s="4"/>
      <c r="AU64" s="4"/>
      <c r="AV64" s="4"/>
      <c r="AW64" s="4"/>
    </row>
    <row r="65" spans="2:99" ht="15" customHeight="1">
      <c r="B65" s="18"/>
      <c r="Q65" s="4"/>
      <c r="R65" s="4"/>
      <c r="S65" s="4"/>
      <c r="T65" s="4"/>
      <c r="U65" s="4"/>
      <c r="AM65" s="4"/>
      <c r="AN65" s="4"/>
      <c r="AO65" s="4"/>
      <c r="AP65" s="4"/>
      <c r="AQ65" s="4"/>
      <c r="AR65" s="4"/>
      <c r="AS65" s="4"/>
      <c r="AT65" s="4"/>
      <c r="AU65" s="4"/>
      <c r="AV65" s="4"/>
      <c r="AW65" s="4"/>
    </row>
    <row r="66" spans="2:99" ht="15" customHeight="1">
      <c r="B66" s="18" t="s">
        <v>70</v>
      </c>
      <c r="Q66" s="4"/>
      <c r="R66" s="4"/>
      <c r="S66" s="4"/>
      <c r="T66" s="4"/>
      <c r="U66" s="4"/>
      <c r="AM66" s="4"/>
      <c r="AN66" s="4"/>
      <c r="AO66" s="4"/>
      <c r="AP66" s="4"/>
      <c r="AQ66" s="4"/>
      <c r="AR66" s="4"/>
      <c r="AS66" s="4"/>
      <c r="AT66" s="4"/>
      <c r="AU66" s="4"/>
      <c r="AV66" s="4"/>
      <c r="AW66" s="4"/>
    </row>
    <row r="67" spans="2:99" ht="15" customHeight="1">
      <c r="B67" s="18"/>
      <c r="C67" s="64" t="s">
        <v>71</v>
      </c>
      <c r="Q67" s="4"/>
      <c r="R67" s="4"/>
      <c r="S67" s="4"/>
      <c r="T67" s="4"/>
      <c r="U67" s="4"/>
      <c r="AM67" s="4"/>
      <c r="AN67" s="4"/>
      <c r="AO67" s="4"/>
      <c r="AP67" s="4"/>
      <c r="AQ67" s="4"/>
      <c r="AR67" s="4"/>
      <c r="AS67" s="4"/>
      <c r="AT67" s="4"/>
      <c r="AU67" s="4"/>
      <c r="AV67" s="4"/>
      <c r="AW67" s="4"/>
    </row>
    <row r="68" spans="2:99" ht="15" customHeight="1">
      <c r="B68" s="18"/>
      <c r="G68" s="22"/>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row>
    <row r="69" spans="2:99" ht="15" customHeight="1" thickBot="1">
      <c r="B69" s="18"/>
      <c r="G69" s="22"/>
      <c r="I69" s="21" t="s">
        <v>72</v>
      </c>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row>
    <row r="70" spans="2:99" ht="31.5" thickTop="1" thickBot="1">
      <c r="B70" s="17" t="s">
        <v>73</v>
      </c>
      <c r="C70" s="17" t="s">
        <v>74</v>
      </c>
      <c r="D70" s="17" t="s">
        <v>43</v>
      </c>
      <c r="E70" s="36" t="s">
        <v>44</v>
      </c>
      <c r="G70" s="49" t="s">
        <v>8</v>
      </c>
      <c r="I70" s="61" t="s">
        <v>10</v>
      </c>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row>
    <row r="71" spans="2:99" ht="15.75" thickTop="1">
      <c r="B71" s="1"/>
      <c r="C71" s="1"/>
      <c r="D71" s="1"/>
      <c r="E71" s="31"/>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row>
    <row r="72" spans="2:99" ht="23.25">
      <c r="B72" s="12" t="s">
        <v>76</v>
      </c>
      <c r="C72" s="13">
        <v>1</v>
      </c>
      <c r="D72" s="14">
        <v>0</v>
      </c>
      <c r="E72" s="26">
        <v>366</v>
      </c>
      <c r="F72" s="29"/>
      <c r="G72" s="62" t="s">
        <v>19</v>
      </c>
      <c r="I72" s="63">
        <v>4.58</v>
      </c>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row>
    <row r="73" spans="2:99" ht="15.75">
      <c r="B73" s="1"/>
      <c r="C73" s="1"/>
      <c r="D73" s="1"/>
      <c r="E73" s="31"/>
      <c r="G73" s="48"/>
      <c r="I73" s="48"/>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row>
    <row r="74" spans="2:99" ht="23.25">
      <c r="B74" s="15">
        <v>1</v>
      </c>
      <c r="C74" s="15">
        <v>1</v>
      </c>
      <c r="D74" s="16">
        <v>5</v>
      </c>
      <c r="E74" s="26">
        <v>323</v>
      </c>
      <c r="F74" s="29"/>
      <c r="G74" s="62" t="s">
        <v>19</v>
      </c>
      <c r="I74" s="63">
        <v>4.04</v>
      </c>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row>
    <row r="75" spans="2:99" ht="23.25">
      <c r="B75" s="15">
        <f>B74+1</f>
        <v>2</v>
      </c>
      <c r="C75" s="15">
        <v>1</v>
      </c>
      <c r="D75" s="16">
        <v>5</v>
      </c>
      <c r="E75" s="26">
        <v>2533</v>
      </c>
      <c r="F75" s="29"/>
      <c r="G75" s="62" t="s">
        <v>21</v>
      </c>
      <c r="I75" s="63">
        <v>4.6900000000000004</v>
      </c>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row>
    <row r="76" spans="2:99" ht="23.25">
      <c r="B76" s="15">
        <f>B75+1</f>
        <v>3</v>
      </c>
      <c r="C76" s="15">
        <v>1</v>
      </c>
      <c r="D76" s="16">
        <v>5</v>
      </c>
      <c r="E76" s="26">
        <v>2176</v>
      </c>
      <c r="F76" s="29"/>
      <c r="G76" s="62" t="s">
        <v>21</v>
      </c>
      <c r="I76" s="63">
        <v>4.03</v>
      </c>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row>
    <row r="77" spans="2:99" ht="23.25">
      <c r="B77" s="15">
        <f t="shared" ref="B77:B126" si="0">B76+1</f>
        <v>4</v>
      </c>
      <c r="C77" s="15">
        <v>1</v>
      </c>
      <c r="D77" s="16">
        <v>5</v>
      </c>
      <c r="E77" s="26">
        <v>102</v>
      </c>
      <c r="F77" s="29"/>
      <c r="G77" s="62" t="s">
        <v>17</v>
      </c>
      <c r="I77" s="63">
        <v>4.26</v>
      </c>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row>
    <row r="78" spans="2:99" ht="23.25">
      <c r="B78" s="15">
        <f t="shared" si="0"/>
        <v>5</v>
      </c>
      <c r="C78" s="15">
        <v>1</v>
      </c>
      <c r="D78" s="16">
        <v>5</v>
      </c>
      <c r="E78" s="26">
        <v>2182</v>
      </c>
      <c r="F78" s="29"/>
      <c r="G78" s="62" t="s">
        <v>21</v>
      </c>
      <c r="I78" s="63">
        <v>4.04</v>
      </c>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row>
    <row r="79" spans="2:99" ht="23.25">
      <c r="B79" s="15">
        <f t="shared" si="0"/>
        <v>6</v>
      </c>
      <c r="C79" s="15">
        <v>1</v>
      </c>
      <c r="D79" s="16">
        <v>5</v>
      </c>
      <c r="E79" s="26">
        <v>13664</v>
      </c>
      <c r="F79" s="29"/>
      <c r="G79" s="62" t="s">
        <v>23</v>
      </c>
      <c r="I79" s="63">
        <v>4.88</v>
      </c>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row>
    <row r="80" spans="2:99" ht="23.25">
      <c r="B80" s="15">
        <f t="shared" si="0"/>
        <v>7</v>
      </c>
      <c r="C80" s="15">
        <v>1</v>
      </c>
      <c r="D80" s="16">
        <v>5</v>
      </c>
      <c r="E80" s="26">
        <v>334</v>
      </c>
      <c r="F80" s="29"/>
      <c r="G80" s="62" t="s">
        <v>19</v>
      </c>
      <c r="I80" s="63">
        <v>4.17</v>
      </c>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row>
    <row r="81" spans="2:49" ht="23.25">
      <c r="B81" s="15">
        <f t="shared" si="0"/>
        <v>8</v>
      </c>
      <c r="C81" s="15">
        <v>1</v>
      </c>
      <c r="D81" s="16">
        <v>5</v>
      </c>
      <c r="E81" s="26">
        <v>324</v>
      </c>
      <c r="F81" s="29"/>
      <c r="G81" s="62" t="s">
        <v>19</v>
      </c>
      <c r="I81" s="63">
        <v>4.05</v>
      </c>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row>
    <row r="82" spans="2:49" ht="23.25">
      <c r="B82" s="15">
        <f t="shared" si="0"/>
        <v>9</v>
      </c>
      <c r="C82" s="15">
        <v>1</v>
      </c>
      <c r="D82" s="16">
        <v>5</v>
      </c>
      <c r="E82" s="26">
        <v>11312</v>
      </c>
      <c r="F82" s="29"/>
      <c r="G82" s="62" t="s">
        <v>23</v>
      </c>
      <c r="I82" s="63">
        <v>4.04</v>
      </c>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row>
    <row r="83" spans="2:49" ht="23.25">
      <c r="B83" s="15">
        <f t="shared" si="0"/>
        <v>10</v>
      </c>
      <c r="C83" s="15">
        <v>1</v>
      </c>
      <c r="D83" s="16">
        <v>5</v>
      </c>
      <c r="E83" s="26">
        <v>2176</v>
      </c>
      <c r="F83" s="29"/>
      <c r="G83" s="62" t="s">
        <v>21</v>
      </c>
      <c r="I83" s="63">
        <v>4.03</v>
      </c>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row>
    <row r="84" spans="2:49" ht="23.25">
      <c r="B84" s="15">
        <f t="shared" si="0"/>
        <v>11</v>
      </c>
      <c r="C84" s="15">
        <v>1</v>
      </c>
      <c r="D84" s="16">
        <v>5</v>
      </c>
      <c r="E84" s="26">
        <v>97</v>
      </c>
      <c r="F84" s="29"/>
      <c r="G84" s="62" t="s">
        <v>17</v>
      </c>
      <c r="I84" s="63">
        <v>4.03</v>
      </c>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row>
    <row r="85" spans="2:49" ht="23.25">
      <c r="B85" s="15">
        <f t="shared" si="0"/>
        <v>12</v>
      </c>
      <c r="C85" s="15">
        <v>1</v>
      </c>
      <c r="D85" s="16">
        <v>5</v>
      </c>
      <c r="E85" s="26">
        <v>13384</v>
      </c>
      <c r="F85" s="29"/>
      <c r="G85" s="62" t="s">
        <v>23</v>
      </c>
      <c r="I85" s="63">
        <v>4.78</v>
      </c>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row>
    <row r="86" spans="2:49" ht="23.25">
      <c r="B86" s="15">
        <f t="shared" si="0"/>
        <v>13</v>
      </c>
      <c r="C86" s="15">
        <v>1</v>
      </c>
      <c r="D86" s="16">
        <v>5</v>
      </c>
      <c r="E86" s="26">
        <v>349</v>
      </c>
      <c r="F86" s="29"/>
      <c r="G86" s="62" t="s">
        <v>19</v>
      </c>
      <c r="I86" s="63">
        <v>4.3600000000000003</v>
      </c>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row>
    <row r="87" spans="2:49" ht="23.25">
      <c r="B87" s="15">
        <f t="shared" si="0"/>
        <v>14</v>
      </c>
      <c r="C87" s="15">
        <v>1</v>
      </c>
      <c r="D87" s="16">
        <v>5</v>
      </c>
      <c r="E87" s="26">
        <v>98</v>
      </c>
      <c r="F87" s="29"/>
      <c r="G87" s="62" t="s">
        <v>17</v>
      </c>
      <c r="I87" s="63">
        <v>4.08</v>
      </c>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row>
    <row r="88" spans="2:49" ht="23.25">
      <c r="B88" s="15">
        <f t="shared" si="0"/>
        <v>15</v>
      </c>
      <c r="C88" s="15">
        <v>1</v>
      </c>
      <c r="D88" s="16">
        <v>5</v>
      </c>
      <c r="E88" s="26">
        <v>108</v>
      </c>
      <c r="F88" s="29"/>
      <c r="G88" s="62" t="s">
        <v>17</v>
      </c>
      <c r="I88" s="63">
        <v>4.5199999999999996</v>
      </c>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row>
    <row r="89" spans="2:49" ht="23.25">
      <c r="B89" s="15">
        <f t="shared" si="0"/>
        <v>16</v>
      </c>
      <c r="C89" s="15">
        <v>1</v>
      </c>
      <c r="D89" s="16">
        <v>5</v>
      </c>
      <c r="E89" s="26">
        <v>11900</v>
      </c>
      <c r="F89" s="29"/>
      <c r="G89" s="62" t="s">
        <v>23</v>
      </c>
      <c r="I89" s="63">
        <v>4.25</v>
      </c>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row>
    <row r="90" spans="2:49" ht="23.25">
      <c r="B90" s="15">
        <f t="shared" si="0"/>
        <v>17</v>
      </c>
      <c r="C90" s="15">
        <v>1</v>
      </c>
      <c r="D90" s="16">
        <v>5</v>
      </c>
      <c r="E90" s="26">
        <v>38960</v>
      </c>
      <c r="F90" s="29"/>
      <c r="G90" s="62" t="s">
        <v>25</v>
      </c>
      <c r="I90" s="63">
        <v>4.87</v>
      </c>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row>
    <row r="91" spans="2:49" ht="23.25">
      <c r="B91" s="15">
        <f t="shared" si="0"/>
        <v>18</v>
      </c>
      <c r="C91" s="15">
        <v>1</v>
      </c>
      <c r="D91" s="16">
        <v>5</v>
      </c>
      <c r="E91" s="26">
        <v>2657</v>
      </c>
      <c r="F91" s="29"/>
      <c r="G91" s="62" t="s">
        <v>21</v>
      </c>
      <c r="I91" s="63">
        <v>4.92</v>
      </c>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row>
    <row r="92" spans="2:49" ht="23.25">
      <c r="B92" s="15">
        <f t="shared" si="0"/>
        <v>19</v>
      </c>
      <c r="C92" s="15">
        <v>1</v>
      </c>
      <c r="D92" s="16">
        <v>5</v>
      </c>
      <c r="E92" s="26">
        <v>376</v>
      </c>
      <c r="F92" s="29"/>
      <c r="G92" s="62" t="s">
        <v>19</v>
      </c>
      <c r="I92" s="63">
        <v>4.7</v>
      </c>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row>
    <row r="93" spans="2:49" ht="23.25">
      <c r="B93" s="15">
        <f t="shared" si="0"/>
        <v>20</v>
      </c>
      <c r="C93" s="15">
        <v>1</v>
      </c>
      <c r="D93" s="16">
        <v>5</v>
      </c>
      <c r="E93" s="26">
        <v>2468</v>
      </c>
      <c r="F93" s="29"/>
      <c r="G93" s="62" t="s">
        <v>21</v>
      </c>
      <c r="I93" s="63">
        <v>4.57</v>
      </c>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row>
    <row r="94" spans="2:49">
      <c r="B94" s="1"/>
      <c r="C94" s="1"/>
      <c r="D94" s="1"/>
      <c r="E94" s="31"/>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row>
    <row r="95" spans="2:49" ht="15.75" thickBot="1">
      <c r="B95" s="1"/>
      <c r="C95" s="1"/>
      <c r="D95" s="1"/>
      <c r="E95" s="31"/>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row>
    <row r="96" spans="2:49" ht="25.5" customHeight="1" thickTop="1" thickBot="1">
      <c r="B96" s="19" t="s">
        <v>77</v>
      </c>
      <c r="C96" s="9" t="s">
        <v>78</v>
      </c>
      <c r="D96" s="1"/>
      <c r="E96" s="31"/>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row>
    <row r="97" spans="2:49" ht="15.75" thickTop="1">
      <c r="B97" s="18"/>
      <c r="C97" s="1"/>
      <c r="D97" s="1"/>
      <c r="E97" s="31"/>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row>
    <row r="98" spans="2:49">
      <c r="B98" s="18" t="s">
        <v>79</v>
      </c>
      <c r="C98" s="1"/>
      <c r="D98" s="1"/>
      <c r="E98" s="31"/>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row>
    <row r="99" spans="2:49">
      <c r="B99" s="18" t="s">
        <v>80</v>
      </c>
      <c r="C99" s="1"/>
      <c r="D99" s="1"/>
      <c r="E99" s="31"/>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row>
    <row r="100" spans="2:49">
      <c r="B100" s="18"/>
      <c r="C100" s="64" t="s">
        <v>82</v>
      </c>
      <c r="D100" s="1"/>
      <c r="E100" s="31"/>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row>
    <row r="101" spans="2:49">
      <c r="B101" s="18"/>
      <c r="C101" s="64"/>
      <c r="D101" s="1"/>
      <c r="E101" s="31"/>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row>
    <row r="102" spans="2:49" ht="15.75" thickBot="1">
      <c r="B102" s="18"/>
      <c r="C102" s="1"/>
      <c r="D102" s="1"/>
      <c r="E102" s="31"/>
      <c r="G102" s="22"/>
      <c r="I102" s="43" t="s">
        <v>72</v>
      </c>
      <c r="M102" s="21"/>
      <c r="N102" s="21"/>
      <c r="O102" s="21"/>
      <c r="P102" s="21"/>
      <c r="Q102" s="21"/>
      <c r="R102" s="21"/>
      <c r="S102" s="21"/>
      <c r="T102" s="21"/>
      <c r="U102" s="21"/>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row>
    <row r="103" spans="2:49" ht="24.95" customHeight="1" thickTop="1" thickBot="1">
      <c r="B103" s="17" t="s">
        <v>41</v>
      </c>
      <c r="C103" s="17" t="s">
        <v>74</v>
      </c>
      <c r="D103" s="17" t="s">
        <v>43</v>
      </c>
      <c r="E103" s="36" t="s">
        <v>44</v>
      </c>
      <c r="G103" s="49" t="s">
        <v>8</v>
      </c>
      <c r="I103" s="61" t="s">
        <v>10</v>
      </c>
      <c r="J103" s="49" t="s">
        <v>11</v>
      </c>
      <c r="K103" s="49" t="s">
        <v>12</v>
      </c>
      <c r="L103" s="49" t="s">
        <v>13</v>
      </c>
      <c r="M103" s="49" t="s">
        <v>14</v>
      </c>
      <c r="N103" s="49" t="s">
        <v>15</v>
      </c>
      <c r="O103" s="49" t="s">
        <v>16</v>
      </c>
      <c r="AJ103" s="4"/>
      <c r="AK103" s="4"/>
      <c r="AL103" s="4"/>
      <c r="AM103" s="4"/>
      <c r="AN103" s="4"/>
      <c r="AO103" s="4"/>
      <c r="AP103" s="4"/>
      <c r="AQ103" s="4"/>
      <c r="AR103" s="4"/>
      <c r="AS103" s="4"/>
      <c r="AT103" s="4"/>
      <c r="AU103" s="4"/>
      <c r="AV103" s="4"/>
      <c r="AW103" s="4"/>
    </row>
    <row r="104" spans="2:49" ht="15.75" thickTop="1">
      <c r="B104" s="1"/>
      <c r="C104" s="1"/>
      <c r="D104" s="1"/>
      <c r="E104" s="31"/>
      <c r="AJ104" s="4"/>
      <c r="AK104" s="4"/>
      <c r="AL104" s="4"/>
      <c r="AM104" s="4"/>
      <c r="AN104" s="4"/>
      <c r="AO104" s="4"/>
      <c r="AP104" s="4"/>
      <c r="AQ104" s="4"/>
      <c r="AR104" s="4"/>
      <c r="AS104" s="4"/>
      <c r="AT104" s="4"/>
      <c r="AU104" s="4"/>
      <c r="AV104" s="4"/>
      <c r="AW104" s="4"/>
    </row>
    <row r="105" spans="2:49" ht="25.5" customHeight="1">
      <c r="B105" s="15" t="s">
        <v>83</v>
      </c>
      <c r="C105" s="15">
        <v>2</v>
      </c>
      <c r="D105" s="16">
        <v>0</v>
      </c>
      <c r="E105" s="26">
        <v>363721</v>
      </c>
      <c r="F105" s="29"/>
      <c r="G105" s="62" t="s">
        <v>25</v>
      </c>
      <c r="I105" s="63">
        <v>4.1500000000000004</v>
      </c>
      <c r="J105" s="63">
        <v>10.99</v>
      </c>
      <c r="K105" s="65">
        <v>57</v>
      </c>
      <c r="L105" s="65">
        <v>451</v>
      </c>
      <c r="M105" s="65">
        <v>1230</v>
      </c>
      <c r="N105" s="65">
        <v>2234</v>
      </c>
      <c r="O105" s="65">
        <v>3577</v>
      </c>
      <c r="AJ105" s="4"/>
      <c r="AK105" s="4"/>
      <c r="AL105" s="4"/>
      <c r="AM105" s="4"/>
      <c r="AN105" s="4"/>
      <c r="AO105" s="4"/>
      <c r="AP105" s="4"/>
      <c r="AQ105" s="4"/>
      <c r="AR105" s="4"/>
      <c r="AS105" s="4"/>
      <c r="AT105" s="4"/>
      <c r="AU105" s="4"/>
      <c r="AV105" s="4"/>
      <c r="AW105" s="4"/>
    </row>
    <row r="106" spans="2:49" ht="15.75">
      <c r="B106" s="1"/>
      <c r="C106" s="1"/>
      <c r="D106" s="1"/>
      <c r="E106" s="31"/>
      <c r="G106" s="48"/>
      <c r="I106" s="48"/>
      <c r="AJ106" s="4"/>
      <c r="AK106" s="4"/>
      <c r="AL106" s="4"/>
      <c r="AM106" s="4"/>
      <c r="AN106" s="4"/>
      <c r="AO106" s="4"/>
      <c r="AP106" s="4"/>
      <c r="AQ106" s="4"/>
      <c r="AR106" s="4"/>
      <c r="AS106" s="4"/>
      <c r="AT106" s="4"/>
      <c r="AU106" s="4"/>
      <c r="AV106" s="4"/>
      <c r="AW106" s="4"/>
    </row>
    <row r="107" spans="2:49" ht="25.5" customHeight="1">
      <c r="B107" s="15">
        <v>21</v>
      </c>
      <c r="C107" s="15">
        <v>2</v>
      </c>
      <c r="D107" s="16">
        <v>7</v>
      </c>
      <c r="E107" s="26">
        <v>449445</v>
      </c>
      <c r="F107" s="29"/>
      <c r="G107" s="62" t="s">
        <v>25</v>
      </c>
      <c r="I107" s="63">
        <v>3.97</v>
      </c>
      <c r="J107" s="63">
        <v>12.8</v>
      </c>
      <c r="K107" s="65">
        <v>61</v>
      </c>
      <c r="L107" s="65">
        <v>618</v>
      </c>
      <c r="M107" s="65">
        <v>1153</v>
      </c>
      <c r="N107" s="65">
        <v>2544</v>
      </c>
      <c r="O107" s="65">
        <v>4242</v>
      </c>
      <c r="AJ107" s="4"/>
      <c r="AK107" s="4"/>
      <c r="AL107" s="4"/>
      <c r="AM107" s="4"/>
      <c r="AN107" s="4"/>
      <c r="AO107" s="4"/>
      <c r="AP107" s="4"/>
      <c r="AQ107" s="4"/>
      <c r="AR107" s="4"/>
      <c r="AS107" s="4"/>
      <c r="AT107" s="4"/>
      <c r="AU107" s="4"/>
      <c r="AV107" s="4"/>
      <c r="AW107" s="4"/>
    </row>
    <row r="108" spans="2:49" ht="25.5" customHeight="1">
      <c r="B108" s="15">
        <f t="shared" si="0"/>
        <v>22</v>
      </c>
      <c r="C108" s="15">
        <v>2</v>
      </c>
      <c r="D108" s="16">
        <v>7</v>
      </c>
      <c r="E108" s="26">
        <v>16640</v>
      </c>
      <c r="F108" s="29"/>
      <c r="G108" s="62" t="s">
        <v>21</v>
      </c>
      <c r="I108" s="63">
        <v>4.6500000000000004</v>
      </c>
      <c r="J108" s="63">
        <v>12.66</v>
      </c>
      <c r="K108" s="65">
        <v>56</v>
      </c>
      <c r="L108" s="65">
        <v>554</v>
      </c>
      <c r="M108" s="65">
        <v>963</v>
      </c>
      <c r="N108" s="65">
        <v>2278</v>
      </c>
      <c r="O108" s="65">
        <v>3856</v>
      </c>
      <c r="AJ108" s="4"/>
      <c r="AK108" s="4"/>
      <c r="AL108" s="4"/>
      <c r="AM108" s="4"/>
      <c r="AN108" s="4"/>
      <c r="AO108" s="4"/>
      <c r="AP108" s="4"/>
      <c r="AQ108" s="4"/>
      <c r="AR108" s="4"/>
      <c r="AS108" s="4"/>
      <c r="AT108" s="4"/>
      <c r="AU108" s="4"/>
      <c r="AV108" s="4"/>
      <c r="AW108" s="4"/>
    </row>
    <row r="109" spans="2:49" ht="25.5" customHeight="1">
      <c r="B109" s="15">
        <f t="shared" si="0"/>
        <v>23</v>
      </c>
      <c r="C109" s="15">
        <v>2</v>
      </c>
      <c r="D109" s="16">
        <v>7</v>
      </c>
      <c r="E109" s="26">
        <v>62440</v>
      </c>
      <c r="F109" s="29"/>
      <c r="G109" s="62" t="s">
        <v>23</v>
      </c>
      <c r="I109" s="63">
        <v>4.07</v>
      </c>
      <c r="J109" s="63">
        <v>9.52</v>
      </c>
      <c r="K109" s="65">
        <v>52</v>
      </c>
      <c r="L109" s="65">
        <v>454</v>
      </c>
      <c r="M109" s="65">
        <v>1268</v>
      </c>
      <c r="N109" s="65">
        <v>2775</v>
      </c>
      <c r="O109" s="65">
        <v>4284</v>
      </c>
      <c r="AJ109" s="4"/>
      <c r="AK109" s="4"/>
      <c r="AL109" s="4"/>
      <c r="AM109" s="4"/>
      <c r="AN109" s="4"/>
      <c r="AO109" s="4"/>
      <c r="AP109" s="4"/>
      <c r="AQ109" s="4"/>
      <c r="AR109" s="4"/>
      <c r="AS109" s="4"/>
      <c r="AT109" s="4"/>
      <c r="AU109" s="4"/>
      <c r="AV109" s="4"/>
      <c r="AW109" s="4"/>
    </row>
    <row r="110" spans="2:49" ht="25.5" customHeight="1">
      <c r="B110" s="15">
        <f t="shared" si="0"/>
        <v>24</v>
      </c>
      <c r="C110" s="15">
        <v>2</v>
      </c>
      <c r="D110" s="16">
        <v>7</v>
      </c>
      <c r="E110" s="26">
        <v>520</v>
      </c>
      <c r="F110" s="29"/>
      <c r="G110" s="62" t="s">
        <v>17</v>
      </c>
      <c r="I110" s="63">
        <v>3.98</v>
      </c>
      <c r="J110" s="63">
        <v>12.38</v>
      </c>
      <c r="K110" s="65">
        <v>64</v>
      </c>
      <c r="L110" s="65">
        <v>538</v>
      </c>
      <c r="M110" s="65">
        <v>1233</v>
      </c>
      <c r="N110" s="65">
        <v>2313</v>
      </c>
      <c r="O110" s="65">
        <v>4434</v>
      </c>
      <c r="AJ110" s="4"/>
      <c r="AK110" s="4"/>
      <c r="AL110" s="4"/>
      <c r="AM110" s="4"/>
      <c r="AN110" s="4"/>
      <c r="AO110" s="4"/>
      <c r="AP110" s="4"/>
      <c r="AQ110" s="4"/>
      <c r="AR110" s="4"/>
      <c r="AS110" s="4"/>
      <c r="AT110" s="4"/>
      <c r="AU110" s="4"/>
      <c r="AV110" s="4"/>
      <c r="AW110" s="4"/>
    </row>
    <row r="111" spans="2:49" ht="25.5" customHeight="1">
      <c r="B111" s="15">
        <f t="shared" si="0"/>
        <v>25</v>
      </c>
      <c r="C111" s="15">
        <v>2</v>
      </c>
      <c r="D111" s="16">
        <v>7</v>
      </c>
      <c r="E111" s="26">
        <v>401314</v>
      </c>
      <c r="F111" s="29"/>
      <c r="G111" s="62" t="s">
        <v>25</v>
      </c>
      <c r="I111" s="63">
        <v>4.25</v>
      </c>
      <c r="J111" s="63">
        <v>10.210000000000001</v>
      </c>
      <c r="K111" s="65">
        <v>54</v>
      </c>
      <c r="L111" s="65">
        <v>539</v>
      </c>
      <c r="M111" s="65">
        <v>1139</v>
      </c>
      <c r="N111" s="65">
        <v>2320</v>
      </c>
      <c r="O111" s="65">
        <v>4801</v>
      </c>
      <c r="AJ111" s="4"/>
      <c r="AK111" s="4"/>
      <c r="AL111" s="4"/>
      <c r="AM111" s="4"/>
      <c r="AN111" s="4"/>
      <c r="AO111" s="4"/>
      <c r="AP111" s="4"/>
      <c r="AQ111" s="4"/>
      <c r="AR111" s="4"/>
      <c r="AS111" s="4"/>
      <c r="AT111" s="4"/>
      <c r="AU111" s="4"/>
      <c r="AV111" s="4"/>
      <c r="AW111" s="4"/>
    </row>
    <row r="112" spans="2:49" ht="25.5" customHeight="1">
      <c r="B112" s="15">
        <f t="shared" si="0"/>
        <v>26</v>
      </c>
      <c r="C112" s="15">
        <v>2</v>
      </c>
      <c r="D112" s="16">
        <v>7</v>
      </c>
      <c r="E112" s="26">
        <v>514</v>
      </c>
      <c r="F112" s="29"/>
      <c r="G112" s="62" t="s">
        <v>17</v>
      </c>
      <c r="I112" s="63">
        <v>4.99</v>
      </c>
      <c r="J112" s="63">
        <v>10.53</v>
      </c>
      <c r="K112" s="65">
        <v>62</v>
      </c>
      <c r="L112" s="65">
        <v>490</v>
      </c>
      <c r="M112" s="65">
        <v>1149</v>
      </c>
      <c r="N112" s="65">
        <v>1871</v>
      </c>
      <c r="O112" s="65">
        <v>4811</v>
      </c>
      <c r="AJ112" s="4"/>
      <c r="AK112" s="4"/>
      <c r="AL112" s="4"/>
      <c r="AM112" s="4"/>
      <c r="AN112" s="4"/>
      <c r="AO112" s="4"/>
      <c r="AP112" s="4"/>
      <c r="AQ112" s="4"/>
      <c r="AR112" s="4"/>
      <c r="AS112" s="4"/>
      <c r="AT112" s="4"/>
      <c r="AU112" s="4"/>
      <c r="AV112" s="4"/>
      <c r="AW112" s="4"/>
    </row>
    <row r="113" spans="2:49" ht="25.5" customHeight="1">
      <c r="B113" s="15">
        <f t="shared" si="0"/>
        <v>27</v>
      </c>
      <c r="C113" s="15">
        <v>2</v>
      </c>
      <c r="D113" s="16">
        <v>7</v>
      </c>
      <c r="E113" s="26">
        <v>384080</v>
      </c>
      <c r="F113" s="29"/>
      <c r="G113" s="62" t="s">
        <v>25</v>
      </c>
      <c r="I113" s="63">
        <v>4.83</v>
      </c>
      <c r="J113" s="63">
        <v>9.2200000000000006</v>
      </c>
      <c r="K113" s="65">
        <v>62</v>
      </c>
      <c r="L113" s="65">
        <v>470</v>
      </c>
      <c r="M113" s="65">
        <v>1283</v>
      </c>
      <c r="N113" s="65">
        <v>2782</v>
      </c>
      <c r="O113" s="65">
        <v>5452</v>
      </c>
      <c r="AJ113" s="4"/>
      <c r="AK113" s="4"/>
      <c r="AL113" s="4"/>
      <c r="AM113" s="4"/>
      <c r="AN113" s="4"/>
      <c r="AO113" s="4"/>
      <c r="AP113" s="4"/>
      <c r="AQ113" s="4"/>
      <c r="AR113" s="4"/>
      <c r="AS113" s="4"/>
      <c r="AT113" s="4"/>
      <c r="AU113" s="4"/>
      <c r="AV113" s="4"/>
      <c r="AW113" s="4"/>
    </row>
    <row r="114" spans="2:49" ht="25.5" customHeight="1">
      <c r="B114" s="15">
        <f t="shared" si="0"/>
        <v>28</v>
      </c>
      <c r="C114" s="15">
        <v>2</v>
      </c>
      <c r="D114" s="16">
        <v>7</v>
      </c>
      <c r="E114" s="26">
        <v>1576</v>
      </c>
      <c r="F114" s="29"/>
      <c r="G114" s="62" t="s">
        <v>19</v>
      </c>
      <c r="I114" s="63">
        <v>4.6100000000000003</v>
      </c>
      <c r="J114" s="63">
        <v>10.11</v>
      </c>
      <c r="K114" s="65">
        <v>60</v>
      </c>
      <c r="L114" s="65">
        <v>612</v>
      </c>
      <c r="M114" s="65">
        <v>1235</v>
      </c>
      <c r="N114" s="65">
        <v>2249</v>
      </c>
      <c r="O114" s="65">
        <v>3598</v>
      </c>
      <c r="AJ114" s="4"/>
      <c r="AK114" s="4"/>
      <c r="AL114" s="4"/>
      <c r="AM114" s="4"/>
      <c r="AN114" s="4"/>
      <c r="AO114" s="4"/>
      <c r="AP114" s="4"/>
      <c r="AQ114" s="4"/>
      <c r="AR114" s="4"/>
      <c r="AS114" s="4"/>
      <c r="AT114" s="4"/>
      <c r="AU114" s="4"/>
      <c r="AV114" s="4"/>
      <c r="AW114" s="4"/>
    </row>
    <row r="115" spans="2:49" ht="25.5" customHeight="1">
      <c r="B115" s="15">
        <f t="shared" si="0"/>
        <v>29</v>
      </c>
      <c r="C115" s="15">
        <v>2</v>
      </c>
      <c r="D115" s="16">
        <v>7</v>
      </c>
      <c r="E115" s="26">
        <v>557</v>
      </c>
      <c r="F115" s="29"/>
      <c r="G115" s="62" t="s">
        <v>17</v>
      </c>
      <c r="I115" s="63">
        <v>4.5599999999999996</v>
      </c>
      <c r="J115" s="63">
        <v>13.76</v>
      </c>
      <c r="K115" s="65">
        <v>50</v>
      </c>
      <c r="L115" s="65">
        <v>643</v>
      </c>
      <c r="M115" s="65">
        <v>1056</v>
      </c>
      <c r="N115" s="65">
        <v>2038</v>
      </c>
      <c r="O115" s="65">
        <v>5162</v>
      </c>
      <c r="AJ115" s="4"/>
      <c r="AK115" s="4"/>
      <c r="AL115" s="4"/>
      <c r="AM115" s="4"/>
      <c r="AN115" s="4"/>
      <c r="AO115" s="4"/>
      <c r="AP115" s="4"/>
      <c r="AQ115" s="4"/>
      <c r="AR115" s="4"/>
      <c r="AS115" s="4"/>
      <c r="AT115" s="4"/>
      <c r="AU115" s="4"/>
      <c r="AV115" s="4"/>
      <c r="AW115" s="4"/>
    </row>
    <row r="116" spans="2:49" ht="25.5" customHeight="1">
      <c r="B116" s="15">
        <f t="shared" si="0"/>
        <v>30</v>
      </c>
      <c r="C116" s="15">
        <v>2</v>
      </c>
      <c r="D116" s="16">
        <v>7</v>
      </c>
      <c r="E116" s="26">
        <v>17127</v>
      </c>
      <c r="F116" s="29"/>
      <c r="G116" s="62" t="s">
        <v>21</v>
      </c>
      <c r="I116" s="63">
        <v>4.8600000000000003</v>
      </c>
      <c r="J116" s="63">
        <v>13.92</v>
      </c>
      <c r="K116" s="65">
        <v>59</v>
      </c>
      <c r="L116" s="65">
        <v>553</v>
      </c>
      <c r="M116" s="65">
        <v>892</v>
      </c>
      <c r="N116" s="65">
        <v>2068</v>
      </c>
      <c r="O116" s="65">
        <v>5172</v>
      </c>
      <c r="AJ116" s="4"/>
      <c r="AK116" s="4"/>
      <c r="AL116" s="4"/>
      <c r="AM116" s="4"/>
      <c r="AN116" s="4"/>
      <c r="AO116" s="4"/>
      <c r="AP116" s="4"/>
      <c r="AQ116" s="4"/>
      <c r="AR116" s="4"/>
      <c r="AS116" s="4"/>
      <c r="AT116" s="4"/>
      <c r="AU116" s="4"/>
      <c r="AV116" s="4"/>
      <c r="AW116" s="4"/>
    </row>
    <row r="117" spans="2:49" ht="25.5" customHeight="1">
      <c r="B117" s="15">
        <f t="shared" si="0"/>
        <v>31</v>
      </c>
      <c r="C117" s="15">
        <v>2</v>
      </c>
      <c r="D117" s="16">
        <v>7</v>
      </c>
      <c r="E117" s="26">
        <v>526</v>
      </c>
      <c r="F117" s="29"/>
      <c r="G117" s="62" t="s">
        <v>17</v>
      </c>
      <c r="I117" s="63">
        <v>4.58</v>
      </c>
      <c r="J117" s="63">
        <v>13.91</v>
      </c>
      <c r="K117" s="65">
        <v>54</v>
      </c>
      <c r="L117" s="65">
        <v>546</v>
      </c>
      <c r="M117" s="65">
        <v>1262</v>
      </c>
      <c r="N117" s="65">
        <v>1913</v>
      </c>
      <c r="O117" s="65">
        <v>4020</v>
      </c>
      <c r="AJ117" s="4"/>
      <c r="AK117" s="4"/>
      <c r="AL117" s="4"/>
      <c r="AM117" s="4"/>
      <c r="AN117" s="4"/>
      <c r="AO117" s="4"/>
      <c r="AP117" s="4"/>
      <c r="AQ117" s="4"/>
      <c r="AR117" s="4"/>
      <c r="AS117" s="4"/>
      <c r="AT117" s="4"/>
      <c r="AU117" s="4"/>
      <c r="AV117" s="4"/>
      <c r="AW117" s="4"/>
    </row>
    <row r="118" spans="2:49" ht="25.5" customHeight="1">
      <c r="B118" s="15">
        <f t="shared" si="0"/>
        <v>32</v>
      </c>
      <c r="C118" s="15">
        <v>2</v>
      </c>
      <c r="D118" s="16">
        <v>7</v>
      </c>
      <c r="E118" s="26">
        <v>66301</v>
      </c>
      <c r="F118" s="29"/>
      <c r="G118" s="62" t="s">
        <v>23</v>
      </c>
      <c r="I118" s="63">
        <v>3.94</v>
      </c>
      <c r="J118" s="63">
        <v>12.38</v>
      </c>
      <c r="K118" s="65">
        <v>59</v>
      </c>
      <c r="L118" s="65">
        <v>589</v>
      </c>
      <c r="M118" s="65">
        <v>917</v>
      </c>
      <c r="N118" s="65">
        <v>2732</v>
      </c>
      <c r="O118" s="65">
        <v>4155</v>
      </c>
      <c r="AJ118" s="4"/>
      <c r="AK118" s="4"/>
      <c r="AL118" s="4"/>
      <c r="AM118" s="4"/>
      <c r="AN118" s="4"/>
      <c r="AO118" s="4"/>
      <c r="AP118" s="4"/>
      <c r="AQ118" s="4"/>
      <c r="AR118" s="4"/>
      <c r="AS118" s="4"/>
      <c r="AT118" s="4"/>
      <c r="AU118" s="4"/>
      <c r="AV118" s="4"/>
      <c r="AW118" s="4"/>
    </row>
    <row r="119" spans="2:49" ht="25.5" customHeight="1">
      <c r="B119" s="15">
        <f t="shared" si="0"/>
        <v>33</v>
      </c>
      <c r="C119" s="15">
        <v>2</v>
      </c>
      <c r="D119" s="16">
        <v>7</v>
      </c>
      <c r="E119" s="26">
        <v>468</v>
      </c>
      <c r="F119" s="29"/>
      <c r="G119" s="62" t="s">
        <v>17</v>
      </c>
      <c r="I119" s="63">
        <v>4.4000000000000004</v>
      </c>
      <c r="J119" s="63">
        <v>12.33</v>
      </c>
      <c r="K119" s="65">
        <v>49</v>
      </c>
      <c r="L119" s="65">
        <v>460</v>
      </c>
      <c r="M119" s="65">
        <v>1152</v>
      </c>
      <c r="N119" s="65">
        <v>2793</v>
      </c>
      <c r="O119" s="65">
        <v>5385</v>
      </c>
      <c r="AJ119" s="4"/>
      <c r="AK119" s="4"/>
      <c r="AL119" s="4"/>
      <c r="AM119" s="4"/>
      <c r="AN119" s="4"/>
      <c r="AO119" s="4"/>
      <c r="AP119" s="4"/>
      <c r="AQ119" s="4"/>
      <c r="AR119" s="4"/>
      <c r="AS119" s="4"/>
      <c r="AT119" s="4"/>
      <c r="AU119" s="4"/>
      <c r="AV119" s="4"/>
      <c r="AW119" s="4"/>
    </row>
    <row r="120" spans="2:49" ht="25.5" customHeight="1">
      <c r="B120" s="15">
        <f t="shared" si="0"/>
        <v>34</v>
      </c>
      <c r="C120" s="15">
        <v>2</v>
      </c>
      <c r="D120" s="16">
        <v>7</v>
      </c>
      <c r="E120" s="26">
        <v>71583</v>
      </c>
      <c r="F120" s="29"/>
      <c r="G120" s="62" t="s">
        <v>23</v>
      </c>
      <c r="I120" s="63">
        <v>4.96</v>
      </c>
      <c r="J120" s="63">
        <v>13.22</v>
      </c>
      <c r="K120" s="65">
        <v>59</v>
      </c>
      <c r="L120" s="65">
        <v>592</v>
      </c>
      <c r="M120" s="65">
        <v>1219</v>
      </c>
      <c r="N120" s="65">
        <v>1898</v>
      </c>
      <c r="O120" s="65">
        <v>4898</v>
      </c>
      <c r="AJ120" s="4"/>
      <c r="AK120" s="4"/>
      <c r="AL120" s="4"/>
      <c r="AM120" s="4"/>
      <c r="AN120" s="4"/>
      <c r="AO120" s="4"/>
      <c r="AP120" s="4"/>
      <c r="AQ120" s="4"/>
      <c r="AR120" s="4"/>
      <c r="AS120" s="4"/>
      <c r="AT120" s="4"/>
      <c r="AU120" s="4"/>
      <c r="AV120" s="4"/>
      <c r="AW120" s="4"/>
    </row>
    <row r="121" spans="2:49" ht="25.5" customHeight="1">
      <c r="B121" s="15">
        <f t="shared" si="0"/>
        <v>35</v>
      </c>
      <c r="C121" s="15">
        <v>2</v>
      </c>
      <c r="D121" s="16">
        <v>7</v>
      </c>
      <c r="E121" s="26">
        <v>17545</v>
      </c>
      <c r="F121" s="29"/>
      <c r="G121" s="62" t="s">
        <v>21</v>
      </c>
      <c r="I121" s="63">
        <v>4.71</v>
      </c>
      <c r="J121" s="63">
        <v>13.94</v>
      </c>
      <c r="K121" s="65">
        <v>50</v>
      </c>
      <c r="L121" s="65">
        <v>588</v>
      </c>
      <c r="M121" s="65">
        <v>1010</v>
      </c>
      <c r="N121" s="65">
        <v>2618</v>
      </c>
      <c r="O121" s="65">
        <v>5618</v>
      </c>
      <c r="AJ121" s="4"/>
      <c r="AK121" s="4"/>
      <c r="AL121" s="4"/>
      <c r="AM121" s="4"/>
      <c r="AN121" s="4"/>
      <c r="AO121" s="4"/>
      <c r="AP121" s="4"/>
      <c r="AQ121" s="4"/>
      <c r="AR121" s="4"/>
      <c r="AS121" s="4"/>
      <c r="AT121" s="4"/>
      <c r="AU121" s="4"/>
      <c r="AV121" s="4"/>
      <c r="AW121" s="4"/>
    </row>
    <row r="122" spans="2:49" ht="25.5" customHeight="1">
      <c r="B122" s="15">
        <f t="shared" si="0"/>
        <v>36</v>
      </c>
      <c r="C122" s="15">
        <v>2</v>
      </c>
      <c r="D122" s="16">
        <v>7</v>
      </c>
      <c r="E122" s="26">
        <v>15863</v>
      </c>
      <c r="F122" s="29"/>
      <c r="G122" s="62" t="s">
        <v>21</v>
      </c>
      <c r="I122" s="63">
        <v>4.38</v>
      </c>
      <c r="J122" s="63">
        <v>11.73</v>
      </c>
      <c r="K122" s="65">
        <v>57</v>
      </c>
      <c r="L122" s="65">
        <v>536</v>
      </c>
      <c r="M122" s="65">
        <v>893</v>
      </c>
      <c r="N122" s="65">
        <v>2005</v>
      </c>
      <c r="O122" s="65">
        <v>3505</v>
      </c>
      <c r="AJ122" s="4"/>
      <c r="AK122" s="4"/>
      <c r="AL122" s="4"/>
      <c r="AM122" s="4"/>
      <c r="AN122" s="4"/>
      <c r="AO122" s="4"/>
      <c r="AP122" s="4"/>
      <c r="AQ122" s="4"/>
      <c r="AR122" s="4"/>
      <c r="AS122" s="4"/>
      <c r="AT122" s="4"/>
      <c r="AU122" s="4"/>
      <c r="AV122" s="4"/>
      <c r="AW122" s="4"/>
    </row>
    <row r="123" spans="2:49" ht="25.5" customHeight="1">
      <c r="B123" s="15">
        <f t="shared" si="0"/>
        <v>37</v>
      </c>
      <c r="C123" s="15">
        <v>2</v>
      </c>
      <c r="D123" s="16">
        <v>7</v>
      </c>
      <c r="E123" s="26">
        <v>63961</v>
      </c>
      <c r="F123" s="29"/>
      <c r="G123" s="62" t="s">
        <v>23</v>
      </c>
      <c r="I123" s="63">
        <v>4.5199999999999996</v>
      </c>
      <c r="J123" s="63">
        <v>12.99</v>
      </c>
      <c r="K123" s="65">
        <v>48</v>
      </c>
      <c r="L123" s="65">
        <v>456</v>
      </c>
      <c r="M123" s="65">
        <v>1076</v>
      </c>
      <c r="N123" s="65">
        <v>2268</v>
      </c>
      <c r="O123" s="65">
        <v>3991</v>
      </c>
      <c r="AJ123" s="4"/>
      <c r="AK123" s="4"/>
      <c r="AL123" s="4"/>
      <c r="AM123" s="4"/>
      <c r="AN123" s="4"/>
      <c r="AO123" s="4"/>
      <c r="AP123" s="4"/>
      <c r="AQ123" s="4"/>
      <c r="AR123" s="4"/>
      <c r="AS123" s="4"/>
      <c r="AT123" s="4"/>
      <c r="AU123" s="4"/>
      <c r="AV123" s="4"/>
      <c r="AW123" s="4"/>
    </row>
    <row r="124" spans="2:49" ht="25.5" customHeight="1">
      <c r="B124" s="15">
        <f t="shared" si="0"/>
        <v>38</v>
      </c>
      <c r="C124" s="15">
        <v>2</v>
      </c>
      <c r="D124" s="16">
        <v>7</v>
      </c>
      <c r="E124" s="26">
        <v>456079</v>
      </c>
      <c r="F124" s="29"/>
      <c r="G124" s="62" t="s">
        <v>25</v>
      </c>
      <c r="I124" s="63">
        <v>4.41</v>
      </c>
      <c r="J124" s="63">
        <v>12.68</v>
      </c>
      <c r="K124" s="65">
        <v>57</v>
      </c>
      <c r="L124" s="65">
        <v>627</v>
      </c>
      <c r="M124" s="65">
        <v>1140</v>
      </c>
      <c r="N124" s="65">
        <v>2203</v>
      </c>
      <c r="O124" s="65">
        <v>5573</v>
      </c>
      <c r="AJ124" s="4"/>
      <c r="AK124" s="4"/>
      <c r="AL124" s="4"/>
      <c r="AM124" s="4"/>
      <c r="AN124" s="4"/>
      <c r="AO124" s="4"/>
      <c r="AP124" s="4"/>
      <c r="AQ124" s="4"/>
      <c r="AR124" s="4"/>
      <c r="AS124" s="4"/>
      <c r="AT124" s="4"/>
      <c r="AU124" s="4"/>
      <c r="AV124" s="4"/>
      <c r="AW124" s="4"/>
    </row>
    <row r="125" spans="2:49" ht="25.5" customHeight="1">
      <c r="B125" s="15">
        <f t="shared" si="0"/>
        <v>39</v>
      </c>
      <c r="C125" s="15">
        <v>2</v>
      </c>
      <c r="D125" s="16">
        <v>7</v>
      </c>
      <c r="E125" s="26">
        <v>15224</v>
      </c>
      <c r="F125" s="29"/>
      <c r="G125" s="62" t="s">
        <v>21</v>
      </c>
      <c r="I125" s="63">
        <v>4.5199999999999996</v>
      </c>
      <c r="J125" s="63">
        <v>9.9700000000000006</v>
      </c>
      <c r="K125" s="65">
        <v>48</v>
      </c>
      <c r="L125" s="65">
        <v>516</v>
      </c>
      <c r="M125" s="65">
        <v>974</v>
      </c>
      <c r="N125" s="65">
        <v>2191</v>
      </c>
      <c r="O125" s="65">
        <v>3491</v>
      </c>
      <c r="AJ125" s="4"/>
      <c r="AK125" s="4"/>
      <c r="AL125" s="4"/>
      <c r="AM125" s="4"/>
      <c r="AN125" s="4"/>
      <c r="AO125" s="4"/>
      <c r="AP125" s="4"/>
      <c r="AQ125" s="4"/>
      <c r="AR125" s="4"/>
      <c r="AS125" s="4"/>
      <c r="AT125" s="4"/>
      <c r="AU125" s="4"/>
      <c r="AV125" s="4"/>
      <c r="AW125" s="4"/>
    </row>
    <row r="126" spans="2:49" ht="25.5" customHeight="1">
      <c r="B126" s="15">
        <f t="shared" si="0"/>
        <v>40</v>
      </c>
      <c r="C126" s="15">
        <v>2</v>
      </c>
      <c r="D126" s="16">
        <v>7</v>
      </c>
      <c r="E126" s="26">
        <v>16235</v>
      </c>
      <c r="F126" s="29"/>
      <c r="G126" s="62" t="s">
        <v>21</v>
      </c>
      <c r="I126" s="63">
        <v>4.01</v>
      </c>
      <c r="J126" s="63">
        <v>11.54</v>
      </c>
      <c r="K126" s="65">
        <v>51</v>
      </c>
      <c r="L126" s="65">
        <v>519</v>
      </c>
      <c r="M126" s="65">
        <v>1314</v>
      </c>
      <c r="N126" s="65">
        <v>2556</v>
      </c>
      <c r="O126" s="65">
        <v>4462</v>
      </c>
      <c r="AJ126" s="4"/>
      <c r="AK126" s="4"/>
      <c r="AL126" s="4"/>
      <c r="AM126" s="4"/>
      <c r="AN126" s="4"/>
      <c r="AO126" s="4"/>
      <c r="AP126" s="4"/>
      <c r="AQ126" s="4"/>
      <c r="AR126" s="4"/>
      <c r="AS126" s="4"/>
      <c r="AT126" s="4"/>
      <c r="AU126" s="4"/>
      <c r="AV126" s="4"/>
      <c r="AW126" s="4"/>
    </row>
    <row r="127" spans="2:49" ht="23.25">
      <c r="B127" s="10"/>
      <c r="C127" s="10"/>
      <c r="D127" s="11"/>
      <c r="E127" s="38"/>
      <c r="G127" s="46"/>
      <c r="H127" s="46"/>
      <c r="I127" s="46"/>
      <c r="J127" s="46"/>
      <c r="K127" s="46"/>
      <c r="L127" s="47"/>
      <c r="M127" s="47"/>
      <c r="N127" s="47"/>
      <c r="O127" s="47"/>
      <c r="P127" s="47"/>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row>
    <row r="128" spans="2:49" ht="16.5" thickBot="1">
      <c r="B128" s="4"/>
      <c r="C128" s="4"/>
      <c r="D128" s="4"/>
      <c r="E128" s="33"/>
      <c r="F128" s="5"/>
      <c r="G128" s="46"/>
      <c r="H128" s="46"/>
      <c r="I128" s="46"/>
      <c r="J128" s="46"/>
      <c r="K128" s="46"/>
      <c r="L128" s="46"/>
      <c r="M128" s="46"/>
      <c r="N128" s="46"/>
      <c r="O128" s="46"/>
      <c r="P128" s="46"/>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row>
    <row r="129" spans="2:49" ht="20.25" thickTop="1" thickBot="1">
      <c r="B129" s="19" t="s">
        <v>84</v>
      </c>
      <c r="C129" s="9" t="s">
        <v>85</v>
      </c>
      <c r="D129" s="4"/>
      <c r="E129" s="33"/>
      <c r="F129" s="5"/>
      <c r="G129" s="45"/>
      <c r="H129" s="45"/>
      <c r="I129" s="45"/>
      <c r="J129" s="46"/>
      <c r="K129" s="46"/>
      <c r="L129" s="46"/>
      <c r="M129" s="46"/>
      <c r="N129" s="46"/>
      <c r="O129" s="46"/>
      <c r="P129" s="46"/>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row>
    <row r="130" spans="2:49" ht="16.5" thickTop="1">
      <c r="B130" s="18"/>
      <c r="C130" s="4"/>
      <c r="D130" s="4"/>
      <c r="E130" s="33"/>
      <c r="F130" s="5"/>
      <c r="G130" s="45"/>
      <c r="H130" s="45"/>
      <c r="I130" s="45"/>
      <c r="J130" s="46"/>
      <c r="K130" s="46"/>
      <c r="L130" s="46"/>
      <c r="M130" s="46"/>
      <c r="N130" s="46"/>
      <c r="O130" s="46"/>
      <c r="P130" s="46"/>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row>
    <row r="131" spans="2:49" ht="15.75">
      <c r="B131" s="18" t="s">
        <v>86</v>
      </c>
      <c r="C131" s="1"/>
      <c r="D131" s="1"/>
      <c r="E131" s="31"/>
      <c r="G131" s="46"/>
      <c r="H131" s="46"/>
      <c r="I131" s="46"/>
      <c r="J131" s="46"/>
      <c r="K131" s="46"/>
      <c r="L131" s="46"/>
      <c r="M131" s="46"/>
      <c r="N131" s="46"/>
      <c r="O131" s="46"/>
      <c r="P131" s="46"/>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row>
    <row r="132" spans="2:49" ht="15.75">
      <c r="B132" s="18"/>
      <c r="C132" s="1" t="s">
        <v>87</v>
      </c>
      <c r="D132" s="1"/>
      <c r="E132" s="31"/>
      <c r="G132" s="46"/>
      <c r="H132" s="46"/>
      <c r="I132" s="46"/>
      <c r="J132" s="46"/>
      <c r="K132" s="46"/>
      <c r="L132" s="46"/>
      <c r="M132" s="46"/>
      <c r="N132" s="46"/>
      <c r="O132" s="46"/>
      <c r="P132" s="46"/>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row>
    <row r="133" spans="2:49" ht="15.75">
      <c r="B133" s="18" t="s">
        <v>88</v>
      </c>
      <c r="C133" s="1"/>
      <c r="D133" s="1"/>
      <c r="E133" s="31"/>
      <c r="G133" s="46"/>
      <c r="H133" s="46"/>
      <c r="I133" s="46"/>
      <c r="J133" s="46"/>
      <c r="K133" s="46"/>
      <c r="L133" s="46"/>
      <c r="M133" s="46"/>
      <c r="N133" s="46"/>
      <c r="O133" s="46"/>
      <c r="P133" s="46"/>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row>
    <row r="134" spans="2:49" ht="15.75">
      <c r="B134" s="18"/>
      <c r="C134" s="1"/>
      <c r="D134" s="1"/>
      <c r="E134" s="31"/>
      <c r="G134" s="46"/>
      <c r="H134" s="46"/>
      <c r="I134" s="46"/>
      <c r="J134" s="46"/>
      <c r="K134" s="46"/>
      <c r="L134" s="46"/>
      <c r="M134" s="46"/>
      <c r="N134" s="46"/>
      <c r="O134" s="46"/>
      <c r="P134" s="46"/>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row>
    <row r="135" spans="2:49" ht="15.75">
      <c r="B135" s="18" t="s">
        <v>89</v>
      </c>
      <c r="C135" s="1"/>
      <c r="D135" s="1"/>
      <c r="E135" s="31"/>
      <c r="G135" s="46"/>
      <c r="H135" s="46"/>
      <c r="I135" s="46"/>
      <c r="J135" s="46"/>
      <c r="K135" s="46"/>
      <c r="L135" s="46"/>
      <c r="M135" s="46"/>
      <c r="N135" s="46"/>
      <c r="O135" s="46"/>
      <c r="P135" s="46"/>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row>
    <row r="136" spans="2:49" ht="15.75">
      <c r="B136" s="18"/>
      <c r="C136" s="64" t="s">
        <v>90</v>
      </c>
      <c r="D136" s="1"/>
      <c r="E136" s="31"/>
      <c r="G136" s="46"/>
      <c r="H136" s="46"/>
      <c r="I136" s="46"/>
      <c r="J136" s="46"/>
      <c r="K136" s="46"/>
      <c r="L136" s="46"/>
      <c r="M136" s="46"/>
      <c r="N136" s="46"/>
      <c r="O136" s="46"/>
      <c r="P136" s="46"/>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row>
    <row r="137" spans="2:49" ht="15.75">
      <c r="B137" s="18"/>
      <c r="C137" s="64"/>
      <c r="D137" s="1"/>
      <c r="E137" s="31"/>
      <c r="G137" s="46"/>
      <c r="H137" s="46"/>
      <c r="I137" s="46"/>
      <c r="J137" s="46"/>
      <c r="K137" s="46"/>
      <c r="L137" s="46"/>
      <c r="M137" s="46"/>
      <c r="N137" s="46"/>
      <c r="O137" s="46"/>
      <c r="P137" s="46"/>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row>
    <row r="138" spans="2:49" ht="16.5" thickBot="1">
      <c r="B138" s="4"/>
      <c r="C138" s="4"/>
      <c r="D138" s="4"/>
      <c r="E138" s="33"/>
      <c r="F138" s="5"/>
      <c r="G138" s="44"/>
      <c r="H138" s="46"/>
      <c r="I138" s="43" t="s">
        <v>91</v>
      </c>
      <c r="J138" s="46"/>
      <c r="K138" s="46"/>
      <c r="L138" s="47"/>
      <c r="M138" s="47"/>
      <c r="N138" s="47"/>
      <c r="O138" s="46"/>
      <c r="P138" s="46"/>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row>
    <row r="139" spans="2:49" ht="25.5" customHeight="1" thickTop="1" thickBot="1">
      <c r="B139" s="17" t="s">
        <v>41</v>
      </c>
      <c r="C139" s="17" t="s">
        <v>74</v>
      </c>
      <c r="D139" s="17" t="s">
        <v>43</v>
      </c>
      <c r="E139" s="36" t="s">
        <v>44</v>
      </c>
      <c r="G139" s="49" t="s">
        <v>92</v>
      </c>
      <c r="H139" s="44"/>
      <c r="I139" s="61" t="s">
        <v>93</v>
      </c>
      <c r="J139" s="49" t="s">
        <v>94</v>
      </c>
      <c r="K139" s="49" t="s">
        <v>95</v>
      </c>
      <c r="L139" s="49" t="s">
        <v>96</v>
      </c>
      <c r="M139" s="49" t="s">
        <v>97</v>
      </c>
      <c r="N139" s="44"/>
      <c r="O139" s="46"/>
      <c r="P139" s="46"/>
      <c r="Q139" s="4"/>
      <c r="R139" s="4"/>
      <c r="S139" s="4"/>
      <c r="T139" s="4"/>
      <c r="U139" s="4"/>
      <c r="V139" s="44"/>
      <c r="W139" s="44"/>
      <c r="X139" s="44"/>
      <c r="Y139" s="44"/>
      <c r="Z139" s="44"/>
      <c r="AA139" s="44"/>
      <c r="AB139" s="44"/>
      <c r="AC139" s="44"/>
      <c r="AD139" s="44"/>
      <c r="AE139" s="44"/>
      <c r="AF139" s="44"/>
      <c r="AG139" s="44"/>
      <c r="AH139" s="44"/>
      <c r="AI139" s="44"/>
      <c r="AJ139" s="4"/>
      <c r="AK139" s="4"/>
      <c r="AL139" s="4"/>
      <c r="AM139" s="4"/>
      <c r="AN139" s="4"/>
      <c r="AO139" s="4"/>
      <c r="AP139" s="4"/>
      <c r="AQ139" s="4"/>
      <c r="AR139" s="4"/>
      <c r="AS139" s="4"/>
      <c r="AT139" s="4"/>
      <c r="AU139" s="4"/>
      <c r="AV139" s="4"/>
      <c r="AW139" s="4"/>
    </row>
    <row r="140" spans="2:49" ht="16.5" thickTop="1">
      <c r="B140" s="1"/>
      <c r="C140" s="1"/>
      <c r="D140" s="1"/>
      <c r="E140" s="31"/>
      <c r="H140" s="44"/>
      <c r="I140" s="44"/>
      <c r="J140" s="44"/>
      <c r="K140" s="44"/>
      <c r="L140" s="44"/>
      <c r="M140" s="44"/>
      <c r="N140" s="44"/>
      <c r="O140" s="46"/>
      <c r="P140" s="46"/>
      <c r="Q140" s="4"/>
      <c r="R140" s="4"/>
      <c r="S140" s="4"/>
      <c r="T140" s="4"/>
      <c r="U140" s="4"/>
      <c r="V140" s="44"/>
      <c r="W140" s="44"/>
      <c r="X140" s="44"/>
      <c r="Y140" s="44"/>
      <c r="Z140" s="44"/>
      <c r="AA140" s="44"/>
      <c r="AB140" s="44"/>
      <c r="AC140" s="44"/>
      <c r="AD140" s="44"/>
      <c r="AE140" s="44"/>
      <c r="AF140" s="44"/>
      <c r="AG140" s="44"/>
      <c r="AH140" s="44"/>
      <c r="AI140" s="44"/>
      <c r="AJ140" s="4"/>
      <c r="AK140" s="4"/>
      <c r="AL140" s="4"/>
      <c r="AM140" s="4"/>
      <c r="AN140" s="4"/>
      <c r="AO140" s="4"/>
      <c r="AP140" s="4"/>
      <c r="AQ140" s="4"/>
      <c r="AR140" s="4"/>
      <c r="AS140" s="4"/>
      <c r="AT140" s="4"/>
      <c r="AU140" s="4"/>
      <c r="AV140" s="4"/>
      <c r="AW140" s="4"/>
    </row>
    <row r="141" spans="2:49" ht="23.25">
      <c r="B141" s="15" t="s">
        <v>100</v>
      </c>
      <c r="C141" s="15">
        <v>3</v>
      </c>
      <c r="D141" s="16">
        <v>0</v>
      </c>
      <c r="E141" s="26">
        <v>2306</v>
      </c>
      <c r="F141" s="29"/>
      <c r="G141" s="74">
        <v>45110</v>
      </c>
      <c r="H141" s="44"/>
      <c r="I141" s="67">
        <v>10</v>
      </c>
      <c r="J141" s="68">
        <v>11</v>
      </c>
      <c r="K141" s="67">
        <v>12</v>
      </c>
      <c r="L141" s="68">
        <v>11</v>
      </c>
      <c r="M141" s="67">
        <v>10</v>
      </c>
      <c r="N141" s="44"/>
      <c r="O141" s="46"/>
      <c r="P141" s="46"/>
      <c r="Q141" s="4"/>
      <c r="R141" s="4"/>
      <c r="S141" s="4"/>
      <c r="T141" s="4"/>
      <c r="U141" s="4"/>
      <c r="V141" s="44"/>
      <c r="W141" s="44"/>
      <c r="X141" s="44"/>
      <c r="Y141" s="44"/>
      <c r="Z141" s="44"/>
      <c r="AA141" s="44"/>
      <c r="AB141" s="44"/>
      <c r="AC141" s="44"/>
      <c r="AD141" s="44"/>
      <c r="AE141" s="44"/>
      <c r="AF141" s="44"/>
      <c r="AG141" s="44"/>
      <c r="AH141" s="44"/>
      <c r="AI141" s="44"/>
      <c r="AJ141" s="4"/>
      <c r="AK141" s="4"/>
      <c r="AL141" s="4"/>
      <c r="AM141" s="4"/>
      <c r="AN141" s="4"/>
      <c r="AO141" s="4"/>
      <c r="AP141" s="4"/>
      <c r="AQ141" s="4"/>
      <c r="AR141" s="4"/>
      <c r="AS141" s="4"/>
      <c r="AT141" s="4"/>
      <c r="AU141" s="4"/>
      <c r="AV141" s="4"/>
      <c r="AW141" s="4"/>
    </row>
    <row r="142" spans="2:49" ht="15.75">
      <c r="B142" s="1"/>
      <c r="C142" s="1"/>
      <c r="D142" s="1"/>
      <c r="E142" s="31"/>
      <c r="G142" s="48"/>
      <c r="H142" s="44"/>
      <c r="I142" s="44"/>
      <c r="J142" s="44"/>
      <c r="K142" s="44"/>
      <c r="L142" s="44"/>
      <c r="M142" s="44"/>
      <c r="N142" s="44"/>
      <c r="O142" s="46"/>
      <c r="P142" s="46"/>
      <c r="Q142" s="4"/>
      <c r="R142" s="4"/>
      <c r="S142" s="4"/>
      <c r="T142" s="4"/>
      <c r="U142" s="4"/>
      <c r="V142" s="44"/>
      <c r="W142" s="44"/>
      <c r="X142" s="44"/>
      <c r="Y142" s="44"/>
      <c r="Z142" s="44"/>
      <c r="AA142" s="44"/>
      <c r="AB142" s="44"/>
      <c r="AC142" s="44"/>
      <c r="AD142" s="44"/>
      <c r="AE142" s="44"/>
      <c r="AF142" s="44"/>
      <c r="AG142" s="44"/>
      <c r="AH142" s="44"/>
      <c r="AI142" s="44"/>
      <c r="AJ142" s="4"/>
      <c r="AK142" s="4"/>
      <c r="AL142" s="4"/>
      <c r="AM142" s="4"/>
      <c r="AN142" s="4"/>
      <c r="AO142" s="4"/>
      <c r="AP142" s="4"/>
      <c r="AQ142" s="4"/>
      <c r="AR142" s="4"/>
      <c r="AS142" s="4"/>
      <c r="AT142" s="4"/>
      <c r="AU142" s="4"/>
      <c r="AV142" s="4"/>
      <c r="AW142" s="4"/>
    </row>
    <row r="143" spans="2:49" ht="23.25">
      <c r="B143" s="15">
        <v>41</v>
      </c>
      <c r="C143" s="15">
        <v>3</v>
      </c>
      <c r="D143" s="16">
        <v>9</v>
      </c>
      <c r="E143" s="26">
        <v>1</v>
      </c>
      <c r="F143" s="29"/>
      <c r="G143" s="74">
        <v>45070</v>
      </c>
      <c r="H143" s="44"/>
      <c r="I143" s="66"/>
      <c r="J143" s="66"/>
      <c r="K143" s="69">
        <v>1</v>
      </c>
      <c r="L143" s="66"/>
      <c r="M143" s="66"/>
      <c r="N143" s="44"/>
      <c r="O143" s="46"/>
      <c r="P143" s="46"/>
      <c r="Q143" s="4"/>
      <c r="R143" s="4"/>
      <c r="S143" s="4"/>
      <c r="T143" s="4"/>
      <c r="U143" s="4"/>
      <c r="V143" s="44"/>
      <c r="W143" s="44"/>
      <c r="X143" s="44"/>
      <c r="Y143" s="44"/>
      <c r="Z143" s="44"/>
      <c r="AA143" s="44"/>
      <c r="AB143" s="44"/>
      <c r="AC143" s="44"/>
      <c r="AD143" s="44"/>
      <c r="AE143" s="44"/>
      <c r="AF143" s="44"/>
      <c r="AG143" s="44"/>
      <c r="AH143" s="44"/>
      <c r="AI143" s="44"/>
      <c r="AJ143" s="4"/>
      <c r="AK143" s="4"/>
      <c r="AL143" s="4"/>
      <c r="AM143" s="4"/>
      <c r="AN143" s="4"/>
      <c r="AO143" s="4"/>
      <c r="AP143" s="4"/>
      <c r="AQ143" s="4"/>
      <c r="AR143" s="4"/>
      <c r="AS143" s="4"/>
      <c r="AT143" s="4"/>
      <c r="AU143" s="4"/>
      <c r="AV143" s="4"/>
      <c r="AW143" s="4"/>
    </row>
    <row r="144" spans="2:49" ht="23.25">
      <c r="B144" s="15">
        <f t="shared" ref="B144:B162" si="1">B143+1</f>
        <v>42</v>
      </c>
      <c r="C144" s="15">
        <v>3</v>
      </c>
      <c r="D144" s="16">
        <v>9</v>
      </c>
      <c r="E144" s="26">
        <v>7</v>
      </c>
      <c r="F144" s="29"/>
      <c r="G144" s="74">
        <v>45250</v>
      </c>
      <c r="H144" s="44"/>
      <c r="I144" s="66"/>
      <c r="J144" s="69">
        <v>2</v>
      </c>
      <c r="K144" s="70">
        <v>3</v>
      </c>
      <c r="L144" s="69">
        <v>4</v>
      </c>
      <c r="M144" s="66"/>
      <c r="N144" s="44"/>
      <c r="O144" s="46"/>
      <c r="P144" s="46"/>
      <c r="Q144" s="4"/>
      <c r="R144" s="4"/>
      <c r="S144" s="4"/>
      <c r="T144" s="4"/>
      <c r="U144" s="4"/>
      <c r="V144" s="44"/>
      <c r="W144" s="44"/>
      <c r="X144" s="44"/>
      <c r="Y144" s="44"/>
      <c r="Z144" s="44"/>
      <c r="AA144" s="44"/>
      <c r="AB144" s="44"/>
      <c r="AC144" s="44"/>
      <c r="AD144" s="44"/>
      <c r="AE144" s="44"/>
      <c r="AF144" s="44"/>
      <c r="AG144" s="44"/>
      <c r="AH144" s="44"/>
      <c r="AI144" s="44"/>
      <c r="AJ144" s="4"/>
      <c r="AK144" s="4"/>
      <c r="AL144" s="4"/>
      <c r="AM144" s="4"/>
      <c r="AN144" s="4"/>
      <c r="AO144" s="4"/>
      <c r="AP144" s="4"/>
      <c r="AQ144" s="4"/>
      <c r="AR144" s="4"/>
      <c r="AS144" s="4"/>
      <c r="AT144" s="4"/>
      <c r="AU144" s="4"/>
      <c r="AV144" s="4"/>
      <c r="AW144" s="4"/>
    </row>
    <row r="145" spans="2:49" ht="23.25">
      <c r="B145" s="15">
        <f t="shared" si="1"/>
        <v>43</v>
      </c>
      <c r="C145" s="15">
        <v>3</v>
      </c>
      <c r="D145" s="16">
        <v>9</v>
      </c>
      <c r="E145" s="26">
        <v>136</v>
      </c>
      <c r="F145" s="29"/>
      <c r="G145" s="74">
        <v>45157</v>
      </c>
      <c r="H145" s="44"/>
      <c r="I145" s="69">
        <v>5</v>
      </c>
      <c r="J145" s="70">
        <v>6</v>
      </c>
      <c r="K145" s="68">
        <v>7</v>
      </c>
      <c r="L145" s="70">
        <v>8</v>
      </c>
      <c r="M145" s="69">
        <v>9</v>
      </c>
      <c r="N145" s="44"/>
      <c r="O145" s="46"/>
      <c r="P145" s="46"/>
      <c r="Q145" s="4"/>
      <c r="R145" s="4"/>
      <c r="S145" s="4"/>
      <c r="T145" s="4"/>
      <c r="U145" s="4"/>
      <c r="V145" s="44"/>
      <c r="W145" s="44"/>
      <c r="X145" s="44"/>
      <c r="Y145" s="44"/>
      <c r="Z145" s="44"/>
      <c r="AA145" s="44"/>
      <c r="AB145" s="44"/>
      <c r="AC145" s="44"/>
      <c r="AD145" s="44"/>
      <c r="AE145" s="44"/>
      <c r="AF145" s="44"/>
      <c r="AG145" s="44"/>
      <c r="AH145" s="44"/>
      <c r="AI145" s="44"/>
      <c r="AJ145" s="4"/>
      <c r="AK145" s="4"/>
      <c r="AL145" s="4"/>
      <c r="AM145" s="4"/>
      <c r="AN145" s="4"/>
      <c r="AO145" s="4"/>
      <c r="AP145" s="4"/>
      <c r="AQ145" s="4"/>
      <c r="AR145" s="4"/>
      <c r="AS145" s="4"/>
      <c r="AT145" s="4"/>
      <c r="AU145" s="4"/>
      <c r="AV145" s="4"/>
      <c r="AW145" s="4"/>
    </row>
    <row r="146" spans="2:49" ht="23.25">
      <c r="B146" s="15">
        <f t="shared" si="1"/>
        <v>44</v>
      </c>
      <c r="C146" s="15">
        <v>3</v>
      </c>
      <c r="D146" s="16">
        <v>9</v>
      </c>
      <c r="E146" s="26">
        <v>2501</v>
      </c>
      <c r="F146" s="29"/>
      <c r="G146" s="74">
        <v>45209</v>
      </c>
      <c r="H146" s="44"/>
      <c r="I146" s="67">
        <v>10</v>
      </c>
      <c r="J146" s="68">
        <v>11</v>
      </c>
      <c r="K146" s="67">
        <v>12</v>
      </c>
      <c r="L146" s="68">
        <v>13</v>
      </c>
      <c r="M146" s="67">
        <v>14</v>
      </c>
      <c r="N146" s="44"/>
      <c r="O146" s="46"/>
      <c r="P146" s="46"/>
      <c r="Q146" s="4"/>
      <c r="R146" s="4"/>
      <c r="S146" s="4"/>
      <c r="T146" s="4"/>
      <c r="U146" s="4"/>
      <c r="V146" s="44"/>
      <c r="W146" s="44"/>
      <c r="X146" s="44"/>
      <c r="Y146" s="44"/>
      <c r="Z146" s="44"/>
      <c r="AA146" s="44"/>
      <c r="AB146" s="44"/>
      <c r="AC146" s="44"/>
      <c r="AD146" s="44"/>
      <c r="AE146" s="44"/>
      <c r="AF146" s="44"/>
      <c r="AG146" s="44"/>
      <c r="AH146" s="44"/>
      <c r="AI146" s="44"/>
      <c r="AJ146" s="4"/>
      <c r="AK146" s="4"/>
      <c r="AL146" s="4"/>
      <c r="AM146" s="4"/>
      <c r="AN146" s="4"/>
      <c r="AO146" s="4"/>
      <c r="AP146" s="4"/>
      <c r="AQ146" s="4"/>
      <c r="AR146" s="4"/>
      <c r="AS146" s="4"/>
      <c r="AT146" s="4"/>
      <c r="AU146" s="4"/>
      <c r="AV146" s="4"/>
      <c r="AW146" s="4"/>
    </row>
    <row r="147" spans="2:49" ht="23.25">
      <c r="B147" s="15">
        <f t="shared" si="1"/>
        <v>45</v>
      </c>
      <c r="C147" s="15">
        <v>3</v>
      </c>
      <c r="D147" s="16">
        <v>9</v>
      </c>
      <c r="E147" s="26">
        <v>11773</v>
      </c>
      <c r="F147" s="29"/>
      <c r="G147" s="74">
        <v>45195</v>
      </c>
      <c r="H147" s="44"/>
      <c r="I147" s="66"/>
      <c r="J147" s="71">
        <v>15</v>
      </c>
      <c r="K147" s="68">
        <v>16</v>
      </c>
      <c r="L147" s="71">
        <v>17</v>
      </c>
      <c r="M147" s="66"/>
      <c r="N147" s="44"/>
      <c r="O147" s="46"/>
      <c r="P147" s="46"/>
      <c r="Q147" s="4"/>
      <c r="R147" s="4"/>
      <c r="S147" s="4"/>
      <c r="T147" s="4"/>
      <c r="U147" s="4"/>
      <c r="V147" s="44"/>
      <c r="W147" s="44"/>
      <c r="X147" s="44"/>
      <c r="Y147" s="44"/>
      <c r="Z147" s="44"/>
      <c r="AA147" s="44"/>
      <c r="AB147" s="44"/>
      <c r="AC147" s="44"/>
      <c r="AD147" s="44"/>
      <c r="AE147" s="44"/>
      <c r="AF147" s="44"/>
      <c r="AG147" s="44"/>
      <c r="AH147" s="44"/>
      <c r="AI147" s="44"/>
      <c r="AJ147" s="4"/>
      <c r="AK147" s="4"/>
      <c r="AL147" s="4"/>
      <c r="AM147" s="4"/>
      <c r="AN147" s="4"/>
      <c r="AO147" s="4"/>
      <c r="AP147" s="4"/>
      <c r="AQ147" s="4"/>
      <c r="AR147" s="4"/>
      <c r="AS147" s="4"/>
      <c r="AT147" s="4"/>
      <c r="AU147" s="4"/>
      <c r="AV147" s="4"/>
      <c r="AW147" s="4"/>
    </row>
    <row r="148" spans="2:49" ht="23.25">
      <c r="B148" s="15">
        <f t="shared" si="1"/>
        <v>46</v>
      </c>
      <c r="C148" s="15">
        <v>3</v>
      </c>
      <c r="D148" s="16">
        <v>9</v>
      </c>
      <c r="E148" s="26">
        <v>1171</v>
      </c>
      <c r="F148" s="29"/>
      <c r="G148" s="74">
        <v>45227</v>
      </c>
      <c r="H148" s="44"/>
      <c r="I148" s="66"/>
      <c r="J148" s="69">
        <v>19</v>
      </c>
      <c r="K148" s="67">
        <v>18</v>
      </c>
      <c r="L148" s="69">
        <v>20</v>
      </c>
      <c r="M148" s="66"/>
      <c r="N148" s="44"/>
      <c r="O148" s="46"/>
      <c r="P148" s="46"/>
      <c r="Q148" s="4"/>
      <c r="R148" s="4"/>
      <c r="S148" s="4"/>
      <c r="T148" s="4"/>
      <c r="U148" s="4"/>
      <c r="V148" s="44"/>
      <c r="W148" s="44"/>
      <c r="X148" s="44"/>
      <c r="Y148" s="44"/>
      <c r="Z148" s="44"/>
      <c r="AA148" s="44"/>
      <c r="AB148" s="44"/>
      <c r="AC148" s="44"/>
      <c r="AD148" s="44"/>
      <c r="AE148" s="44"/>
      <c r="AF148" s="44"/>
      <c r="AG148" s="44"/>
      <c r="AH148" s="44"/>
      <c r="AI148" s="44"/>
      <c r="AJ148" s="4"/>
      <c r="AK148" s="4"/>
      <c r="AL148" s="4"/>
      <c r="AM148" s="4"/>
      <c r="AN148" s="4"/>
      <c r="AO148" s="4"/>
      <c r="AP148" s="4"/>
      <c r="AQ148" s="4"/>
      <c r="AR148" s="4"/>
      <c r="AS148" s="4"/>
      <c r="AT148" s="4"/>
      <c r="AU148" s="4"/>
      <c r="AV148" s="4"/>
      <c r="AW148" s="4"/>
    </row>
    <row r="149" spans="2:49" ht="23.25">
      <c r="B149" s="15">
        <f t="shared" si="1"/>
        <v>47</v>
      </c>
      <c r="C149" s="15">
        <v>3</v>
      </c>
      <c r="D149" s="16">
        <v>9</v>
      </c>
      <c r="E149" s="26">
        <v>89</v>
      </c>
      <c r="F149" s="29"/>
      <c r="G149" s="74">
        <v>45054</v>
      </c>
      <c r="H149" s="44"/>
      <c r="I149" s="69">
        <v>7</v>
      </c>
      <c r="J149" s="44"/>
      <c r="K149" s="69">
        <v>6</v>
      </c>
      <c r="L149" s="68">
        <v>5</v>
      </c>
      <c r="M149" s="69">
        <v>7</v>
      </c>
      <c r="N149" s="44"/>
      <c r="O149" s="46"/>
      <c r="P149" s="46"/>
      <c r="Q149" s="4"/>
      <c r="R149" s="4"/>
      <c r="S149" s="4"/>
      <c r="T149" s="4"/>
      <c r="U149" s="4"/>
      <c r="V149" s="44"/>
      <c r="W149" s="44"/>
      <c r="X149" s="44"/>
      <c r="Y149" s="44"/>
      <c r="Z149" s="44"/>
      <c r="AA149" s="44"/>
      <c r="AB149" s="44"/>
      <c r="AC149" s="44"/>
      <c r="AD149" s="44"/>
      <c r="AE149" s="44"/>
      <c r="AF149" s="44"/>
      <c r="AG149" s="44"/>
      <c r="AH149" s="44"/>
      <c r="AI149" s="44"/>
      <c r="AJ149" s="4"/>
      <c r="AK149" s="4"/>
      <c r="AL149" s="4"/>
      <c r="AM149" s="4"/>
      <c r="AN149" s="4"/>
      <c r="AO149" s="4"/>
      <c r="AP149" s="4"/>
      <c r="AQ149" s="4"/>
      <c r="AR149" s="4"/>
      <c r="AS149" s="4"/>
      <c r="AT149" s="4"/>
      <c r="AU149" s="4"/>
      <c r="AV149" s="4"/>
      <c r="AW149" s="4"/>
    </row>
    <row r="150" spans="2:49" ht="23.25">
      <c r="B150" s="15">
        <f t="shared" si="1"/>
        <v>48</v>
      </c>
      <c r="C150" s="15">
        <v>3</v>
      </c>
      <c r="D150" s="16">
        <v>9</v>
      </c>
      <c r="E150" s="26">
        <v>5498</v>
      </c>
      <c r="F150" s="29"/>
      <c r="G150" s="74">
        <v>45172</v>
      </c>
      <c r="H150" s="44"/>
      <c r="I150" s="44"/>
      <c r="J150" s="68">
        <v>5</v>
      </c>
      <c r="K150" s="71">
        <v>14</v>
      </c>
      <c r="L150" s="44"/>
      <c r="M150" s="44"/>
      <c r="N150" s="44"/>
      <c r="O150" s="46"/>
      <c r="P150" s="46"/>
      <c r="Q150" s="4"/>
      <c r="R150" s="4"/>
      <c r="S150" s="4"/>
      <c r="T150" s="4"/>
      <c r="U150" s="4"/>
      <c r="V150" s="44"/>
      <c r="W150" s="44"/>
      <c r="X150" s="44"/>
      <c r="Y150" s="44"/>
      <c r="Z150" s="44"/>
      <c r="AA150" s="44"/>
      <c r="AB150" s="44"/>
      <c r="AC150" s="44"/>
      <c r="AD150" s="44"/>
      <c r="AE150" s="44"/>
      <c r="AF150" s="44"/>
      <c r="AG150" s="44"/>
      <c r="AH150" s="44"/>
      <c r="AI150" s="44"/>
      <c r="AJ150" s="4"/>
      <c r="AK150" s="4"/>
      <c r="AL150" s="4"/>
      <c r="AM150" s="4"/>
      <c r="AN150" s="4"/>
      <c r="AO150" s="4"/>
      <c r="AP150" s="4"/>
      <c r="AQ150" s="4"/>
      <c r="AR150" s="4"/>
      <c r="AS150" s="4"/>
      <c r="AT150" s="4"/>
      <c r="AU150" s="4"/>
      <c r="AV150" s="4"/>
      <c r="AW150" s="4"/>
    </row>
    <row r="151" spans="2:49" ht="23.25">
      <c r="B151" s="15">
        <f t="shared" si="1"/>
        <v>49</v>
      </c>
      <c r="C151" s="15">
        <v>3</v>
      </c>
      <c r="D151" s="16">
        <v>9</v>
      </c>
      <c r="E151" s="26">
        <v>7599</v>
      </c>
      <c r="F151" s="29"/>
      <c r="G151" s="74">
        <v>45247</v>
      </c>
      <c r="H151" s="44"/>
      <c r="I151" s="71">
        <v>7</v>
      </c>
      <c r="J151" s="44"/>
      <c r="K151" s="69">
        <v>5</v>
      </c>
      <c r="L151" s="44"/>
      <c r="M151" s="71">
        <v>14</v>
      </c>
      <c r="N151" s="44"/>
      <c r="O151" s="46"/>
      <c r="P151" s="46"/>
      <c r="Q151" s="4"/>
      <c r="R151" s="4"/>
      <c r="S151" s="4"/>
      <c r="T151" s="4"/>
      <c r="U151" s="4"/>
      <c r="V151" s="44"/>
      <c r="W151" s="44"/>
      <c r="X151" s="44"/>
      <c r="Y151" s="44"/>
      <c r="Z151" s="44"/>
      <c r="AA151" s="44"/>
      <c r="AB151" s="44"/>
      <c r="AC151" s="44"/>
      <c r="AD151" s="44"/>
      <c r="AE151" s="44"/>
      <c r="AF151" s="44"/>
      <c r="AG151" s="44"/>
      <c r="AH151" s="44"/>
      <c r="AI151" s="44"/>
      <c r="AJ151" s="4"/>
      <c r="AK151" s="4"/>
      <c r="AL151" s="4"/>
      <c r="AM151" s="4"/>
      <c r="AN151" s="4"/>
      <c r="AO151" s="4"/>
      <c r="AP151" s="4"/>
      <c r="AQ151" s="4"/>
      <c r="AR151" s="4"/>
      <c r="AS151" s="4"/>
      <c r="AT151" s="4"/>
      <c r="AU151" s="4"/>
      <c r="AV151" s="4"/>
      <c r="AW151" s="4"/>
    </row>
    <row r="152" spans="2:49" ht="23.25">
      <c r="B152" s="15">
        <f t="shared" si="1"/>
        <v>50</v>
      </c>
      <c r="C152" s="15">
        <v>3</v>
      </c>
      <c r="D152" s="16">
        <v>9</v>
      </c>
      <c r="E152" s="26">
        <v>16777</v>
      </c>
      <c r="F152" s="29"/>
      <c r="G152" s="74">
        <v>45219</v>
      </c>
      <c r="H152" s="44"/>
      <c r="I152" s="71">
        <v>7</v>
      </c>
      <c r="J152" s="71">
        <v>4</v>
      </c>
      <c r="K152" s="71">
        <v>12</v>
      </c>
      <c r="L152" s="71">
        <v>18</v>
      </c>
      <c r="M152" s="71">
        <v>5</v>
      </c>
      <c r="N152" s="44"/>
      <c r="O152" s="46"/>
      <c r="P152" s="46"/>
      <c r="Q152" s="4"/>
      <c r="R152" s="4"/>
      <c r="S152" s="4"/>
      <c r="T152" s="4"/>
      <c r="U152" s="4"/>
      <c r="V152" s="44"/>
      <c r="W152" s="44"/>
      <c r="X152" s="44"/>
      <c r="Y152" s="44"/>
      <c r="Z152" s="44"/>
      <c r="AA152" s="44"/>
      <c r="AB152" s="44"/>
      <c r="AC152" s="44"/>
      <c r="AD152" s="44"/>
      <c r="AE152" s="44"/>
      <c r="AF152" s="44"/>
      <c r="AG152" s="44"/>
      <c r="AH152" s="44"/>
      <c r="AI152" s="44"/>
      <c r="AJ152" s="4"/>
      <c r="AK152" s="4"/>
      <c r="AL152" s="4"/>
      <c r="AM152" s="4"/>
      <c r="AN152" s="4"/>
      <c r="AO152" s="4"/>
      <c r="AP152" s="4"/>
      <c r="AQ152" s="4"/>
      <c r="AR152" s="4"/>
      <c r="AS152" s="4"/>
      <c r="AT152" s="4"/>
      <c r="AU152" s="4"/>
      <c r="AV152" s="4"/>
      <c r="AW152" s="4"/>
    </row>
    <row r="153" spans="2:49" ht="23.25">
      <c r="B153" s="15">
        <f t="shared" si="1"/>
        <v>51</v>
      </c>
      <c r="C153" s="15">
        <v>3</v>
      </c>
      <c r="D153" s="16">
        <v>9</v>
      </c>
      <c r="E153" s="26">
        <v>106</v>
      </c>
      <c r="F153" s="29"/>
      <c r="G153" s="74">
        <v>45247</v>
      </c>
      <c r="H153" s="44"/>
      <c r="I153" s="44"/>
      <c r="J153" s="69">
        <v>1</v>
      </c>
      <c r="K153" s="44"/>
      <c r="L153" s="44"/>
      <c r="M153" s="68">
        <v>7</v>
      </c>
      <c r="N153" s="44"/>
      <c r="O153" s="46"/>
      <c r="P153" s="46"/>
      <c r="Q153" s="4"/>
      <c r="R153" s="4"/>
      <c r="S153" s="4"/>
      <c r="T153" s="4"/>
      <c r="U153" s="4"/>
      <c r="V153" s="44"/>
      <c r="W153" s="44"/>
      <c r="X153" s="44"/>
      <c r="Y153" s="44"/>
      <c r="Z153" s="44"/>
      <c r="AA153" s="44"/>
      <c r="AB153" s="44"/>
      <c r="AC153" s="44"/>
      <c r="AD153" s="44"/>
      <c r="AE153" s="44"/>
      <c r="AF153" s="44"/>
      <c r="AG153" s="44"/>
      <c r="AH153" s="44"/>
      <c r="AI153" s="44"/>
      <c r="AJ153" s="4"/>
      <c r="AK153" s="4"/>
      <c r="AL153" s="4"/>
      <c r="AM153" s="4"/>
      <c r="AN153" s="4"/>
      <c r="AO153" s="4"/>
      <c r="AP153" s="4"/>
      <c r="AQ153" s="4"/>
      <c r="AR153" s="4"/>
      <c r="AS153" s="4"/>
      <c r="AT153" s="4"/>
      <c r="AU153" s="4"/>
      <c r="AV153" s="4"/>
      <c r="AW153" s="4"/>
    </row>
    <row r="154" spans="2:49" ht="23.25">
      <c r="B154" s="15">
        <f t="shared" si="1"/>
        <v>52</v>
      </c>
      <c r="C154" s="15">
        <v>3</v>
      </c>
      <c r="D154" s="16">
        <v>9</v>
      </c>
      <c r="E154" s="26">
        <v>1975</v>
      </c>
      <c r="F154" s="29"/>
      <c r="G154" s="74">
        <v>45064</v>
      </c>
      <c r="H154" s="44"/>
      <c r="I154" s="44"/>
      <c r="J154" s="70">
        <v>8</v>
      </c>
      <c r="K154" s="71">
        <v>4</v>
      </c>
      <c r="L154" s="68">
        <v>16</v>
      </c>
      <c r="M154" s="44"/>
      <c r="N154" s="44"/>
      <c r="O154" s="46"/>
      <c r="P154" s="46"/>
      <c r="Q154" s="4"/>
      <c r="R154" s="4"/>
      <c r="S154" s="4"/>
      <c r="T154" s="4"/>
      <c r="U154" s="4"/>
      <c r="V154" s="44"/>
      <c r="W154" s="44"/>
      <c r="X154" s="44"/>
      <c r="Y154" s="44"/>
      <c r="Z154" s="44"/>
      <c r="AA154" s="44"/>
      <c r="AB154" s="44"/>
      <c r="AC154" s="44"/>
      <c r="AD154" s="44"/>
      <c r="AE154" s="44"/>
      <c r="AF154" s="44"/>
      <c r="AG154" s="44"/>
      <c r="AH154" s="44"/>
      <c r="AI154" s="44"/>
      <c r="AJ154" s="4"/>
      <c r="AK154" s="4"/>
      <c r="AL154" s="4"/>
      <c r="AM154" s="4"/>
      <c r="AN154" s="4"/>
      <c r="AO154" s="4"/>
      <c r="AP154" s="4"/>
      <c r="AQ154" s="4"/>
      <c r="AR154" s="4"/>
      <c r="AS154" s="4"/>
      <c r="AT154" s="4"/>
      <c r="AU154" s="4"/>
      <c r="AV154" s="4"/>
      <c r="AW154" s="4"/>
    </row>
    <row r="155" spans="2:49" ht="23.25">
      <c r="B155" s="15">
        <f t="shared" si="1"/>
        <v>53</v>
      </c>
      <c r="C155" s="15">
        <v>3</v>
      </c>
      <c r="D155" s="16">
        <v>9</v>
      </c>
      <c r="E155" s="26">
        <v>4761</v>
      </c>
      <c r="F155" s="29"/>
      <c r="G155" s="74">
        <v>45249</v>
      </c>
      <c r="H155" s="44"/>
      <c r="I155" s="71">
        <v>13</v>
      </c>
      <c r="J155" s="44"/>
      <c r="K155" s="44"/>
      <c r="L155" s="69">
        <v>15</v>
      </c>
      <c r="M155" s="44"/>
      <c r="N155" s="44"/>
      <c r="O155" s="46"/>
      <c r="P155" s="46"/>
      <c r="Q155" s="4"/>
      <c r="R155" s="4"/>
      <c r="S155" s="4"/>
      <c r="T155" s="4"/>
      <c r="U155" s="4"/>
      <c r="V155" s="44"/>
      <c r="W155" s="44"/>
      <c r="X155" s="44"/>
      <c r="Y155" s="44"/>
      <c r="Z155" s="44"/>
      <c r="AA155" s="44"/>
      <c r="AB155" s="44"/>
      <c r="AC155" s="44"/>
      <c r="AD155" s="44"/>
      <c r="AE155" s="44"/>
      <c r="AF155" s="44"/>
      <c r="AG155" s="44"/>
      <c r="AH155" s="44"/>
      <c r="AI155" s="44"/>
      <c r="AJ155" s="4"/>
      <c r="AK155" s="4"/>
      <c r="AL155" s="4"/>
      <c r="AM155" s="4"/>
      <c r="AN155" s="4"/>
      <c r="AO155" s="4"/>
      <c r="AP155" s="4"/>
      <c r="AQ155" s="4"/>
      <c r="AR155" s="4"/>
      <c r="AS155" s="4"/>
      <c r="AT155" s="4"/>
      <c r="AU155" s="4"/>
      <c r="AV155" s="4"/>
      <c r="AW155" s="4"/>
    </row>
    <row r="156" spans="2:49" ht="23.25">
      <c r="B156" s="15">
        <f t="shared" si="1"/>
        <v>54</v>
      </c>
      <c r="C156" s="15">
        <v>3</v>
      </c>
      <c r="D156" s="16">
        <v>9</v>
      </c>
      <c r="E156" s="26">
        <v>211</v>
      </c>
      <c r="F156" s="29"/>
      <c r="G156" s="74">
        <v>45057</v>
      </c>
      <c r="H156" s="44"/>
      <c r="I156" s="44"/>
      <c r="J156" s="68">
        <v>12</v>
      </c>
      <c r="K156" s="44"/>
      <c r="L156" s="44"/>
      <c r="M156" s="70">
        <v>15</v>
      </c>
      <c r="N156" s="44"/>
      <c r="O156" s="46"/>
      <c r="P156" s="46"/>
      <c r="Q156" s="4"/>
      <c r="R156" s="4"/>
      <c r="S156" s="4"/>
      <c r="T156" s="4"/>
      <c r="U156" s="4"/>
      <c r="V156" s="44"/>
      <c r="W156" s="44"/>
      <c r="X156" s="44"/>
      <c r="Y156" s="44"/>
      <c r="Z156" s="44"/>
      <c r="AA156" s="44"/>
      <c r="AB156" s="44"/>
      <c r="AC156" s="44"/>
      <c r="AD156" s="44"/>
      <c r="AE156" s="44"/>
      <c r="AF156" s="44"/>
      <c r="AG156" s="44"/>
      <c r="AH156" s="44"/>
      <c r="AI156" s="44"/>
      <c r="AJ156" s="4"/>
      <c r="AK156" s="4"/>
      <c r="AL156" s="4"/>
      <c r="AM156" s="4"/>
      <c r="AN156" s="4"/>
      <c r="AO156" s="4"/>
      <c r="AP156" s="4"/>
      <c r="AQ156" s="4"/>
      <c r="AR156" s="4"/>
      <c r="AS156" s="4"/>
      <c r="AT156" s="4"/>
      <c r="AU156" s="4"/>
      <c r="AV156" s="4"/>
      <c r="AW156" s="4"/>
    </row>
    <row r="157" spans="2:49" ht="23.25">
      <c r="B157" s="15">
        <f t="shared" si="1"/>
        <v>55</v>
      </c>
      <c r="C157" s="15">
        <v>3</v>
      </c>
      <c r="D157" s="16">
        <v>9</v>
      </c>
      <c r="E157" s="26">
        <v>7720</v>
      </c>
      <c r="F157" s="29"/>
      <c r="G157" s="74">
        <v>45064</v>
      </c>
      <c r="H157" s="44"/>
      <c r="I157" s="70">
        <v>17</v>
      </c>
      <c r="J157" s="68">
        <v>2</v>
      </c>
      <c r="K157" s="71">
        <v>18</v>
      </c>
      <c r="L157" s="70">
        <v>4</v>
      </c>
      <c r="M157" s="44"/>
      <c r="N157" s="44"/>
      <c r="O157" s="46"/>
      <c r="P157" s="46"/>
      <c r="Q157" s="4"/>
      <c r="R157" s="4"/>
      <c r="S157" s="4"/>
      <c r="T157" s="4"/>
      <c r="U157" s="4"/>
      <c r="V157" s="44"/>
      <c r="W157" s="44"/>
      <c r="X157" s="44"/>
      <c r="Y157" s="44"/>
      <c r="Z157" s="44"/>
      <c r="AA157" s="44"/>
      <c r="AB157" s="44"/>
      <c r="AC157" s="44"/>
      <c r="AD157" s="44"/>
      <c r="AE157" s="44"/>
      <c r="AF157" s="44"/>
      <c r="AG157" s="44"/>
      <c r="AH157" s="44"/>
      <c r="AI157" s="44"/>
      <c r="AJ157" s="4"/>
      <c r="AK157" s="4"/>
      <c r="AL157" s="4"/>
      <c r="AM157" s="4"/>
      <c r="AN157" s="4"/>
      <c r="AO157" s="4"/>
      <c r="AP157" s="4"/>
      <c r="AQ157" s="4"/>
      <c r="AR157" s="4"/>
      <c r="AS157" s="4"/>
      <c r="AT157" s="4"/>
      <c r="AU157" s="4"/>
      <c r="AV157" s="4"/>
      <c r="AW157" s="4"/>
    </row>
    <row r="158" spans="2:49" ht="23.25">
      <c r="B158" s="15">
        <f t="shared" si="1"/>
        <v>56</v>
      </c>
      <c r="C158" s="15">
        <v>3</v>
      </c>
      <c r="D158" s="16">
        <v>9</v>
      </c>
      <c r="E158" s="26">
        <v>5803</v>
      </c>
      <c r="F158" s="29"/>
      <c r="G158" s="74">
        <v>45222</v>
      </c>
      <c r="H158" s="44"/>
      <c r="I158" s="71">
        <v>16</v>
      </c>
      <c r="J158" s="44"/>
      <c r="K158" s="44"/>
      <c r="L158" s="44"/>
      <c r="M158" s="69">
        <v>10</v>
      </c>
      <c r="N158" s="44"/>
      <c r="O158" s="46"/>
      <c r="P158" s="46"/>
      <c r="Q158" s="4"/>
      <c r="R158" s="4"/>
      <c r="S158" s="4"/>
      <c r="T158" s="4"/>
      <c r="U158" s="4"/>
      <c r="V158" s="44"/>
      <c r="W158" s="44"/>
      <c r="X158" s="44"/>
      <c r="Y158" s="44"/>
      <c r="Z158" s="44"/>
      <c r="AA158" s="44"/>
      <c r="AB158" s="44"/>
      <c r="AC158" s="44"/>
      <c r="AD158" s="44"/>
      <c r="AE158" s="44"/>
      <c r="AF158" s="44"/>
      <c r="AG158" s="44"/>
      <c r="AH158" s="44"/>
      <c r="AI158" s="44"/>
      <c r="AJ158" s="4"/>
      <c r="AK158" s="4"/>
      <c r="AL158" s="4"/>
      <c r="AM158" s="4"/>
      <c r="AN158" s="4"/>
      <c r="AO158" s="4"/>
      <c r="AP158" s="4"/>
      <c r="AQ158" s="4"/>
      <c r="AR158" s="4"/>
      <c r="AS158" s="4"/>
      <c r="AT158" s="4"/>
      <c r="AU158" s="4"/>
      <c r="AV158" s="4"/>
      <c r="AW158" s="4"/>
    </row>
    <row r="159" spans="2:49" ht="23.25">
      <c r="B159" s="15">
        <f t="shared" si="1"/>
        <v>57</v>
      </c>
      <c r="C159" s="15">
        <v>3</v>
      </c>
      <c r="D159" s="16">
        <v>9</v>
      </c>
      <c r="E159" s="26">
        <v>11630</v>
      </c>
      <c r="F159" s="29"/>
      <c r="G159" s="74">
        <v>45142</v>
      </c>
      <c r="H159" s="44"/>
      <c r="I159" s="68">
        <v>2</v>
      </c>
      <c r="J159" s="71">
        <v>14</v>
      </c>
      <c r="K159" s="70">
        <v>4</v>
      </c>
      <c r="L159" s="71">
        <v>16</v>
      </c>
      <c r="M159" s="44"/>
      <c r="N159" s="44"/>
      <c r="O159" s="46"/>
      <c r="P159" s="46"/>
      <c r="Q159" s="4"/>
      <c r="R159" s="4"/>
      <c r="S159" s="4"/>
      <c r="T159" s="4"/>
      <c r="U159" s="4"/>
      <c r="V159" s="44"/>
      <c r="W159" s="44"/>
      <c r="X159" s="44"/>
      <c r="Y159" s="44"/>
      <c r="Z159" s="44"/>
      <c r="AA159" s="44"/>
      <c r="AB159" s="44"/>
      <c r="AC159" s="44"/>
      <c r="AD159" s="44"/>
      <c r="AE159" s="44"/>
      <c r="AF159" s="44"/>
      <c r="AG159" s="44"/>
      <c r="AH159" s="44"/>
      <c r="AI159" s="44"/>
      <c r="AJ159" s="4"/>
      <c r="AK159" s="4"/>
      <c r="AL159" s="4"/>
      <c r="AM159" s="4"/>
      <c r="AN159" s="4"/>
      <c r="AO159" s="4"/>
      <c r="AP159" s="4"/>
      <c r="AQ159" s="4"/>
      <c r="AR159" s="4"/>
      <c r="AS159" s="4"/>
      <c r="AT159" s="4"/>
      <c r="AU159" s="4"/>
      <c r="AV159" s="4"/>
      <c r="AW159" s="4"/>
    </row>
    <row r="160" spans="2:49" ht="23.25">
      <c r="B160" s="15">
        <f t="shared" si="1"/>
        <v>58</v>
      </c>
      <c r="C160" s="15">
        <v>3</v>
      </c>
      <c r="D160" s="16">
        <v>9</v>
      </c>
      <c r="E160" s="26">
        <v>3202</v>
      </c>
      <c r="F160" s="29"/>
      <c r="G160" s="74">
        <v>45156</v>
      </c>
      <c r="H160" s="44"/>
      <c r="I160" s="44"/>
      <c r="J160" s="44"/>
      <c r="K160" s="68">
        <v>2</v>
      </c>
      <c r="L160" s="70">
        <v>17</v>
      </c>
      <c r="M160" s="71">
        <v>8</v>
      </c>
      <c r="N160" s="44"/>
      <c r="O160" s="46"/>
      <c r="P160" s="46"/>
      <c r="Q160" s="4"/>
      <c r="R160" s="4"/>
      <c r="S160" s="4"/>
      <c r="T160" s="4"/>
      <c r="U160" s="4"/>
      <c r="V160" s="44"/>
      <c r="W160" s="44"/>
      <c r="X160" s="44"/>
      <c r="Y160" s="44"/>
      <c r="Z160" s="44"/>
      <c r="AA160" s="44"/>
      <c r="AB160" s="44"/>
      <c r="AC160" s="44"/>
      <c r="AD160" s="44"/>
      <c r="AE160" s="44"/>
      <c r="AF160" s="44"/>
      <c r="AG160" s="44"/>
      <c r="AH160" s="44"/>
      <c r="AI160" s="44"/>
      <c r="AJ160" s="4"/>
      <c r="AK160" s="4"/>
      <c r="AL160" s="4"/>
      <c r="AM160" s="4"/>
      <c r="AN160" s="4"/>
      <c r="AO160" s="4"/>
      <c r="AP160" s="4"/>
      <c r="AQ160" s="4"/>
      <c r="AR160" s="4"/>
      <c r="AS160" s="4"/>
      <c r="AT160" s="4"/>
      <c r="AU160" s="4"/>
      <c r="AV160" s="4"/>
      <c r="AW160" s="4"/>
    </row>
    <row r="161" spans="2:49" ht="23.25">
      <c r="B161" s="15">
        <f t="shared" si="1"/>
        <v>59</v>
      </c>
      <c r="C161" s="15">
        <v>3</v>
      </c>
      <c r="D161" s="16">
        <v>9</v>
      </c>
      <c r="E161" s="26">
        <v>1686</v>
      </c>
      <c r="F161" s="29"/>
      <c r="G161" s="74">
        <v>45050</v>
      </c>
      <c r="H161" s="44"/>
      <c r="I161" s="44"/>
      <c r="J161" s="70">
        <v>13</v>
      </c>
      <c r="K161" s="44"/>
      <c r="L161" s="71">
        <v>4</v>
      </c>
      <c r="M161" s="44"/>
      <c r="N161" s="44"/>
      <c r="O161" s="46"/>
      <c r="P161" s="46"/>
      <c r="Q161" s="4"/>
      <c r="R161" s="4"/>
      <c r="S161" s="4"/>
      <c r="T161" s="4"/>
      <c r="U161" s="4"/>
      <c r="V161" s="44"/>
      <c r="W161" s="44"/>
      <c r="X161" s="44"/>
      <c r="Y161" s="44"/>
      <c r="Z161" s="44"/>
      <c r="AA161" s="44"/>
      <c r="AB161" s="44"/>
      <c r="AC161" s="44"/>
      <c r="AD161" s="44"/>
      <c r="AE161" s="44"/>
      <c r="AF161" s="44"/>
      <c r="AG161" s="44"/>
      <c r="AH161" s="44"/>
      <c r="AI161" s="44"/>
      <c r="AJ161" s="4"/>
      <c r="AK161" s="4"/>
      <c r="AL161" s="4"/>
      <c r="AM161" s="4"/>
      <c r="AN161" s="4"/>
      <c r="AO161" s="4"/>
      <c r="AP161" s="4"/>
      <c r="AQ161" s="4"/>
      <c r="AR161" s="4"/>
      <c r="AS161" s="4"/>
      <c r="AT161" s="4"/>
      <c r="AU161" s="4"/>
      <c r="AV161" s="4"/>
      <c r="AW161" s="4"/>
    </row>
    <row r="162" spans="2:49" ht="23.25">
      <c r="B162" s="15">
        <f t="shared" si="1"/>
        <v>60</v>
      </c>
      <c r="C162" s="15">
        <v>3</v>
      </c>
      <c r="D162" s="16">
        <v>9</v>
      </c>
      <c r="E162" s="26">
        <v>860</v>
      </c>
      <c r="F162" s="29"/>
      <c r="G162" s="74">
        <v>45206</v>
      </c>
      <c r="H162" s="44"/>
      <c r="I162" s="69">
        <v>10</v>
      </c>
      <c r="J162" s="68">
        <v>12</v>
      </c>
      <c r="K162" s="69">
        <v>13</v>
      </c>
      <c r="L162" s="67">
        <v>11</v>
      </c>
      <c r="M162" s="69">
        <v>12</v>
      </c>
      <c r="N162" s="44"/>
      <c r="O162" s="46"/>
      <c r="P162" s="46"/>
      <c r="Q162" s="4"/>
      <c r="R162" s="4"/>
      <c r="S162" s="4"/>
      <c r="T162" s="4"/>
      <c r="U162" s="4"/>
      <c r="V162" s="44"/>
      <c r="W162" s="44"/>
      <c r="X162" s="44"/>
      <c r="Y162" s="44"/>
      <c r="Z162" s="44"/>
      <c r="AA162" s="44"/>
      <c r="AB162" s="44"/>
      <c r="AC162" s="44"/>
      <c r="AD162" s="44"/>
      <c r="AE162" s="44"/>
      <c r="AF162" s="44"/>
      <c r="AG162" s="44"/>
      <c r="AH162" s="44"/>
      <c r="AI162" s="44"/>
      <c r="AJ162" s="4"/>
      <c r="AK162" s="4"/>
      <c r="AL162" s="4"/>
      <c r="AM162" s="4"/>
      <c r="AN162" s="4"/>
      <c r="AO162" s="4"/>
      <c r="AP162" s="4"/>
      <c r="AQ162" s="4"/>
      <c r="AR162" s="4"/>
      <c r="AS162" s="4"/>
      <c r="AT162" s="4"/>
      <c r="AU162" s="4"/>
      <c r="AV162" s="4"/>
      <c r="AW162" s="4"/>
    </row>
    <row r="163" spans="2:49" ht="15.75">
      <c r="B163" s="4"/>
      <c r="C163" s="4"/>
      <c r="D163" s="4"/>
      <c r="E163" s="33"/>
      <c r="F163" s="5"/>
      <c r="G163" s="46"/>
      <c r="H163" s="46"/>
      <c r="I163" s="46"/>
      <c r="J163" s="46"/>
      <c r="K163" s="46"/>
      <c r="L163" s="46"/>
      <c r="M163" s="46"/>
      <c r="N163" s="46"/>
      <c r="O163" s="46"/>
      <c r="P163" s="46"/>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row>
    <row r="164" spans="2:49" ht="16.5" thickBot="1">
      <c r="B164" s="4"/>
      <c r="C164" s="4"/>
      <c r="D164" s="4"/>
      <c r="E164" s="33"/>
      <c r="F164" s="5"/>
      <c r="G164" s="46"/>
      <c r="H164" s="46"/>
      <c r="I164" s="46"/>
      <c r="J164" s="46"/>
      <c r="K164" s="46"/>
      <c r="L164" s="46"/>
      <c r="M164" s="46"/>
      <c r="N164" s="46"/>
      <c r="O164" s="46"/>
      <c r="P164" s="46"/>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row>
    <row r="165" spans="2:49" ht="20.25" thickTop="1" thickBot="1">
      <c r="B165" s="19" t="s">
        <v>101</v>
      </c>
      <c r="C165" s="9" t="s">
        <v>78</v>
      </c>
      <c r="D165" s="4"/>
      <c r="E165" s="33"/>
      <c r="F165" s="5"/>
      <c r="G165" s="45"/>
      <c r="H165" s="45"/>
      <c r="I165" s="45"/>
      <c r="J165" s="46"/>
      <c r="K165" s="46"/>
      <c r="L165" s="46"/>
      <c r="M165" s="46"/>
      <c r="N165" s="46"/>
      <c r="O165" s="46"/>
      <c r="P165" s="46"/>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row>
    <row r="166" spans="2:49" ht="16.5" thickTop="1">
      <c r="B166" s="18"/>
      <c r="C166" s="4"/>
      <c r="D166" s="4"/>
      <c r="E166" s="33"/>
      <c r="F166" s="5"/>
      <c r="G166" s="45"/>
      <c r="H166" s="45"/>
      <c r="I166" s="45"/>
      <c r="J166" s="46"/>
      <c r="K166" s="46"/>
      <c r="L166" s="46"/>
      <c r="M166" s="46"/>
      <c r="N166" s="46"/>
      <c r="O166" s="46"/>
      <c r="P166" s="46"/>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row>
    <row r="167" spans="2:49" ht="15.75">
      <c r="B167" s="18" t="s">
        <v>102</v>
      </c>
      <c r="C167" s="1"/>
      <c r="D167" s="1"/>
      <c r="E167" s="31"/>
      <c r="G167" s="46"/>
      <c r="H167" s="46"/>
      <c r="I167" s="46"/>
      <c r="J167" s="46"/>
      <c r="K167" s="46"/>
      <c r="L167" s="46"/>
      <c r="M167" s="46"/>
      <c r="N167" s="46"/>
      <c r="O167" s="46"/>
      <c r="P167" s="46"/>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row>
    <row r="168" spans="2:49" ht="15.75">
      <c r="B168" s="18"/>
      <c r="C168" s="1"/>
      <c r="D168" s="1"/>
      <c r="E168" s="31"/>
      <c r="G168" s="46"/>
      <c r="H168" s="46"/>
      <c r="I168" s="46"/>
      <c r="J168" s="46"/>
      <c r="K168" s="46"/>
      <c r="L168" s="46"/>
      <c r="M168" s="46"/>
      <c r="N168" s="46"/>
      <c r="O168" s="46"/>
      <c r="P168" s="46"/>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row>
    <row r="169" spans="2:49" ht="15.75">
      <c r="B169" s="18" t="s">
        <v>103</v>
      </c>
      <c r="C169" s="1"/>
      <c r="D169" s="1"/>
      <c r="E169" s="31"/>
      <c r="G169" s="46"/>
      <c r="H169" s="46"/>
      <c r="I169" s="46"/>
      <c r="J169" s="46"/>
      <c r="K169" s="46"/>
      <c r="L169" s="46"/>
      <c r="M169" s="46"/>
      <c r="N169" s="46"/>
      <c r="O169" s="46"/>
      <c r="P169" s="46"/>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row>
    <row r="170" spans="2:49" ht="15.75">
      <c r="B170" s="18"/>
      <c r="C170" s="64" t="s">
        <v>90</v>
      </c>
      <c r="D170" s="1"/>
      <c r="E170" s="31"/>
      <c r="G170" s="46"/>
      <c r="H170" s="46"/>
      <c r="I170" s="46"/>
      <c r="J170" s="46"/>
      <c r="K170" s="46"/>
      <c r="L170" s="46"/>
      <c r="M170" s="46"/>
      <c r="N170" s="46"/>
      <c r="O170" s="46"/>
      <c r="P170" s="46"/>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row>
    <row r="171" spans="2:49" ht="15.75">
      <c r="B171" s="18"/>
      <c r="C171" s="64" t="s">
        <v>104</v>
      </c>
      <c r="D171" s="1"/>
      <c r="E171" s="31"/>
      <c r="G171" s="46"/>
      <c r="H171" s="46"/>
      <c r="I171" s="46"/>
      <c r="J171" s="46"/>
      <c r="K171" s="46"/>
      <c r="L171" s="46"/>
      <c r="M171" s="46"/>
      <c r="N171" s="46"/>
      <c r="O171" s="46"/>
      <c r="P171" s="46"/>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row>
    <row r="172" spans="2:49" ht="16.5" thickBot="1">
      <c r="B172" s="4"/>
      <c r="C172" s="4"/>
      <c r="D172" s="4"/>
      <c r="E172" s="33"/>
      <c r="F172" s="5"/>
      <c r="G172" s="44"/>
      <c r="H172" s="44"/>
      <c r="I172" s="46"/>
      <c r="J172" s="46"/>
      <c r="K172" s="46"/>
      <c r="L172" s="46"/>
      <c r="M172" s="46"/>
      <c r="N172" s="46"/>
      <c r="O172" s="46"/>
      <c r="P172" s="46"/>
      <c r="Q172" s="44"/>
      <c r="R172" s="44"/>
      <c r="S172" s="44"/>
      <c r="T172" s="44"/>
      <c r="U172" s="44"/>
      <c r="V172" s="44"/>
      <c r="W172" s="44"/>
      <c r="X172" s="44"/>
      <c r="Y172" s="44"/>
      <c r="Z172" s="44"/>
      <c r="AA172" s="44"/>
      <c r="AB172" s="44"/>
      <c r="AC172" s="44"/>
      <c r="AD172" s="44"/>
      <c r="AE172" s="44"/>
      <c r="AF172" s="44"/>
      <c r="AG172" s="44"/>
      <c r="AH172" s="44"/>
      <c r="AI172" s="44"/>
      <c r="AJ172" s="4"/>
      <c r="AK172" s="4"/>
      <c r="AL172" s="4"/>
      <c r="AM172" s="4"/>
      <c r="AN172" s="4"/>
      <c r="AO172" s="4"/>
      <c r="AP172" s="4"/>
      <c r="AQ172" s="4"/>
      <c r="AR172" s="4"/>
      <c r="AS172" s="4"/>
      <c r="AT172" s="4"/>
      <c r="AU172" s="4"/>
      <c r="AV172" s="4"/>
      <c r="AW172" s="4"/>
    </row>
    <row r="173" spans="2:49" ht="25.5" customHeight="1" thickTop="1" thickBot="1">
      <c r="B173" s="17" t="s">
        <v>41</v>
      </c>
      <c r="C173" s="17" t="s">
        <v>74</v>
      </c>
      <c r="D173" s="17" t="s">
        <v>43</v>
      </c>
      <c r="E173" s="36" t="s">
        <v>44</v>
      </c>
      <c r="G173" s="49" t="s">
        <v>105</v>
      </c>
      <c r="H173" s="44"/>
      <c r="I173" s="46"/>
      <c r="J173" s="46"/>
      <c r="K173" s="46"/>
      <c r="L173" s="46"/>
      <c r="M173" s="46"/>
      <c r="N173" s="46"/>
      <c r="O173" s="46"/>
      <c r="P173" s="46"/>
      <c r="Q173" s="44"/>
      <c r="R173" s="44"/>
      <c r="S173" s="44"/>
      <c r="T173" s="44"/>
      <c r="U173" s="44"/>
      <c r="V173" s="44"/>
      <c r="W173" s="44"/>
      <c r="X173" s="44"/>
      <c r="Y173" s="44"/>
      <c r="Z173" s="44"/>
      <c r="AA173" s="44"/>
      <c r="AB173" s="44"/>
      <c r="AC173" s="44"/>
      <c r="AD173" s="44"/>
      <c r="AE173" s="44"/>
      <c r="AF173" s="44"/>
      <c r="AG173" s="44"/>
      <c r="AH173" s="44"/>
      <c r="AI173" s="44"/>
      <c r="AJ173" s="4"/>
      <c r="AK173" s="4"/>
      <c r="AL173" s="4"/>
      <c r="AM173" s="4"/>
      <c r="AN173" s="4"/>
      <c r="AO173" s="4"/>
      <c r="AP173" s="4"/>
      <c r="AQ173" s="4"/>
      <c r="AR173" s="4"/>
      <c r="AS173" s="4"/>
      <c r="AT173" s="4"/>
      <c r="AU173" s="4"/>
      <c r="AV173" s="4"/>
      <c r="AW173" s="4"/>
    </row>
    <row r="174" spans="2:49" ht="16.5" thickTop="1">
      <c r="B174" s="1"/>
      <c r="C174" s="1"/>
      <c r="D174" s="1"/>
      <c r="E174" s="31"/>
      <c r="H174" s="44"/>
      <c r="I174" s="46"/>
      <c r="J174" s="46"/>
      <c r="K174" s="46"/>
      <c r="L174" s="46"/>
      <c r="M174" s="46"/>
      <c r="N174" s="46"/>
      <c r="O174" s="46"/>
      <c r="P174" s="46"/>
      <c r="Q174" s="44"/>
      <c r="R174" s="44"/>
      <c r="S174" s="44"/>
      <c r="T174" s="44"/>
      <c r="U174" s="44"/>
      <c r="V174" s="44"/>
      <c r="W174" s="44"/>
      <c r="X174" s="44"/>
      <c r="Y174" s="44"/>
      <c r="Z174" s="44"/>
      <c r="AA174" s="44"/>
      <c r="AB174" s="44"/>
      <c r="AC174" s="44"/>
      <c r="AD174" s="44"/>
      <c r="AE174" s="44"/>
      <c r="AF174" s="44"/>
      <c r="AG174" s="44"/>
      <c r="AH174" s="44"/>
      <c r="AI174" s="44"/>
      <c r="AJ174" s="4"/>
      <c r="AK174" s="4"/>
      <c r="AL174" s="4"/>
      <c r="AM174" s="4"/>
      <c r="AN174" s="4"/>
      <c r="AO174" s="4"/>
      <c r="AP174" s="4"/>
      <c r="AQ174" s="4"/>
      <c r="AR174" s="4"/>
      <c r="AS174" s="4"/>
      <c r="AT174" s="4"/>
      <c r="AU174" s="4"/>
      <c r="AV174" s="4"/>
      <c r="AW174" s="4"/>
    </row>
    <row r="175" spans="2:49" ht="23.25">
      <c r="B175" s="15" t="s">
        <v>107</v>
      </c>
      <c r="C175" s="15">
        <v>4</v>
      </c>
      <c r="D175" s="16">
        <v>0</v>
      </c>
      <c r="E175" s="26">
        <v>10</v>
      </c>
      <c r="F175" s="29"/>
      <c r="G175" s="62" t="s">
        <v>108</v>
      </c>
      <c r="H175" s="44"/>
      <c r="I175" s="46"/>
      <c r="J175" s="46"/>
      <c r="K175" s="46"/>
      <c r="L175" s="46"/>
      <c r="M175" s="46"/>
      <c r="N175" s="46"/>
      <c r="O175" s="46"/>
      <c r="P175" s="46"/>
      <c r="Q175" s="44"/>
      <c r="R175" s="44"/>
      <c r="S175" s="44"/>
      <c r="T175" s="44"/>
      <c r="U175" s="44"/>
      <c r="V175" s="44"/>
      <c r="W175" s="44"/>
      <c r="X175" s="44"/>
      <c r="Y175" s="44"/>
      <c r="Z175" s="44"/>
      <c r="AA175" s="44"/>
      <c r="AB175" s="44"/>
      <c r="AC175" s="44"/>
      <c r="AD175" s="44"/>
      <c r="AE175" s="44"/>
      <c r="AF175" s="44"/>
      <c r="AG175" s="44"/>
      <c r="AH175" s="44"/>
      <c r="AI175" s="44"/>
      <c r="AJ175" s="4"/>
      <c r="AK175" s="4"/>
      <c r="AL175" s="4"/>
      <c r="AM175" s="4"/>
      <c r="AN175" s="4"/>
      <c r="AO175" s="4"/>
      <c r="AP175" s="4"/>
      <c r="AQ175" s="4"/>
      <c r="AR175" s="4"/>
      <c r="AS175" s="4"/>
      <c r="AT175" s="4"/>
      <c r="AU175" s="4"/>
      <c r="AV175" s="4"/>
      <c r="AW175" s="4"/>
    </row>
    <row r="176" spans="2:49" ht="15.75">
      <c r="B176" s="1"/>
      <c r="C176" s="1"/>
      <c r="D176" s="1"/>
      <c r="E176" s="31"/>
      <c r="G176" s="48"/>
      <c r="H176" s="44"/>
      <c r="I176" s="46"/>
      <c r="J176" s="46"/>
      <c r="K176" s="46"/>
      <c r="L176" s="46"/>
      <c r="M176" s="46"/>
      <c r="N176" s="46"/>
      <c r="O176" s="46"/>
      <c r="P176" s="46"/>
      <c r="Q176" s="44"/>
      <c r="R176" s="44"/>
      <c r="S176" s="44"/>
      <c r="T176" s="44"/>
      <c r="U176" s="44"/>
      <c r="V176" s="44"/>
      <c r="W176" s="44"/>
      <c r="X176" s="44"/>
      <c r="Y176" s="44"/>
      <c r="Z176" s="44"/>
      <c r="AA176" s="44"/>
      <c r="AB176" s="44"/>
      <c r="AC176" s="44"/>
      <c r="AD176" s="44"/>
      <c r="AE176" s="44"/>
      <c r="AF176" s="44"/>
      <c r="AG176" s="44"/>
      <c r="AH176" s="44"/>
      <c r="AI176" s="44"/>
      <c r="AJ176" s="4"/>
      <c r="AK176" s="4"/>
      <c r="AL176" s="4"/>
      <c r="AM176" s="4"/>
      <c r="AN176" s="4"/>
      <c r="AO176" s="4"/>
      <c r="AP176" s="4"/>
      <c r="AQ176" s="4"/>
      <c r="AR176" s="4"/>
      <c r="AS176" s="4"/>
      <c r="AT176" s="4"/>
      <c r="AU176" s="4"/>
      <c r="AV176" s="4"/>
      <c r="AW176" s="4"/>
    </row>
    <row r="177" spans="2:49" ht="23.25">
      <c r="B177" s="15">
        <v>61</v>
      </c>
      <c r="C177" s="15">
        <v>4</v>
      </c>
      <c r="D177" s="16">
        <v>10</v>
      </c>
      <c r="E177" s="26">
        <v>292</v>
      </c>
      <c r="F177" s="29"/>
      <c r="G177" s="62" t="s">
        <v>109</v>
      </c>
      <c r="H177" s="44"/>
      <c r="I177" s="46"/>
      <c r="J177" s="46"/>
      <c r="K177" s="46"/>
      <c r="L177" s="46"/>
      <c r="M177" s="46"/>
      <c r="N177" s="46"/>
      <c r="O177" s="46"/>
      <c r="P177" s="46"/>
      <c r="Q177" s="44"/>
      <c r="R177" s="44"/>
      <c r="S177" s="44"/>
      <c r="T177" s="44"/>
      <c r="U177" s="44"/>
      <c r="V177" s="44"/>
      <c r="W177" s="44"/>
      <c r="X177" s="44"/>
      <c r="Y177" s="44"/>
      <c r="Z177" s="44"/>
      <c r="AA177" s="44"/>
      <c r="AB177" s="44"/>
      <c r="AC177" s="44"/>
      <c r="AD177" s="44"/>
      <c r="AE177" s="44"/>
      <c r="AF177" s="44"/>
      <c r="AG177" s="44"/>
      <c r="AH177" s="44"/>
      <c r="AI177" s="44"/>
      <c r="AJ177" s="4"/>
      <c r="AK177" s="4"/>
      <c r="AL177" s="4"/>
      <c r="AM177" s="4"/>
      <c r="AN177" s="4"/>
      <c r="AO177" s="4"/>
      <c r="AP177" s="4"/>
      <c r="AQ177" s="4"/>
      <c r="AR177" s="4"/>
      <c r="AS177" s="4"/>
      <c r="AT177" s="4"/>
      <c r="AU177" s="4"/>
      <c r="AV177" s="4"/>
      <c r="AW177" s="4"/>
    </row>
    <row r="178" spans="2:49" ht="23.25">
      <c r="B178" s="15">
        <f t="shared" ref="B178:B196" si="2">B177+1</f>
        <v>62</v>
      </c>
      <c r="C178" s="15">
        <v>4</v>
      </c>
      <c r="D178" s="16">
        <v>10</v>
      </c>
      <c r="E178" s="26">
        <v>142</v>
      </c>
      <c r="F178" s="29"/>
      <c r="G178" s="62" t="s">
        <v>110</v>
      </c>
      <c r="H178" s="44"/>
      <c r="I178" s="46"/>
      <c r="J178" s="46"/>
      <c r="K178" s="46"/>
      <c r="L178" s="46"/>
      <c r="M178" s="46"/>
      <c r="N178" s="46"/>
      <c r="O178" s="46"/>
      <c r="P178" s="46"/>
      <c r="Q178" s="44"/>
      <c r="R178" s="44"/>
      <c r="S178" s="44"/>
      <c r="T178" s="44"/>
      <c r="U178" s="44"/>
      <c r="V178" s="44"/>
      <c r="W178" s="44"/>
      <c r="X178" s="44"/>
      <c r="Y178" s="44"/>
      <c r="Z178" s="44"/>
      <c r="AA178" s="44"/>
      <c r="AB178" s="44"/>
      <c r="AC178" s="44"/>
      <c r="AD178" s="44"/>
      <c r="AE178" s="44"/>
      <c r="AF178" s="44"/>
      <c r="AG178" s="44"/>
      <c r="AH178" s="44"/>
      <c r="AI178" s="44"/>
      <c r="AJ178" s="4"/>
      <c r="AK178" s="4"/>
      <c r="AL178" s="4"/>
      <c r="AM178" s="4"/>
      <c r="AN178" s="4"/>
      <c r="AO178" s="4"/>
      <c r="AP178" s="4"/>
      <c r="AQ178" s="4"/>
      <c r="AR178" s="4"/>
      <c r="AS178" s="4"/>
      <c r="AT178" s="4"/>
      <c r="AU178" s="4"/>
      <c r="AV178" s="4"/>
      <c r="AW178" s="4"/>
    </row>
    <row r="179" spans="2:49" ht="23.25">
      <c r="B179" s="15">
        <f t="shared" si="2"/>
        <v>63</v>
      </c>
      <c r="C179" s="15">
        <v>4</v>
      </c>
      <c r="D179" s="16">
        <v>10</v>
      </c>
      <c r="E179" s="26">
        <v>175</v>
      </c>
      <c r="F179" s="29"/>
      <c r="G179" s="62" t="s">
        <v>111</v>
      </c>
      <c r="H179" s="44"/>
      <c r="I179" s="46"/>
      <c r="J179" s="46"/>
      <c r="K179" s="46"/>
      <c r="L179" s="46"/>
      <c r="M179" s="46"/>
      <c r="N179" s="46"/>
      <c r="O179" s="46"/>
      <c r="P179" s="46"/>
      <c r="Q179" s="44"/>
      <c r="R179" s="44"/>
      <c r="S179" s="44"/>
      <c r="T179" s="44"/>
      <c r="U179" s="44"/>
      <c r="V179" s="44"/>
      <c r="W179" s="44"/>
      <c r="X179" s="44"/>
      <c r="Y179" s="44"/>
      <c r="Z179" s="44"/>
      <c r="AA179" s="44"/>
      <c r="AB179" s="44"/>
      <c r="AC179" s="44"/>
      <c r="AD179" s="44"/>
      <c r="AE179" s="44"/>
      <c r="AF179" s="44"/>
      <c r="AG179" s="44"/>
      <c r="AH179" s="44"/>
      <c r="AI179" s="44"/>
      <c r="AJ179" s="4"/>
      <c r="AK179" s="4"/>
      <c r="AL179" s="4"/>
      <c r="AM179" s="4"/>
      <c r="AN179" s="4"/>
      <c r="AO179" s="4"/>
      <c r="AP179" s="4"/>
      <c r="AQ179" s="4"/>
      <c r="AR179" s="4"/>
      <c r="AS179" s="4"/>
      <c r="AT179" s="4"/>
      <c r="AU179" s="4"/>
      <c r="AV179" s="4"/>
      <c r="AW179" s="4"/>
    </row>
    <row r="180" spans="2:49" ht="23.25">
      <c r="B180" s="15">
        <f t="shared" si="2"/>
        <v>64</v>
      </c>
      <c r="C180" s="15">
        <v>4</v>
      </c>
      <c r="D180" s="16">
        <v>10</v>
      </c>
      <c r="E180" s="26">
        <v>71</v>
      </c>
      <c r="F180" s="29"/>
      <c r="G180" s="62" t="s">
        <v>112</v>
      </c>
      <c r="H180" s="44"/>
      <c r="I180" s="46"/>
      <c r="J180" s="46"/>
      <c r="K180" s="46"/>
      <c r="L180" s="46"/>
      <c r="M180" s="46"/>
      <c r="N180" s="46"/>
      <c r="O180" s="46"/>
      <c r="P180" s="46"/>
      <c r="Q180" s="44"/>
      <c r="R180" s="44"/>
      <c r="S180" s="44"/>
      <c r="T180" s="44"/>
      <c r="U180" s="44"/>
      <c r="V180" s="44"/>
      <c r="W180" s="44"/>
      <c r="X180" s="44"/>
      <c r="Y180" s="44"/>
      <c r="Z180" s="44"/>
      <c r="AA180" s="44"/>
      <c r="AB180" s="44"/>
      <c r="AC180" s="44"/>
      <c r="AD180" s="44"/>
      <c r="AE180" s="44"/>
      <c r="AF180" s="44"/>
      <c r="AG180" s="44"/>
      <c r="AH180" s="44"/>
      <c r="AI180" s="44"/>
      <c r="AJ180" s="4"/>
      <c r="AK180" s="4"/>
      <c r="AL180" s="4"/>
      <c r="AM180" s="4"/>
      <c r="AN180" s="4"/>
      <c r="AO180" s="4"/>
      <c r="AP180" s="4"/>
      <c r="AQ180" s="4"/>
      <c r="AR180" s="4"/>
      <c r="AS180" s="4"/>
      <c r="AT180" s="4"/>
      <c r="AU180" s="4"/>
      <c r="AV180" s="4"/>
      <c r="AW180" s="4"/>
    </row>
    <row r="181" spans="2:49" ht="23.25">
      <c r="B181" s="15">
        <f t="shared" si="2"/>
        <v>65</v>
      </c>
      <c r="C181" s="15">
        <v>4</v>
      </c>
      <c r="D181" s="16">
        <v>10</v>
      </c>
      <c r="E181" s="26">
        <v>408</v>
      </c>
      <c r="F181" s="29"/>
      <c r="G181" s="62" t="s">
        <v>113</v>
      </c>
      <c r="H181" s="44"/>
      <c r="I181" s="46"/>
      <c r="J181" s="46"/>
      <c r="K181" s="46"/>
      <c r="L181" s="46"/>
      <c r="M181" s="46"/>
      <c r="N181" s="46"/>
      <c r="O181" s="46"/>
      <c r="P181" s="46"/>
      <c r="Q181" s="44"/>
      <c r="R181" s="44"/>
      <c r="S181" s="44"/>
      <c r="T181" s="44"/>
      <c r="U181" s="44"/>
      <c r="V181" s="44"/>
      <c r="W181" s="44"/>
      <c r="X181" s="44"/>
      <c r="Y181" s="44"/>
      <c r="Z181" s="44"/>
      <c r="AA181" s="44"/>
      <c r="AB181" s="44"/>
      <c r="AC181" s="44"/>
      <c r="AD181" s="44"/>
      <c r="AE181" s="44"/>
      <c r="AF181" s="44"/>
      <c r="AG181" s="44"/>
      <c r="AH181" s="44"/>
      <c r="AI181" s="44"/>
      <c r="AJ181" s="4"/>
      <c r="AK181" s="4"/>
      <c r="AL181" s="4"/>
      <c r="AM181" s="4"/>
      <c r="AN181" s="4"/>
      <c r="AO181" s="4"/>
      <c r="AP181" s="4"/>
      <c r="AQ181" s="4"/>
      <c r="AR181" s="4"/>
      <c r="AS181" s="4"/>
      <c r="AT181" s="4"/>
      <c r="AU181" s="4"/>
      <c r="AV181" s="4"/>
      <c r="AW181" s="4"/>
    </row>
    <row r="182" spans="2:49" ht="23.25">
      <c r="B182" s="15">
        <f t="shared" si="2"/>
        <v>66</v>
      </c>
      <c r="C182" s="15">
        <v>4</v>
      </c>
      <c r="D182" s="16">
        <v>10</v>
      </c>
      <c r="E182" s="26">
        <v>6</v>
      </c>
      <c r="F182" s="29"/>
      <c r="G182" s="62" t="s">
        <v>114</v>
      </c>
      <c r="H182" s="44"/>
      <c r="I182" s="46"/>
      <c r="J182" s="46"/>
      <c r="K182" s="46"/>
      <c r="L182" s="46"/>
      <c r="M182" s="46"/>
      <c r="N182" s="46"/>
      <c r="O182" s="46"/>
      <c r="P182" s="46"/>
      <c r="Q182" s="44"/>
      <c r="R182" s="44"/>
      <c r="S182" s="44"/>
      <c r="T182" s="44"/>
      <c r="U182" s="44"/>
      <c r="V182" s="44"/>
      <c r="W182" s="44"/>
      <c r="X182" s="44"/>
      <c r="Y182" s="44"/>
      <c r="Z182" s="44"/>
      <c r="AA182" s="44"/>
      <c r="AB182" s="44"/>
      <c r="AC182" s="44"/>
      <c r="AD182" s="44"/>
      <c r="AE182" s="44"/>
      <c r="AF182" s="44"/>
      <c r="AG182" s="44"/>
      <c r="AH182" s="44"/>
      <c r="AI182" s="44"/>
      <c r="AJ182" s="4"/>
      <c r="AK182" s="4"/>
      <c r="AL182" s="4"/>
      <c r="AM182" s="4"/>
      <c r="AN182" s="4"/>
      <c r="AO182" s="4"/>
      <c r="AP182" s="4"/>
      <c r="AQ182" s="4"/>
      <c r="AR182" s="4"/>
      <c r="AS182" s="4"/>
      <c r="AT182" s="4"/>
      <c r="AU182" s="4"/>
      <c r="AV182" s="4"/>
      <c r="AW182" s="4"/>
    </row>
    <row r="183" spans="2:49" ht="23.25">
      <c r="B183" s="15">
        <f t="shared" si="2"/>
        <v>67</v>
      </c>
      <c r="C183" s="15">
        <v>4</v>
      </c>
      <c r="D183" s="16">
        <v>10</v>
      </c>
      <c r="E183" s="26">
        <v>0</v>
      </c>
      <c r="F183" s="29"/>
      <c r="G183" s="62" t="s">
        <v>115</v>
      </c>
      <c r="H183" s="44"/>
      <c r="I183" s="46"/>
      <c r="J183" s="46"/>
      <c r="K183" s="46"/>
      <c r="L183" s="46"/>
      <c r="M183" s="46"/>
      <c r="N183" s="46"/>
      <c r="O183" s="46"/>
      <c r="P183" s="46"/>
      <c r="Q183" s="44"/>
      <c r="R183" s="44"/>
      <c r="S183" s="44"/>
      <c r="T183" s="44"/>
      <c r="U183" s="44"/>
      <c r="V183" s="44"/>
      <c r="W183" s="44"/>
      <c r="X183" s="44"/>
      <c r="Y183" s="44"/>
      <c r="Z183" s="44"/>
      <c r="AA183" s="44"/>
      <c r="AB183" s="44"/>
      <c r="AC183" s="44"/>
      <c r="AD183" s="44"/>
      <c r="AE183" s="44"/>
      <c r="AF183" s="44"/>
      <c r="AG183" s="44"/>
      <c r="AH183" s="44"/>
      <c r="AI183" s="44"/>
      <c r="AJ183" s="4"/>
      <c r="AK183" s="4"/>
      <c r="AL183" s="4"/>
      <c r="AM183" s="4"/>
      <c r="AN183" s="4"/>
      <c r="AO183" s="4"/>
      <c r="AP183" s="4"/>
      <c r="AQ183" s="4"/>
      <c r="AR183" s="4"/>
      <c r="AS183" s="4"/>
      <c r="AT183" s="4"/>
      <c r="AU183" s="4"/>
      <c r="AV183" s="4"/>
      <c r="AW183" s="4"/>
    </row>
    <row r="184" spans="2:49" ht="23.25">
      <c r="B184" s="15">
        <f t="shared" si="2"/>
        <v>68</v>
      </c>
      <c r="C184" s="15">
        <v>4</v>
      </c>
      <c r="D184" s="16">
        <v>10</v>
      </c>
      <c r="E184" s="26">
        <v>7</v>
      </c>
      <c r="F184" s="29"/>
      <c r="G184" s="62" t="s">
        <v>116</v>
      </c>
      <c r="H184" s="44"/>
      <c r="I184" s="46"/>
      <c r="J184" s="46"/>
      <c r="K184" s="46"/>
      <c r="L184" s="46"/>
      <c r="M184" s="46"/>
      <c r="N184" s="46"/>
      <c r="O184" s="46"/>
      <c r="P184" s="46"/>
      <c r="Q184" s="44"/>
      <c r="R184" s="44"/>
      <c r="S184" s="44"/>
      <c r="T184" s="44"/>
      <c r="U184" s="44"/>
      <c r="V184" s="44"/>
      <c r="W184" s="44"/>
      <c r="X184" s="44"/>
      <c r="Y184" s="44"/>
      <c r="Z184" s="44"/>
      <c r="AA184" s="44"/>
      <c r="AB184" s="44"/>
      <c r="AC184" s="44"/>
      <c r="AD184" s="44"/>
      <c r="AE184" s="44"/>
      <c r="AF184" s="44"/>
      <c r="AG184" s="44"/>
      <c r="AH184" s="44"/>
      <c r="AI184" s="44"/>
      <c r="AJ184" s="4"/>
      <c r="AK184" s="4"/>
      <c r="AL184" s="4"/>
      <c r="AM184" s="4"/>
      <c r="AN184" s="4"/>
      <c r="AO184" s="4"/>
      <c r="AP184" s="4"/>
      <c r="AQ184" s="4"/>
      <c r="AR184" s="4"/>
      <c r="AS184" s="4"/>
      <c r="AT184" s="4"/>
      <c r="AU184" s="4"/>
      <c r="AV184" s="4"/>
      <c r="AW184" s="4"/>
    </row>
    <row r="185" spans="2:49" ht="23.25">
      <c r="B185" s="15">
        <f t="shared" si="2"/>
        <v>69</v>
      </c>
      <c r="C185" s="15">
        <v>4</v>
      </c>
      <c r="D185" s="16">
        <v>10</v>
      </c>
      <c r="E185" s="26">
        <v>177</v>
      </c>
      <c r="F185" s="29"/>
      <c r="G185" s="62" t="s">
        <v>117</v>
      </c>
      <c r="H185" s="44"/>
      <c r="I185" s="46"/>
      <c r="J185" s="46"/>
      <c r="K185" s="46"/>
      <c r="L185" s="46"/>
      <c r="M185" s="46"/>
      <c r="N185" s="46"/>
      <c r="O185" s="46"/>
      <c r="P185" s="46"/>
      <c r="Q185" s="44"/>
      <c r="R185" s="44"/>
      <c r="S185" s="44"/>
      <c r="T185" s="44"/>
      <c r="U185" s="44"/>
      <c r="V185" s="44"/>
      <c r="W185" s="44"/>
      <c r="X185" s="44"/>
      <c r="Y185" s="44"/>
      <c r="Z185" s="44"/>
      <c r="AA185" s="44"/>
      <c r="AB185" s="44"/>
      <c r="AC185" s="44"/>
      <c r="AD185" s="44"/>
      <c r="AE185" s="44"/>
      <c r="AF185" s="44"/>
      <c r="AG185" s="44"/>
      <c r="AH185" s="44"/>
      <c r="AI185" s="44"/>
      <c r="AJ185" s="4"/>
      <c r="AK185" s="4"/>
      <c r="AL185" s="4"/>
      <c r="AM185" s="4"/>
      <c r="AN185" s="4"/>
      <c r="AO185" s="4"/>
      <c r="AP185" s="4"/>
      <c r="AQ185" s="4"/>
      <c r="AR185" s="4"/>
      <c r="AS185" s="4"/>
      <c r="AT185" s="4"/>
      <c r="AU185" s="4"/>
      <c r="AV185" s="4"/>
      <c r="AW185" s="4"/>
    </row>
    <row r="186" spans="2:49" ht="23.25">
      <c r="B186" s="15">
        <f t="shared" si="2"/>
        <v>70</v>
      </c>
      <c r="C186" s="15">
        <v>4</v>
      </c>
      <c r="D186" s="16">
        <v>10</v>
      </c>
      <c r="E186" s="26">
        <v>106</v>
      </c>
      <c r="F186" s="29"/>
      <c r="G186" s="62" t="s">
        <v>118</v>
      </c>
      <c r="H186" s="44"/>
      <c r="I186" s="46"/>
      <c r="J186" s="46"/>
      <c r="K186" s="46"/>
      <c r="L186" s="46"/>
      <c r="M186" s="46"/>
      <c r="N186" s="46"/>
      <c r="O186" s="46"/>
      <c r="P186" s="46"/>
      <c r="Q186" s="44"/>
      <c r="R186" s="44"/>
      <c r="S186" s="44"/>
      <c r="T186" s="44"/>
      <c r="U186" s="44"/>
      <c r="V186" s="44"/>
      <c r="W186" s="44"/>
      <c r="X186" s="44"/>
      <c r="Y186" s="44"/>
      <c r="Z186" s="44"/>
      <c r="AA186" s="44"/>
      <c r="AB186" s="44"/>
      <c r="AC186" s="44"/>
      <c r="AD186" s="44"/>
      <c r="AE186" s="44"/>
      <c r="AF186" s="44"/>
      <c r="AG186" s="44"/>
      <c r="AH186" s="44"/>
      <c r="AI186" s="44"/>
      <c r="AJ186" s="4"/>
      <c r="AK186" s="4"/>
      <c r="AL186" s="4"/>
      <c r="AM186" s="4"/>
      <c r="AN186" s="4"/>
      <c r="AO186" s="4"/>
      <c r="AP186" s="4"/>
      <c r="AQ186" s="4"/>
      <c r="AR186" s="4"/>
      <c r="AS186" s="4"/>
      <c r="AT186" s="4"/>
      <c r="AU186" s="4"/>
      <c r="AV186" s="4"/>
      <c r="AW186" s="4"/>
    </row>
    <row r="187" spans="2:49" ht="23.25">
      <c r="B187" s="15">
        <f t="shared" si="2"/>
        <v>71</v>
      </c>
      <c r="C187" s="15">
        <v>4</v>
      </c>
      <c r="D187" s="16">
        <v>10</v>
      </c>
      <c r="E187" s="26">
        <v>0</v>
      </c>
      <c r="F187" s="29"/>
      <c r="G187" s="62" t="s">
        <v>119</v>
      </c>
      <c r="H187" s="44"/>
      <c r="I187" s="46"/>
      <c r="J187" s="46"/>
      <c r="K187" s="46"/>
      <c r="L187" s="46"/>
      <c r="M187" s="46"/>
      <c r="N187" s="46"/>
      <c r="O187" s="46"/>
      <c r="P187" s="46"/>
      <c r="Q187" s="44"/>
      <c r="R187" s="44"/>
      <c r="S187" s="44"/>
      <c r="T187" s="44"/>
      <c r="U187" s="44"/>
      <c r="V187" s="44"/>
      <c r="W187" s="44"/>
      <c r="X187" s="44"/>
      <c r="Y187" s="44"/>
      <c r="Z187" s="44"/>
      <c r="AA187" s="44"/>
      <c r="AB187" s="44"/>
      <c r="AC187" s="44"/>
      <c r="AD187" s="44"/>
      <c r="AE187" s="44"/>
      <c r="AF187" s="44"/>
      <c r="AG187" s="44"/>
      <c r="AH187" s="44"/>
      <c r="AI187" s="44"/>
      <c r="AJ187" s="4"/>
      <c r="AK187" s="4"/>
      <c r="AL187" s="4"/>
      <c r="AM187" s="4"/>
      <c r="AN187" s="4"/>
      <c r="AO187" s="4"/>
      <c r="AP187" s="4"/>
      <c r="AQ187" s="4"/>
      <c r="AR187" s="4"/>
      <c r="AS187" s="4"/>
      <c r="AT187" s="4"/>
      <c r="AU187" s="4"/>
      <c r="AV187" s="4"/>
      <c r="AW187" s="4"/>
    </row>
    <row r="188" spans="2:49" ht="23.25">
      <c r="B188" s="15">
        <f t="shared" si="2"/>
        <v>72</v>
      </c>
      <c r="C188" s="15">
        <v>4</v>
      </c>
      <c r="D188" s="16">
        <v>10</v>
      </c>
      <c r="E188" s="26">
        <v>3</v>
      </c>
      <c r="F188" s="29"/>
      <c r="G188" s="62" t="s">
        <v>120</v>
      </c>
      <c r="H188" s="44"/>
      <c r="I188" s="46"/>
      <c r="J188" s="46"/>
      <c r="K188" s="46"/>
      <c r="L188" s="46"/>
      <c r="M188" s="46"/>
      <c r="N188" s="46"/>
      <c r="O188" s="46"/>
      <c r="P188" s="46"/>
      <c r="Q188" s="44"/>
      <c r="R188" s="44"/>
      <c r="S188" s="44"/>
      <c r="T188" s="44"/>
      <c r="U188" s="44"/>
      <c r="V188" s="44"/>
      <c r="W188" s="44"/>
      <c r="X188" s="44"/>
      <c r="Y188" s="44"/>
      <c r="Z188" s="44"/>
      <c r="AA188" s="44"/>
      <c r="AB188" s="44"/>
      <c r="AC188" s="44"/>
      <c r="AD188" s="44"/>
      <c r="AE188" s="44"/>
      <c r="AF188" s="44"/>
      <c r="AG188" s="44"/>
      <c r="AH188" s="44"/>
      <c r="AI188" s="44"/>
      <c r="AJ188" s="4"/>
      <c r="AK188" s="4"/>
      <c r="AL188" s="4"/>
      <c r="AM188" s="4"/>
      <c r="AN188" s="4"/>
      <c r="AO188" s="4"/>
      <c r="AP188" s="4"/>
      <c r="AQ188" s="4"/>
      <c r="AR188" s="4"/>
      <c r="AS188" s="4"/>
      <c r="AT188" s="4"/>
      <c r="AU188" s="4"/>
      <c r="AV188" s="4"/>
      <c r="AW188" s="4"/>
    </row>
    <row r="189" spans="2:49" ht="23.25">
      <c r="B189" s="15">
        <f t="shared" si="2"/>
        <v>73</v>
      </c>
      <c r="C189" s="15">
        <v>4</v>
      </c>
      <c r="D189" s="16">
        <v>10</v>
      </c>
      <c r="E189" s="26">
        <v>9</v>
      </c>
      <c r="F189" s="29"/>
      <c r="G189" s="62" t="s">
        <v>121</v>
      </c>
      <c r="H189" s="44"/>
      <c r="I189" s="46"/>
      <c r="J189" s="46"/>
      <c r="K189" s="46"/>
      <c r="L189" s="46"/>
      <c r="M189" s="46"/>
      <c r="N189" s="46"/>
      <c r="O189" s="46"/>
      <c r="P189" s="46"/>
      <c r="Q189" s="44"/>
      <c r="R189" s="44"/>
      <c r="S189" s="44"/>
      <c r="T189" s="44"/>
      <c r="U189" s="44"/>
      <c r="V189" s="44"/>
      <c r="W189" s="44"/>
      <c r="X189" s="44"/>
      <c r="Y189" s="44"/>
      <c r="Z189" s="44"/>
      <c r="AA189" s="44"/>
      <c r="AB189" s="44"/>
      <c r="AC189" s="44"/>
      <c r="AD189" s="44"/>
      <c r="AE189" s="44"/>
      <c r="AF189" s="44"/>
      <c r="AG189" s="44"/>
      <c r="AH189" s="44"/>
      <c r="AI189" s="44"/>
      <c r="AJ189" s="4"/>
      <c r="AK189" s="4"/>
      <c r="AL189" s="4"/>
      <c r="AM189" s="4"/>
      <c r="AN189" s="4"/>
      <c r="AO189" s="4"/>
      <c r="AP189" s="4"/>
      <c r="AQ189" s="4"/>
      <c r="AR189" s="4"/>
      <c r="AS189" s="4"/>
      <c r="AT189" s="4"/>
      <c r="AU189" s="4"/>
      <c r="AV189" s="4"/>
      <c r="AW189" s="4"/>
    </row>
    <row r="190" spans="2:49" ht="23.25">
      <c r="B190" s="15">
        <f t="shared" si="2"/>
        <v>74</v>
      </c>
      <c r="C190" s="15">
        <v>4</v>
      </c>
      <c r="D190" s="16">
        <v>10</v>
      </c>
      <c r="E190" s="26">
        <v>117</v>
      </c>
      <c r="F190" s="29"/>
      <c r="G190" s="62" t="s">
        <v>122</v>
      </c>
      <c r="H190" s="44"/>
      <c r="I190" s="46"/>
      <c r="J190" s="46"/>
      <c r="K190" s="46"/>
      <c r="L190" s="46"/>
      <c r="M190" s="46"/>
      <c r="N190" s="46"/>
      <c r="O190" s="46"/>
      <c r="P190" s="46"/>
      <c r="Q190" s="44"/>
      <c r="R190" s="44"/>
      <c r="S190" s="44"/>
      <c r="T190" s="44"/>
      <c r="U190" s="44"/>
      <c r="V190" s="44"/>
      <c r="W190" s="44"/>
      <c r="X190" s="44"/>
      <c r="Y190" s="44"/>
      <c r="Z190" s="44"/>
      <c r="AA190" s="44"/>
      <c r="AB190" s="44"/>
      <c r="AC190" s="44"/>
      <c r="AD190" s="44"/>
      <c r="AE190" s="44"/>
      <c r="AF190" s="44"/>
      <c r="AG190" s="44"/>
      <c r="AH190" s="44"/>
      <c r="AI190" s="44"/>
      <c r="AJ190" s="4"/>
      <c r="AK190" s="4"/>
      <c r="AL190" s="4"/>
      <c r="AM190" s="4"/>
      <c r="AN190" s="4"/>
      <c r="AO190" s="4"/>
      <c r="AP190" s="4"/>
      <c r="AQ190" s="4"/>
      <c r="AR190" s="4"/>
      <c r="AS190" s="4"/>
      <c r="AT190" s="4"/>
      <c r="AU190" s="4"/>
      <c r="AV190" s="4"/>
      <c r="AW190" s="4"/>
    </row>
    <row r="191" spans="2:49" ht="23.25">
      <c r="B191" s="15">
        <f t="shared" si="2"/>
        <v>75</v>
      </c>
      <c r="C191" s="15">
        <v>4</v>
      </c>
      <c r="D191" s="16">
        <v>10</v>
      </c>
      <c r="E191" s="26">
        <v>5</v>
      </c>
      <c r="F191" s="29"/>
      <c r="G191" s="62" t="s">
        <v>123</v>
      </c>
      <c r="H191" s="44"/>
      <c r="I191" s="46"/>
      <c r="J191" s="46"/>
      <c r="K191" s="46"/>
      <c r="L191" s="46"/>
      <c r="M191" s="46"/>
      <c r="N191" s="46"/>
      <c r="O191" s="46"/>
      <c r="P191" s="46"/>
      <c r="Q191" s="44"/>
      <c r="R191" s="44"/>
      <c r="S191" s="44"/>
      <c r="T191" s="44"/>
      <c r="U191" s="44"/>
      <c r="V191" s="44"/>
      <c r="W191" s="44"/>
      <c r="X191" s="44"/>
      <c r="Y191" s="44"/>
      <c r="Z191" s="44"/>
      <c r="AA191" s="44"/>
      <c r="AB191" s="44"/>
      <c r="AC191" s="44"/>
      <c r="AD191" s="44"/>
      <c r="AE191" s="44"/>
      <c r="AF191" s="44"/>
      <c r="AG191" s="44"/>
      <c r="AH191" s="44"/>
      <c r="AI191" s="44"/>
      <c r="AJ191" s="4"/>
      <c r="AK191" s="4"/>
      <c r="AL191" s="4"/>
      <c r="AM191" s="4"/>
      <c r="AN191" s="4"/>
      <c r="AO191" s="4"/>
      <c r="AP191" s="4"/>
      <c r="AQ191" s="4"/>
      <c r="AR191" s="4"/>
      <c r="AS191" s="4"/>
      <c r="AT191" s="4"/>
      <c r="AU191" s="4"/>
      <c r="AV191" s="4"/>
      <c r="AW191" s="4"/>
    </row>
    <row r="192" spans="2:49" ht="23.25">
      <c r="B192" s="15">
        <f t="shared" si="2"/>
        <v>76</v>
      </c>
      <c r="C192" s="15">
        <v>4</v>
      </c>
      <c r="D192" s="16">
        <v>10</v>
      </c>
      <c r="E192" s="26">
        <v>233</v>
      </c>
      <c r="F192" s="29"/>
      <c r="G192" s="62" t="s">
        <v>124</v>
      </c>
      <c r="H192" s="44"/>
      <c r="I192" s="46"/>
      <c r="J192" s="46"/>
      <c r="K192" s="46"/>
      <c r="L192" s="46"/>
      <c r="M192" s="46"/>
      <c r="N192" s="46"/>
      <c r="O192" s="46"/>
      <c r="P192" s="46"/>
      <c r="Q192" s="44"/>
      <c r="R192" s="44"/>
      <c r="S192" s="44"/>
      <c r="T192" s="44"/>
      <c r="U192" s="44"/>
      <c r="V192" s="44"/>
      <c r="W192" s="44"/>
      <c r="X192" s="44"/>
      <c r="Y192" s="44"/>
      <c r="Z192" s="44"/>
      <c r="AA192" s="44"/>
      <c r="AB192" s="44"/>
      <c r="AC192" s="44"/>
      <c r="AD192" s="44"/>
      <c r="AE192" s="44"/>
      <c r="AF192" s="44"/>
      <c r="AG192" s="44"/>
      <c r="AH192" s="44"/>
      <c r="AI192" s="44"/>
      <c r="AJ192" s="4"/>
      <c r="AK192" s="4"/>
      <c r="AL192" s="4"/>
      <c r="AM192" s="4"/>
      <c r="AN192" s="4"/>
      <c r="AO192" s="4"/>
      <c r="AP192" s="4"/>
      <c r="AQ192" s="4"/>
      <c r="AR192" s="4"/>
      <c r="AS192" s="4"/>
      <c r="AT192" s="4"/>
      <c r="AU192" s="4"/>
      <c r="AV192" s="4"/>
      <c r="AW192" s="4"/>
    </row>
    <row r="193" spans="2:49" ht="23.25">
      <c r="B193" s="15">
        <f t="shared" si="2"/>
        <v>77</v>
      </c>
      <c r="C193" s="15">
        <v>4</v>
      </c>
      <c r="D193" s="16">
        <v>10</v>
      </c>
      <c r="E193" s="26">
        <v>35</v>
      </c>
      <c r="F193" s="29"/>
      <c r="G193" s="62" t="s">
        <v>125</v>
      </c>
      <c r="H193" s="44"/>
      <c r="I193" s="46"/>
      <c r="J193" s="46"/>
      <c r="K193" s="46"/>
      <c r="L193" s="46"/>
      <c r="M193" s="46"/>
      <c r="N193" s="46"/>
      <c r="O193" s="46"/>
      <c r="P193" s="46"/>
      <c r="Q193" s="44"/>
      <c r="R193" s="44"/>
      <c r="S193" s="44"/>
      <c r="T193" s="44"/>
      <c r="U193" s="44"/>
      <c r="V193" s="44"/>
      <c r="W193" s="44"/>
      <c r="X193" s="44"/>
      <c r="Y193" s="44"/>
      <c r="Z193" s="44"/>
      <c r="AA193" s="44"/>
      <c r="AB193" s="44"/>
      <c r="AC193" s="44"/>
      <c r="AD193" s="44"/>
      <c r="AE193" s="44"/>
      <c r="AF193" s="44"/>
      <c r="AG193" s="44"/>
      <c r="AH193" s="44"/>
      <c r="AI193" s="44"/>
      <c r="AJ193" s="4"/>
      <c r="AK193" s="4"/>
      <c r="AL193" s="4"/>
      <c r="AM193" s="4"/>
      <c r="AN193" s="4"/>
      <c r="AO193" s="4"/>
      <c r="AP193" s="4"/>
      <c r="AQ193" s="4"/>
      <c r="AR193" s="4"/>
      <c r="AS193" s="4"/>
      <c r="AT193" s="4"/>
      <c r="AU193" s="4"/>
      <c r="AV193" s="4"/>
      <c r="AW193" s="4"/>
    </row>
    <row r="194" spans="2:49" ht="23.25">
      <c r="B194" s="15">
        <f t="shared" si="2"/>
        <v>78</v>
      </c>
      <c r="C194" s="15">
        <v>4</v>
      </c>
      <c r="D194" s="16">
        <v>10</v>
      </c>
      <c r="E194" s="26">
        <v>0</v>
      </c>
      <c r="F194" s="29"/>
      <c r="G194" s="62" t="s">
        <v>126</v>
      </c>
      <c r="H194" s="44"/>
      <c r="I194" s="46"/>
      <c r="J194" s="46"/>
      <c r="K194" s="46"/>
      <c r="L194" s="46"/>
      <c r="M194" s="46"/>
      <c r="N194" s="46"/>
      <c r="O194" s="46"/>
      <c r="P194" s="46"/>
      <c r="Q194" s="44"/>
      <c r="R194" s="44"/>
      <c r="S194" s="44"/>
      <c r="T194" s="44"/>
      <c r="U194" s="44"/>
      <c r="V194" s="44"/>
      <c r="W194" s="44"/>
      <c r="X194" s="44"/>
      <c r="Y194" s="44"/>
      <c r="Z194" s="44"/>
      <c r="AA194" s="44"/>
      <c r="AB194" s="44"/>
      <c r="AC194" s="44"/>
      <c r="AD194" s="44"/>
      <c r="AE194" s="44"/>
      <c r="AF194" s="44"/>
      <c r="AG194" s="44"/>
      <c r="AH194" s="44"/>
      <c r="AI194" s="44"/>
      <c r="AJ194" s="4"/>
      <c r="AK194" s="4"/>
      <c r="AL194" s="4"/>
      <c r="AM194" s="4"/>
      <c r="AN194" s="4"/>
      <c r="AO194" s="4"/>
      <c r="AP194" s="4"/>
      <c r="AQ194" s="4"/>
      <c r="AR194" s="4"/>
      <c r="AS194" s="4"/>
      <c r="AT194" s="4"/>
      <c r="AU194" s="4"/>
      <c r="AV194" s="4"/>
      <c r="AW194" s="4"/>
    </row>
    <row r="195" spans="2:49" ht="23.25">
      <c r="B195" s="15">
        <f t="shared" si="2"/>
        <v>79</v>
      </c>
      <c r="C195" s="15">
        <v>4</v>
      </c>
      <c r="D195" s="16">
        <v>10</v>
      </c>
      <c r="E195" s="26">
        <v>3</v>
      </c>
      <c r="F195" s="29"/>
      <c r="G195" s="62" t="s">
        <v>127</v>
      </c>
      <c r="H195" s="44"/>
      <c r="I195" s="46"/>
      <c r="J195" s="46"/>
      <c r="K195" s="46"/>
      <c r="L195" s="46"/>
      <c r="M195" s="46"/>
      <c r="N195" s="46"/>
      <c r="O195" s="46"/>
      <c r="P195" s="46"/>
      <c r="Q195" s="44"/>
      <c r="R195" s="44"/>
      <c r="S195" s="44"/>
      <c r="T195" s="44"/>
      <c r="U195" s="44"/>
      <c r="V195" s="44"/>
      <c r="W195" s="44"/>
      <c r="X195" s="44"/>
      <c r="Y195" s="44"/>
      <c r="Z195" s="44"/>
      <c r="AA195" s="44"/>
      <c r="AB195" s="44"/>
      <c r="AC195" s="44"/>
      <c r="AD195" s="44"/>
      <c r="AE195" s="44"/>
      <c r="AF195" s="44"/>
      <c r="AG195" s="44"/>
      <c r="AH195" s="44"/>
      <c r="AI195" s="44"/>
      <c r="AJ195" s="4"/>
      <c r="AK195" s="4"/>
      <c r="AL195" s="4"/>
      <c r="AM195" s="4"/>
      <c r="AN195" s="4"/>
      <c r="AO195" s="4"/>
      <c r="AP195" s="4"/>
      <c r="AQ195" s="4"/>
      <c r="AR195" s="4"/>
      <c r="AS195" s="4"/>
      <c r="AT195" s="4"/>
      <c r="AU195" s="4"/>
      <c r="AV195" s="4"/>
      <c r="AW195" s="4"/>
    </row>
    <row r="196" spans="2:49" ht="23.25">
      <c r="B196" s="15">
        <f t="shared" si="2"/>
        <v>80</v>
      </c>
      <c r="C196" s="15">
        <v>4</v>
      </c>
      <c r="D196" s="16">
        <v>10</v>
      </c>
      <c r="E196" s="26">
        <v>8</v>
      </c>
      <c r="F196" s="29"/>
      <c r="G196" s="62" t="s">
        <v>128</v>
      </c>
      <c r="H196" s="44"/>
      <c r="I196" s="46"/>
      <c r="J196" s="46"/>
      <c r="K196" s="46"/>
      <c r="L196" s="46"/>
      <c r="M196" s="46"/>
      <c r="N196" s="46"/>
      <c r="O196" s="46"/>
      <c r="P196" s="46"/>
      <c r="Q196" s="44"/>
      <c r="R196" s="44"/>
      <c r="S196" s="44"/>
      <c r="T196" s="44"/>
      <c r="U196" s="44"/>
      <c r="V196" s="44"/>
      <c r="W196" s="44"/>
      <c r="X196" s="44"/>
      <c r="Y196" s="44"/>
      <c r="Z196" s="44"/>
      <c r="AA196" s="44"/>
      <c r="AB196" s="44"/>
      <c r="AC196" s="44"/>
      <c r="AD196" s="44"/>
      <c r="AE196" s="44"/>
      <c r="AF196" s="44"/>
      <c r="AG196" s="44"/>
      <c r="AH196" s="44"/>
      <c r="AI196" s="44"/>
      <c r="AJ196" s="4"/>
      <c r="AK196" s="4"/>
      <c r="AL196" s="4"/>
      <c r="AM196" s="4"/>
      <c r="AN196" s="4"/>
      <c r="AO196" s="4"/>
      <c r="AP196" s="4"/>
      <c r="AQ196" s="4"/>
      <c r="AR196" s="4"/>
      <c r="AS196" s="4"/>
      <c r="AT196" s="4"/>
      <c r="AU196" s="4"/>
      <c r="AV196" s="4"/>
      <c r="AW196" s="4"/>
    </row>
    <row r="197" spans="2:49" ht="15.75">
      <c r="G197" s="46"/>
      <c r="H197" s="46"/>
      <c r="I197" s="46"/>
      <c r="J197" s="46"/>
      <c r="K197" s="46"/>
      <c r="L197" s="46"/>
      <c r="M197" s="46"/>
      <c r="N197" s="46"/>
      <c r="O197" s="46"/>
      <c r="P197" s="46"/>
      <c r="AQ197" s="4"/>
      <c r="AR197" s="4"/>
      <c r="AS197" s="4"/>
      <c r="AT197" s="4"/>
      <c r="AU197" s="4"/>
      <c r="AV197" s="4"/>
      <c r="AW197" s="4"/>
    </row>
    <row r="198" spans="2:49" ht="16.5" thickBot="1">
      <c r="G198" s="46"/>
      <c r="H198" s="46"/>
      <c r="I198" s="46"/>
      <c r="J198" s="46"/>
      <c r="K198" s="46"/>
      <c r="L198" s="46"/>
      <c r="M198" s="46"/>
      <c r="N198" s="46"/>
      <c r="O198" s="46"/>
      <c r="P198" s="46"/>
      <c r="AQ198" s="4"/>
      <c r="AR198" s="4"/>
      <c r="AS198" s="4"/>
      <c r="AT198" s="4"/>
      <c r="AU198" s="4"/>
      <c r="AV198" s="4"/>
      <c r="AW198" s="4"/>
    </row>
    <row r="199" spans="2:49" ht="20.25" thickTop="1" thickBot="1">
      <c r="B199" s="19" t="s">
        <v>129</v>
      </c>
      <c r="C199" s="9" t="s">
        <v>130</v>
      </c>
      <c r="D199" s="4"/>
      <c r="E199" s="33"/>
      <c r="F199" s="5"/>
      <c r="G199" s="45"/>
      <c r="H199" s="45"/>
      <c r="I199" s="45"/>
      <c r="J199" s="46"/>
      <c r="K199" s="46"/>
      <c r="L199" s="46"/>
      <c r="M199" s="46"/>
      <c r="N199" s="46"/>
      <c r="O199" s="46"/>
      <c r="P199" s="46"/>
      <c r="AE199" s="4"/>
      <c r="AF199" s="4"/>
      <c r="AG199" s="4"/>
      <c r="AH199" s="4"/>
      <c r="AI199" s="4"/>
      <c r="AJ199" s="4"/>
      <c r="AK199" s="4"/>
      <c r="AL199" s="4"/>
      <c r="AM199" s="4"/>
      <c r="AN199" s="4"/>
      <c r="AO199" s="4"/>
      <c r="AP199" s="4"/>
      <c r="AQ199" s="4"/>
      <c r="AR199" s="4"/>
      <c r="AS199" s="4"/>
      <c r="AT199" s="4"/>
      <c r="AU199" s="4"/>
      <c r="AV199" s="4"/>
      <c r="AW199" s="4"/>
    </row>
    <row r="200" spans="2:49" ht="16.5" thickTop="1">
      <c r="B200" s="18"/>
      <c r="C200" s="4"/>
      <c r="D200" s="4"/>
      <c r="E200" s="33"/>
      <c r="F200" s="5"/>
      <c r="G200" s="45"/>
      <c r="H200" s="45"/>
      <c r="I200" s="45"/>
      <c r="J200" s="46"/>
      <c r="K200" s="46"/>
      <c r="L200" s="46"/>
      <c r="M200" s="46"/>
      <c r="N200" s="46"/>
      <c r="O200" s="46"/>
      <c r="P200" s="46"/>
      <c r="AE200" s="4"/>
      <c r="AF200" s="4"/>
      <c r="AG200" s="4"/>
      <c r="AH200" s="4"/>
      <c r="AI200" s="4"/>
      <c r="AJ200" s="4"/>
      <c r="AK200" s="4"/>
      <c r="AL200" s="4"/>
      <c r="AM200" s="4"/>
      <c r="AN200" s="4"/>
      <c r="AO200" s="4"/>
      <c r="AP200" s="4"/>
      <c r="AQ200" s="4"/>
      <c r="AR200" s="4"/>
      <c r="AS200" s="4"/>
      <c r="AT200" s="4"/>
      <c r="AU200" s="4"/>
      <c r="AV200" s="4"/>
      <c r="AW200" s="4"/>
    </row>
    <row r="201" spans="2:49" ht="15.75">
      <c r="B201" s="18" t="s">
        <v>131</v>
      </c>
      <c r="C201" s="4"/>
      <c r="D201" s="4"/>
      <c r="E201" s="33"/>
      <c r="F201" s="5"/>
      <c r="G201" s="45"/>
      <c r="H201" s="45"/>
      <c r="I201" s="45"/>
      <c r="J201" s="46"/>
      <c r="K201" s="46"/>
      <c r="L201" s="46"/>
      <c r="M201" s="46"/>
      <c r="N201" s="46"/>
      <c r="O201" s="46"/>
      <c r="P201" s="46"/>
      <c r="AE201" s="4"/>
      <c r="AF201" s="4"/>
      <c r="AG201" s="4"/>
      <c r="AH201" s="4"/>
      <c r="AI201" s="4"/>
      <c r="AJ201" s="4"/>
      <c r="AK201" s="4"/>
      <c r="AL201" s="4"/>
      <c r="AM201" s="4"/>
      <c r="AN201" s="4"/>
      <c r="AO201" s="4"/>
      <c r="AP201" s="4"/>
      <c r="AQ201" s="4"/>
      <c r="AR201" s="4"/>
      <c r="AS201" s="4"/>
      <c r="AT201" s="4"/>
      <c r="AU201" s="4"/>
      <c r="AV201" s="4"/>
      <c r="AW201" s="4"/>
    </row>
    <row r="202" spans="2:49" ht="15.75">
      <c r="B202" s="18" t="s">
        <v>132</v>
      </c>
      <c r="C202" s="4"/>
      <c r="D202" s="4"/>
      <c r="E202" s="33"/>
      <c r="F202" s="5"/>
      <c r="G202" s="45"/>
      <c r="H202" s="45"/>
      <c r="I202" s="45"/>
      <c r="J202" s="46"/>
      <c r="K202" s="46"/>
      <c r="L202" s="46"/>
      <c r="M202" s="46"/>
      <c r="N202" s="46"/>
      <c r="O202" s="46"/>
      <c r="P202" s="46"/>
      <c r="AE202" s="4"/>
      <c r="AF202" s="4"/>
      <c r="AG202" s="4"/>
      <c r="AH202" s="4"/>
      <c r="AI202" s="4"/>
      <c r="AJ202" s="4"/>
      <c r="AK202" s="4"/>
      <c r="AL202" s="4"/>
      <c r="AM202" s="4"/>
      <c r="AN202" s="4"/>
      <c r="AO202" s="4"/>
      <c r="AP202" s="4"/>
      <c r="AQ202" s="4"/>
      <c r="AR202" s="4"/>
      <c r="AS202" s="4"/>
      <c r="AT202" s="4"/>
      <c r="AU202" s="4"/>
      <c r="AV202" s="4"/>
      <c r="AW202" s="4"/>
    </row>
    <row r="203" spans="2:49" ht="15.75">
      <c r="B203" s="18" t="s">
        <v>133</v>
      </c>
      <c r="C203" s="1"/>
      <c r="D203" s="1"/>
      <c r="E203" s="31"/>
      <c r="G203" s="46"/>
      <c r="H203" s="46"/>
      <c r="I203" s="46"/>
      <c r="J203" s="46"/>
      <c r="K203" s="46"/>
      <c r="L203" s="46"/>
      <c r="M203" s="46"/>
      <c r="N203" s="46"/>
      <c r="O203" s="46"/>
      <c r="P203" s="46"/>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row>
    <row r="204" spans="2:49" ht="15.75">
      <c r="B204" s="18" t="s">
        <v>134</v>
      </c>
      <c r="C204" s="1"/>
      <c r="D204" s="1"/>
      <c r="E204" s="31"/>
      <c r="G204" s="46"/>
      <c r="H204" s="46"/>
      <c r="I204" s="46"/>
      <c r="J204" s="46"/>
      <c r="K204" s="46"/>
      <c r="L204" s="46"/>
      <c r="M204" s="46"/>
      <c r="N204" s="46"/>
      <c r="O204" s="46"/>
      <c r="P204" s="46"/>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row>
    <row r="205" spans="2:49" ht="15.75">
      <c r="B205" s="18" t="s">
        <v>135</v>
      </c>
      <c r="C205" s="43"/>
      <c r="D205" s="1"/>
      <c r="E205" s="31"/>
      <c r="G205" s="46"/>
      <c r="H205" s="46"/>
      <c r="I205" s="46"/>
      <c r="J205" s="46"/>
      <c r="K205" s="46"/>
      <c r="L205" s="46"/>
      <c r="M205" s="46"/>
      <c r="N205" s="46"/>
      <c r="O205" s="46"/>
      <c r="P205" s="46"/>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row>
    <row r="206" spans="2:49" ht="15.75">
      <c r="B206" s="18"/>
      <c r="C206" s="43"/>
      <c r="D206" s="1"/>
      <c r="E206" s="31"/>
      <c r="G206" s="46"/>
      <c r="H206" s="46"/>
      <c r="I206" s="46"/>
      <c r="J206" s="46"/>
      <c r="K206" s="46"/>
      <c r="L206" s="46"/>
      <c r="M206" s="46"/>
      <c r="N206" s="46"/>
      <c r="O206" s="46"/>
      <c r="P206" s="46"/>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row>
    <row r="207" spans="2:49" ht="15.75">
      <c r="B207" s="18" t="s">
        <v>136</v>
      </c>
      <c r="C207" s="1"/>
      <c r="D207" s="1"/>
      <c r="E207" s="31"/>
      <c r="G207" s="46"/>
      <c r="H207" s="46"/>
      <c r="I207" s="46"/>
      <c r="J207" s="46"/>
      <c r="K207" s="46"/>
      <c r="L207" s="46"/>
      <c r="M207" s="46"/>
      <c r="N207" s="46"/>
      <c r="O207" s="46"/>
      <c r="P207" s="46"/>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row>
    <row r="208" spans="2:49" ht="15.75">
      <c r="B208" s="18"/>
      <c r="C208" s="64" t="s">
        <v>90</v>
      </c>
      <c r="D208" s="1"/>
      <c r="E208" s="31"/>
      <c r="G208" s="46"/>
      <c r="H208" s="46"/>
      <c r="I208" s="46"/>
      <c r="J208" s="46"/>
      <c r="K208" s="46"/>
      <c r="L208" s="46"/>
      <c r="M208" s="46"/>
      <c r="N208" s="46"/>
      <c r="O208" s="46"/>
      <c r="P208" s="46"/>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row>
    <row r="209" spans="2:90" ht="15.75">
      <c r="B209" s="4"/>
      <c r="C209" s="4"/>
      <c r="D209" s="4"/>
      <c r="E209" s="33"/>
      <c r="F209" s="5"/>
      <c r="G209" s="44"/>
      <c r="H209" s="46"/>
      <c r="I209" s="46"/>
      <c r="J209" s="46"/>
      <c r="K209" s="46"/>
      <c r="L209" s="47"/>
      <c r="M209" s="47"/>
      <c r="N209" s="47"/>
      <c r="O209" s="47"/>
      <c r="P209" s="47"/>
      <c r="AE209" s="4"/>
      <c r="AF209" s="4"/>
      <c r="AG209" s="4"/>
      <c r="AH209" s="4"/>
      <c r="AI209" s="4"/>
      <c r="AJ209" s="4"/>
      <c r="AK209" s="4"/>
      <c r="AL209" s="4"/>
      <c r="AM209" s="4"/>
      <c r="AN209" s="4"/>
      <c r="AO209" s="4"/>
      <c r="AP209" s="4"/>
      <c r="AQ209" s="4"/>
      <c r="AR209" s="4"/>
      <c r="AS209" s="4"/>
      <c r="AT209" s="4"/>
      <c r="AU209" s="4"/>
      <c r="AV209" s="4"/>
      <c r="AW209" s="4"/>
    </row>
    <row r="210" spans="2:90" ht="16.5" thickBot="1">
      <c r="B210" s="4"/>
      <c r="C210" s="4"/>
      <c r="D210" s="4"/>
      <c r="E210" s="33"/>
      <c r="F210" s="5"/>
      <c r="G210" s="44"/>
      <c r="H210" s="46"/>
      <c r="I210" s="98" t="s">
        <v>137</v>
      </c>
      <c r="J210" s="46"/>
      <c r="K210" s="46"/>
      <c r="L210" s="47"/>
      <c r="M210" s="47"/>
      <c r="N210" s="98" t="s">
        <v>138</v>
      </c>
      <c r="O210" s="46"/>
      <c r="P210" s="46"/>
      <c r="Q210" s="47"/>
      <c r="AE210" s="4"/>
      <c r="AF210" s="4"/>
      <c r="AG210" s="4"/>
      <c r="AH210" s="4"/>
      <c r="AI210" s="4"/>
      <c r="AJ210" s="4"/>
      <c r="AK210" s="4"/>
      <c r="AL210" s="4"/>
      <c r="AM210" s="4"/>
      <c r="AN210" s="4"/>
      <c r="AO210" s="4"/>
      <c r="AP210" s="4"/>
      <c r="AQ210" s="4"/>
      <c r="AR210" s="4"/>
      <c r="AS210" s="4"/>
      <c r="AT210" s="4"/>
      <c r="AU210" s="4"/>
      <c r="AV210" s="4"/>
      <c r="AW210" s="4"/>
    </row>
    <row r="211" spans="2:90" ht="25.5" customHeight="1" thickTop="1" thickBot="1">
      <c r="B211" s="17" t="s">
        <v>41</v>
      </c>
      <c r="C211" s="17" t="s">
        <v>74</v>
      </c>
      <c r="D211" s="17" t="s">
        <v>43</v>
      </c>
      <c r="E211" s="36" t="s">
        <v>44</v>
      </c>
      <c r="G211" s="44"/>
      <c r="H211" s="44"/>
      <c r="I211" s="99" t="s">
        <v>32</v>
      </c>
      <c r="J211" s="100" t="s">
        <v>33</v>
      </c>
      <c r="K211" s="101" t="s">
        <v>34</v>
      </c>
      <c r="L211" s="102" t="s">
        <v>35</v>
      </c>
      <c r="M211" s="44"/>
      <c r="N211" s="49">
        <v>1</v>
      </c>
      <c r="O211" s="49">
        <v>2</v>
      </c>
      <c r="P211" s="49">
        <v>3</v>
      </c>
      <c r="Q211" s="49">
        <v>4</v>
      </c>
      <c r="R211" s="49">
        <v>5</v>
      </c>
      <c r="S211" s="49">
        <v>6</v>
      </c>
      <c r="T211" s="49">
        <v>7</v>
      </c>
      <c r="U211" s="49">
        <v>8</v>
      </c>
      <c r="V211" s="49">
        <v>9</v>
      </c>
      <c r="W211" s="49">
        <v>10</v>
      </c>
      <c r="X211" s="44"/>
      <c r="Y211" s="44"/>
      <c r="Z211" s="44"/>
      <c r="AA211" s="44"/>
      <c r="AB211" s="44"/>
      <c r="AC211" s="44"/>
      <c r="AD211" s="44"/>
      <c r="AE211" s="44"/>
      <c r="AF211" s="44"/>
      <c r="AG211" s="44"/>
      <c r="AV211" s="4"/>
      <c r="AW211" s="4"/>
    </row>
    <row r="212" spans="2:90" ht="16.5" thickTop="1">
      <c r="B212" s="1"/>
      <c r="C212" s="1"/>
      <c r="D212" s="1"/>
      <c r="E212" s="31"/>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44"/>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row>
    <row r="213" spans="2:90" ht="24" customHeight="1">
      <c r="B213" s="15" t="s">
        <v>139</v>
      </c>
      <c r="C213" s="15">
        <v>5</v>
      </c>
      <c r="D213" s="16">
        <v>0</v>
      </c>
      <c r="E213" s="26">
        <v>567</v>
      </c>
      <c r="F213" s="29"/>
      <c r="G213" s="44"/>
      <c r="H213" s="44"/>
      <c r="I213" s="62">
        <v>5</v>
      </c>
      <c r="J213" s="62">
        <v>4</v>
      </c>
      <c r="K213" s="62">
        <v>0</v>
      </c>
      <c r="L213" s="62">
        <v>2</v>
      </c>
      <c r="M213" s="44"/>
      <c r="N213" s="62" t="s">
        <v>108</v>
      </c>
      <c r="O213" s="62" t="s">
        <v>140</v>
      </c>
      <c r="P213" s="62" t="s">
        <v>120</v>
      </c>
      <c r="Q213" s="62" t="s">
        <v>121</v>
      </c>
      <c r="R213" s="62" t="s">
        <v>141</v>
      </c>
      <c r="S213" s="62" t="s">
        <v>122</v>
      </c>
      <c r="T213" s="62" t="s">
        <v>116</v>
      </c>
      <c r="U213" s="62" t="s">
        <v>110</v>
      </c>
      <c r="V213" s="62" t="s">
        <v>128</v>
      </c>
      <c r="W213" s="62" t="s">
        <v>125</v>
      </c>
      <c r="X213" s="44"/>
      <c r="Y213" s="44"/>
      <c r="Z213" s="44"/>
      <c r="AA213" s="44"/>
      <c r="AB213" s="44"/>
      <c r="AC213" s="44"/>
      <c r="AD213" s="44"/>
      <c r="AE213" s="44"/>
      <c r="AF213" s="44"/>
      <c r="AG213" s="44"/>
      <c r="AX213" s="1"/>
      <c r="AY213" s="1"/>
      <c r="AZ213" s="1"/>
      <c r="BA213" s="1"/>
      <c r="BB213" s="1"/>
      <c r="BC213" s="1"/>
      <c r="BD213" s="1"/>
      <c r="BE213" s="1"/>
      <c r="BF213" s="1"/>
    </row>
    <row r="214" spans="2:90" ht="15.75">
      <c r="B214" s="1"/>
      <c r="C214" s="1"/>
      <c r="D214" s="1"/>
      <c r="E214" s="31"/>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c r="AE214" s="44"/>
      <c r="AF214" s="44"/>
      <c r="AG214" s="44"/>
      <c r="AX214" s="1"/>
      <c r="AY214" s="1"/>
      <c r="AZ214" s="1"/>
      <c r="BA214" s="1"/>
      <c r="BB214" s="1"/>
      <c r="BC214" s="1"/>
      <c r="BD214" s="1"/>
      <c r="BE214" s="1"/>
      <c r="BF214" s="1"/>
    </row>
    <row r="215" spans="2:90" ht="23.25">
      <c r="B215" s="15">
        <v>81</v>
      </c>
      <c r="C215" s="15">
        <v>5</v>
      </c>
      <c r="D215" s="16">
        <v>11</v>
      </c>
      <c r="E215" s="26">
        <v>974</v>
      </c>
      <c r="F215" s="29"/>
      <c r="G215" s="44"/>
      <c r="H215" s="44"/>
      <c r="I215" s="62">
        <v>0</v>
      </c>
      <c r="J215" s="62">
        <v>4</v>
      </c>
      <c r="K215" s="62">
        <v>0</v>
      </c>
      <c r="L215" s="62">
        <v>4</v>
      </c>
      <c r="M215" s="44"/>
      <c r="N215" s="62" t="s">
        <v>127</v>
      </c>
      <c r="O215" s="62" t="s">
        <v>121</v>
      </c>
      <c r="P215" s="62" t="s">
        <v>141</v>
      </c>
      <c r="Q215" s="62" t="s">
        <v>122</v>
      </c>
      <c r="R215" s="62" t="s">
        <v>114</v>
      </c>
      <c r="S215" s="62" t="s">
        <v>142</v>
      </c>
      <c r="T215" s="62" t="s">
        <v>109</v>
      </c>
      <c r="U215" s="62" t="s">
        <v>124</v>
      </c>
      <c r="V215" s="62" t="s">
        <v>143</v>
      </c>
      <c r="W215" s="62" t="s">
        <v>123</v>
      </c>
      <c r="X215" s="44"/>
      <c r="Y215" s="44"/>
      <c r="Z215" s="44"/>
      <c r="AA215" s="44"/>
      <c r="AB215" s="44"/>
      <c r="AC215" s="44"/>
      <c r="AD215" s="44"/>
      <c r="AE215" s="44"/>
      <c r="AF215" s="44"/>
      <c r="AG215" s="44"/>
      <c r="AX215" s="1"/>
      <c r="AY215" s="1"/>
      <c r="AZ215" s="1"/>
      <c r="BA215" s="1"/>
      <c r="BB215" s="1"/>
      <c r="BC215" s="1"/>
      <c r="BD215" s="1"/>
      <c r="BE215" s="1"/>
      <c r="BF215" s="1"/>
    </row>
    <row r="216" spans="2:90" ht="23.25">
      <c r="B216" s="15">
        <f t="shared" ref="B216:B234" si="3">B215+1</f>
        <v>82</v>
      </c>
      <c r="C216" s="15">
        <v>5</v>
      </c>
      <c r="D216" s="16">
        <v>11</v>
      </c>
      <c r="E216" s="26">
        <v>528</v>
      </c>
      <c r="F216" s="29"/>
      <c r="G216" s="44"/>
      <c r="H216" s="44"/>
      <c r="I216" s="62">
        <v>4</v>
      </c>
      <c r="J216" s="62">
        <v>0</v>
      </c>
      <c r="K216" s="62">
        <v>4</v>
      </c>
      <c r="L216" s="62">
        <v>3</v>
      </c>
      <c r="M216" s="44"/>
      <c r="N216" s="62" t="s">
        <v>114</v>
      </c>
      <c r="O216" s="62" t="s">
        <v>144</v>
      </c>
      <c r="P216" s="62" t="s">
        <v>128</v>
      </c>
      <c r="Q216" s="62" t="s">
        <v>116</v>
      </c>
      <c r="R216" s="62" t="s">
        <v>122</v>
      </c>
      <c r="S216" s="62" t="s">
        <v>123</v>
      </c>
      <c r="T216" s="62" t="s">
        <v>140</v>
      </c>
      <c r="U216" s="62" t="s">
        <v>124</v>
      </c>
      <c r="V216" s="62" t="s">
        <v>142</v>
      </c>
      <c r="W216" s="62" t="s">
        <v>110</v>
      </c>
      <c r="X216" s="44"/>
      <c r="Y216" s="44"/>
      <c r="Z216" s="44"/>
      <c r="AA216" s="44"/>
      <c r="AB216" s="44"/>
      <c r="AC216" s="44"/>
      <c r="AD216" s="44"/>
      <c r="AE216" s="44"/>
      <c r="AF216" s="44"/>
      <c r="AG216" s="44"/>
      <c r="AX216" s="1"/>
      <c r="AY216" s="1"/>
      <c r="AZ216" s="1"/>
      <c r="BA216" s="1"/>
      <c r="BB216" s="1"/>
      <c r="BC216" s="1"/>
      <c r="BD216" s="1"/>
      <c r="BE216" s="1"/>
      <c r="BF216" s="1"/>
    </row>
    <row r="217" spans="2:90" ht="23.25">
      <c r="B217" s="15">
        <f t="shared" si="3"/>
        <v>83</v>
      </c>
      <c r="C217" s="15">
        <v>5</v>
      </c>
      <c r="D217" s="16">
        <v>11</v>
      </c>
      <c r="E217" s="26">
        <v>795</v>
      </c>
      <c r="F217" s="29"/>
      <c r="G217" s="44"/>
      <c r="H217" s="44"/>
      <c r="I217" s="62">
        <v>5</v>
      </c>
      <c r="J217" s="62">
        <v>1</v>
      </c>
      <c r="K217" s="62">
        <v>2</v>
      </c>
      <c r="L217" s="62">
        <v>0</v>
      </c>
      <c r="M217" s="44"/>
      <c r="N217" s="62" t="s">
        <v>127</v>
      </c>
      <c r="O217" s="62" t="s">
        <v>116</v>
      </c>
      <c r="P217" s="62" t="s">
        <v>128</v>
      </c>
      <c r="Q217" s="62" t="s">
        <v>108</v>
      </c>
      <c r="R217" s="62" t="s">
        <v>112</v>
      </c>
      <c r="S217" s="62" t="s">
        <v>124</v>
      </c>
      <c r="T217" s="62" t="s">
        <v>143</v>
      </c>
      <c r="U217" s="62" t="s">
        <v>113</v>
      </c>
      <c r="V217" s="62" t="s">
        <v>109</v>
      </c>
      <c r="W217" s="62" t="s">
        <v>145</v>
      </c>
      <c r="X217" s="44"/>
      <c r="Y217" s="44"/>
      <c r="Z217" s="44"/>
      <c r="AA217" s="44"/>
      <c r="AB217" s="44"/>
      <c r="AC217" s="44"/>
      <c r="AD217" s="44"/>
      <c r="AE217" s="44"/>
      <c r="AF217" s="44"/>
      <c r="AG217" s="44"/>
      <c r="AX217" s="1"/>
      <c r="AY217" s="1"/>
      <c r="AZ217" s="1"/>
      <c r="BA217" s="1"/>
      <c r="BB217" s="1"/>
      <c r="BC217" s="1"/>
      <c r="BD217" s="1"/>
      <c r="BE217" s="1"/>
      <c r="BF217" s="1"/>
    </row>
    <row r="218" spans="2:90" ht="23.25">
      <c r="B218" s="15">
        <f t="shared" si="3"/>
        <v>84</v>
      </c>
      <c r="C218" s="15">
        <v>5</v>
      </c>
      <c r="D218" s="16">
        <v>11</v>
      </c>
      <c r="E218" s="26">
        <v>831</v>
      </c>
      <c r="F218" s="29"/>
      <c r="G218" s="44"/>
      <c r="H218" s="44"/>
      <c r="I218" s="62">
        <v>2</v>
      </c>
      <c r="J218" s="62">
        <v>4</v>
      </c>
      <c r="K218" s="62">
        <v>5</v>
      </c>
      <c r="L218" s="62">
        <v>2</v>
      </c>
      <c r="M218" s="44"/>
      <c r="N218" s="62" t="s">
        <v>145</v>
      </c>
      <c r="O218" s="62" t="s">
        <v>116</v>
      </c>
      <c r="P218" s="62" t="s">
        <v>124</v>
      </c>
      <c r="Q218" s="62" t="s">
        <v>110</v>
      </c>
      <c r="R218" s="62" t="s">
        <v>118</v>
      </c>
      <c r="S218" s="62" t="s">
        <v>121</v>
      </c>
      <c r="T218" s="62" t="s">
        <v>120</v>
      </c>
      <c r="U218" s="62" t="s">
        <v>109</v>
      </c>
      <c r="V218" s="62" t="s">
        <v>144</v>
      </c>
      <c r="W218" s="62" t="s">
        <v>112</v>
      </c>
      <c r="X218" s="44"/>
      <c r="Y218" s="44"/>
      <c r="Z218" s="44"/>
      <c r="AA218" s="44"/>
      <c r="AB218" s="44"/>
      <c r="AC218" s="44"/>
      <c r="AD218" s="44"/>
      <c r="AE218" s="44"/>
      <c r="AF218" s="44"/>
      <c r="AG218" s="44"/>
      <c r="AX218" s="1"/>
      <c r="AY218" s="1"/>
      <c r="AZ218" s="1"/>
      <c r="BA218" s="1"/>
      <c r="BB218" s="1"/>
      <c r="BC218" s="1"/>
      <c r="BD218" s="1"/>
      <c r="BE218" s="1"/>
      <c r="BF218" s="1"/>
    </row>
    <row r="219" spans="2:90" ht="23.25">
      <c r="B219" s="15">
        <f t="shared" si="3"/>
        <v>85</v>
      </c>
      <c r="C219" s="15">
        <v>5</v>
      </c>
      <c r="D219" s="16">
        <v>11</v>
      </c>
      <c r="E219" s="26">
        <v>949</v>
      </c>
      <c r="F219" s="29"/>
      <c r="G219" s="44"/>
      <c r="H219" s="44"/>
      <c r="I219" s="62">
        <v>0</v>
      </c>
      <c r="J219" s="62">
        <v>5</v>
      </c>
      <c r="K219" s="62">
        <v>4</v>
      </c>
      <c r="L219" s="62">
        <v>3</v>
      </c>
      <c r="M219" s="44"/>
      <c r="N219" s="62" t="s">
        <v>124</v>
      </c>
      <c r="O219" s="62" t="s">
        <v>120</v>
      </c>
      <c r="P219" s="62" t="s">
        <v>145</v>
      </c>
      <c r="Q219" s="62" t="s">
        <v>110</v>
      </c>
      <c r="R219" s="62" t="s">
        <v>118</v>
      </c>
      <c r="S219" s="62" t="s">
        <v>141</v>
      </c>
      <c r="T219" s="62" t="s">
        <v>112</v>
      </c>
      <c r="U219" s="62" t="s">
        <v>122</v>
      </c>
      <c r="V219" s="62" t="s">
        <v>108</v>
      </c>
      <c r="W219" s="62" t="s">
        <v>116</v>
      </c>
      <c r="X219" s="44"/>
      <c r="Y219" s="44"/>
      <c r="Z219" s="44"/>
      <c r="AA219" s="44"/>
      <c r="AB219" s="44"/>
      <c r="AC219" s="44"/>
      <c r="AD219" s="44"/>
      <c r="AE219" s="44"/>
      <c r="AF219" s="44"/>
      <c r="AG219" s="44"/>
      <c r="AX219" s="1"/>
      <c r="AY219" s="1"/>
      <c r="AZ219" s="1"/>
      <c r="BA219" s="1"/>
      <c r="BB219" s="1"/>
      <c r="BC219" s="1"/>
      <c r="BD219" s="1"/>
      <c r="BE219" s="1"/>
      <c r="BF219" s="1"/>
    </row>
    <row r="220" spans="2:90" ht="23.25">
      <c r="B220" s="15">
        <f t="shared" si="3"/>
        <v>86</v>
      </c>
      <c r="C220" s="15">
        <v>5</v>
      </c>
      <c r="D220" s="16">
        <v>11</v>
      </c>
      <c r="E220" s="26">
        <v>823</v>
      </c>
      <c r="F220" s="29"/>
      <c r="G220" s="44"/>
      <c r="H220" s="44"/>
      <c r="I220" s="62">
        <v>1</v>
      </c>
      <c r="J220" s="62">
        <v>5</v>
      </c>
      <c r="K220" s="62">
        <v>1</v>
      </c>
      <c r="L220" s="62">
        <v>2</v>
      </c>
      <c r="M220" s="44"/>
      <c r="N220" s="62" t="s">
        <v>124</v>
      </c>
      <c r="O220" s="62" t="s">
        <v>117</v>
      </c>
      <c r="P220" s="62" t="s">
        <v>114</v>
      </c>
      <c r="Q220" s="62" t="s">
        <v>143</v>
      </c>
      <c r="R220" s="62" t="s">
        <v>116</v>
      </c>
      <c r="S220" s="62" t="s">
        <v>122</v>
      </c>
      <c r="T220" s="62" t="s">
        <v>112</v>
      </c>
      <c r="U220" s="62" t="s">
        <v>141</v>
      </c>
      <c r="V220" s="62" t="s">
        <v>108</v>
      </c>
      <c r="W220" s="62" t="s">
        <v>145</v>
      </c>
      <c r="X220" s="44"/>
      <c r="Y220" s="44"/>
      <c r="Z220" s="44"/>
      <c r="AA220" s="44"/>
      <c r="AB220" s="44"/>
      <c r="AC220" s="44"/>
      <c r="AD220" s="44"/>
      <c r="AE220" s="44"/>
      <c r="AF220" s="44"/>
      <c r="AG220" s="44"/>
      <c r="AX220" s="1"/>
      <c r="AY220" s="1"/>
      <c r="AZ220" s="1"/>
      <c r="BA220" s="1"/>
      <c r="BB220" s="1"/>
      <c r="BC220" s="1"/>
      <c r="BD220" s="1"/>
      <c r="BE220" s="1"/>
      <c r="BF220" s="1"/>
    </row>
    <row r="221" spans="2:90" ht="23.25">
      <c r="B221" s="15">
        <f t="shared" si="3"/>
        <v>87</v>
      </c>
      <c r="C221" s="15">
        <v>5</v>
      </c>
      <c r="D221" s="16">
        <v>11</v>
      </c>
      <c r="E221" s="26">
        <v>841</v>
      </c>
      <c r="F221" s="29"/>
      <c r="G221" s="44"/>
      <c r="H221" s="44"/>
      <c r="I221" s="62">
        <v>3</v>
      </c>
      <c r="J221" s="62">
        <v>4</v>
      </c>
      <c r="K221" s="62">
        <v>5</v>
      </c>
      <c r="L221" s="62">
        <v>2</v>
      </c>
      <c r="M221" s="44"/>
      <c r="N221" s="62" t="s">
        <v>124</v>
      </c>
      <c r="O221" s="62" t="s">
        <v>110</v>
      </c>
      <c r="P221" s="62" t="s">
        <v>142</v>
      </c>
      <c r="Q221" s="62" t="s">
        <v>143</v>
      </c>
      <c r="R221" s="62" t="s">
        <v>145</v>
      </c>
      <c r="S221" s="62" t="s">
        <v>117</v>
      </c>
      <c r="T221" s="62" t="s">
        <v>144</v>
      </c>
      <c r="U221" s="62" t="s">
        <v>114</v>
      </c>
      <c r="V221" s="62" t="s">
        <v>109</v>
      </c>
      <c r="W221" s="62" t="s">
        <v>116</v>
      </c>
      <c r="X221" s="44"/>
      <c r="Y221" s="44"/>
      <c r="Z221" s="44"/>
      <c r="AA221" s="44"/>
      <c r="AB221" s="44"/>
      <c r="AC221" s="44"/>
      <c r="AD221" s="44"/>
      <c r="AE221" s="44"/>
      <c r="AF221" s="44"/>
      <c r="AG221" s="44"/>
      <c r="AX221" s="1"/>
      <c r="AY221" s="1"/>
      <c r="AZ221" s="1"/>
      <c r="BA221" s="1"/>
      <c r="BB221" s="1"/>
      <c r="BC221" s="1"/>
      <c r="BD221" s="1"/>
      <c r="BE221" s="1"/>
      <c r="BF221" s="1"/>
    </row>
    <row r="222" spans="2:90" ht="23.25">
      <c r="B222" s="15">
        <f t="shared" si="3"/>
        <v>88</v>
      </c>
      <c r="C222" s="15">
        <v>5</v>
      </c>
      <c r="D222" s="16">
        <v>11</v>
      </c>
      <c r="E222" s="26">
        <v>456</v>
      </c>
      <c r="F222" s="29"/>
      <c r="G222" s="44"/>
      <c r="H222" s="44"/>
      <c r="I222" s="62">
        <v>2</v>
      </c>
      <c r="J222" s="62">
        <v>0</v>
      </c>
      <c r="K222" s="62">
        <v>0</v>
      </c>
      <c r="L222" s="62">
        <v>2</v>
      </c>
      <c r="M222" s="44"/>
      <c r="N222" s="62" t="s">
        <v>121</v>
      </c>
      <c r="O222" s="62" t="s">
        <v>122</v>
      </c>
      <c r="P222" s="62" t="s">
        <v>112</v>
      </c>
      <c r="Q222" s="62" t="s">
        <v>128</v>
      </c>
      <c r="R222" s="62" t="s">
        <v>116</v>
      </c>
      <c r="S222" s="62" t="s">
        <v>124</v>
      </c>
      <c r="T222" s="62" t="s">
        <v>143</v>
      </c>
      <c r="U222" s="62" t="s">
        <v>144</v>
      </c>
      <c r="V222" s="62" t="s">
        <v>125</v>
      </c>
      <c r="W222" s="62" t="s">
        <v>142</v>
      </c>
      <c r="X222" s="44"/>
      <c r="Y222" s="44"/>
      <c r="Z222" s="44"/>
      <c r="AA222" s="44"/>
      <c r="AB222" s="44"/>
      <c r="AC222" s="44"/>
      <c r="AD222" s="44"/>
      <c r="AE222" s="44"/>
      <c r="AF222" s="44"/>
      <c r="AG222" s="44"/>
      <c r="AX222" s="1"/>
      <c r="AY222" s="1"/>
      <c r="AZ222" s="1"/>
      <c r="BA222" s="1"/>
      <c r="BB222" s="1"/>
      <c r="BC222" s="1"/>
      <c r="BD222" s="1"/>
      <c r="BE222" s="1"/>
      <c r="BF222" s="1"/>
    </row>
    <row r="223" spans="2:90" ht="23.25">
      <c r="B223" s="15">
        <f t="shared" si="3"/>
        <v>89</v>
      </c>
      <c r="C223" s="15">
        <v>5</v>
      </c>
      <c r="D223" s="16">
        <v>11</v>
      </c>
      <c r="E223" s="26">
        <v>694</v>
      </c>
      <c r="F223" s="29"/>
      <c r="G223" s="44"/>
      <c r="H223" s="44"/>
      <c r="I223" s="62">
        <v>2</v>
      </c>
      <c r="J223" s="62">
        <v>2</v>
      </c>
      <c r="K223" s="62">
        <v>0</v>
      </c>
      <c r="L223" s="62">
        <v>1</v>
      </c>
      <c r="M223" s="44"/>
      <c r="N223" s="62" t="s">
        <v>143</v>
      </c>
      <c r="O223" s="62" t="s">
        <v>145</v>
      </c>
      <c r="P223" s="62" t="s">
        <v>112</v>
      </c>
      <c r="Q223" s="62" t="s">
        <v>113</v>
      </c>
      <c r="R223" s="62" t="s">
        <v>118</v>
      </c>
      <c r="S223" s="62" t="s">
        <v>116</v>
      </c>
      <c r="T223" s="62" t="s">
        <v>124</v>
      </c>
      <c r="U223" s="62" t="s">
        <v>127</v>
      </c>
      <c r="V223" s="62" t="s">
        <v>142</v>
      </c>
      <c r="W223" s="62" t="s">
        <v>125</v>
      </c>
      <c r="X223" s="44"/>
      <c r="Y223" s="44"/>
      <c r="Z223" s="44"/>
      <c r="AA223" s="44"/>
      <c r="AB223" s="44"/>
      <c r="AC223" s="44"/>
      <c r="AD223" s="44"/>
      <c r="AE223" s="44"/>
      <c r="AF223" s="44"/>
      <c r="AG223" s="44"/>
      <c r="AX223" s="1"/>
      <c r="AY223" s="1"/>
      <c r="AZ223" s="1"/>
      <c r="BA223" s="1"/>
      <c r="BB223" s="1"/>
      <c r="BC223" s="1"/>
      <c r="BD223" s="1"/>
      <c r="BE223" s="1"/>
      <c r="BF223" s="1"/>
    </row>
    <row r="224" spans="2:90" ht="23.25">
      <c r="B224" s="15">
        <f t="shared" si="3"/>
        <v>90</v>
      </c>
      <c r="C224" s="15">
        <v>5</v>
      </c>
      <c r="D224" s="16">
        <v>11</v>
      </c>
      <c r="E224" s="26">
        <v>720</v>
      </c>
      <c r="F224" s="29"/>
      <c r="G224" s="44"/>
      <c r="H224" s="44"/>
      <c r="I224" s="62">
        <v>2</v>
      </c>
      <c r="J224" s="62">
        <v>0</v>
      </c>
      <c r="K224" s="62">
        <v>4</v>
      </c>
      <c r="L224" s="62">
        <v>0</v>
      </c>
      <c r="M224" s="44"/>
      <c r="N224" s="62" t="s">
        <v>113</v>
      </c>
      <c r="O224" s="62" t="s">
        <v>145</v>
      </c>
      <c r="P224" s="62" t="s">
        <v>122</v>
      </c>
      <c r="Q224" s="62" t="s">
        <v>123</v>
      </c>
      <c r="R224" s="62" t="s">
        <v>117</v>
      </c>
      <c r="S224" s="62" t="s">
        <v>143</v>
      </c>
      <c r="T224" s="62" t="s">
        <v>121</v>
      </c>
      <c r="U224" s="62" t="s">
        <v>118</v>
      </c>
      <c r="V224" s="62" t="s">
        <v>142</v>
      </c>
      <c r="W224" s="62" t="s">
        <v>125</v>
      </c>
      <c r="X224" s="44"/>
      <c r="Y224" s="44"/>
      <c r="Z224" s="44"/>
      <c r="AA224" s="44"/>
      <c r="AB224" s="44"/>
      <c r="AC224" s="44"/>
      <c r="AD224" s="44"/>
      <c r="AE224" s="44"/>
      <c r="AF224" s="44"/>
      <c r="AG224" s="44"/>
      <c r="AX224" s="1"/>
      <c r="AY224" s="1"/>
      <c r="AZ224" s="1"/>
      <c r="BA224" s="1"/>
      <c r="BB224" s="1"/>
      <c r="BC224" s="1"/>
      <c r="BD224" s="1"/>
      <c r="BE224" s="1"/>
      <c r="BF224" s="1"/>
    </row>
    <row r="225" spans="2:58" ht="23.25">
      <c r="B225" s="15">
        <f t="shared" si="3"/>
        <v>91</v>
      </c>
      <c r="C225" s="15">
        <v>5</v>
      </c>
      <c r="D225" s="16">
        <v>11</v>
      </c>
      <c r="E225" s="26">
        <v>717</v>
      </c>
      <c r="F225" s="29"/>
      <c r="G225" s="44"/>
      <c r="H225" s="44"/>
      <c r="I225" s="62">
        <v>0</v>
      </c>
      <c r="J225" s="62">
        <v>3</v>
      </c>
      <c r="K225" s="62">
        <v>4</v>
      </c>
      <c r="L225" s="62">
        <v>2</v>
      </c>
      <c r="M225" s="44"/>
      <c r="N225" s="62" t="s">
        <v>109</v>
      </c>
      <c r="O225" s="62" t="s">
        <v>125</v>
      </c>
      <c r="P225" s="62" t="s">
        <v>116</v>
      </c>
      <c r="Q225" s="62" t="s">
        <v>121</v>
      </c>
      <c r="R225" s="62" t="s">
        <v>117</v>
      </c>
      <c r="S225" s="62" t="s">
        <v>120</v>
      </c>
      <c r="T225" s="62" t="s">
        <v>111</v>
      </c>
      <c r="U225" s="62" t="s">
        <v>127</v>
      </c>
      <c r="V225" s="62" t="s">
        <v>118</v>
      </c>
      <c r="W225" s="62" t="s">
        <v>140</v>
      </c>
      <c r="X225" s="44"/>
      <c r="Y225" s="44"/>
      <c r="Z225" s="44"/>
      <c r="AA225" s="44"/>
      <c r="AB225" s="44"/>
      <c r="AC225" s="44"/>
      <c r="AD225" s="44"/>
      <c r="AE225" s="44"/>
      <c r="AF225" s="44"/>
      <c r="AG225" s="44"/>
      <c r="AX225" s="1"/>
      <c r="AY225" s="1"/>
      <c r="AZ225" s="1"/>
      <c r="BA225" s="1"/>
      <c r="BB225" s="1"/>
      <c r="BC225" s="1"/>
      <c r="BD225" s="1"/>
      <c r="BE225" s="1"/>
      <c r="BF225" s="1"/>
    </row>
    <row r="226" spans="2:58" ht="23.25">
      <c r="B226" s="15">
        <f t="shared" si="3"/>
        <v>92</v>
      </c>
      <c r="C226" s="15">
        <v>5</v>
      </c>
      <c r="D226" s="16">
        <v>11</v>
      </c>
      <c r="E226" s="26">
        <v>932</v>
      </c>
      <c r="F226" s="29"/>
      <c r="G226" s="44"/>
      <c r="H226" s="44"/>
      <c r="I226" s="62">
        <v>3</v>
      </c>
      <c r="J226" s="62">
        <v>4</v>
      </c>
      <c r="K226" s="62">
        <v>0</v>
      </c>
      <c r="L226" s="62">
        <v>2</v>
      </c>
      <c r="M226" s="44"/>
      <c r="N226" s="62" t="s">
        <v>128</v>
      </c>
      <c r="O226" s="62" t="s">
        <v>125</v>
      </c>
      <c r="P226" s="62" t="s">
        <v>110</v>
      </c>
      <c r="Q226" s="62" t="s">
        <v>121</v>
      </c>
      <c r="R226" s="62" t="s">
        <v>117</v>
      </c>
      <c r="S226" s="62" t="s">
        <v>113</v>
      </c>
      <c r="T226" s="62" t="s">
        <v>109</v>
      </c>
      <c r="U226" s="62" t="s">
        <v>120</v>
      </c>
      <c r="V226" s="62" t="s">
        <v>144</v>
      </c>
      <c r="W226" s="62" t="s">
        <v>123</v>
      </c>
      <c r="X226" s="44"/>
      <c r="Y226" s="44"/>
      <c r="Z226" s="44"/>
      <c r="AA226" s="44"/>
      <c r="AB226" s="44"/>
      <c r="AC226" s="44"/>
      <c r="AD226" s="44"/>
      <c r="AE226" s="44"/>
      <c r="AF226" s="44"/>
      <c r="AG226" s="44"/>
      <c r="AX226" s="1"/>
      <c r="AY226" s="1"/>
      <c r="AZ226" s="1"/>
      <c r="BA226" s="1"/>
      <c r="BB226" s="1"/>
      <c r="BC226" s="1"/>
      <c r="BD226" s="1"/>
      <c r="BE226" s="1"/>
      <c r="BF226" s="1"/>
    </row>
    <row r="227" spans="2:58" ht="23.25">
      <c r="B227" s="15">
        <f t="shared" si="3"/>
        <v>93</v>
      </c>
      <c r="C227" s="15">
        <v>5</v>
      </c>
      <c r="D227" s="16">
        <v>11</v>
      </c>
      <c r="E227" s="26">
        <v>933</v>
      </c>
      <c r="F227" s="29"/>
      <c r="G227" s="44"/>
      <c r="H227" s="44"/>
      <c r="I227" s="62">
        <v>2</v>
      </c>
      <c r="J227" s="62">
        <v>4</v>
      </c>
      <c r="K227" s="62">
        <v>5</v>
      </c>
      <c r="L227" s="62">
        <v>3</v>
      </c>
      <c r="M227" s="44"/>
      <c r="N227" s="62" t="s">
        <v>123</v>
      </c>
      <c r="O227" s="62" t="s">
        <v>122</v>
      </c>
      <c r="P227" s="62" t="s">
        <v>110</v>
      </c>
      <c r="Q227" s="62" t="s">
        <v>113</v>
      </c>
      <c r="R227" s="62" t="s">
        <v>117</v>
      </c>
      <c r="S227" s="62" t="s">
        <v>112</v>
      </c>
      <c r="T227" s="62" t="s">
        <v>120</v>
      </c>
      <c r="U227" s="62" t="s">
        <v>121</v>
      </c>
      <c r="V227" s="62" t="s">
        <v>144</v>
      </c>
      <c r="W227" s="62" t="s">
        <v>142</v>
      </c>
      <c r="X227" s="44"/>
      <c r="Y227" s="44"/>
      <c r="Z227" s="44"/>
      <c r="AA227" s="44"/>
      <c r="AB227" s="44"/>
      <c r="AC227" s="44"/>
      <c r="AD227" s="44"/>
      <c r="AE227" s="44"/>
      <c r="AF227" s="44"/>
      <c r="AG227" s="44"/>
      <c r="AX227" s="1"/>
      <c r="AY227" s="1"/>
      <c r="AZ227" s="1"/>
      <c r="BA227" s="1"/>
      <c r="BB227" s="1"/>
      <c r="BC227" s="1"/>
      <c r="BD227" s="1"/>
      <c r="BE227" s="1"/>
      <c r="BF227" s="1"/>
    </row>
    <row r="228" spans="2:58" ht="23.25">
      <c r="B228" s="15">
        <f t="shared" si="3"/>
        <v>94</v>
      </c>
      <c r="C228" s="15">
        <v>5</v>
      </c>
      <c r="D228" s="16">
        <v>11</v>
      </c>
      <c r="E228" s="26">
        <v>618</v>
      </c>
      <c r="F228" s="29"/>
      <c r="G228" s="44"/>
      <c r="H228" s="44"/>
      <c r="I228" s="62">
        <v>0</v>
      </c>
      <c r="J228" s="62">
        <v>1</v>
      </c>
      <c r="K228" s="62">
        <v>4</v>
      </c>
      <c r="L228" s="62">
        <v>3</v>
      </c>
      <c r="M228" s="44"/>
      <c r="N228" s="62" t="s">
        <v>143</v>
      </c>
      <c r="O228" s="62" t="s">
        <v>142</v>
      </c>
      <c r="P228" s="62" t="s">
        <v>122</v>
      </c>
      <c r="Q228" s="62" t="s">
        <v>121</v>
      </c>
      <c r="R228" s="62" t="s">
        <v>109</v>
      </c>
      <c r="S228" s="62" t="s">
        <v>112</v>
      </c>
      <c r="T228" s="62" t="s">
        <v>145</v>
      </c>
      <c r="U228" s="62" t="s">
        <v>111</v>
      </c>
      <c r="V228" s="62" t="s">
        <v>114</v>
      </c>
      <c r="W228" s="62" t="s">
        <v>120</v>
      </c>
      <c r="X228" s="44"/>
      <c r="Y228" s="44"/>
      <c r="Z228" s="44"/>
      <c r="AA228" s="44"/>
      <c r="AB228" s="44"/>
      <c r="AC228" s="44"/>
      <c r="AD228" s="44"/>
      <c r="AE228" s="44"/>
      <c r="AF228" s="44"/>
      <c r="AG228" s="44"/>
      <c r="AX228" s="1"/>
      <c r="AY228" s="1"/>
      <c r="AZ228" s="1"/>
      <c r="BA228" s="1"/>
      <c r="BB228" s="1"/>
      <c r="BC228" s="1"/>
      <c r="BD228" s="1"/>
      <c r="BE228" s="1"/>
      <c r="BF228" s="1"/>
    </row>
    <row r="229" spans="2:58" ht="23.25">
      <c r="B229" s="15">
        <f t="shared" si="3"/>
        <v>95</v>
      </c>
      <c r="C229" s="15">
        <v>5</v>
      </c>
      <c r="D229" s="16">
        <v>11</v>
      </c>
      <c r="E229" s="26">
        <v>647</v>
      </c>
      <c r="F229" s="29"/>
      <c r="G229" s="44"/>
      <c r="H229" s="44"/>
      <c r="I229" s="62">
        <v>3</v>
      </c>
      <c r="J229" s="62">
        <v>2</v>
      </c>
      <c r="K229" s="62">
        <v>1</v>
      </c>
      <c r="L229" s="62">
        <v>4</v>
      </c>
      <c r="M229" s="44"/>
      <c r="N229" s="62" t="s">
        <v>123</v>
      </c>
      <c r="O229" s="62" t="s">
        <v>142</v>
      </c>
      <c r="P229" s="62" t="s">
        <v>117</v>
      </c>
      <c r="Q229" s="62" t="s">
        <v>128</v>
      </c>
      <c r="R229" s="62" t="s">
        <v>118</v>
      </c>
      <c r="S229" s="62" t="s">
        <v>122</v>
      </c>
      <c r="T229" s="62" t="s">
        <v>121</v>
      </c>
      <c r="U229" s="62" t="s">
        <v>111</v>
      </c>
      <c r="V229" s="62" t="s">
        <v>110</v>
      </c>
      <c r="W229" s="62" t="s">
        <v>143</v>
      </c>
      <c r="X229" s="44"/>
      <c r="Y229" s="44"/>
      <c r="Z229" s="44"/>
      <c r="AA229" s="44"/>
      <c r="AB229" s="44"/>
      <c r="AC229" s="44"/>
      <c r="AD229" s="44"/>
      <c r="AE229" s="44"/>
      <c r="AF229" s="44"/>
      <c r="AG229" s="44"/>
      <c r="AX229" s="1"/>
      <c r="AY229" s="1"/>
      <c r="AZ229" s="1"/>
      <c r="BA229" s="1"/>
      <c r="BB229" s="1"/>
      <c r="BC229" s="1"/>
      <c r="BD229" s="1"/>
      <c r="BE229" s="1"/>
      <c r="BF229" s="1"/>
    </row>
    <row r="230" spans="2:58" ht="23.25">
      <c r="B230" s="15">
        <f t="shared" si="3"/>
        <v>96</v>
      </c>
      <c r="C230" s="15">
        <v>5</v>
      </c>
      <c r="D230" s="16">
        <v>11</v>
      </c>
      <c r="E230" s="26">
        <v>649</v>
      </c>
      <c r="F230" s="29"/>
      <c r="G230" s="44"/>
      <c r="H230" s="44"/>
      <c r="I230" s="62">
        <v>2</v>
      </c>
      <c r="J230" s="62">
        <v>1</v>
      </c>
      <c r="K230" s="62">
        <v>2</v>
      </c>
      <c r="L230" s="62">
        <v>5</v>
      </c>
      <c r="M230" s="44"/>
      <c r="N230" s="62" t="s">
        <v>122</v>
      </c>
      <c r="O230" s="62" t="s">
        <v>127</v>
      </c>
      <c r="P230" s="62" t="s">
        <v>117</v>
      </c>
      <c r="Q230" s="62" t="s">
        <v>114</v>
      </c>
      <c r="R230" s="62" t="s">
        <v>121</v>
      </c>
      <c r="S230" s="62" t="s">
        <v>123</v>
      </c>
      <c r="T230" s="62" t="s">
        <v>143</v>
      </c>
      <c r="U230" s="62" t="s">
        <v>112</v>
      </c>
      <c r="V230" s="62" t="s">
        <v>110</v>
      </c>
      <c r="W230" s="62" t="s">
        <v>111</v>
      </c>
      <c r="X230" s="44"/>
      <c r="Y230" s="44"/>
      <c r="Z230" s="44"/>
      <c r="AA230" s="44"/>
      <c r="AB230" s="44"/>
      <c r="AC230" s="44"/>
      <c r="AD230" s="44"/>
      <c r="AE230" s="44"/>
      <c r="AF230" s="44"/>
      <c r="AG230" s="44"/>
      <c r="AX230" s="1"/>
      <c r="AY230" s="1"/>
      <c r="AZ230" s="1"/>
      <c r="BA230" s="1"/>
      <c r="BB230" s="1"/>
      <c r="BC230" s="1"/>
      <c r="BD230" s="1"/>
      <c r="BE230" s="1"/>
      <c r="BF230" s="1"/>
    </row>
    <row r="231" spans="2:58" ht="23.25">
      <c r="B231" s="15">
        <f t="shared" si="3"/>
        <v>97</v>
      </c>
      <c r="C231" s="15">
        <v>5</v>
      </c>
      <c r="D231" s="16">
        <v>11</v>
      </c>
      <c r="E231" s="26">
        <v>881</v>
      </c>
      <c r="F231" s="29"/>
      <c r="G231" s="44"/>
      <c r="H231" s="44"/>
      <c r="I231" s="62">
        <v>3</v>
      </c>
      <c r="J231" s="62">
        <v>4</v>
      </c>
      <c r="K231" s="62">
        <v>5</v>
      </c>
      <c r="L231" s="62">
        <v>1</v>
      </c>
      <c r="M231" s="44"/>
      <c r="N231" s="62" t="s">
        <v>110</v>
      </c>
      <c r="O231" s="62" t="s">
        <v>127</v>
      </c>
      <c r="P231" s="62" t="s">
        <v>117</v>
      </c>
      <c r="Q231" s="62" t="s">
        <v>116</v>
      </c>
      <c r="R231" s="62" t="s">
        <v>121</v>
      </c>
      <c r="S231" s="62" t="s">
        <v>122</v>
      </c>
      <c r="T231" s="62" t="s">
        <v>143</v>
      </c>
      <c r="U231" s="62" t="s">
        <v>112</v>
      </c>
      <c r="V231" s="62" t="s">
        <v>111</v>
      </c>
      <c r="W231" s="62" t="s">
        <v>109</v>
      </c>
      <c r="X231" s="44"/>
      <c r="Y231" s="44"/>
      <c r="Z231" s="44"/>
      <c r="AA231" s="44"/>
      <c r="AB231" s="44"/>
      <c r="AC231" s="44"/>
      <c r="AD231" s="44"/>
      <c r="AE231" s="44"/>
      <c r="AF231" s="44"/>
      <c r="AG231" s="44"/>
      <c r="AX231" s="1"/>
      <c r="AY231" s="1"/>
      <c r="AZ231" s="1"/>
      <c r="BA231" s="1"/>
      <c r="BB231" s="1"/>
      <c r="BC231" s="1"/>
      <c r="BD231" s="1"/>
      <c r="BE231" s="1"/>
      <c r="BF231" s="1"/>
    </row>
    <row r="232" spans="2:58" ht="23.25">
      <c r="B232" s="15">
        <f t="shared" si="3"/>
        <v>98</v>
      </c>
      <c r="C232" s="15">
        <v>5</v>
      </c>
      <c r="D232" s="16">
        <v>11</v>
      </c>
      <c r="E232" s="26">
        <v>583</v>
      </c>
      <c r="F232" s="29"/>
      <c r="G232" s="44"/>
      <c r="H232" s="44"/>
      <c r="I232" s="62">
        <v>5</v>
      </c>
      <c r="J232" s="62">
        <v>1</v>
      </c>
      <c r="K232" s="62">
        <v>4</v>
      </c>
      <c r="L232" s="62">
        <v>1</v>
      </c>
      <c r="M232" s="44"/>
      <c r="N232" s="62" t="s">
        <v>121</v>
      </c>
      <c r="O232" s="62" t="s">
        <v>123</v>
      </c>
      <c r="P232" s="62" t="s">
        <v>122</v>
      </c>
      <c r="Q232" s="62" t="s">
        <v>116</v>
      </c>
      <c r="R232" s="62" t="s">
        <v>120</v>
      </c>
      <c r="S232" s="62" t="s">
        <v>145</v>
      </c>
      <c r="T232" s="62" t="s">
        <v>142</v>
      </c>
      <c r="U232" s="62" t="s">
        <v>111</v>
      </c>
      <c r="V232" s="62" t="s">
        <v>110</v>
      </c>
      <c r="W232" s="62" t="s">
        <v>124</v>
      </c>
      <c r="X232" s="44"/>
      <c r="Y232" s="44"/>
      <c r="Z232" s="44"/>
      <c r="AA232" s="44"/>
      <c r="AB232" s="44"/>
      <c r="AC232" s="44"/>
      <c r="AD232" s="44"/>
      <c r="AE232" s="44"/>
      <c r="AF232" s="44"/>
      <c r="AG232" s="44"/>
      <c r="AX232" s="1"/>
      <c r="AY232" s="1"/>
      <c r="AZ232" s="1"/>
      <c r="BA232" s="1"/>
      <c r="BB232" s="1"/>
      <c r="BC232" s="1"/>
      <c r="BD232" s="1"/>
      <c r="BE232" s="1"/>
      <c r="BF232" s="1"/>
    </row>
    <row r="233" spans="2:58" ht="23.25">
      <c r="B233" s="15">
        <f t="shared" si="3"/>
        <v>99</v>
      </c>
      <c r="C233" s="15">
        <v>5</v>
      </c>
      <c r="D233" s="16">
        <v>11</v>
      </c>
      <c r="E233" s="26">
        <v>1336</v>
      </c>
      <c r="F233" s="29"/>
      <c r="G233" s="44"/>
      <c r="H233" s="44"/>
      <c r="I233" s="62">
        <v>1</v>
      </c>
      <c r="J233" s="62">
        <v>2</v>
      </c>
      <c r="K233" s="62">
        <v>3</v>
      </c>
      <c r="L233" s="62">
        <v>5</v>
      </c>
      <c r="M233" s="44"/>
      <c r="N233" s="62" t="s">
        <v>111</v>
      </c>
      <c r="O233" s="62" t="s">
        <v>114</v>
      </c>
      <c r="P233" s="62" t="s">
        <v>113</v>
      </c>
      <c r="Q233" s="62" t="s">
        <v>110</v>
      </c>
      <c r="R233" s="62" t="s">
        <v>145</v>
      </c>
      <c r="S233" s="62" t="s">
        <v>141</v>
      </c>
      <c r="T233" s="62" t="s">
        <v>109</v>
      </c>
      <c r="U233" s="62" t="s">
        <v>121</v>
      </c>
      <c r="V233" s="62" t="s">
        <v>120</v>
      </c>
      <c r="W233" s="62" t="s">
        <v>116</v>
      </c>
      <c r="X233" s="44"/>
      <c r="Y233" s="44"/>
      <c r="Z233" s="44"/>
      <c r="AA233" s="44"/>
      <c r="AB233" s="44"/>
      <c r="AC233" s="44"/>
      <c r="AD233" s="44"/>
      <c r="AE233" s="44"/>
      <c r="AF233" s="44"/>
      <c r="AG233" s="44"/>
      <c r="AX233" s="1"/>
      <c r="AY233" s="1"/>
      <c r="AZ233" s="1"/>
      <c r="BA233" s="1"/>
      <c r="BB233" s="1"/>
      <c r="BC233" s="1"/>
      <c r="BD233" s="1"/>
      <c r="BE233" s="1"/>
      <c r="BF233" s="1"/>
    </row>
    <row r="234" spans="2:58" ht="23.25">
      <c r="B234" s="15">
        <f t="shared" si="3"/>
        <v>100</v>
      </c>
      <c r="C234" s="15">
        <v>5</v>
      </c>
      <c r="D234" s="16">
        <v>11</v>
      </c>
      <c r="E234" s="26">
        <v>899</v>
      </c>
      <c r="F234" s="29"/>
      <c r="G234" s="44"/>
      <c r="H234" s="44"/>
      <c r="I234" s="62">
        <v>4</v>
      </c>
      <c r="J234" s="62">
        <v>4</v>
      </c>
      <c r="K234" s="62">
        <v>3</v>
      </c>
      <c r="L234" s="62">
        <v>4</v>
      </c>
      <c r="M234" s="44"/>
      <c r="N234" s="62" t="s">
        <v>140</v>
      </c>
      <c r="O234" s="62" t="s">
        <v>114</v>
      </c>
      <c r="P234" s="62" t="s">
        <v>128</v>
      </c>
      <c r="Q234" s="62" t="s">
        <v>124</v>
      </c>
      <c r="R234" s="62" t="s">
        <v>145</v>
      </c>
      <c r="S234" s="62" t="s">
        <v>117</v>
      </c>
      <c r="T234" s="62" t="s">
        <v>127</v>
      </c>
      <c r="U234" s="62" t="s">
        <v>122</v>
      </c>
      <c r="V234" s="62" t="s">
        <v>141</v>
      </c>
      <c r="W234" s="62" t="s">
        <v>144</v>
      </c>
      <c r="X234" s="44"/>
      <c r="Y234" s="44"/>
      <c r="Z234" s="44"/>
      <c r="AA234" s="44"/>
      <c r="AB234" s="44"/>
      <c r="AC234" s="44"/>
      <c r="AD234" s="44"/>
      <c r="AE234" s="44"/>
      <c r="AF234" s="44"/>
      <c r="AG234" s="44"/>
      <c r="AX234" s="1"/>
      <c r="AY234" s="1"/>
      <c r="AZ234" s="1"/>
      <c r="BA234" s="1"/>
      <c r="BB234" s="1"/>
      <c r="BC234" s="1"/>
      <c r="BD234" s="1"/>
      <c r="BE234" s="1"/>
      <c r="BF234" s="1"/>
    </row>
    <row r="235" spans="2:58" ht="15.75">
      <c r="B235" s="4"/>
      <c r="C235" s="4"/>
      <c r="D235" s="4"/>
      <c r="E235" s="33"/>
      <c r="F235" s="5"/>
      <c r="G235" s="46"/>
      <c r="H235" s="46"/>
      <c r="I235" s="46"/>
      <c r="J235" s="46"/>
      <c r="K235" s="46"/>
      <c r="L235" s="46"/>
      <c r="M235" s="46"/>
      <c r="N235" s="46"/>
      <c r="O235" s="46"/>
      <c r="P235" s="46"/>
      <c r="AM235" s="4"/>
      <c r="AN235" s="4"/>
      <c r="AO235" s="4"/>
      <c r="AP235" s="4"/>
      <c r="AQ235" s="4"/>
      <c r="AR235" s="4"/>
      <c r="AS235" s="4"/>
      <c r="AT235" s="4"/>
      <c r="AU235" s="4"/>
      <c r="AV235" s="4"/>
      <c r="AW235" s="4"/>
    </row>
    <row r="236" spans="2:58" ht="16.5" thickBot="1">
      <c r="G236" s="46"/>
      <c r="H236" s="46"/>
      <c r="I236" s="46"/>
      <c r="J236" s="46"/>
      <c r="K236" s="46"/>
      <c r="L236" s="46"/>
      <c r="M236" s="46"/>
      <c r="N236" s="46"/>
      <c r="O236" s="46"/>
      <c r="P236" s="46"/>
    </row>
    <row r="237" spans="2:58" ht="20.25" thickTop="1" thickBot="1">
      <c r="B237" s="19" t="s">
        <v>146</v>
      </c>
      <c r="C237" s="9" t="s">
        <v>130</v>
      </c>
      <c r="D237" s="4"/>
      <c r="E237" s="33"/>
      <c r="F237" s="5"/>
      <c r="G237" s="45"/>
      <c r="H237" s="45"/>
      <c r="I237" s="45"/>
      <c r="J237" s="46"/>
      <c r="K237" s="46"/>
      <c r="L237" s="46"/>
      <c r="M237" s="46"/>
      <c r="N237" s="46"/>
      <c r="O237" s="46"/>
      <c r="P237" s="46"/>
      <c r="AE237" s="4"/>
      <c r="AF237" s="4"/>
      <c r="AG237" s="4"/>
      <c r="AH237" s="4"/>
      <c r="AI237" s="4"/>
      <c r="AJ237" s="4"/>
      <c r="AK237" s="4"/>
      <c r="AL237" s="4"/>
      <c r="AM237" s="4"/>
      <c r="AN237" s="4"/>
      <c r="AO237" s="4"/>
      <c r="AP237" s="4"/>
      <c r="AQ237" s="4"/>
      <c r="AR237" s="4"/>
      <c r="AS237" s="4"/>
      <c r="AT237" s="4"/>
      <c r="AU237" s="4"/>
      <c r="AV237" s="4"/>
      <c r="AW237" s="4"/>
    </row>
    <row r="238" spans="2:58" ht="16.5" thickTop="1">
      <c r="B238" s="18"/>
      <c r="C238" s="4"/>
      <c r="D238" s="4"/>
      <c r="E238" s="33"/>
      <c r="F238" s="5"/>
      <c r="G238" s="45"/>
      <c r="H238" s="45"/>
      <c r="I238" s="45"/>
      <c r="J238" s="46"/>
      <c r="K238" s="46"/>
      <c r="L238" s="46"/>
      <c r="M238" s="46"/>
      <c r="N238" s="46"/>
      <c r="O238" s="46"/>
      <c r="P238" s="46"/>
      <c r="AE238" s="4"/>
      <c r="AF238" s="4"/>
      <c r="AG238" s="4"/>
      <c r="AH238" s="4"/>
      <c r="AI238" s="4"/>
      <c r="AJ238" s="4"/>
      <c r="AK238" s="4"/>
      <c r="AL238" s="4"/>
      <c r="AM238" s="4"/>
      <c r="AN238" s="4"/>
      <c r="AO238" s="4"/>
      <c r="AP238" s="4"/>
      <c r="AQ238" s="4"/>
      <c r="AR238" s="4"/>
      <c r="AS238" s="4"/>
      <c r="AT238" s="4"/>
      <c r="AU238" s="4"/>
      <c r="AV238" s="4"/>
      <c r="AW238" s="4"/>
    </row>
    <row r="239" spans="2:58" ht="15.75">
      <c r="B239" s="18" t="s">
        <v>147</v>
      </c>
      <c r="C239" s="1"/>
      <c r="D239" s="1"/>
      <c r="E239" s="31"/>
      <c r="G239" s="46"/>
      <c r="H239" s="46"/>
      <c r="I239" s="46"/>
      <c r="J239" s="46"/>
      <c r="K239" s="46"/>
      <c r="L239" s="46"/>
      <c r="M239" s="46"/>
      <c r="N239" s="46"/>
      <c r="O239" s="46"/>
      <c r="P239" s="46"/>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row>
    <row r="240" spans="2:58" ht="15.75">
      <c r="B240" s="18" t="s">
        <v>148</v>
      </c>
      <c r="C240" s="1"/>
      <c r="D240" s="1"/>
      <c r="E240" s="31"/>
      <c r="G240" s="46"/>
      <c r="H240" s="46"/>
      <c r="I240" s="46"/>
      <c r="J240" s="46"/>
      <c r="K240" s="46"/>
      <c r="L240" s="46"/>
      <c r="M240" s="46"/>
      <c r="N240" s="46"/>
      <c r="O240" s="46"/>
      <c r="P240" s="46"/>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row>
    <row r="241" spans="2:90" ht="15.75">
      <c r="B241" s="18" t="s">
        <v>149</v>
      </c>
      <c r="C241" s="1"/>
      <c r="D241" s="1"/>
      <c r="E241" s="31"/>
      <c r="G241" s="46"/>
      <c r="H241" s="46"/>
      <c r="I241" s="46"/>
      <c r="J241" s="46"/>
      <c r="K241" s="46"/>
      <c r="L241" s="46"/>
      <c r="M241" s="46"/>
      <c r="N241" s="46"/>
      <c r="O241" s="46"/>
      <c r="P241" s="46"/>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row>
    <row r="242" spans="2:90" ht="15.75">
      <c r="B242" s="18"/>
      <c r="C242" s="1" t="s">
        <v>150</v>
      </c>
      <c r="D242" s="1"/>
      <c r="E242" s="31"/>
      <c r="G242" s="46"/>
      <c r="H242" s="46"/>
      <c r="I242" s="46"/>
      <c r="J242" s="46"/>
      <c r="K242" s="46"/>
      <c r="L242" s="46"/>
      <c r="M242" s="46"/>
      <c r="N242" s="46"/>
      <c r="O242" s="46"/>
      <c r="P242" s="46"/>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row>
    <row r="243" spans="2:90" ht="15.75">
      <c r="B243" s="18"/>
      <c r="C243" s="1" t="s">
        <v>310</v>
      </c>
      <c r="D243" s="1"/>
      <c r="E243" s="31"/>
      <c r="G243" s="46"/>
      <c r="H243" s="46"/>
      <c r="I243" s="46"/>
      <c r="J243" s="46"/>
      <c r="K243" s="46"/>
      <c r="L243" s="46"/>
      <c r="M243" s="46"/>
      <c r="N243" s="46"/>
      <c r="O243" s="46"/>
      <c r="P243" s="46"/>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row>
    <row r="244" spans="2:90" ht="15.75">
      <c r="B244" s="18" t="s">
        <v>152</v>
      </c>
      <c r="C244" s="43"/>
      <c r="D244" s="1"/>
      <c r="E244" s="31"/>
      <c r="G244" s="46"/>
      <c r="H244" s="46"/>
      <c r="I244" s="46"/>
      <c r="J244" s="46"/>
      <c r="K244" s="46"/>
      <c r="L244" s="46"/>
      <c r="M244" s="46"/>
      <c r="N244" s="46"/>
      <c r="O244" s="46"/>
      <c r="P244" s="46"/>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row>
    <row r="245" spans="2:90" ht="15.75">
      <c r="B245" s="18"/>
      <c r="C245" s="1" t="s">
        <v>153</v>
      </c>
      <c r="D245" s="1"/>
      <c r="E245" s="31"/>
      <c r="G245" s="46"/>
      <c r="H245" s="46"/>
      <c r="I245" s="46"/>
      <c r="J245" s="46"/>
      <c r="K245" s="46"/>
      <c r="L245" s="46"/>
      <c r="M245" s="46"/>
      <c r="N245" s="46"/>
      <c r="O245" s="46"/>
      <c r="P245" s="46"/>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row>
    <row r="246" spans="2:90" ht="15.75">
      <c r="B246" s="18" t="s">
        <v>154</v>
      </c>
      <c r="C246" s="43"/>
      <c r="D246" s="1"/>
      <c r="E246" s="31"/>
      <c r="G246" s="46"/>
      <c r="H246" s="46"/>
      <c r="I246" s="46"/>
      <c r="J246" s="46"/>
      <c r="K246" s="46"/>
      <c r="L246" s="46"/>
      <c r="M246" s="46"/>
      <c r="N246" s="46"/>
      <c r="O246" s="46"/>
      <c r="P246" s="46"/>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row>
    <row r="247" spans="2:90" ht="15.75">
      <c r="B247" s="18" t="s">
        <v>155</v>
      </c>
      <c r="C247" s="43"/>
      <c r="D247" s="1"/>
      <c r="E247" s="31"/>
      <c r="G247" s="46"/>
      <c r="H247" s="46"/>
      <c r="I247" s="46"/>
      <c r="J247" s="46"/>
      <c r="K247" s="46"/>
      <c r="L247" s="46"/>
      <c r="M247" s="46"/>
      <c r="N247" s="46"/>
      <c r="O247" s="46"/>
      <c r="P247" s="46"/>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row>
    <row r="248" spans="2:90" ht="15.75">
      <c r="B248" s="18" t="s">
        <v>156</v>
      </c>
      <c r="C248" s="43"/>
      <c r="D248" s="1"/>
      <c r="E248" s="31"/>
      <c r="G248" s="46"/>
      <c r="H248" s="46"/>
      <c r="I248" s="46"/>
      <c r="J248" s="46"/>
      <c r="K248" s="46"/>
      <c r="L248" s="46"/>
      <c r="M248" s="46"/>
      <c r="N248" s="46"/>
      <c r="O248" s="46"/>
      <c r="P248" s="46"/>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row>
    <row r="249" spans="2:90" ht="15.75">
      <c r="B249" s="18" t="s">
        <v>157</v>
      </c>
      <c r="C249" s="43"/>
      <c r="D249" s="1"/>
      <c r="E249" s="31"/>
      <c r="G249" s="46"/>
      <c r="H249" s="46"/>
      <c r="I249" s="46"/>
      <c r="J249" s="46"/>
      <c r="K249" s="46"/>
      <c r="L249" s="46"/>
      <c r="M249" s="46"/>
      <c r="N249" s="46"/>
      <c r="O249" s="46"/>
      <c r="P249" s="46"/>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row>
    <row r="250" spans="2:90" ht="15.75">
      <c r="B250" s="18"/>
      <c r="C250" s="43"/>
      <c r="D250" s="1"/>
      <c r="E250" s="31"/>
      <c r="G250" s="46"/>
      <c r="H250" s="46"/>
      <c r="I250" s="46"/>
      <c r="J250" s="46"/>
      <c r="K250" s="46"/>
      <c r="L250" s="46"/>
      <c r="M250" s="46"/>
      <c r="N250" s="46"/>
      <c r="O250" s="46"/>
      <c r="P250" s="46"/>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row>
    <row r="251" spans="2:90" ht="15.75">
      <c r="B251" s="18" t="s">
        <v>158</v>
      </c>
      <c r="C251" s="1"/>
      <c r="D251" s="1"/>
      <c r="E251" s="31"/>
      <c r="G251" s="46"/>
      <c r="H251" s="46"/>
      <c r="I251" s="46"/>
      <c r="J251" s="46"/>
      <c r="K251" s="46"/>
      <c r="L251" s="46"/>
      <c r="M251" s="46"/>
      <c r="N251" s="46"/>
      <c r="O251" s="46"/>
      <c r="P251" s="46"/>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row>
    <row r="252" spans="2:90" ht="15.75">
      <c r="B252" s="18"/>
      <c r="C252" s="64" t="s">
        <v>90</v>
      </c>
      <c r="D252" s="1"/>
      <c r="E252" s="31"/>
      <c r="G252" s="46"/>
      <c r="H252" s="46"/>
      <c r="I252" s="46"/>
      <c r="J252" s="46"/>
      <c r="K252" s="46"/>
      <c r="L252" s="46"/>
      <c r="M252" s="46"/>
      <c r="N252" s="46"/>
      <c r="O252" s="46"/>
      <c r="P252" s="46"/>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row>
    <row r="253" spans="2:90" ht="15.75">
      <c r="B253" s="18"/>
      <c r="C253" s="64"/>
      <c r="D253" s="1"/>
      <c r="E253" s="31"/>
      <c r="G253" s="46"/>
      <c r="H253" s="46"/>
      <c r="I253" s="46"/>
      <c r="J253" s="46"/>
      <c r="K253" s="46"/>
      <c r="L253" s="46"/>
      <c r="M253" s="46"/>
      <c r="N253" s="46"/>
      <c r="O253" s="46"/>
      <c r="P253" s="46"/>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row>
    <row r="254" spans="2:90" ht="16.5" thickBot="1">
      <c r="B254" s="4"/>
      <c r="C254" s="4"/>
      <c r="D254" s="4"/>
      <c r="E254" s="33"/>
      <c r="F254" s="5"/>
      <c r="G254" s="44"/>
      <c r="H254" s="46"/>
      <c r="I254" s="98" t="s">
        <v>137</v>
      </c>
      <c r="J254" s="46"/>
      <c r="K254" s="46"/>
      <c r="L254" s="47"/>
      <c r="M254" s="47"/>
      <c r="N254" s="46"/>
      <c r="O254" s="46"/>
      <c r="P254" s="46"/>
      <c r="Q254" s="47"/>
      <c r="AE254" s="4"/>
      <c r="AF254" s="4"/>
      <c r="AG254" s="4"/>
      <c r="AH254" s="4"/>
      <c r="AI254" s="4"/>
      <c r="AJ254" s="4"/>
      <c r="AK254" s="4"/>
      <c r="AL254" s="4"/>
      <c r="AM254" s="4"/>
      <c r="AN254" s="4"/>
      <c r="AO254" s="4"/>
      <c r="AP254" s="4"/>
      <c r="AQ254" s="4"/>
      <c r="AR254" s="4"/>
      <c r="AS254" s="4"/>
      <c r="AT254" s="4"/>
      <c r="AU254" s="4"/>
      <c r="AV254" s="4"/>
      <c r="AW254" s="4"/>
    </row>
    <row r="255" spans="2:90" ht="25.5" customHeight="1" thickTop="1" thickBot="1">
      <c r="B255" s="17" t="s">
        <v>41</v>
      </c>
      <c r="C255" s="17" t="s">
        <v>74</v>
      </c>
      <c r="D255" s="17" t="s">
        <v>43</v>
      </c>
      <c r="E255" s="36" t="s">
        <v>44</v>
      </c>
      <c r="G255" s="44"/>
      <c r="H255" s="44"/>
      <c r="I255" s="99" t="s">
        <v>32</v>
      </c>
      <c r="J255" s="100" t="s">
        <v>33</v>
      </c>
      <c r="K255" s="101" t="s">
        <v>34</v>
      </c>
      <c r="L255" s="102" t="s">
        <v>35</v>
      </c>
      <c r="M255" s="44"/>
      <c r="N255" s="46"/>
      <c r="O255" s="46"/>
      <c r="P255" s="46"/>
      <c r="Q255" s="46"/>
      <c r="R255" s="46"/>
      <c r="S255" s="46"/>
      <c r="T255" s="46"/>
      <c r="U255" s="46"/>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row>
    <row r="256" spans="2:90" ht="16.5" thickTop="1">
      <c r="B256" s="1"/>
      <c r="C256" s="1"/>
      <c r="D256" s="1"/>
      <c r="E256" s="31"/>
      <c r="G256" s="44"/>
      <c r="H256" s="44"/>
      <c r="I256" s="44"/>
      <c r="J256" s="44"/>
      <c r="K256" s="44"/>
      <c r="L256" s="44"/>
      <c r="M256" s="44"/>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row>
    <row r="257" spans="2:58" ht="24" customHeight="1">
      <c r="B257" s="15" t="s">
        <v>160</v>
      </c>
      <c r="C257" s="15">
        <v>7</v>
      </c>
      <c r="D257" s="16">
        <v>0</v>
      </c>
      <c r="E257" s="26">
        <v>1365</v>
      </c>
      <c r="F257" s="29"/>
      <c r="G257" s="44"/>
      <c r="H257" s="44"/>
      <c r="I257" s="62">
        <v>5</v>
      </c>
      <c r="J257" s="62">
        <v>4</v>
      </c>
      <c r="K257" s="62">
        <v>0</v>
      </c>
      <c r="L257" s="62">
        <v>2</v>
      </c>
      <c r="M257" s="44"/>
      <c r="N257" s="46"/>
      <c r="O257" s="46"/>
      <c r="P257" s="46"/>
      <c r="Q257" s="46"/>
      <c r="R257" s="46"/>
      <c r="S257" s="46"/>
      <c r="T257" s="46"/>
      <c r="U257" s="46"/>
      <c r="V257" s="46"/>
      <c r="W257" s="46"/>
      <c r="X257" s="46"/>
      <c r="Y257" s="46"/>
      <c r="Z257" s="46"/>
      <c r="AA257" s="46"/>
      <c r="AB257" s="46"/>
      <c r="AC257" s="46"/>
      <c r="AD257" s="46"/>
      <c r="AE257" s="46"/>
      <c r="AF257" s="46"/>
      <c r="AG257" s="46"/>
      <c r="AH257" s="46"/>
      <c r="AI257" s="46"/>
      <c r="AJ257" s="46"/>
      <c r="AK257" s="46"/>
      <c r="AL257" s="46"/>
      <c r="AX257" s="1"/>
      <c r="AY257" s="1"/>
      <c r="AZ257" s="1"/>
      <c r="BA257" s="1"/>
      <c r="BB257" s="1"/>
      <c r="BC257" s="1"/>
      <c r="BD257" s="1"/>
      <c r="BE257" s="1"/>
      <c r="BF257" s="1"/>
    </row>
    <row r="258" spans="2:58" ht="15.75">
      <c r="B258" s="1"/>
      <c r="C258" s="1"/>
      <c r="D258" s="1"/>
      <c r="E258" s="31"/>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X258" s="1"/>
      <c r="AY258" s="1"/>
      <c r="AZ258" s="1"/>
      <c r="BA258" s="1"/>
      <c r="BB258" s="1"/>
      <c r="BC258" s="1"/>
      <c r="BD258" s="1"/>
      <c r="BE258" s="1"/>
      <c r="BF258" s="1"/>
    </row>
    <row r="259" spans="2:58" ht="23.25">
      <c r="B259" s="15">
        <v>101</v>
      </c>
      <c r="C259" s="15">
        <v>6</v>
      </c>
      <c r="D259" s="16">
        <v>12</v>
      </c>
      <c r="E259" s="26">
        <v>1365</v>
      </c>
      <c r="F259" s="29"/>
      <c r="G259" s="44"/>
      <c r="H259" s="44"/>
      <c r="I259" s="62">
        <v>0</v>
      </c>
      <c r="J259" s="62">
        <v>4</v>
      </c>
      <c r="K259" s="62">
        <v>0</v>
      </c>
      <c r="L259" s="62">
        <v>4</v>
      </c>
      <c r="M259" s="44"/>
      <c r="N259" s="44"/>
      <c r="O259" s="44"/>
      <c r="P259" s="44"/>
      <c r="Q259" s="44"/>
      <c r="R259" s="44"/>
      <c r="S259" s="44"/>
      <c r="T259" s="44"/>
      <c r="U259" s="44"/>
      <c r="V259" s="44"/>
      <c r="W259" s="44"/>
      <c r="X259" s="44"/>
      <c r="Y259" s="44"/>
      <c r="Z259" s="44"/>
      <c r="AA259" s="44"/>
      <c r="AB259" s="44"/>
      <c r="AC259" s="44"/>
      <c r="AD259" s="44"/>
      <c r="AE259" s="44"/>
      <c r="AF259" s="44"/>
      <c r="AG259" s="44"/>
      <c r="AH259" s="44"/>
      <c r="AX259" s="1"/>
      <c r="AY259" s="1"/>
      <c r="AZ259" s="1"/>
      <c r="BA259" s="1"/>
      <c r="BB259" s="1"/>
      <c r="BC259" s="1"/>
      <c r="BD259" s="1"/>
      <c r="BE259" s="1"/>
      <c r="BF259" s="1"/>
    </row>
    <row r="260" spans="2:58" ht="23.25">
      <c r="B260" s="15">
        <f t="shared" ref="B260:B278" si="4">B259+1</f>
        <v>102</v>
      </c>
      <c r="C260" s="15">
        <v>6</v>
      </c>
      <c r="D260" s="16">
        <v>12</v>
      </c>
      <c r="E260" s="26">
        <v>1386</v>
      </c>
      <c r="F260" s="29"/>
      <c r="G260" s="44"/>
      <c r="H260" s="44"/>
      <c r="I260" s="62">
        <v>4</v>
      </c>
      <c r="J260" s="62">
        <v>0</v>
      </c>
      <c r="K260" s="62">
        <v>4</v>
      </c>
      <c r="L260" s="62">
        <v>3</v>
      </c>
      <c r="M260" s="44"/>
      <c r="N260" s="44"/>
      <c r="O260" s="44"/>
      <c r="P260" s="44"/>
      <c r="Q260" s="44"/>
      <c r="R260" s="44"/>
      <c r="S260" s="44"/>
      <c r="T260" s="44"/>
      <c r="U260" s="44"/>
      <c r="V260" s="44"/>
      <c r="W260" s="44"/>
      <c r="X260" s="44"/>
      <c r="Y260" s="44"/>
      <c r="Z260" s="44"/>
      <c r="AA260" s="44"/>
      <c r="AB260" s="44"/>
      <c r="AC260" s="44"/>
      <c r="AD260" s="44"/>
      <c r="AE260" s="44"/>
      <c r="AF260" s="44"/>
      <c r="AG260" s="44"/>
      <c r="AH260" s="44"/>
      <c r="AX260" s="1"/>
      <c r="AY260" s="1"/>
      <c r="AZ260" s="1"/>
      <c r="BA260" s="1"/>
      <c r="BB260" s="1"/>
      <c r="BC260" s="1"/>
      <c r="BD260" s="1"/>
      <c r="BE260" s="1"/>
      <c r="BF260" s="1"/>
    </row>
    <row r="261" spans="2:58" ht="23.25">
      <c r="B261" s="15">
        <f t="shared" si="4"/>
        <v>103</v>
      </c>
      <c r="C261" s="15">
        <v>6</v>
      </c>
      <c r="D261" s="16">
        <v>12</v>
      </c>
      <c r="E261" s="26">
        <v>1371</v>
      </c>
      <c r="F261" s="29"/>
      <c r="G261" s="44"/>
      <c r="H261" s="44"/>
      <c r="I261" s="62">
        <v>5</v>
      </c>
      <c r="J261" s="62">
        <v>1</v>
      </c>
      <c r="K261" s="62">
        <v>2</v>
      </c>
      <c r="L261" s="62">
        <v>0</v>
      </c>
      <c r="M261" s="44"/>
      <c r="N261" s="44"/>
      <c r="O261" s="44"/>
      <c r="P261" s="44"/>
      <c r="Q261" s="44"/>
      <c r="R261" s="44"/>
      <c r="S261" s="44"/>
      <c r="T261" s="44"/>
      <c r="U261" s="44"/>
      <c r="V261" s="44"/>
      <c r="W261" s="44"/>
      <c r="X261" s="44"/>
      <c r="Y261" s="44"/>
      <c r="Z261" s="44"/>
      <c r="AA261" s="44"/>
      <c r="AB261" s="44"/>
      <c r="AC261" s="44"/>
      <c r="AD261" s="44"/>
      <c r="AE261" s="44"/>
      <c r="AF261" s="44"/>
      <c r="AG261" s="44"/>
      <c r="AH261" s="44"/>
      <c r="AX261" s="1"/>
      <c r="AY261" s="1"/>
      <c r="AZ261" s="1"/>
      <c r="BA261" s="1"/>
      <c r="BB261" s="1"/>
      <c r="BC261" s="1"/>
      <c r="BD261" s="1"/>
      <c r="BE261" s="1"/>
      <c r="BF261" s="1"/>
    </row>
    <row r="262" spans="2:58" ht="23.25">
      <c r="B262" s="15">
        <f t="shared" si="4"/>
        <v>104</v>
      </c>
      <c r="C262" s="15">
        <v>6</v>
      </c>
      <c r="D262" s="16">
        <v>12</v>
      </c>
      <c r="E262" s="26">
        <v>1389</v>
      </c>
      <c r="F262" s="29"/>
      <c r="G262" s="44"/>
      <c r="H262" s="44"/>
      <c r="I262" s="62">
        <v>2</v>
      </c>
      <c r="J262" s="62">
        <v>4</v>
      </c>
      <c r="K262" s="62">
        <v>5</v>
      </c>
      <c r="L262" s="62">
        <v>2</v>
      </c>
      <c r="M262" s="44"/>
      <c r="N262" s="44"/>
      <c r="O262" s="44"/>
      <c r="P262" s="44"/>
      <c r="Q262" s="44"/>
      <c r="R262" s="44"/>
      <c r="S262" s="44"/>
      <c r="T262" s="44"/>
      <c r="U262" s="44"/>
      <c r="V262" s="44"/>
      <c r="W262" s="44"/>
      <c r="X262" s="44"/>
      <c r="Y262" s="44"/>
      <c r="Z262" s="44"/>
      <c r="AA262" s="44"/>
      <c r="AB262" s="44"/>
      <c r="AC262" s="44"/>
      <c r="AD262" s="44"/>
      <c r="AE262" s="44"/>
      <c r="AF262" s="44"/>
      <c r="AG262" s="44"/>
      <c r="AH262" s="44"/>
      <c r="AX262" s="1"/>
      <c r="AY262" s="1"/>
      <c r="AZ262" s="1"/>
      <c r="BA262" s="1"/>
      <c r="BB262" s="1"/>
      <c r="BC262" s="1"/>
      <c r="BD262" s="1"/>
      <c r="BE262" s="1"/>
      <c r="BF262" s="1"/>
    </row>
    <row r="263" spans="2:58" ht="23.25">
      <c r="B263" s="15">
        <f t="shared" si="4"/>
        <v>105</v>
      </c>
      <c r="C263" s="15">
        <v>6</v>
      </c>
      <c r="D263" s="16">
        <v>12</v>
      </c>
      <c r="E263" s="26">
        <v>1386</v>
      </c>
      <c r="F263" s="29"/>
      <c r="G263" s="44"/>
      <c r="H263" s="44"/>
      <c r="I263" s="62">
        <v>0</v>
      </c>
      <c r="J263" s="62">
        <v>5</v>
      </c>
      <c r="K263" s="62">
        <v>4</v>
      </c>
      <c r="L263" s="62">
        <v>3</v>
      </c>
      <c r="M263" s="44"/>
      <c r="N263" s="44"/>
      <c r="O263" s="44"/>
      <c r="P263" s="44"/>
      <c r="Q263" s="44"/>
      <c r="R263" s="44"/>
      <c r="S263" s="44"/>
      <c r="T263" s="44"/>
      <c r="U263" s="44"/>
      <c r="V263" s="44"/>
      <c r="W263" s="44"/>
      <c r="X263" s="44"/>
      <c r="Y263" s="44"/>
      <c r="Z263" s="44"/>
      <c r="AA263" s="44"/>
      <c r="AB263" s="44"/>
      <c r="AC263" s="44"/>
      <c r="AD263" s="44"/>
      <c r="AE263" s="44"/>
      <c r="AF263" s="44"/>
      <c r="AG263" s="44"/>
      <c r="AH263" s="44"/>
      <c r="AX263" s="1"/>
      <c r="AY263" s="1"/>
      <c r="AZ263" s="1"/>
      <c r="BA263" s="1"/>
      <c r="BB263" s="1"/>
      <c r="BC263" s="1"/>
      <c r="BD263" s="1"/>
      <c r="BE263" s="1"/>
      <c r="BF263" s="1"/>
    </row>
    <row r="264" spans="2:58" ht="23.25">
      <c r="B264" s="15">
        <f t="shared" si="4"/>
        <v>106</v>
      </c>
      <c r="C264" s="15">
        <v>6</v>
      </c>
      <c r="D264" s="16">
        <v>12</v>
      </c>
      <c r="E264" s="26">
        <v>1370</v>
      </c>
      <c r="F264" s="29"/>
      <c r="G264" s="44"/>
      <c r="H264" s="44"/>
      <c r="I264" s="62">
        <v>1</v>
      </c>
      <c r="J264" s="62">
        <v>5</v>
      </c>
      <c r="K264" s="62">
        <v>1</v>
      </c>
      <c r="L264" s="62">
        <v>2</v>
      </c>
      <c r="M264" s="44"/>
      <c r="N264" s="44"/>
      <c r="O264" s="44"/>
      <c r="P264" s="44"/>
      <c r="Q264" s="44"/>
      <c r="R264" s="44"/>
      <c r="S264" s="44"/>
      <c r="T264" s="44"/>
      <c r="U264" s="44"/>
      <c r="V264" s="44"/>
      <c r="W264" s="44"/>
      <c r="X264" s="44"/>
      <c r="Y264" s="44"/>
      <c r="Z264" s="44"/>
      <c r="AA264" s="44"/>
      <c r="AB264" s="44"/>
      <c r="AC264" s="44"/>
      <c r="AD264" s="44"/>
      <c r="AE264" s="44"/>
      <c r="AF264" s="44"/>
      <c r="AG264" s="44"/>
      <c r="AH264" s="44"/>
      <c r="AX264" s="1"/>
      <c r="AY264" s="1"/>
      <c r="AZ264" s="1"/>
      <c r="BA264" s="1"/>
      <c r="BB264" s="1"/>
      <c r="BC264" s="1"/>
      <c r="BD264" s="1"/>
      <c r="BE264" s="1"/>
      <c r="BF264" s="1"/>
    </row>
    <row r="265" spans="2:58" ht="23.25">
      <c r="B265" s="15">
        <f t="shared" si="4"/>
        <v>107</v>
      </c>
      <c r="C265" s="15">
        <v>6</v>
      </c>
      <c r="D265" s="16">
        <v>12</v>
      </c>
      <c r="E265" s="26">
        <v>1389</v>
      </c>
      <c r="F265" s="29"/>
      <c r="G265" s="44"/>
      <c r="H265" s="44"/>
      <c r="I265" s="62">
        <v>3</v>
      </c>
      <c r="J265" s="62">
        <v>4</v>
      </c>
      <c r="K265" s="62">
        <v>5</v>
      </c>
      <c r="L265" s="62">
        <v>2</v>
      </c>
      <c r="M265" s="44"/>
      <c r="N265" s="44"/>
      <c r="O265" s="44"/>
      <c r="P265" s="44"/>
      <c r="Q265" s="44"/>
      <c r="R265" s="44"/>
      <c r="S265" s="44"/>
      <c r="T265" s="44"/>
      <c r="U265" s="44"/>
      <c r="V265" s="44"/>
      <c r="W265" s="44"/>
      <c r="X265" s="44"/>
      <c r="Y265" s="44"/>
      <c r="Z265" s="44"/>
      <c r="AA265" s="44"/>
      <c r="AB265" s="44"/>
      <c r="AC265" s="44"/>
      <c r="AD265" s="44"/>
      <c r="AE265" s="44"/>
      <c r="AF265" s="44"/>
      <c r="AG265" s="44"/>
      <c r="AH265" s="44"/>
      <c r="AX265" s="1"/>
      <c r="AY265" s="1"/>
      <c r="AZ265" s="1"/>
      <c r="BA265" s="1"/>
      <c r="BB265" s="1"/>
      <c r="BC265" s="1"/>
      <c r="BD265" s="1"/>
      <c r="BE265" s="1"/>
      <c r="BF265" s="1"/>
    </row>
    <row r="266" spans="2:58" ht="23.25">
      <c r="B266" s="15">
        <f t="shared" si="4"/>
        <v>108</v>
      </c>
      <c r="C266" s="15">
        <v>6</v>
      </c>
      <c r="D266" s="16">
        <v>12</v>
      </c>
      <c r="E266" s="26">
        <v>1365</v>
      </c>
      <c r="F266" s="29"/>
      <c r="G266" s="44"/>
      <c r="H266" s="44"/>
      <c r="I266" s="62">
        <v>2</v>
      </c>
      <c r="J266" s="62">
        <v>0</v>
      </c>
      <c r="K266" s="62">
        <v>0</v>
      </c>
      <c r="L266" s="62">
        <v>2</v>
      </c>
      <c r="M266" s="44"/>
      <c r="N266" s="44"/>
      <c r="O266" s="44"/>
      <c r="P266" s="44"/>
      <c r="Q266" s="44"/>
      <c r="R266" s="44"/>
      <c r="S266" s="44"/>
      <c r="T266" s="44"/>
      <c r="U266" s="44"/>
      <c r="V266" s="44"/>
      <c r="W266" s="44"/>
      <c r="X266" s="44"/>
      <c r="Y266" s="44"/>
      <c r="Z266" s="44"/>
      <c r="AA266" s="44"/>
      <c r="AB266" s="44"/>
      <c r="AC266" s="44"/>
      <c r="AD266" s="44"/>
      <c r="AE266" s="44"/>
      <c r="AF266" s="44"/>
      <c r="AG266" s="44"/>
      <c r="AH266" s="44"/>
      <c r="AX266" s="1"/>
      <c r="AY266" s="1"/>
      <c r="AZ266" s="1"/>
      <c r="BA266" s="1"/>
      <c r="BB266" s="1"/>
      <c r="BC266" s="1"/>
      <c r="BD266" s="1"/>
      <c r="BE266" s="1"/>
      <c r="BF266" s="1"/>
    </row>
    <row r="267" spans="2:58" ht="23.25">
      <c r="B267" s="15">
        <f t="shared" si="4"/>
        <v>109</v>
      </c>
      <c r="C267" s="15">
        <v>6</v>
      </c>
      <c r="D267" s="16">
        <v>12</v>
      </c>
      <c r="E267" s="26">
        <v>1365</v>
      </c>
      <c r="F267" s="29"/>
      <c r="G267" s="44"/>
      <c r="H267" s="44"/>
      <c r="I267" s="62">
        <v>2</v>
      </c>
      <c r="J267" s="62">
        <v>2</v>
      </c>
      <c r="K267" s="62">
        <v>0</v>
      </c>
      <c r="L267" s="62">
        <v>1</v>
      </c>
      <c r="M267" s="44"/>
      <c r="N267" s="44"/>
      <c r="O267" s="44"/>
      <c r="P267" s="44"/>
      <c r="Q267" s="44"/>
      <c r="R267" s="44"/>
      <c r="S267" s="44"/>
      <c r="T267" s="44"/>
      <c r="U267" s="44"/>
      <c r="V267" s="44"/>
      <c r="W267" s="44"/>
      <c r="X267" s="44"/>
      <c r="Y267" s="44"/>
      <c r="Z267" s="44"/>
      <c r="AA267" s="44"/>
      <c r="AB267" s="44"/>
      <c r="AC267" s="44"/>
      <c r="AD267" s="44"/>
      <c r="AE267" s="44"/>
      <c r="AF267" s="44"/>
      <c r="AG267" s="44"/>
      <c r="AH267" s="44"/>
      <c r="AX267" s="1"/>
      <c r="AY267" s="1"/>
      <c r="AZ267" s="1"/>
      <c r="BA267" s="1"/>
      <c r="BB267" s="1"/>
      <c r="BC267" s="1"/>
      <c r="BD267" s="1"/>
      <c r="BE267" s="1"/>
      <c r="BF267" s="1"/>
    </row>
    <row r="268" spans="2:58" ht="23.25">
      <c r="B268" s="15">
        <f t="shared" si="4"/>
        <v>110</v>
      </c>
      <c r="C268" s="15">
        <v>6</v>
      </c>
      <c r="D268" s="16">
        <v>12</v>
      </c>
      <c r="E268" s="26">
        <v>1384</v>
      </c>
      <c r="F268" s="29"/>
      <c r="G268" s="44"/>
      <c r="H268" s="44"/>
      <c r="I268" s="62">
        <v>2</v>
      </c>
      <c r="J268" s="62">
        <v>0</v>
      </c>
      <c r="K268" s="62">
        <v>4</v>
      </c>
      <c r="L268" s="62">
        <v>0</v>
      </c>
      <c r="M268" s="44"/>
      <c r="N268" s="44"/>
      <c r="O268" s="44"/>
      <c r="P268" s="44"/>
      <c r="Q268" s="44"/>
      <c r="R268" s="44"/>
      <c r="S268" s="44"/>
      <c r="T268" s="44"/>
      <c r="U268" s="44"/>
      <c r="V268" s="44"/>
      <c r="W268" s="44"/>
      <c r="X268" s="44"/>
      <c r="Y268" s="44"/>
      <c r="Z268" s="44"/>
      <c r="AA268" s="44"/>
      <c r="AB268" s="44"/>
      <c r="AC268" s="44"/>
      <c r="AD268" s="44"/>
      <c r="AE268" s="44"/>
      <c r="AF268" s="44"/>
      <c r="AG268" s="44"/>
      <c r="AH268" s="44"/>
      <c r="AX268" s="1"/>
      <c r="AY268" s="1"/>
      <c r="AZ268" s="1"/>
      <c r="BA268" s="1"/>
      <c r="BB268" s="1"/>
      <c r="BC268" s="1"/>
      <c r="BD268" s="1"/>
      <c r="BE268" s="1"/>
      <c r="BF268" s="1"/>
    </row>
    <row r="269" spans="2:58" ht="23.25">
      <c r="B269" s="15">
        <f t="shared" si="4"/>
        <v>111</v>
      </c>
      <c r="C269" s="15">
        <v>6</v>
      </c>
      <c r="D269" s="16">
        <v>12</v>
      </c>
      <c r="E269" s="26">
        <v>1384</v>
      </c>
      <c r="F269" s="29"/>
      <c r="G269" s="44"/>
      <c r="H269" s="44"/>
      <c r="I269" s="62">
        <v>0</v>
      </c>
      <c r="J269" s="62">
        <v>3</v>
      </c>
      <c r="K269" s="62">
        <v>4</v>
      </c>
      <c r="L269" s="62">
        <v>2</v>
      </c>
      <c r="M269" s="44"/>
      <c r="N269" s="44"/>
      <c r="O269" s="44"/>
      <c r="P269" s="44"/>
      <c r="Q269" s="44"/>
      <c r="R269" s="44"/>
      <c r="S269" s="44"/>
      <c r="T269" s="44"/>
      <c r="U269" s="44"/>
      <c r="V269" s="44"/>
      <c r="W269" s="44"/>
      <c r="X269" s="44"/>
      <c r="Y269" s="44"/>
      <c r="Z269" s="44"/>
      <c r="AA269" s="44"/>
      <c r="AB269" s="44"/>
      <c r="AC269" s="44"/>
      <c r="AD269" s="44"/>
      <c r="AE269" s="44"/>
      <c r="AF269" s="44"/>
      <c r="AG269" s="44"/>
      <c r="AH269" s="44"/>
      <c r="AX269" s="1"/>
      <c r="AY269" s="1"/>
      <c r="AZ269" s="1"/>
      <c r="BA269" s="1"/>
      <c r="BB269" s="1"/>
      <c r="BC269" s="1"/>
      <c r="BD269" s="1"/>
      <c r="BE269" s="1"/>
      <c r="BF269" s="1"/>
    </row>
    <row r="270" spans="2:58" ht="23.25">
      <c r="B270" s="15">
        <f t="shared" si="4"/>
        <v>112</v>
      </c>
      <c r="C270" s="15">
        <v>6</v>
      </c>
      <c r="D270" s="16">
        <v>12</v>
      </c>
      <c r="E270" s="26">
        <v>1365</v>
      </c>
      <c r="F270" s="29"/>
      <c r="G270" s="44"/>
      <c r="H270" s="44"/>
      <c r="I270" s="62">
        <v>3</v>
      </c>
      <c r="J270" s="62">
        <v>4</v>
      </c>
      <c r="K270" s="62">
        <v>0</v>
      </c>
      <c r="L270" s="62">
        <v>2</v>
      </c>
      <c r="M270" s="44"/>
      <c r="N270" s="44"/>
      <c r="O270" s="44"/>
      <c r="P270" s="44"/>
      <c r="Q270" s="44"/>
      <c r="R270" s="44"/>
      <c r="S270" s="44"/>
      <c r="T270" s="44"/>
      <c r="U270" s="44"/>
      <c r="V270" s="44"/>
      <c r="W270" s="44"/>
      <c r="X270" s="44"/>
      <c r="Y270" s="44"/>
      <c r="Z270" s="44"/>
      <c r="AA270" s="44"/>
      <c r="AB270" s="44"/>
      <c r="AC270" s="44"/>
      <c r="AD270" s="44"/>
      <c r="AE270" s="44"/>
      <c r="AF270" s="44"/>
      <c r="AG270" s="44"/>
      <c r="AH270" s="44"/>
      <c r="AX270" s="1"/>
      <c r="AY270" s="1"/>
      <c r="AZ270" s="1"/>
      <c r="BA270" s="1"/>
      <c r="BB270" s="1"/>
      <c r="BC270" s="1"/>
      <c r="BD270" s="1"/>
      <c r="BE270" s="1"/>
      <c r="BF270" s="1"/>
    </row>
    <row r="271" spans="2:58" ht="23.25">
      <c r="B271" s="15">
        <f t="shared" si="4"/>
        <v>113</v>
      </c>
      <c r="C271" s="15">
        <v>6</v>
      </c>
      <c r="D271" s="16">
        <v>12</v>
      </c>
      <c r="E271" s="26">
        <v>1391</v>
      </c>
      <c r="F271" s="29"/>
      <c r="G271" s="44"/>
      <c r="H271" s="44"/>
      <c r="I271" s="62">
        <v>2</v>
      </c>
      <c r="J271" s="62">
        <v>4</v>
      </c>
      <c r="K271" s="62">
        <v>5</v>
      </c>
      <c r="L271" s="62">
        <v>3</v>
      </c>
      <c r="M271" s="44"/>
      <c r="N271" s="44"/>
      <c r="O271" s="44"/>
      <c r="P271" s="44"/>
      <c r="Q271" s="44"/>
      <c r="R271" s="44"/>
      <c r="S271" s="44"/>
      <c r="T271" s="44"/>
      <c r="U271" s="44"/>
      <c r="V271" s="44"/>
      <c r="W271" s="44"/>
      <c r="X271" s="44"/>
      <c r="Y271" s="44"/>
      <c r="Z271" s="44"/>
      <c r="AA271" s="44"/>
      <c r="AB271" s="44"/>
      <c r="AC271" s="44"/>
      <c r="AD271" s="44"/>
      <c r="AE271" s="44"/>
      <c r="AF271" s="44"/>
      <c r="AG271" s="44"/>
      <c r="AH271" s="44"/>
      <c r="AX271" s="1"/>
      <c r="AY271" s="1"/>
      <c r="AZ271" s="1"/>
      <c r="BA271" s="1"/>
      <c r="BB271" s="1"/>
      <c r="BC271" s="1"/>
      <c r="BD271" s="1"/>
      <c r="BE271" s="1"/>
      <c r="BF271" s="1"/>
    </row>
    <row r="272" spans="2:58" ht="23.25">
      <c r="B272" s="15">
        <f t="shared" si="4"/>
        <v>114</v>
      </c>
      <c r="C272" s="15">
        <v>6</v>
      </c>
      <c r="D272" s="16">
        <v>12</v>
      </c>
      <c r="E272" s="26">
        <v>1386</v>
      </c>
      <c r="F272" s="29"/>
      <c r="G272" s="44"/>
      <c r="H272" s="44"/>
      <c r="I272" s="62">
        <v>0</v>
      </c>
      <c r="J272" s="62">
        <v>1</v>
      </c>
      <c r="K272" s="62">
        <v>4</v>
      </c>
      <c r="L272" s="62">
        <v>3</v>
      </c>
      <c r="M272" s="44"/>
      <c r="N272" s="44"/>
      <c r="O272" s="44"/>
      <c r="P272" s="44"/>
      <c r="Q272" s="44"/>
      <c r="R272" s="44"/>
      <c r="S272" s="44"/>
      <c r="T272" s="44"/>
      <c r="U272" s="44"/>
      <c r="V272" s="44"/>
      <c r="W272" s="44"/>
      <c r="X272" s="44"/>
      <c r="Y272" s="44"/>
      <c r="Z272" s="44"/>
      <c r="AA272" s="44"/>
      <c r="AB272" s="44"/>
      <c r="AC272" s="44"/>
      <c r="AD272" s="44"/>
      <c r="AE272" s="44"/>
      <c r="AF272" s="44"/>
      <c r="AG272" s="44"/>
      <c r="AH272" s="44"/>
      <c r="AX272" s="1"/>
      <c r="AY272" s="1"/>
      <c r="AZ272" s="1"/>
      <c r="BA272" s="1"/>
      <c r="BB272" s="1"/>
      <c r="BC272" s="1"/>
      <c r="BD272" s="1"/>
      <c r="BE272" s="1"/>
      <c r="BF272" s="1"/>
    </row>
    <row r="273" spans="2:58" ht="23.25">
      <c r="B273" s="15">
        <f t="shared" si="4"/>
        <v>115</v>
      </c>
      <c r="C273" s="15">
        <v>6</v>
      </c>
      <c r="D273" s="16">
        <v>12</v>
      </c>
      <c r="E273" s="26">
        <v>1372</v>
      </c>
      <c r="F273" s="29"/>
      <c r="G273" s="44"/>
      <c r="H273" s="44"/>
      <c r="I273" s="62">
        <v>3</v>
      </c>
      <c r="J273" s="62">
        <v>2</v>
      </c>
      <c r="K273" s="62">
        <v>1</v>
      </c>
      <c r="L273" s="62">
        <v>4</v>
      </c>
      <c r="M273" s="44"/>
      <c r="N273" s="44"/>
      <c r="O273" s="44"/>
      <c r="P273" s="44"/>
      <c r="Q273" s="44"/>
      <c r="R273" s="44"/>
      <c r="S273" s="44"/>
      <c r="T273" s="44"/>
      <c r="U273" s="44"/>
      <c r="V273" s="44"/>
      <c r="W273" s="44"/>
      <c r="X273" s="44"/>
      <c r="Y273" s="44"/>
      <c r="Z273" s="44"/>
      <c r="AA273" s="44"/>
      <c r="AB273" s="44"/>
      <c r="AC273" s="44"/>
      <c r="AD273" s="44"/>
      <c r="AE273" s="44"/>
      <c r="AF273" s="44"/>
      <c r="AG273" s="44"/>
      <c r="AH273" s="44"/>
      <c r="AX273" s="1"/>
      <c r="AY273" s="1"/>
      <c r="AZ273" s="1"/>
      <c r="BA273" s="1"/>
      <c r="BB273" s="1"/>
      <c r="BC273" s="1"/>
      <c r="BD273" s="1"/>
      <c r="BE273" s="1"/>
      <c r="BF273" s="1"/>
    </row>
    <row r="274" spans="2:58" ht="23.25">
      <c r="B274" s="15">
        <f t="shared" si="4"/>
        <v>116</v>
      </c>
      <c r="C274" s="15">
        <v>6</v>
      </c>
      <c r="D274" s="16">
        <v>12</v>
      </c>
      <c r="E274" s="26">
        <v>1377</v>
      </c>
      <c r="F274" s="29"/>
      <c r="G274" s="44"/>
      <c r="H274" s="44"/>
      <c r="I274" s="62">
        <v>2</v>
      </c>
      <c r="J274" s="62">
        <v>1</v>
      </c>
      <c r="K274" s="62">
        <v>2</v>
      </c>
      <c r="L274" s="62">
        <v>5</v>
      </c>
      <c r="M274" s="44"/>
      <c r="N274" s="44"/>
      <c r="O274" s="44"/>
      <c r="P274" s="44"/>
      <c r="Q274" s="44"/>
      <c r="R274" s="44"/>
      <c r="S274" s="44"/>
      <c r="T274" s="44"/>
      <c r="U274" s="44"/>
      <c r="V274" s="44"/>
      <c r="W274" s="44"/>
      <c r="X274" s="44"/>
      <c r="Y274" s="44"/>
      <c r="Z274" s="44"/>
      <c r="AA274" s="44"/>
      <c r="AB274" s="44"/>
      <c r="AC274" s="44"/>
      <c r="AD274" s="44"/>
      <c r="AE274" s="44"/>
      <c r="AF274" s="44"/>
      <c r="AG274" s="44"/>
      <c r="AH274" s="44"/>
      <c r="AX274" s="1"/>
      <c r="AY274" s="1"/>
      <c r="AZ274" s="1"/>
      <c r="BA274" s="1"/>
      <c r="BB274" s="1"/>
      <c r="BC274" s="1"/>
      <c r="BD274" s="1"/>
      <c r="BE274" s="1"/>
      <c r="BF274" s="1"/>
    </row>
    <row r="275" spans="2:58" ht="23.25">
      <c r="B275" s="15">
        <f t="shared" si="4"/>
        <v>117</v>
      </c>
      <c r="C275" s="15">
        <v>6</v>
      </c>
      <c r="D275" s="16">
        <v>12</v>
      </c>
      <c r="E275" s="26">
        <v>1389</v>
      </c>
      <c r="F275" s="29"/>
      <c r="G275" s="44"/>
      <c r="H275" s="44"/>
      <c r="I275" s="62">
        <v>3</v>
      </c>
      <c r="J275" s="62">
        <v>4</v>
      </c>
      <c r="K275" s="62">
        <v>5</v>
      </c>
      <c r="L275" s="62">
        <v>1</v>
      </c>
      <c r="M275" s="44"/>
      <c r="N275" s="44"/>
      <c r="O275" s="44"/>
      <c r="P275" s="44"/>
      <c r="Q275" s="44"/>
      <c r="R275" s="44"/>
      <c r="S275" s="44"/>
      <c r="T275" s="44"/>
      <c r="U275" s="44"/>
      <c r="V275" s="44"/>
      <c r="W275" s="44"/>
      <c r="X275" s="44"/>
      <c r="Y275" s="44"/>
      <c r="Z275" s="44"/>
      <c r="AA275" s="44"/>
      <c r="AB275" s="44"/>
      <c r="AC275" s="44"/>
      <c r="AD275" s="44"/>
      <c r="AE275" s="44"/>
      <c r="AF275" s="44"/>
      <c r="AG275" s="44"/>
      <c r="AH275" s="44"/>
      <c r="AX275" s="1"/>
      <c r="AY275" s="1"/>
      <c r="AZ275" s="1"/>
      <c r="BA275" s="1"/>
      <c r="BB275" s="1"/>
      <c r="BC275" s="1"/>
      <c r="BD275" s="1"/>
      <c r="BE275" s="1"/>
      <c r="BF275" s="1"/>
    </row>
    <row r="276" spans="2:58" ht="23.25">
      <c r="B276" s="15">
        <f t="shared" si="4"/>
        <v>118</v>
      </c>
      <c r="C276" s="15">
        <v>6</v>
      </c>
      <c r="D276" s="16">
        <v>12</v>
      </c>
      <c r="E276" s="26">
        <v>1384</v>
      </c>
      <c r="F276" s="29"/>
      <c r="G276" s="44"/>
      <c r="H276" s="44"/>
      <c r="I276" s="62">
        <v>5</v>
      </c>
      <c r="J276" s="62">
        <v>1</v>
      </c>
      <c r="K276" s="62">
        <v>4</v>
      </c>
      <c r="L276" s="62">
        <v>1</v>
      </c>
      <c r="M276" s="44"/>
      <c r="N276" s="44"/>
      <c r="O276" s="44"/>
      <c r="P276" s="44"/>
      <c r="Q276" s="44"/>
      <c r="R276" s="44"/>
      <c r="S276" s="44"/>
      <c r="T276" s="44"/>
      <c r="U276" s="44"/>
      <c r="V276" s="44"/>
      <c r="W276" s="44"/>
      <c r="X276" s="44"/>
      <c r="Y276" s="44"/>
      <c r="Z276" s="44"/>
      <c r="AA276" s="44"/>
      <c r="AB276" s="44"/>
      <c r="AC276" s="44"/>
      <c r="AD276" s="44"/>
      <c r="AE276" s="44"/>
      <c r="AF276" s="44"/>
      <c r="AG276" s="44"/>
      <c r="AH276" s="44"/>
      <c r="AX276" s="1"/>
      <c r="AY276" s="1"/>
      <c r="AZ276" s="1"/>
      <c r="BA276" s="1"/>
      <c r="BB276" s="1"/>
      <c r="BC276" s="1"/>
      <c r="BD276" s="1"/>
      <c r="BE276" s="1"/>
      <c r="BF276" s="1"/>
    </row>
    <row r="277" spans="2:58" ht="23.25">
      <c r="B277" s="15">
        <f t="shared" si="4"/>
        <v>119</v>
      </c>
      <c r="C277" s="15">
        <v>6</v>
      </c>
      <c r="D277" s="16">
        <v>12</v>
      </c>
      <c r="E277" s="26">
        <v>1381</v>
      </c>
      <c r="F277" s="29"/>
      <c r="G277" s="44"/>
      <c r="H277" s="44"/>
      <c r="I277" s="62">
        <v>1</v>
      </c>
      <c r="J277" s="62">
        <v>2</v>
      </c>
      <c r="K277" s="62">
        <v>3</v>
      </c>
      <c r="L277" s="62">
        <v>5</v>
      </c>
      <c r="M277" s="44"/>
      <c r="N277" s="44"/>
      <c r="O277" s="44"/>
      <c r="P277" s="44"/>
      <c r="Q277" s="44"/>
      <c r="R277" s="44"/>
      <c r="S277" s="44"/>
      <c r="T277" s="44"/>
      <c r="U277" s="44"/>
      <c r="V277" s="44"/>
      <c r="W277" s="44"/>
      <c r="X277" s="44"/>
      <c r="Y277" s="44"/>
      <c r="Z277" s="44"/>
      <c r="AA277" s="44"/>
      <c r="AB277" s="44"/>
      <c r="AC277" s="44"/>
      <c r="AD277" s="44"/>
      <c r="AE277" s="44"/>
      <c r="AF277" s="44"/>
      <c r="AG277" s="44"/>
      <c r="AH277" s="44"/>
      <c r="AX277" s="1"/>
      <c r="AY277" s="1"/>
      <c r="AZ277" s="1"/>
      <c r="BA277" s="1"/>
      <c r="BB277" s="1"/>
      <c r="BC277" s="1"/>
      <c r="BD277" s="1"/>
      <c r="BE277" s="1"/>
      <c r="BF277" s="1"/>
    </row>
    <row r="278" spans="2:58" ht="23.25">
      <c r="B278" s="15">
        <f t="shared" si="4"/>
        <v>120</v>
      </c>
      <c r="C278" s="15">
        <v>6</v>
      </c>
      <c r="D278" s="16">
        <v>12</v>
      </c>
      <c r="E278" s="26">
        <v>1381</v>
      </c>
      <c r="F278" s="29"/>
      <c r="G278" s="44"/>
      <c r="H278" s="44"/>
      <c r="I278" s="62">
        <v>4</v>
      </c>
      <c r="J278" s="62">
        <v>4</v>
      </c>
      <c r="K278" s="62">
        <v>3</v>
      </c>
      <c r="L278" s="62">
        <v>4</v>
      </c>
      <c r="M278" s="44"/>
      <c r="N278" s="44"/>
      <c r="O278" s="44"/>
      <c r="P278" s="44"/>
      <c r="Q278" s="44"/>
      <c r="R278" s="44"/>
      <c r="S278" s="44"/>
      <c r="T278" s="44"/>
      <c r="U278" s="44"/>
      <c r="V278" s="44"/>
      <c r="W278" s="44"/>
      <c r="X278" s="44"/>
      <c r="Y278" s="44"/>
      <c r="Z278" s="44"/>
      <c r="AA278" s="44"/>
      <c r="AB278" s="44"/>
      <c r="AC278" s="44"/>
      <c r="AD278" s="44"/>
      <c r="AE278" s="44"/>
      <c r="AF278" s="44"/>
      <c r="AG278" s="44"/>
      <c r="AH278" s="44"/>
      <c r="AX278" s="1"/>
      <c r="AY278" s="1"/>
      <c r="AZ278" s="1"/>
      <c r="BA278" s="1"/>
      <c r="BB278" s="1"/>
      <c r="BC278" s="1"/>
      <c r="BD278" s="1"/>
      <c r="BE278" s="1"/>
      <c r="BF278" s="1"/>
    </row>
    <row r="279" spans="2:58" ht="15.75">
      <c r="G279" s="46"/>
      <c r="H279" s="46"/>
      <c r="I279" s="46"/>
      <c r="J279" s="46"/>
      <c r="K279" s="46"/>
      <c r="L279" s="46"/>
      <c r="M279" s="46"/>
      <c r="N279" s="46"/>
      <c r="O279" s="46"/>
      <c r="P279" s="46"/>
    </row>
    <row r="280" spans="2:58" ht="16.5" thickBot="1">
      <c r="G280" s="46"/>
      <c r="H280" s="46"/>
      <c r="I280" s="46"/>
      <c r="J280" s="46"/>
      <c r="K280" s="46"/>
      <c r="L280" s="46"/>
      <c r="M280" s="46"/>
      <c r="N280" s="46"/>
      <c r="O280" s="46"/>
      <c r="P280" s="46"/>
    </row>
    <row r="281" spans="2:58" ht="20.25" thickTop="1" thickBot="1">
      <c r="B281" s="19" t="s">
        <v>161</v>
      </c>
      <c r="C281" s="9" t="s">
        <v>130</v>
      </c>
      <c r="D281" s="4"/>
      <c r="E281" s="33"/>
      <c r="F281" s="5"/>
      <c r="G281" s="45"/>
      <c r="H281" s="45"/>
      <c r="I281" s="45"/>
      <c r="J281" s="46"/>
      <c r="K281" s="46"/>
      <c r="L281" s="46"/>
      <c r="M281" s="46"/>
      <c r="N281" s="46"/>
      <c r="O281" s="46"/>
      <c r="P281" s="46"/>
      <c r="AE281" s="4"/>
      <c r="AF281" s="4"/>
      <c r="AG281" s="4"/>
      <c r="AH281" s="4"/>
      <c r="AI281" s="4"/>
      <c r="AJ281" s="4"/>
      <c r="AK281" s="4"/>
      <c r="AL281" s="4"/>
      <c r="AM281" s="4"/>
      <c r="AN281" s="4"/>
      <c r="AO281" s="4"/>
      <c r="AP281" s="4"/>
      <c r="AQ281" s="4"/>
      <c r="AR281" s="4"/>
      <c r="AS281" s="4"/>
      <c r="AT281" s="4"/>
      <c r="AU281" s="4"/>
      <c r="AV281" s="4"/>
      <c r="AW281" s="4"/>
    </row>
    <row r="282" spans="2:58" ht="16.5" thickTop="1">
      <c r="B282" s="18"/>
      <c r="C282" s="4"/>
      <c r="D282" s="4"/>
      <c r="E282" s="33"/>
      <c r="F282" s="5"/>
      <c r="G282" s="45"/>
      <c r="H282" s="45"/>
      <c r="I282" s="45"/>
      <c r="J282" s="46"/>
      <c r="K282" s="46"/>
      <c r="L282" s="46"/>
      <c r="M282" s="46"/>
      <c r="N282" s="46"/>
      <c r="O282" s="46"/>
      <c r="P282" s="46"/>
      <c r="AE282" s="4"/>
      <c r="AF282" s="4"/>
      <c r="AG282" s="4"/>
      <c r="AH282" s="4"/>
      <c r="AI282" s="4"/>
      <c r="AJ282" s="4"/>
      <c r="AK282" s="4"/>
      <c r="AL282" s="4"/>
      <c r="AM282" s="4"/>
      <c r="AN282" s="4"/>
      <c r="AO282" s="4"/>
      <c r="AP282" s="4"/>
      <c r="AQ282" s="4"/>
      <c r="AR282" s="4"/>
      <c r="AS282" s="4"/>
      <c r="AT282" s="4"/>
      <c r="AU282" s="4"/>
      <c r="AV282" s="4"/>
      <c r="AW282" s="4"/>
    </row>
    <row r="283" spans="2:58" ht="15.75">
      <c r="B283" s="18" t="s">
        <v>162</v>
      </c>
      <c r="C283" s="1"/>
      <c r="D283" s="1"/>
      <c r="E283" s="31"/>
      <c r="G283" s="46"/>
      <c r="H283" s="46"/>
      <c r="I283" s="46"/>
      <c r="J283" s="46"/>
      <c r="K283" s="46"/>
      <c r="L283" s="46"/>
      <c r="M283" s="46"/>
      <c r="N283" s="46"/>
      <c r="O283" s="46"/>
      <c r="P283" s="46"/>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row>
    <row r="284" spans="2:58" ht="15.75">
      <c r="B284" s="18" t="s">
        <v>163</v>
      </c>
      <c r="C284" s="43"/>
      <c r="D284" s="1"/>
      <c r="E284" s="31"/>
      <c r="G284" s="46"/>
      <c r="H284" s="46"/>
      <c r="I284" s="46"/>
      <c r="J284" s="46"/>
      <c r="K284" s="46"/>
      <c r="L284" s="46"/>
      <c r="M284" s="46"/>
      <c r="N284" s="46"/>
      <c r="O284" s="46"/>
      <c r="P284" s="46"/>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row>
    <row r="285" spans="2:58" ht="15.75">
      <c r="B285" s="18" t="s">
        <v>164</v>
      </c>
      <c r="C285" s="43"/>
      <c r="D285" s="1"/>
      <c r="E285" s="31"/>
      <c r="G285" s="46"/>
      <c r="H285" s="46"/>
      <c r="I285" s="46"/>
      <c r="J285" s="46"/>
      <c r="K285" s="46"/>
      <c r="L285" s="46"/>
      <c r="M285" s="46"/>
      <c r="N285" s="46"/>
      <c r="O285" s="46"/>
      <c r="P285" s="46"/>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row>
    <row r="286" spans="2:58" ht="15.75">
      <c r="B286" s="18" t="s">
        <v>165</v>
      </c>
      <c r="C286" s="43"/>
      <c r="D286" s="1"/>
      <c r="E286" s="31"/>
      <c r="G286" s="46"/>
      <c r="H286" s="46"/>
      <c r="I286" s="46"/>
      <c r="J286" s="46"/>
      <c r="K286" s="46"/>
      <c r="L286" s="46"/>
      <c r="M286" s="46"/>
      <c r="N286" s="46"/>
      <c r="O286" s="46"/>
      <c r="P286" s="46"/>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row>
    <row r="287" spans="2:58" ht="15.75">
      <c r="B287" s="18" t="s">
        <v>166</v>
      </c>
      <c r="C287" s="43"/>
      <c r="D287" s="1"/>
      <c r="E287" s="31"/>
      <c r="G287" s="46"/>
      <c r="H287" s="46"/>
      <c r="I287" s="46"/>
      <c r="J287" s="46"/>
      <c r="K287" s="46"/>
      <c r="L287" s="46"/>
      <c r="M287" s="46"/>
      <c r="N287" s="46"/>
      <c r="O287" s="46"/>
      <c r="P287" s="46"/>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row>
    <row r="288" spans="2:58" ht="15.75">
      <c r="B288" s="18"/>
      <c r="C288" s="43"/>
      <c r="D288" s="1"/>
      <c r="E288" s="31"/>
      <c r="G288" s="46"/>
      <c r="H288" s="46"/>
      <c r="I288" s="46"/>
      <c r="J288" s="46"/>
      <c r="K288" s="46"/>
      <c r="L288" s="46"/>
      <c r="M288" s="46"/>
      <c r="N288" s="46"/>
      <c r="O288" s="46"/>
      <c r="P288" s="46"/>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row>
    <row r="289" spans="2:90" ht="15.75">
      <c r="B289" s="18" t="s">
        <v>167</v>
      </c>
      <c r="C289" s="43"/>
      <c r="D289" s="1"/>
      <c r="E289" s="31"/>
      <c r="G289" s="46"/>
      <c r="H289" s="46"/>
      <c r="I289" s="46"/>
      <c r="J289" s="46"/>
      <c r="K289" s="46"/>
      <c r="L289" s="46"/>
      <c r="M289" s="46"/>
      <c r="N289" s="46"/>
      <c r="O289" s="46"/>
      <c r="P289" s="46"/>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row>
    <row r="290" spans="2:90" ht="15.75">
      <c r="B290" s="18" t="s">
        <v>168</v>
      </c>
      <c r="C290" s="43"/>
      <c r="D290" s="1"/>
      <c r="E290" s="31"/>
      <c r="G290" s="46"/>
      <c r="H290" s="46"/>
      <c r="I290" s="46"/>
      <c r="J290" s="46"/>
      <c r="K290" s="46"/>
      <c r="L290" s="46"/>
      <c r="M290" s="46"/>
      <c r="N290" s="46"/>
      <c r="O290" s="46"/>
      <c r="P290" s="46"/>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row>
    <row r="291" spans="2:90" ht="15.75">
      <c r="B291" s="18"/>
      <c r="C291" s="1" t="s">
        <v>169</v>
      </c>
      <c r="D291" s="1"/>
      <c r="E291" s="31"/>
      <c r="G291" s="46"/>
      <c r="H291" s="46"/>
      <c r="I291" s="46"/>
      <c r="J291" s="46"/>
      <c r="K291" s="46"/>
      <c r="L291" s="46"/>
      <c r="M291" s="46"/>
      <c r="N291" s="46"/>
      <c r="O291" s="46"/>
      <c r="P291" s="46"/>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row>
    <row r="292" spans="2:90" ht="15.75">
      <c r="B292" s="18"/>
      <c r="C292" s="1"/>
      <c r="D292" s="1"/>
      <c r="E292" s="31"/>
      <c r="G292" s="46"/>
      <c r="H292" s="46"/>
      <c r="I292" s="46"/>
      <c r="J292" s="46"/>
      <c r="K292" s="46"/>
      <c r="L292" s="46"/>
      <c r="M292" s="46"/>
      <c r="N292" s="46"/>
      <c r="O292" s="46"/>
      <c r="P292" s="46"/>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row>
    <row r="293" spans="2:90" ht="16.5" thickBot="1">
      <c r="B293" s="4"/>
      <c r="C293" s="4"/>
      <c r="D293" s="4"/>
      <c r="E293" s="33"/>
      <c r="F293" s="5"/>
      <c r="G293" s="44"/>
      <c r="H293" s="46"/>
      <c r="I293" s="98" t="s">
        <v>137</v>
      </c>
      <c r="J293" s="46"/>
      <c r="K293" s="46"/>
      <c r="L293" s="47"/>
      <c r="M293" s="47"/>
      <c r="N293" s="98" t="s">
        <v>170</v>
      </c>
      <c r="O293" s="47"/>
      <c r="P293" s="47"/>
      <c r="AE293" s="4"/>
      <c r="AF293" s="4"/>
      <c r="AG293" s="4"/>
      <c r="AH293" s="4"/>
      <c r="AI293" s="4"/>
      <c r="AJ293" s="4"/>
      <c r="AK293" s="4"/>
      <c r="AL293" s="4"/>
      <c r="AM293" s="4"/>
      <c r="AN293" s="4"/>
      <c r="AO293" s="4"/>
      <c r="AP293" s="4"/>
      <c r="AQ293" s="4"/>
      <c r="AR293" s="4"/>
      <c r="AS293" s="4"/>
      <c r="AT293" s="4"/>
      <c r="AU293" s="4"/>
      <c r="AV293" s="4"/>
      <c r="AW293" s="4"/>
    </row>
    <row r="294" spans="2:90" ht="25.5" customHeight="1" thickTop="1" thickBot="1">
      <c r="B294" s="17" t="s">
        <v>41</v>
      </c>
      <c r="C294" s="17" t="s">
        <v>74</v>
      </c>
      <c r="D294" s="17" t="s">
        <v>43</v>
      </c>
      <c r="E294" s="36" t="s">
        <v>44</v>
      </c>
      <c r="G294" s="44"/>
      <c r="H294" s="44"/>
      <c r="I294" s="99" t="s">
        <v>32</v>
      </c>
      <c r="J294" s="100" t="s">
        <v>33</v>
      </c>
      <c r="K294" s="101" t="s">
        <v>34</v>
      </c>
      <c r="L294" s="102" t="s">
        <v>35</v>
      </c>
      <c r="M294" s="44"/>
      <c r="N294" s="49" cm="1">
        <f t="array" ref="N294:BK294">_xlfn.SEQUENCE(1,50)</f>
        <v>1</v>
      </c>
      <c r="O294" s="49">
        <v>2</v>
      </c>
      <c r="P294" s="49">
        <v>3</v>
      </c>
      <c r="Q294" s="49">
        <v>4</v>
      </c>
      <c r="R294" s="49">
        <v>5</v>
      </c>
      <c r="S294" s="49">
        <v>6</v>
      </c>
      <c r="T294" s="49">
        <v>7</v>
      </c>
      <c r="U294" s="49">
        <v>8</v>
      </c>
      <c r="V294" s="49">
        <v>9</v>
      </c>
      <c r="W294" s="49">
        <v>10</v>
      </c>
      <c r="X294" s="49">
        <v>11</v>
      </c>
      <c r="Y294" s="49">
        <v>12</v>
      </c>
      <c r="Z294" s="49">
        <v>13</v>
      </c>
      <c r="AA294" s="49">
        <v>14</v>
      </c>
      <c r="AB294" s="49">
        <v>15</v>
      </c>
      <c r="AC294" s="49">
        <v>16</v>
      </c>
      <c r="AD294" s="49">
        <v>17</v>
      </c>
      <c r="AE294" s="49">
        <v>18</v>
      </c>
      <c r="AF294" s="49">
        <v>19</v>
      </c>
      <c r="AG294" s="49">
        <v>20</v>
      </c>
      <c r="AH294" s="49">
        <v>21</v>
      </c>
      <c r="AI294" s="49">
        <v>22</v>
      </c>
      <c r="AJ294" s="49">
        <v>23</v>
      </c>
      <c r="AK294" s="49">
        <v>24</v>
      </c>
      <c r="AL294" s="49">
        <v>25</v>
      </c>
      <c r="AM294" s="49">
        <v>26</v>
      </c>
      <c r="AN294" s="49">
        <v>27</v>
      </c>
      <c r="AO294" s="49">
        <v>28</v>
      </c>
      <c r="AP294" s="49">
        <v>29</v>
      </c>
      <c r="AQ294" s="49">
        <v>30</v>
      </c>
      <c r="AR294" s="49">
        <v>31</v>
      </c>
      <c r="AS294" s="49">
        <v>32</v>
      </c>
      <c r="AT294" s="49">
        <v>33</v>
      </c>
      <c r="AU294" s="49">
        <v>34</v>
      </c>
      <c r="AV294" s="49">
        <v>35</v>
      </c>
      <c r="AW294" s="49">
        <v>36</v>
      </c>
      <c r="AX294" s="49">
        <v>37</v>
      </c>
      <c r="AY294" s="49">
        <v>38</v>
      </c>
      <c r="AZ294" s="49">
        <v>39</v>
      </c>
      <c r="BA294" s="49">
        <v>40</v>
      </c>
      <c r="BB294" s="49">
        <v>41</v>
      </c>
      <c r="BC294" s="49">
        <v>42</v>
      </c>
      <c r="BD294" s="49">
        <v>43</v>
      </c>
      <c r="BE294" s="49">
        <v>44</v>
      </c>
      <c r="BF294" s="49">
        <v>45</v>
      </c>
      <c r="BG294" s="49">
        <v>46</v>
      </c>
      <c r="BH294" s="49">
        <v>47</v>
      </c>
      <c r="BI294" s="49">
        <v>48</v>
      </c>
      <c r="BJ294" s="49">
        <v>49</v>
      </c>
      <c r="BK294" s="49">
        <v>50</v>
      </c>
    </row>
    <row r="295" spans="2:90" ht="16.5" thickTop="1">
      <c r="B295" s="1"/>
      <c r="C295" s="1"/>
      <c r="D295" s="1"/>
      <c r="E295" s="31"/>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row>
    <row r="296" spans="2:90" ht="24" customHeight="1">
      <c r="B296" s="15" t="s">
        <v>171</v>
      </c>
      <c r="C296" s="15">
        <v>7</v>
      </c>
      <c r="D296" s="16">
        <v>0</v>
      </c>
      <c r="E296" s="26" t="s">
        <v>172</v>
      </c>
      <c r="F296" s="29"/>
      <c r="G296" s="44"/>
      <c r="H296" s="44"/>
      <c r="I296" s="62">
        <v>0</v>
      </c>
      <c r="J296" s="62">
        <v>0</v>
      </c>
      <c r="K296" s="62">
        <v>3</v>
      </c>
      <c r="L296" s="62">
        <v>3</v>
      </c>
      <c r="M296" s="44"/>
      <c r="N296" s="103">
        <v>6</v>
      </c>
      <c r="O296" s="103">
        <v>1</v>
      </c>
      <c r="P296" s="105">
        <v>3</v>
      </c>
      <c r="Q296" s="106">
        <v>5</v>
      </c>
      <c r="R296" s="105">
        <v>7</v>
      </c>
      <c r="S296" s="105">
        <v>5</v>
      </c>
      <c r="T296" s="104">
        <v>4</v>
      </c>
      <c r="U296" s="103">
        <v>4</v>
      </c>
      <c r="V296" s="104">
        <v>2</v>
      </c>
      <c r="W296" s="103">
        <v>7</v>
      </c>
      <c r="X296" s="103">
        <v>4</v>
      </c>
      <c r="Y296" s="104">
        <v>7</v>
      </c>
      <c r="Z296" s="106">
        <v>3</v>
      </c>
      <c r="AA296" s="105">
        <v>2</v>
      </c>
      <c r="AB296" s="103">
        <v>6</v>
      </c>
      <c r="AC296" s="106">
        <v>2</v>
      </c>
      <c r="AD296" s="106">
        <v>7</v>
      </c>
      <c r="AE296" s="106">
        <v>3</v>
      </c>
      <c r="AF296" s="105">
        <v>3</v>
      </c>
      <c r="AG296" s="104">
        <v>5</v>
      </c>
      <c r="AH296" s="104">
        <v>4</v>
      </c>
      <c r="AI296" s="106">
        <v>7</v>
      </c>
      <c r="AJ296" s="103">
        <v>3</v>
      </c>
      <c r="AK296" s="103">
        <v>3</v>
      </c>
      <c r="AL296" s="104">
        <v>6</v>
      </c>
      <c r="AM296" s="106">
        <v>7</v>
      </c>
      <c r="AN296" s="106">
        <v>5</v>
      </c>
      <c r="AO296" s="104">
        <v>5</v>
      </c>
      <c r="AP296" s="103">
        <v>1</v>
      </c>
      <c r="AQ296" s="106">
        <v>7</v>
      </c>
      <c r="AR296" s="103">
        <v>4</v>
      </c>
      <c r="AS296" s="105">
        <v>5</v>
      </c>
      <c r="AT296" s="105">
        <v>1</v>
      </c>
      <c r="AU296" s="106">
        <v>5</v>
      </c>
      <c r="AV296" s="103">
        <v>2</v>
      </c>
      <c r="AW296" s="104">
        <v>3</v>
      </c>
      <c r="AX296" s="104">
        <v>6</v>
      </c>
      <c r="AY296" s="103">
        <v>4</v>
      </c>
      <c r="AZ296" s="105">
        <v>7</v>
      </c>
      <c r="BA296" s="103">
        <v>1</v>
      </c>
      <c r="BB296" s="105">
        <v>7</v>
      </c>
      <c r="BC296" s="103">
        <v>4</v>
      </c>
      <c r="BD296" s="105">
        <v>2</v>
      </c>
      <c r="BE296" s="104">
        <v>5</v>
      </c>
      <c r="BF296" s="105">
        <v>6</v>
      </c>
      <c r="BG296" s="106">
        <v>2</v>
      </c>
      <c r="BH296" s="105">
        <v>1</v>
      </c>
      <c r="BI296" s="106">
        <v>1</v>
      </c>
      <c r="BJ296" s="105">
        <v>6</v>
      </c>
      <c r="BK296" s="103">
        <v>1</v>
      </c>
    </row>
    <row r="297" spans="2:90" ht="15.75">
      <c r="B297" s="1"/>
      <c r="C297" s="1"/>
      <c r="D297" s="1"/>
      <c r="E297" s="31"/>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4"/>
      <c r="BI297" s="44"/>
      <c r="BJ297" s="44"/>
      <c r="BK297" s="44"/>
      <c r="BL297" s="44"/>
      <c r="BM297" s="44"/>
      <c r="BN297" s="44"/>
      <c r="BO297" s="44"/>
      <c r="BP297" s="44"/>
      <c r="BQ297" s="44"/>
    </row>
    <row r="298" spans="2:90" ht="23.25">
      <c r="B298" s="15">
        <v>121</v>
      </c>
      <c r="C298" s="15">
        <v>7</v>
      </c>
      <c r="D298" s="16">
        <v>14</v>
      </c>
      <c r="E298" s="26" t="s">
        <v>177</v>
      </c>
      <c r="F298" s="29"/>
      <c r="G298" s="44"/>
      <c r="H298" s="44"/>
      <c r="I298" s="62">
        <v>0</v>
      </c>
      <c r="J298" s="62">
        <v>3</v>
      </c>
      <c r="K298" s="62">
        <v>0</v>
      </c>
      <c r="L298" s="62">
        <v>1</v>
      </c>
      <c r="M298" s="44"/>
      <c r="N298" s="105">
        <v>7</v>
      </c>
      <c r="O298" s="106">
        <v>4</v>
      </c>
      <c r="P298" s="106">
        <v>1</v>
      </c>
      <c r="Q298" s="105">
        <v>6</v>
      </c>
      <c r="R298" s="105">
        <v>3</v>
      </c>
      <c r="S298" s="104">
        <v>1</v>
      </c>
      <c r="T298" s="106">
        <v>6</v>
      </c>
      <c r="U298" s="105">
        <v>4</v>
      </c>
      <c r="V298" s="103">
        <v>2</v>
      </c>
      <c r="W298" s="106">
        <v>3</v>
      </c>
      <c r="X298" s="105">
        <v>6</v>
      </c>
      <c r="Y298" s="103">
        <v>4</v>
      </c>
      <c r="Z298" s="104">
        <v>4</v>
      </c>
      <c r="AA298" s="103">
        <v>1</v>
      </c>
      <c r="AB298" s="103">
        <v>6</v>
      </c>
      <c r="AC298" s="103">
        <v>6</v>
      </c>
      <c r="AD298" s="105">
        <v>4</v>
      </c>
      <c r="AE298" s="104">
        <v>7</v>
      </c>
      <c r="AF298" s="104">
        <v>1</v>
      </c>
      <c r="AG298" s="105">
        <v>5</v>
      </c>
      <c r="AH298" s="103">
        <v>2</v>
      </c>
      <c r="AI298" s="104">
        <v>4</v>
      </c>
      <c r="AJ298" s="104">
        <v>1</v>
      </c>
      <c r="AK298" s="104">
        <v>5</v>
      </c>
      <c r="AL298" s="105">
        <v>4</v>
      </c>
      <c r="AM298" s="106">
        <v>1</v>
      </c>
      <c r="AN298" s="106">
        <v>2</v>
      </c>
      <c r="AO298" s="103">
        <v>2</v>
      </c>
      <c r="AP298" s="106">
        <v>4</v>
      </c>
      <c r="AQ298" s="104">
        <v>6</v>
      </c>
      <c r="AR298" s="104">
        <v>6</v>
      </c>
      <c r="AS298" s="104">
        <v>4</v>
      </c>
      <c r="AT298" s="105">
        <v>5</v>
      </c>
      <c r="AU298" s="105">
        <v>5</v>
      </c>
      <c r="AV298" s="106">
        <v>6</v>
      </c>
      <c r="AW298" s="106">
        <v>1</v>
      </c>
      <c r="AX298" s="104">
        <v>6</v>
      </c>
      <c r="AY298" s="106">
        <v>6</v>
      </c>
      <c r="AZ298" s="103">
        <v>1</v>
      </c>
      <c r="BA298" s="103">
        <v>4</v>
      </c>
      <c r="BB298" s="103">
        <v>4</v>
      </c>
      <c r="BC298" s="103">
        <v>6</v>
      </c>
      <c r="BD298" s="105">
        <v>5</v>
      </c>
      <c r="BE298" s="103">
        <v>4</v>
      </c>
      <c r="BF298" s="103">
        <v>4</v>
      </c>
      <c r="BG298" s="103">
        <v>4</v>
      </c>
      <c r="BH298" s="105">
        <v>3</v>
      </c>
      <c r="BI298" s="106">
        <v>4</v>
      </c>
      <c r="BJ298" s="106">
        <v>1</v>
      </c>
      <c r="BK298" s="104">
        <v>5</v>
      </c>
    </row>
    <row r="299" spans="2:90" ht="23.25">
      <c r="B299" s="15">
        <f t="shared" ref="B299:B327" si="5">B298+1</f>
        <v>122</v>
      </c>
      <c r="C299" s="15">
        <v>7</v>
      </c>
      <c r="D299" s="16">
        <v>14</v>
      </c>
      <c r="E299" s="26" t="s">
        <v>178</v>
      </c>
      <c r="F299" s="29"/>
      <c r="G299" s="44"/>
      <c r="H299" s="44"/>
      <c r="I299" s="62">
        <v>3</v>
      </c>
      <c r="J299" s="62">
        <v>5</v>
      </c>
      <c r="K299" s="62">
        <v>4</v>
      </c>
      <c r="L299" s="62">
        <v>5</v>
      </c>
      <c r="M299" s="44"/>
      <c r="N299" s="103">
        <v>7</v>
      </c>
      <c r="O299" s="103">
        <v>3</v>
      </c>
      <c r="P299" s="103">
        <v>4</v>
      </c>
      <c r="Q299" s="106">
        <v>3</v>
      </c>
      <c r="R299" s="105">
        <v>3</v>
      </c>
      <c r="S299" s="103">
        <v>1</v>
      </c>
      <c r="T299" s="104">
        <v>6</v>
      </c>
      <c r="U299" s="106">
        <v>2</v>
      </c>
      <c r="V299" s="104">
        <v>4</v>
      </c>
      <c r="W299" s="106">
        <v>4</v>
      </c>
      <c r="X299" s="105">
        <v>1</v>
      </c>
      <c r="Y299" s="104">
        <v>3</v>
      </c>
      <c r="Z299" s="104">
        <v>5</v>
      </c>
      <c r="AA299" s="103">
        <v>5</v>
      </c>
      <c r="AB299" s="104">
        <v>3</v>
      </c>
      <c r="AC299" s="103">
        <v>4</v>
      </c>
      <c r="AD299" s="105">
        <v>4</v>
      </c>
      <c r="AE299" s="103">
        <v>2</v>
      </c>
      <c r="AF299" s="105">
        <v>1</v>
      </c>
      <c r="AG299" s="104">
        <v>3</v>
      </c>
      <c r="AH299" s="103">
        <v>2</v>
      </c>
      <c r="AI299" s="104">
        <v>1</v>
      </c>
      <c r="AJ299" s="106">
        <v>1</v>
      </c>
      <c r="AK299" s="104">
        <v>7</v>
      </c>
      <c r="AL299" s="103">
        <v>2</v>
      </c>
      <c r="AM299" s="104">
        <v>6</v>
      </c>
      <c r="AN299" s="103">
        <v>6</v>
      </c>
      <c r="AO299" s="106">
        <v>4</v>
      </c>
      <c r="AP299" s="103">
        <v>7</v>
      </c>
      <c r="AQ299" s="105">
        <v>1</v>
      </c>
      <c r="AR299" s="103">
        <v>2</v>
      </c>
      <c r="AS299" s="103">
        <v>6</v>
      </c>
      <c r="AT299" s="106">
        <v>2</v>
      </c>
      <c r="AU299" s="105">
        <v>2</v>
      </c>
      <c r="AV299" s="104">
        <v>1</v>
      </c>
      <c r="AW299" s="106">
        <v>2</v>
      </c>
      <c r="AX299" s="105">
        <v>1</v>
      </c>
      <c r="AY299" s="103">
        <v>6</v>
      </c>
      <c r="AZ299" s="104">
        <v>1</v>
      </c>
      <c r="BA299" s="103">
        <v>6</v>
      </c>
      <c r="BB299" s="105">
        <v>4</v>
      </c>
      <c r="BC299" s="103">
        <v>5</v>
      </c>
      <c r="BD299" s="104">
        <v>3</v>
      </c>
      <c r="BE299" s="104">
        <v>1</v>
      </c>
      <c r="BF299" s="105">
        <v>5</v>
      </c>
      <c r="BG299" s="103">
        <v>7</v>
      </c>
      <c r="BH299" s="103">
        <v>3</v>
      </c>
      <c r="BI299" s="105">
        <v>5</v>
      </c>
      <c r="BJ299" s="103">
        <v>5</v>
      </c>
      <c r="BK299" s="103">
        <v>7</v>
      </c>
    </row>
    <row r="300" spans="2:90" ht="23.25">
      <c r="B300" s="15">
        <f t="shared" si="5"/>
        <v>123</v>
      </c>
      <c r="C300" s="15">
        <v>7</v>
      </c>
      <c r="D300" s="16">
        <v>14</v>
      </c>
      <c r="E300" s="26" t="s">
        <v>179</v>
      </c>
      <c r="F300" s="29"/>
      <c r="G300" s="44"/>
      <c r="H300" s="44"/>
      <c r="I300" s="62">
        <v>0</v>
      </c>
      <c r="J300" s="62">
        <v>4</v>
      </c>
      <c r="K300" s="62">
        <v>1</v>
      </c>
      <c r="L300" s="62">
        <v>1</v>
      </c>
      <c r="M300" s="44"/>
      <c r="N300" s="103">
        <v>6</v>
      </c>
      <c r="O300" s="105">
        <v>3</v>
      </c>
      <c r="P300" s="104">
        <v>5</v>
      </c>
      <c r="Q300" s="103">
        <v>5</v>
      </c>
      <c r="R300" s="103">
        <v>7</v>
      </c>
      <c r="S300" s="105">
        <v>7</v>
      </c>
      <c r="T300" s="103">
        <v>4</v>
      </c>
      <c r="U300" s="104">
        <v>2</v>
      </c>
      <c r="V300" s="104">
        <v>6</v>
      </c>
      <c r="W300" s="105">
        <v>1</v>
      </c>
      <c r="X300" s="104">
        <v>5</v>
      </c>
      <c r="Y300" s="105">
        <v>5</v>
      </c>
      <c r="Z300" s="106">
        <v>5</v>
      </c>
      <c r="AA300" s="106">
        <v>3</v>
      </c>
      <c r="AB300" s="104">
        <v>1</v>
      </c>
      <c r="AC300" s="105">
        <v>6</v>
      </c>
      <c r="AD300" s="106">
        <v>2</v>
      </c>
      <c r="AE300" s="104">
        <v>4</v>
      </c>
      <c r="AF300" s="103">
        <v>2</v>
      </c>
      <c r="AG300" s="103">
        <v>7</v>
      </c>
      <c r="AH300" s="105">
        <v>2</v>
      </c>
      <c r="AI300" s="106">
        <v>6</v>
      </c>
      <c r="AJ300" s="103">
        <v>5</v>
      </c>
      <c r="AK300" s="105">
        <v>2</v>
      </c>
      <c r="AL300" s="105">
        <v>5</v>
      </c>
      <c r="AM300" s="106">
        <v>3</v>
      </c>
      <c r="AN300" s="105">
        <v>5</v>
      </c>
      <c r="AO300" s="103">
        <v>5</v>
      </c>
      <c r="AP300" s="104">
        <v>3</v>
      </c>
      <c r="AQ300" s="106">
        <v>3</v>
      </c>
      <c r="AR300" s="105">
        <v>7</v>
      </c>
      <c r="AS300" s="105">
        <v>3</v>
      </c>
      <c r="AT300" s="103">
        <v>6</v>
      </c>
      <c r="AU300" s="103">
        <v>3</v>
      </c>
      <c r="AV300" s="106">
        <v>1</v>
      </c>
      <c r="AW300" s="105">
        <v>7</v>
      </c>
      <c r="AX300" s="104">
        <v>7</v>
      </c>
      <c r="AY300" s="104">
        <v>1</v>
      </c>
      <c r="AZ300" s="104">
        <v>2</v>
      </c>
      <c r="BA300" s="106">
        <v>4</v>
      </c>
      <c r="BB300" s="103">
        <v>2</v>
      </c>
      <c r="BC300" s="103">
        <v>6</v>
      </c>
      <c r="BD300" s="103">
        <v>6</v>
      </c>
      <c r="BE300" s="104">
        <v>4</v>
      </c>
      <c r="BF300" s="105">
        <v>4</v>
      </c>
      <c r="BG300" s="106">
        <v>7</v>
      </c>
      <c r="BH300" s="104">
        <v>5</v>
      </c>
      <c r="BI300" s="106">
        <v>5</v>
      </c>
      <c r="BJ300" s="105">
        <v>5</v>
      </c>
      <c r="BK300" s="104">
        <v>3</v>
      </c>
    </row>
    <row r="301" spans="2:90" ht="23.25">
      <c r="B301" s="15">
        <f t="shared" si="5"/>
        <v>124</v>
      </c>
      <c r="C301" s="15">
        <v>7</v>
      </c>
      <c r="D301" s="16">
        <v>14</v>
      </c>
      <c r="E301" s="26" t="s">
        <v>180</v>
      </c>
      <c r="F301" s="29"/>
      <c r="G301" s="44"/>
      <c r="H301" s="44"/>
      <c r="I301" s="62">
        <v>2</v>
      </c>
      <c r="J301" s="62">
        <v>1</v>
      </c>
      <c r="K301" s="62">
        <v>0</v>
      </c>
      <c r="L301" s="62">
        <v>4</v>
      </c>
      <c r="M301" s="44"/>
      <c r="N301" s="105">
        <v>3</v>
      </c>
      <c r="O301" s="105">
        <v>7</v>
      </c>
      <c r="P301" s="105">
        <v>5</v>
      </c>
      <c r="Q301" s="105">
        <v>2</v>
      </c>
      <c r="R301" s="104">
        <v>3</v>
      </c>
      <c r="S301" s="105">
        <v>4</v>
      </c>
      <c r="T301" s="104">
        <v>5</v>
      </c>
      <c r="U301" s="106">
        <v>5</v>
      </c>
      <c r="V301" s="104">
        <v>5</v>
      </c>
      <c r="W301" s="106">
        <v>4</v>
      </c>
      <c r="X301" s="105">
        <v>2</v>
      </c>
      <c r="Y301" s="106">
        <v>5</v>
      </c>
      <c r="Z301" s="106">
        <v>4</v>
      </c>
      <c r="AA301" s="103">
        <v>5</v>
      </c>
      <c r="AB301" s="105">
        <v>7</v>
      </c>
      <c r="AC301" s="105">
        <v>3</v>
      </c>
      <c r="AD301" s="104">
        <v>4</v>
      </c>
      <c r="AE301" s="106">
        <v>2</v>
      </c>
      <c r="AF301" s="106">
        <v>1</v>
      </c>
      <c r="AG301" s="106">
        <v>7</v>
      </c>
      <c r="AH301" s="106">
        <v>6</v>
      </c>
      <c r="AI301" s="106">
        <v>2</v>
      </c>
      <c r="AJ301" s="106">
        <v>4</v>
      </c>
      <c r="AK301" s="104">
        <v>1</v>
      </c>
      <c r="AL301" s="105">
        <v>2</v>
      </c>
      <c r="AM301" s="104">
        <v>7</v>
      </c>
      <c r="AN301" s="106">
        <v>2</v>
      </c>
      <c r="AO301" s="105">
        <v>1</v>
      </c>
      <c r="AP301" s="105">
        <v>3</v>
      </c>
      <c r="AQ301" s="106">
        <v>4</v>
      </c>
      <c r="AR301" s="105">
        <v>1</v>
      </c>
      <c r="AS301" s="104">
        <v>5</v>
      </c>
      <c r="AT301" s="105">
        <v>4</v>
      </c>
      <c r="AU301" s="103">
        <v>5</v>
      </c>
      <c r="AV301" s="104">
        <v>3</v>
      </c>
      <c r="AW301" s="103">
        <v>7</v>
      </c>
      <c r="AX301" s="104">
        <v>5</v>
      </c>
      <c r="AY301" s="105">
        <v>7</v>
      </c>
      <c r="AZ301" s="103">
        <v>6</v>
      </c>
      <c r="BA301" s="105">
        <v>5</v>
      </c>
      <c r="BB301" s="104">
        <v>7</v>
      </c>
      <c r="BC301" s="103">
        <v>3</v>
      </c>
      <c r="BD301" s="106">
        <v>2</v>
      </c>
      <c r="BE301" s="104">
        <v>1</v>
      </c>
      <c r="BF301" s="103">
        <v>1</v>
      </c>
      <c r="BG301" s="106">
        <v>6</v>
      </c>
      <c r="BH301" s="106">
        <v>5</v>
      </c>
      <c r="BI301" s="103">
        <v>1</v>
      </c>
      <c r="BJ301" s="104">
        <v>3</v>
      </c>
      <c r="BK301" s="105">
        <v>6</v>
      </c>
    </row>
    <row r="302" spans="2:90" ht="23.25">
      <c r="B302" s="15">
        <f t="shared" si="5"/>
        <v>125</v>
      </c>
      <c r="C302" s="15">
        <v>7</v>
      </c>
      <c r="D302" s="16">
        <v>14</v>
      </c>
      <c r="E302" s="26" t="s">
        <v>181</v>
      </c>
      <c r="F302" s="29"/>
      <c r="G302" s="44"/>
      <c r="H302" s="44"/>
      <c r="I302" s="62">
        <v>4</v>
      </c>
      <c r="J302" s="62">
        <v>4</v>
      </c>
      <c r="K302" s="62">
        <v>1</v>
      </c>
      <c r="L302" s="62">
        <v>2</v>
      </c>
      <c r="M302" s="44"/>
      <c r="N302" s="106">
        <v>6</v>
      </c>
      <c r="O302" s="105">
        <v>5</v>
      </c>
      <c r="P302" s="106">
        <v>3</v>
      </c>
      <c r="Q302" s="106">
        <v>1</v>
      </c>
      <c r="R302" s="105">
        <v>4</v>
      </c>
      <c r="S302" s="105">
        <v>6</v>
      </c>
      <c r="T302" s="103">
        <v>5</v>
      </c>
      <c r="U302" s="104">
        <v>2</v>
      </c>
      <c r="V302" s="106">
        <v>6</v>
      </c>
      <c r="W302" s="104">
        <v>4</v>
      </c>
      <c r="X302" s="104">
        <v>4</v>
      </c>
      <c r="Y302" s="106">
        <v>7</v>
      </c>
      <c r="Z302" s="103">
        <v>1</v>
      </c>
      <c r="AA302" s="103">
        <v>3</v>
      </c>
      <c r="AB302" s="105">
        <v>6</v>
      </c>
      <c r="AC302" s="104">
        <v>7</v>
      </c>
      <c r="AD302" s="105">
        <v>2</v>
      </c>
      <c r="AE302" s="106">
        <v>5</v>
      </c>
      <c r="AF302" s="106">
        <v>4</v>
      </c>
      <c r="AG302" s="106">
        <v>5</v>
      </c>
      <c r="AH302" s="105">
        <v>4</v>
      </c>
      <c r="AI302" s="104">
        <v>6</v>
      </c>
      <c r="AJ302" s="106">
        <v>6</v>
      </c>
      <c r="AK302" s="106">
        <v>7</v>
      </c>
      <c r="AL302" s="104">
        <v>7</v>
      </c>
      <c r="AM302" s="103">
        <v>3</v>
      </c>
      <c r="AN302" s="104">
        <v>5</v>
      </c>
      <c r="AO302" s="106">
        <v>6</v>
      </c>
      <c r="AP302" s="103">
        <v>4</v>
      </c>
      <c r="AQ302" s="106">
        <v>7</v>
      </c>
      <c r="AR302" s="106">
        <v>6</v>
      </c>
      <c r="AS302" s="103">
        <v>5</v>
      </c>
      <c r="AT302" s="105">
        <v>4</v>
      </c>
      <c r="AU302" s="106">
        <v>5</v>
      </c>
      <c r="AV302" s="105">
        <v>6</v>
      </c>
      <c r="AW302" s="104">
        <v>7</v>
      </c>
      <c r="AX302" s="105">
        <v>5</v>
      </c>
      <c r="AY302" s="103">
        <v>2</v>
      </c>
      <c r="AZ302" s="104">
        <v>1</v>
      </c>
      <c r="BA302" s="103">
        <v>1</v>
      </c>
      <c r="BB302" s="103">
        <v>6</v>
      </c>
      <c r="BC302" s="105">
        <v>5</v>
      </c>
      <c r="BD302" s="103">
        <v>1</v>
      </c>
      <c r="BE302" s="106">
        <v>3</v>
      </c>
      <c r="BF302" s="103">
        <v>1</v>
      </c>
      <c r="BG302" s="105">
        <v>7</v>
      </c>
      <c r="BH302" s="103">
        <v>7</v>
      </c>
      <c r="BI302" s="106">
        <v>7</v>
      </c>
      <c r="BJ302" s="106">
        <v>7</v>
      </c>
      <c r="BK302" s="103">
        <v>7</v>
      </c>
    </row>
    <row r="303" spans="2:90" ht="23.25">
      <c r="B303" s="15">
        <f t="shared" si="5"/>
        <v>126</v>
      </c>
      <c r="C303" s="15">
        <v>7</v>
      </c>
      <c r="D303" s="16">
        <v>14</v>
      </c>
      <c r="E303" s="26" t="s">
        <v>182</v>
      </c>
      <c r="F303" s="29"/>
      <c r="G303" s="44"/>
      <c r="H303" s="44"/>
      <c r="I303" s="62">
        <v>0</v>
      </c>
      <c r="J303" s="62">
        <v>2</v>
      </c>
      <c r="K303" s="62">
        <v>1</v>
      </c>
      <c r="L303" s="62">
        <v>5</v>
      </c>
      <c r="M303" s="44"/>
      <c r="N303" s="103">
        <v>1</v>
      </c>
      <c r="O303" s="105">
        <v>5</v>
      </c>
      <c r="P303" s="106">
        <v>7</v>
      </c>
      <c r="Q303" s="103">
        <v>3</v>
      </c>
      <c r="R303" s="103">
        <v>1</v>
      </c>
      <c r="S303" s="105">
        <v>6</v>
      </c>
      <c r="T303" s="105">
        <v>4</v>
      </c>
      <c r="U303" s="103">
        <v>6</v>
      </c>
      <c r="V303" s="105">
        <v>6</v>
      </c>
      <c r="W303" s="103">
        <v>2</v>
      </c>
      <c r="X303" s="106">
        <v>3</v>
      </c>
      <c r="Y303" s="103">
        <v>7</v>
      </c>
      <c r="Z303" s="103">
        <v>7</v>
      </c>
      <c r="AA303" s="106">
        <v>5</v>
      </c>
      <c r="AB303" s="105">
        <v>7</v>
      </c>
      <c r="AC303" s="104">
        <v>3</v>
      </c>
      <c r="AD303" s="106">
        <v>5</v>
      </c>
      <c r="AE303" s="105">
        <v>7</v>
      </c>
      <c r="AF303" s="103">
        <v>5</v>
      </c>
      <c r="AG303" s="103">
        <v>1</v>
      </c>
      <c r="AH303" s="106">
        <v>4</v>
      </c>
      <c r="AI303" s="106">
        <v>4</v>
      </c>
      <c r="AJ303" s="104">
        <v>7</v>
      </c>
      <c r="AK303" s="104">
        <v>7</v>
      </c>
      <c r="AL303" s="103">
        <v>1</v>
      </c>
      <c r="AM303" s="103">
        <v>3</v>
      </c>
      <c r="AN303" s="105">
        <v>3</v>
      </c>
      <c r="AO303" s="105">
        <v>4</v>
      </c>
      <c r="AP303" s="106">
        <v>3</v>
      </c>
      <c r="AQ303" s="106">
        <v>6</v>
      </c>
      <c r="AR303" s="106">
        <v>2</v>
      </c>
      <c r="AS303" s="106">
        <v>6</v>
      </c>
      <c r="AT303" s="105">
        <v>7</v>
      </c>
      <c r="AU303" s="106">
        <v>7</v>
      </c>
      <c r="AV303" s="106">
        <v>3</v>
      </c>
      <c r="AW303" s="103">
        <v>2</v>
      </c>
      <c r="AX303" s="104">
        <v>2</v>
      </c>
      <c r="AY303" s="103">
        <v>1</v>
      </c>
      <c r="AZ303" s="103">
        <v>3</v>
      </c>
      <c r="BA303" s="106">
        <v>5</v>
      </c>
      <c r="BB303" s="106">
        <v>7</v>
      </c>
      <c r="BC303" s="104">
        <v>3</v>
      </c>
      <c r="BD303" s="104">
        <v>2</v>
      </c>
      <c r="BE303" s="105">
        <v>7</v>
      </c>
      <c r="BF303" s="105">
        <v>6</v>
      </c>
      <c r="BG303" s="105">
        <v>2</v>
      </c>
      <c r="BH303" s="106">
        <v>2</v>
      </c>
      <c r="BI303" s="106">
        <v>4</v>
      </c>
      <c r="BJ303" s="103">
        <v>1</v>
      </c>
      <c r="BK303" s="104">
        <v>2</v>
      </c>
    </row>
    <row r="304" spans="2:90" ht="23.25">
      <c r="B304" s="15">
        <f t="shared" si="5"/>
        <v>127</v>
      </c>
      <c r="C304" s="15">
        <v>7</v>
      </c>
      <c r="D304" s="16">
        <v>14</v>
      </c>
      <c r="E304" s="26" t="s">
        <v>183</v>
      </c>
      <c r="F304" s="29"/>
      <c r="G304" s="44"/>
      <c r="H304" s="44"/>
      <c r="I304" s="62">
        <v>2</v>
      </c>
      <c r="J304" s="62">
        <v>5</v>
      </c>
      <c r="K304" s="62">
        <v>2</v>
      </c>
      <c r="L304" s="62">
        <v>1</v>
      </c>
      <c r="M304" s="44"/>
      <c r="N304" s="106">
        <v>6</v>
      </c>
      <c r="O304" s="106">
        <v>6</v>
      </c>
      <c r="P304" s="103">
        <v>6</v>
      </c>
      <c r="Q304" s="103">
        <v>1</v>
      </c>
      <c r="R304" s="103">
        <v>5</v>
      </c>
      <c r="S304" s="105">
        <v>7</v>
      </c>
      <c r="T304" s="103">
        <v>4</v>
      </c>
      <c r="U304" s="106">
        <v>1</v>
      </c>
      <c r="V304" s="104">
        <v>1</v>
      </c>
      <c r="W304" s="104">
        <v>6</v>
      </c>
      <c r="X304" s="103">
        <v>2</v>
      </c>
      <c r="Y304" s="103">
        <v>7</v>
      </c>
      <c r="Z304" s="104">
        <v>6</v>
      </c>
      <c r="AA304" s="106">
        <v>5</v>
      </c>
      <c r="AB304" s="103">
        <v>6</v>
      </c>
      <c r="AC304" s="105">
        <v>7</v>
      </c>
      <c r="AD304" s="104">
        <v>5</v>
      </c>
      <c r="AE304" s="103">
        <v>4</v>
      </c>
      <c r="AF304" s="104">
        <v>1</v>
      </c>
      <c r="AG304" s="104">
        <v>4</v>
      </c>
      <c r="AH304" s="104">
        <v>2</v>
      </c>
      <c r="AI304" s="103">
        <v>6</v>
      </c>
      <c r="AJ304" s="106">
        <v>1</v>
      </c>
      <c r="AK304" s="103">
        <v>1</v>
      </c>
      <c r="AL304" s="105">
        <v>2</v>
      </c>
      <c r="AM304" s="104">
        <v>6</v>
      </c>
      <c r="AN304" s="104">
        <v>1</v>
      </c>
      <c r="AO304" s="106">
        <v>5</v>
      </c>
      <c r="AP304" s="106">
        <v>6</v>
      </c>
      <c r="AQ304" s="103">
        <v>1</v>
      </c>
      <c r="AR304" s="105">
        <v>4</v>
      </c>
      <c r="AS304" s="103">
        <v>3</v>
      </c>
      <c r="AT304" s="103">
        <v>4</v>
      </c>
      <c r="AU304" s="103">
        <v>1</v>
      </c>
      <c r="AV304" s="105">
        <v>3</v>
      </c>
      <c r="AW304" s="103">
        <v>3</v>
      </c>
      <c r="AX304" s="105">
        <v>1</v>
      </c>
      <c r="AY304" s="105">
        <v>3</v>
      </c>
      <c r="AZ304" s="105">
        <v>5</v>
      </c>
      <c r="BA304" s="105">
        <v>1</v>
      </c>
      <c r="BB304" s="105">
        <v>5</v>
      </c>
      <c r="BC304" s="104">
        <v>4</v>
      </c>
      <c r="BD304" s="104">
        <v>4</v>
      </c>
      <c r="BE304" s="103">
        <v>2</v>
      </c>
      <c r="BF304" s="104">
        <v>4</v>
      </c>
      <c r="BG304" s="104">
        <v>3</v>
      </c>
      <c r="BH304" s="103">
        <v>5</v>
      </c>
      <c r="BI304" s="104">
        <v>3</v>
      </c>
      <c r="BJ304" s="104">
        <v>1</v>
      </c>
      <c r="BK304" s="105">
        <v>4</v>
      </c>
    </row>
    <row r="305" spans="2:63" ht="23.25">
      <c r="B305" s="15">
        <f t="shared" si="5"/>
        <v>128</v>
      </c>
      <c r="C305" s="15">
        <v>7</v>
      </c>
      <c r="D305" s="16">
        <v>14</v>
      </c>
      <c r="E305" s="26" t="s">
        <v>184</v>
      </c>
      <c r="F305" s="29"/>
      <c r="G305" s="44"/>
      <c r="H305" s="44"/>
      <c r="I305" s="62">
        <v>4</v>
      </c>
      <c r="J305" s="62">
        <v>3</v>
      </c>
      <c r="K305" s="62">
        <v>3</v>
      </c>
      <c r="L305" s="62">
        <v>0</v>
      </c>
      <c r="M305" s="44"/>
      <c r="N305" s="103">
        <v>3</v>
      </c>
      <c r="O305" s="104">
        <v>4</v>
      </c>
      <c r="P305" s="103">
        <v>1</v>
      </c>
      <c r="Q305" s="104">
        <v>4</v>
      </c>
      <c r="R305" s="104">
        <v>4</v>
      </c>
      <c r="S305" s="105">
        <v>1</v>
      </c>
      <c r="T305" s="106">
        <v>4</v>
      </c>
      <c r="U305" s="106">
        <v>1</v>
      </c>
      <c r="V305" s="103">
        <v>1</v>
      </c>
      <c r="W305" s="106">
        <v>2</v>
      </c>
      <c r="X305" s="105">
        <v>7</v>
      </c>
      <c r="Y305" s="106">
        <v>6</v>
      </c>
      <c r="Z305" s="105">
        <v>5</v>
      </c>
      <c r="AA305" s="105">
        <v>5</v>
      </c>
      <c r="AB305" s="104">
        <v>1</v>
      </c>
      <c r="AC305" s="104">
        <v>5</v>
      </c>
      <c r="AD305" s="106">
        <v>4</v>
      </c>
      <c r="AE305" s="106">
        <v>3</v>
      </c>
      <c r="AF305" s="103">
        <v>4</v>
      </c>
      <c r="AG305" s="103">
        <v>4</v>
      </c>
      <c r="AH305" s="103">
        <v>7</v>
      </c>
      <c r="AI305" s="104">
        <v>2</v>
      </c>
      <c r="AJ305" s="103">
        <v>6</v>
      </c>
      <c r="AK305" s="106">
        <v>4</v>
      </c>
      <c r="AL305" s="105">
        <v>3</v>
      </c>
      <c r="AM305" s="103">
        <v>3</v>
      </c>
      <c r="AN305" s="106">
        <v>2</v>
      </c>
      <c r="AO305" s="106">
        <v>2</v>
      </c>
      <c r="AP305" s="106">
        <v>4</v>
      </c>
      <c r="AQ305" s="103">
        <v>7</v>
      </c>
      <c r="AR305" s="103">
        <v>7</v>
      </c>
      <c r="AS305" s="104">
        <v>3</v>
      </c>
      <c r="AT305" s="104">
        <v>2</v>
      </c>
      <c r="AU305" s="106">
        <v>5</v>
      </c>
      <c r="AV305" s="104">
        <v>4</v>
      </c>
      <c r="AW305" s="106">
        <v>5</v>
      </c>
      <c r="AX305" s="106">
        <v>7</v>
      </c>
      <c r="AY305" s="106">
        <v>2</v>
      </c>
      <c r="AZ305" s="103">
        <v>1</v>
      </c>
      <c r="BA305" s="105">
        <v>3</v>
      </c>
      <c r="BB305" s="105">
        <v>1</v>
      </c>
      <c r="BC305" s="104">
        <v>7</v>
      </c>
      <c r="BD305" s="105">
        <v>2</v>
      </c>
      <c r="BE305" s="104">
        <v>2</v>
      </c>
      <c r="BF305" s="104">
        <v>6</v>
      </c>
      <c r="BG305" s="106">
        <v>3</v>
      </c>
      <c r="BH305" s="104">
        <v>6</v>
      </c>
      <c r="BI305" s="104">
        <v>6</v>
      </c>
      <c r="BJ305" s="106">
        <v>2</v>
      </c>
      <c r="BK305" s="104">
        <v>7</v>
      </c>
    </row>
    <row r="306" spans="2:63" ht="23.25">
      <c r="B306" s="15">
        <f t="shared" si="5"/>
        <v>129</v>
      </c>
      <c r="C306" s="15">
        <v>7</v>
      </c>
      <c r="D306" s="16">
        <v>14</v>
      </c>
      <c r="E306" s="26" t="s">
        <v>185</v>
      </c>
      <c r="F306" s="29"/>
      <c r="G306" s="44"/>
      <c r="H306" s="44"/>
      <c r="I306" s="62">
        <v>2</v>
      </c>
      <c r="J306" s="62">
        <v>2</v>
      </c>
      <c r="K306" s="62">
        <v>3</v>
      </c>
      <c r="L306" s="62">
        <v>3</v>
      </c>
      <c r="M306" s="44"/>
      <c r="N306" s="103">
        <v>4</v>
      </c>
      <c r="O306" s="106">
        <v>4</v>
      </c>
      <c r="P306" s="105">
        <v>3</v>
      </c>
      <c r="Q306" s="104">
        <v>1</v>
      </c>
      <c r="R306" s="106">
        <v>6</v>
      </c>
      <c r="S306" s="106">
        <v>7</v>
      </c>
      <c r="T306" s="104">
        <v>7</v>
      </c>
      <c r="U306" s="106">
        <v>2</v>
      </c>
      <c r="V306" s="104">
        <v>3</v>
      </c>
      <c r="W306" s="103">
        <v>1</v>
      </c>
      <c r="X306" s="105">
        <v>1</v>
      </c>
      <c r="Y306" s="104">
        <v>6</v>
      </c>
      <c r="Z306" s="103">
        <v>6</v>
      </c>
      <c r="AA306" s="103">
        <v>5</v>
      </c>
      <c r="AB306" s="104">
        <v>4</v>
      </c>
      <c r="AC306" s="103">
        <v>5</v>
      </c>
      <c r="AD306" s="103">
        <v>7</v>
      </c>
      <c r="AE306" s="103">
        <v>1</v>
      </c>
      <c r="AF306" s="103">
        <v>7</v>
      </c>
      <c r="AG306" s="106">
        <v>7</v>
      </c>
      <c r="AH306" s="103">
        <v>4</v>
      </c>
      <c r="AI306" s="104">
        <v>1</v>
      </c>
      <c r="AJ306" s="104">
        <v>4</v>
      </c>
      <c r="AK306" s="103">
        <v>1</v>
      </c>
      <c r="AL306" s="103">
        <v>2</v>
      </c>
      <c r="AM306" s="106">
        <v>4</v>
      </c>
      <c r="AN306" s="103">
        <v>7</v>
      </c>
      <c r="AO306" s="103">
        <v>6</v>
      </c>
      <c r="AP306" s="106">
        <v>6</v>
      </c>
      <c r="AQ306" s="105">
        <v>7</v>
      </c>
      <c r="AR306" s="103">
        <v>7</v>
      </c>
      <c r="AS306" s="104">
        <v>6</v>
      </c>
      <c r="AT306" s="103">
        <v>3</v>
      </c>
      <c r="AU306" s="104">
        <v>7</v>
      </c>
      <c r="AV306" s="105">
        <v>2</v>
      </c>
      <c r="AW306" s="104">
        <v>3</v>
      </c>
      <c r="AX306" s="103">
        <v>4</v>
      </c>
      <c r="AY306" s="103">
        <v>4</v>
      </c>
      <c r="AZ306" s="103">
        <v>3</v>
      </c>
      <c r="BA306" s="103">
        <v>5</v>
      </c>
      <c r="BB306" s="105">
        <v>6</v>
      </c>
      <c r="BC306" s="106">
        <v>5</v>
      </c>
      <c r="BD306" s="106">
        <v>7</v>
      </c>
      <c r="BE306" s="104">
        <v>2</v>
      </c>
      <c r="BF306" s="106">
        <v>4</v>
      </c>
      <c r="BG306" s="106">
        <v>1</v>
      </c>
      <c r="BH306" s="103">
        <v>2</v>
      </c>
      <c r="BI306" s="105">
        <v>4</v>
      </c>
      <c r="BJ306" s="106">
        <v>6</v>
      </c>
      <c r="BK306" s="106">
        <v>2</v>
      </c>
    </row>
    <row r="307" spans="2:63" ht="23.25">
      <c r="B307" s="15">
        <f t="shared" si="5"/>
        <v>130</v>
      </c>
      <c r="C307" s="15">
        <v>7</v>
      </c>
      <c r="D307" s="16">
        <v>14</v>
      </c>
      <c r="E307" s="26" t="s">
        <v>186</v>
      </c>
      <c r="F307" s="29"/>
      <c r="G307" s="44"/>
      <c r="H307" s="44"/>
      <c r="I307" s="62">
        <v>4</v>
      </c>
      <c r="J307" s="62">
        <v>4</v>
      </c>
      <c r="K307" s="62">
        <v>4</v>
      </c>
      <c r="L307" s="62">
        <v>4</v>
      </c>
      <c r="M307" s="44"/>
      <c r="N307" s="103">
        <v>6</v>
      </c>
      <c r="O307" s="105">
        <v>7</v>
      </c>
      <c r="P307" s="106">
        <v>5</v>
      </c>
      <c r="Q307" s="103">
        <v>5</v>
      </c>
      <c r="R307" s="106">
        <v>6</v>
      </c>
      <c r="S307" s="105">
        <v>2</v>
      </c>
      <c r="T307" s="104">
        <v>3</v>
      </c>
      <c r="U307" s="104">
        <v>5</v>
      </c>
      <c r="V307" s="106">
        <v>6</v>
      </c>
      <c r="W307" s="105">
        <v>3</v>
      </c>
      <c r="X307" s="103">
        <v>1</v>
      </c>
      <c r="Y307" s="105">
        <v>1</v>
      </c>
      <c r="Z307" s="106">
        <v>4</v>
      </c>
      <c r="AA307" s="106">
        <v>2</v>
      </c>
      <c r="AB307" s="104">
        <v>5</v>
      </c>
      <c r="AC307" s="105">
        <v>4</v>
      </c>
      <c r="AD307" s="106">
        <v>1</v>
      </c>
      <c r="AE307" s="103">
        <v>2</v>
      </c>
      <c r="AF307" s="106">
        <v>7</v>
      </c>
      <c r="AG307" s="106">
        <v>5</v>
      </c>
      <c r="AH307" s="106">
        <v>5</v>
      </c>
      <c r="AI307" s="103">
        <v>3</v>
      </c>
      <c r="AJ307" s="106">
        <v>5</v>
      </c>
      <c r="AK307" s="106">
        <v>4</v>
      </c>
      <c r="AL307" s="105">
        <v>4</v>
      </c>
      <c r="AM307" s="105">
        <v>4</v>
      </c>
      <c r="AN307" s="103">
        <v>3</v>
      </c>
      <c r="AO307" s="106">
        <v>3</v>
      </c>
      <c r="AP307" s="105">
        <v>5</v>
      </c>
      <c r="AQ307" s="103">
        <v>5</v>
      </c>
      <c r="AR307" s="106">
        <v>1</v>
      </c>
      <c r="AS307" s="106">
        <v>2</v>
      </c>
      <c r="AT307" s="106">
        <v>2</v>
      </c>
      <c r="AU307" s="105">
        <v>7</v>
      </c>
      <c r="AV307" s="106">
        <v>2</v>
      </c>
      <c r="AW307" s="103">
        <v>6</v>
      </c>
      <c r="AX307" s="103">
        <v>7</v>
      </c>
      <c r="AY307" s="103">
        <v>2</v>
      </c>
      <c r="AZ307" s="103">
        <v>3</v>
      </c>
      <c r="BA307" s="104">
        <v>7</v>
      </c>
      <c r="BB307" s="103">
        <v>4</v>
      </c>
      <c r="BC307" s="106">
        <v>3</v>
      </c>
      <c r="BD307" s="103">
        <v>2</v>
      </c>
      <c r="BE307" s="104">
        <v>4</v>
      </c>
      <c r="BF307" s="103">
        <v>5</v>
      </c>
      <c r="BG307" s="104">
        <v>5</v>
      </c>
      <c r="BH307" s="106">
        <v>7</v>
      </c>
      <c r="BI307" s="104">
        <v>2</v>
      </c>
      <c r="BJ307" s="105">
        <v>3</v>
      </c>
      <c r="BK307" s="105">
        <v>1</v>
      </c>
    </row>
    <row r="308" spans="2:63" ht="23.25">
      <c r="B308" s="15">
        <f t="shared" si="5"/>
        <v>131</v>
      </c>
      <c r="C308" s="15">
        <v>7</v>
      </c>
      <c r="D308" s="16">
        <v>14</v>
      </c>
      <c r="E308" s="26" t="s">
        <v>187</v>
      </c>
      <c r="F308" s="29"/>
      <c r="G308" s="44"/>
      <c r="H308" s="44"/>
      <c r="I308" s="62">
        <v>4</v>
      </c>
      <c r="J308" s="62">
        <v>2</v>
      </c>
      <c r="K308" s="62">
        <v>2</v>
      </c>
      <c r="L308" s="62">
        <v>0</v>
      </c>
      <c r="M308" s="44"/>
      <c r="N308" s="103">
        <v>2</v>
      </c>
      <c r="O308" s="104">
        <v>3</v>
      </c>
      <c r="P308" s="103">
        <v>6</v>
      </c>
      <c r="Q308" s="105">
        <v>6</v>
      </c>
      <c r="R308" s="104">
        <v>1</v>
      </c>
      <c r="S308" s="106">
        <v>1</v>
      </c>
      <c r="T308" s="103">
        <v>1</v>
      </c>
      <c r="U308" s="105">
        <v>3</v>
      </c>
      <c r="V308" s="103">
        <v>7</v>
      </c>
      <c r="W308" s="106">
        <v>2</v>
      </c>
      <c r="X308" s="103">
        <v>5</v>
      </c>
      <c r="Y308" s="106">
        <v>7</v>
      </c>
      <c r="Z308" s="105">
        <v>3</v>
      </c>
      <c r="AA308" s="104">
        <v>7</v>
      </c>
      <c r="AB308" s="104">
        <v>3</v>
      </c>
      <c r="AC308" s="104">
        <v>5</v>
      </c>
      <c r="AD308" s="106">
        <v>2</v>
      </c>
      <c r="AE308" s="106">
        <v>6</v>
      </c>
      <c r="AF308" s="104">
        <v>5</v>
      </c>
      <c r="AG308" s="105">
        <v>4</v>
      </c>
      <c r="AH308" s="104">
        <v>3</v>
      </c>
      <c r="AI308" s="104">
        <v>5</v>
      </c>
      <c r="AJ308" s="105">
        <v>7</v>
      </c>
      <c r="AK308" s="103">
        <v>7</v>
      </c>
      <c r="AL308" s="104">
        <v>6</v>
      </c>
      <c r="AM308" s="103">
        <v>7</v>
      </c>
      <c r="AN308" s="104">
        <v>7</v>
      </c>
      <c r="AO308" s="106">
        <v>4</v>
      </c>
      <c r="AP308" s="105">
        <v>1</v>
      </c>
      <c r="AQ308" s="103">
        <v>7</v>
      </c>
      <c r="AR308" s="105">
        <v>5</v>
      </c>
      <c r="AS308" s="104">
        <v>6</v>
      </c>
      <c r="AT308" s="104">
        <v>4</v>
      </c>
      <c r="AU308" s="103">
        <v>2</v>
      </c>
      <c r="AV308" s="104">
        <v>5</v>
      </c>
      <c r="AW308" s="103">
        <v>7</v>
      </c>
      <c r="AX308" s="103">
        <v>6</v>
      </c>
      <c r="AY308" s="105">
        <v>7</v>
      </c>
      <c r="AZ308" s="103">
        <v>6</v>
      </c>
      <c r="BA308" s="104">
        <v>4</v>
      </c>
      <c r="BB308" s="106">
        <v>2</v>
      </c>
      <c r="BC308" s="104">
        <v>1</v>
      </c>
      <c r="BD308" s="103">
        <v>2</v>
      </c>
      <c r="BE308" s="104">
        <v>5</v>
      </c>
      <c r="BF308" s="106">
        <v>1</v>
      </c>
      <c r="BG308" s="104">
        <v>7</v>
      </c>
      <c r="BH308" s="104">
        <v>4</v>
      </c>
      <c r="BI308" s="104">
        <v>1</v>
      </c>
      <c r="BJ308" s="106">
        <v>3</v>
      </c>
      <c r="BK308" s="104">
        <v>3</v>
      </c>
    </row>
    <row r="309" spans="2:63" ht="23.25">
      <c r="B309" s="15">
        <f t="shared" si="5"/>
        <v>132</v>
      </c>
      <c r="C309" s="15">
        <v>7</v>
      </c>
      <c r="D309" s="16">
        <v>14</v>
      </c>
      <c r="E309" s="26" t="s">
        <v>188</v>
      </c>
      <c r="F309" s="29"/>
      <c r="G309" s="44"/>
      <c r="H309" s="44"/>
      <c r="I309" s="62">
        <v>1</v>
      </c>
      <c r="J309" s="62">
        <v>1</v>
      </c>
      <c r="K309" s="62">
        <v>2</v>
      </c>
      <c r="L309" s="62">
        <v>1</v>
      </c>
      <c r="M309" s="44"/>
      <c r="N309" s="103">
        <v>5</v>
      </c>
      <c r="O309" s="104">
        <v>5</v>
      </c>
      <c r="P309" s="104">
        <v>3</v>
      </c>
      <c r="Q309" s="105">
        <v>3</v>
      </c>
      <c r="R309" s="105">
        <v>5</v>
      </c>
      <c r="S309" s="104">
        <v>4</v>
      </c>
      <c r="T309" s="103">
        <v>7</v>
      </c>
      <c r="U309" s="103">
        <v>3</v>
      </c>
      <c r="V309" s="105">
        <v>3</v>
      </c>
      <c r="W309" s="105">
        <v>5</v>
      </c>
      <c r="X309" s="103">
        <v>1</v>
      </c>
      <c r="Y309" s="106">
        <v>7</v>
      </c>
      <c r="Z309" s="104">
        <v>2</v>
      </c>
      <c r="AA309" s="103">
        <v>3</v>
      </c>
      <c r="AB309" s="106">
        <v>7</v>
      </c>
      <c r="AC309" s="105">
        <v>2</v>
      </c>
      <c r="AD309" s="104">
        <v>3</v>
      </c>
      <c r="AE309" s="104">
        <v>6</v>
      </c>
      <c r="AF309" s="104">
        <v>6</v>
      </c>
      <c r="AG309" s="103">
        <v>4</v>
      </c>
      <c r="AH309" s="106">
        <v>4</v>
      </c>
      <c r="AI309" s="104">
        <v>2</v>
      </c>
      <c r="AJ309" s="105">
        <v>2</v>
      </c>
      <c r="AK309" s="104">
        <v>1</v>
      </c>
      <c r="AL309" s="106">
        <v>5</v>
      </c>
      <c r="AM309" s="106">
        <v>7</v>
      </c>
      <c r="AN309" s="105">
        <v>5</v>
      </c>
      <c r="AO309" s="105">
        <v>4</v>
      </c>
      <c r="AP309" s="106">
        <v>7</v>
      </c>
      <c r="AQ309" s="104">
        <v>4</v>
      </c>
      <c r="AR309" s="105">
        <v>6</v>
      </c>
      <c r="AS309" s="103">
        <v>1</v>
      </c>
      <c r="AT309" s="105">
        <v>7</v>
      </c>
      <c r="AU309" s="104">
        <v>1</v>
      </c>
      <c r="AV309" s="106">
        <v>5</v>
      </c>
      <c r="AW309" s="104">
        <v>2</v>
      </c>
      <c r="AX309" s="106">
        <v>6</v>
      </c>
      <c r="AY309" s="106">
        <v>7</v>
      </c>
      <c r="AZ309" s="105">
        <v>4</v>
      </c>
      <c r="BA309" s="106">
        <v>7</v>
      </c>
      <c r="BB309" s="105">
        <v>3</v>
      </c>
      <c r="BC309" s="104">
        <v>7</v>
      </c>
      <c r="BD309" s="104">
        <v>2</v>
      </c>
      <c r="BE309" s="106">
        <v>3</v>
      </c>
      <c r="BF309" s="106">
        <v>3</v>
      </c>
      <c r="BG309" s="106">
        <v>7</v>
      </c>
      <c r="BH309" s="105">
        <v>7</v>
      </c>
      <c r="BI309" s="103">
        <v>2</v>
      </c>
      <c r="BJ309" s="104">
        <v>3</v>
      </c>
      <c r="BK309" s="103">
        <v>3</v>
      </c>
    </row>
    <row r="310" spans="2:63" ht="23.25">
      <c r="B310" s="15">
        <f t="shared" si="5"/>
        <v>133</v>
      </c>
      <c r="C310" s="15">
        <v>7</v>
      </c>
      <c r="D310" s="16">
        <v>14</v>
      </c>
      <c r="E310" s="26" t="s">
        <v>189</v>
      </c>
      <c r="F310" s="29"/>
      <c r="G310" s="44"/>
      <c r="H310" s="44"/>
      <c r="I310" s="62">
        <v>0</v>
      </c>
      <c r="J310" s="62">
        <v>2</v>
      </c>
      <c r="K310" s="62">
        <v>1</v>
      </c>
      <c r="L310" s="62">
        <v>3</v>
      </c>
      <c r="M310" s="44"/>
      <c r="N310" s="106">
        <v>2</v>
      </c>
      <c r="O310" s="104">
        <v>1</v>
      </c>
      <c r="P310" s="103">
        <v>2</v>
      </c>
      <c r="Q310" s="104">
        <v>6</v>
      </c>
      <c r="R310" s="105">
        <v>2</v>
      </c>
      <c r="S310" s="103">
        <v>2</v>
      </c>
      <c r="T310" s="104">
        <v>4</v>
      </c>
      <c r="U310" s="104">
        <v>1</v>
      </c>
      <c r="V310" s="103">
        <v>5</v>
      </c>
      <c r="W310" s="104">
        <v>5</v>
      </c>
      <c r="X310" s="103">
        <v>6</v>
      </c>
      <c r="Y310" s="104">
        <v>4</v>
      </c>
      <c r="Z310" s="106">
        <v>2</v>
      </c>
      <c r="AA310" s="105">
        <v>7</v>
      </c>
      <c r="AB310" s="104">
        <v>5</v>
      </c>
      <c r="AC310" s="105">
        <v>7</v>
      </c>
      <c r="AD310" s="104">
        <v>7</v>
      </c>
      <c r="AE310" s="104">
        <v>6</v>
      </c>
      <c r="AF310" s="103">
        <v>4</v>
      </c>
      <c r="AG310" s="104">
        <v>3</v>
      </c>
      <c r="AH310" s="106">
        <v>3</v>
      </c>
      <c r="AI310" s="104">
        <v>7</v>
      </c>
      <c r="AJ310" s="106">
        <v>6</v>
      </c>
      <c r="AK310" s="104">
        <v>7</v>
      </c>
      <c r="AL310" s="106">
        <v>7</v>
      </c>
      <c r="AM310" s="104">
        <v>7</v>
      </c>
      <c r="AN310" s="104">
        <v>2</v>
      </c>
      <c r="AO310" s="104">
        <v>2</v>
      </c>
      <c r="AP310" s="105">
        <v>4</v>
      </c>
      <c r="AQ310" s="105">
        <v>4</v>
      </c>
      <c r="AR310" s="103">
        <v>5</v>
      </c>
      <c r="AS310" s="104">
        <v>5</v>
      </c>
      <c r="AT310" s="104">
        <v>2</v>
      </c>
      <c r="AU310" s="105">
        <v>5</v>
      </c>
      <c r="AV310" s="105">
        <v>5</v>
      </c>
      <c r="AW310" s="106">
        <v>1</v>
      </c>
      <c r="AX310" s="104">
        <v>6</v>
      </c>
      <c r="AY310" s="105">
        <v>7</v>
      </c>
      <c r="AZ310" s="103">
        <v>4</v>
      </c>
      <c r="BA310" s="106">
        <v>5</v>
      </c>
      <c r="BB310" s="106">
        <v>7</v>
      </c>
      <c r="BC310" s="106">
        <v>3</v>
      </c>
      <c r="BD310" s="103">
        <v>7</v>
      </c>
      <c r="BE310" s="105">
        <v>6</v>
      </c>
      <c r="BF310" s="103">
        <v>7</v>
      </c>
      <c r="BG310" s="106">
        <v>3</v>
      </c>
      <c r="BH310" s="103">
        <v>7</v>
      </c>
      <c r="BI310" s="105">
        <v>5</v>
      </c>
      <c r="BJ310" s="106">
        <v>6</v>
      </c>
      <c r="BK310" s="104">
        <v>2</v>
      </c>
    </row>
    <row r="311" spans="2:63" ht="23.25">
      <c r="B311" s="15">
        <f t="shared" si="5"/>
        <v>134</v>
      </c>
      <c r="C311" s="15">
        <v>7</v>
      </c>
      <c r="D311" s="16">
        <v>14</v>
      </c>
      <c r="E311" s="26" t="s">
        <v>190</v>
      </c>
      <c r="F311" s="29"/>
      <c r="G311" s="44"/>
      <c r="H311" s="44"/>
      <c r="I311" s="62">
        <v>0</v>
      </c>
      <c r="J311" s="62">
        <v>4</v>
      </c>
      <c r="K311" s="62">
        <v>4</v>
      </c>
      <c r="L311" s="62">
        <v>2</v>
      </c>
      <c r="M311" s="44"/>
      <c r="N311" s="103">
        <v>7</v>
      </c>
      <c r="O311" s="104">
        <v>6</v>
      </c>
      <c r="P311" s="106">
        <v>6</v>
      </c>
      <c r="Q311" s="103">
        <v>7</v>
      </c>
      <c r="R311" s="104">
        <v>6</v>
      </c>
      <c r="S311" s="106">
        <v>6</v>
      </c>
      <c r="T311" s="106">
        <v>2</v>
      </c>
      <c r="U311" s="106">
        <v>3</v>
      </c>
      <c r="V311" s="103">
        <v>6</v>
      </c>
      <c r="W311" s="106">
        <v>6</v>
      </c>
      <c r="X311" s="103">
        <v>3</v>
      </c>
      <c r="Y311" s="106">
        <v>5</v>
      </c>
      <c r="Z311" s="105">
        <v>3</v>
      </c>
      <c r="AA311" s="106">
        <v>1</v>
      </c>
      <c r="AB311" s="106">
        <v>5</v>
      </c>
      <c r="AC311" s="103">
        <v>6</v>
      </c>
      <c r="AD311" s="105">
        <v>5</v>
      </c>
      <c r="AE311" s="106">
        <v>5</v>
      </c>
      <c r="AF311" s="104">
        <v>2</v>
      </c>
      <c r="AG311" s="103">
        <v>1</v>
      </c>
      <c r="AH311" s="105">
        <v>5</v>
      </c>
      <c r="AI311" s="103">
        <v>4</v>
      </c>
      <c r="AJ311" s="103">
        <v>4</v>
      </c>
      <c r="AK311" s="106">
        <v>2</v>
      </c>
      <c r="AL311" s="103">
        <v>2</v>
      </c>
      <c r="AM311" s="106">
        <v>2</v>
      </c>
      <c r="AN311" s="104">
        <v>2</v>
      </c>
      <c r="AO311" s="103">
        <v>7</v>
      </c>
      <c r="AP311" s="104">
        <v>3</v>
      </c>
      <c r="AQ311" s="106">
        <v>6</v>
      </c>
      <c r="AR311" s="106">
        <v>6</v>
      </c>
      <c r="AS311" s="105">
        <v>5</v>
      </c>
      <c r="AT311" s="105">
        <v>7</v>
      </c>
      <c r="AU311" s="103">
        <v>7</v>
      </c>
      <c r="AV311" s="104">
        <v>4</v>
      </c>
      <c r="AW311" s="104">
        <v>1</v>
      </c>
      <c r="AX311" s="103">
        <v>1</v>
      </c>
      <c r="AY311" s="103">
        <v>1</v>
      </c>
      <c r="AZ311" s="105">
        <v>7</v>
      </c>
      <c r="BA311" s="105">
        <v>3</v>
      </c>
      <c r="BB311" s="105">
        <v>3</v>
      </c>
      <c r="BC311" s="103">
        <v>7</v>
      </c>
      <c r="BD311" s="105">
        <v>3</v>
      </c>
      <c r="BE311" s="104">
        <v>4</v>
      </c>
      <c r="BF311" s="103">
        <v>7</v>
      </c>
      <c r="BG311" s="105">
        <v>2</v>
      </c>
      <c r="BH311" s="104">
        <v>3</v>
      </c>
      <c r="BI311" s="103">
        <v>4</v>
      </c>
      <c r="BJ311" s="106">
        <v>2</v>
      </c>
      <c r="BK311" s="103">
        <v>3</v>
      </c>
    </row>
    <row r="312" spans="2:63" ht="23.25">
      <c r="B312" s="15">
        <f t="shared" si="5"/>
        <v>135</v>
      </c>
      <c r="C312" s="15">
        <v>7</v>
      </c>
      <c r="D312" s="16">
        <v>14</v>
      </c>
      <c r="E312" s="26" t="s">
        <v>191</v>
      </c>
      <c r="F312" s="29"/>
      <c r="G312" s="44"/>
      <c r="H312" s="44"/>
      <c r="I312" s="62">
        <v>5</v>
      </c>
      <c r="J312" s="62">
        <v>5</v>
      </c>
      <c r="K312" s="62">
        <v>0</v>
      </c>
      <c r="L312" s="62">
        <v>1</v>
      </c>
      <c r="M312" s="44"/>
      <c r="N312" s="105">
        <v>6</v>
      </c>
      <c r="O312" s="106">
        <v>7</v>
      </c>
      <c r="P312" s="105">
        <v>2</v>
      </c>
      <c r="Q312" s="104">
        <v>3</v>
      </c>
      <c r="R312" s="104">
        <v>3</v>
      </c>
      <c r="S312" s="106">
        <v>2</v>
      </c>
      <c r="T312" s="106">
        <v>4</v>
      </c>
      <c r="U312" s="106">
        <v>6</v>
      </c>
      <c r="V312" s="104">
        <v>2</v>
      </c>
      <c r="W312" s="103">
        <v>6</v>
      </c>
      <c r="X312" s="105">
        <v>4</v>
      </c>
      <c r="Y312" s="106">
        <v>3</v>
      </c>
      <c r="Z312" s="106">
        <v>4</v>
      </c>
      <c r="AA312" s="106">
        <v>1</v>
      </c>
      <c r="AB312" s="105">
        <v>4</v>
      </c>
      <c r="AC312" s="105">
        <v>3</v>
      </c>
      <c r="AD312" s="104">
        <v>4</v>
      </c>
      <c r="AE312" s="103">
        <v>5</v>
      </c>
      <c r="AF312" s="106">
        <v>3</v>
      </c>
      <c r="AG312" s="106">
        <v>1</v>
      </c>
      <c r="AH312" s="103">
        <v>5</v>
      </c>
      <c r="AI312" s="104">
        <v>3</v>
      </c>
      <c r="AJ312" s="105">
        <v>7</v>
      </c>
      <c r="AK312" s="103">
        <v>6</v>
      </c>
      <c r="AL312" s="104">
        <v>5</v>
      </c>
      <c r="AM312" s="106">
        <v>1</v>
      </c>
      <c r="AN312" s="104">
        <v>1</v>
      </c>
      <c r="AO312" s="106">
        <v>2</v>
      </c>
      <c r="AP312" s="103">
        <v>2</v>
      </c>
      <c r="AQ312" s="103">
        <v>2</v>
      </c>
      <c r="AR312" s="103">
        <v>4</v>
      </c>
      <c r="AS312" s="103">
        <v>6</v>
      </c>
      <c r="AT312" s="104">
        <v>1</v>
      </c>
      <c r="AU312" s="103">
        <v>5</v>
      </c>
      <c r="AV312" s="106">
        <v>7</v>
      </c>
      <c r="AW312" s="103">
        <v>2</v>
      </c>
      <c r="AX312" s="104">
        <v>3</v>
      </c>
      <c r="AY312" s="104">
        <v>2</v>
      </c>
      <c r="AZ312" s="105">
        <v>7</v>
      </c>
      <c r="BA312" s="103">
        <v>6</v>
      </c>
      <c r="BB312" s="105">
        <v>4</v>
      </c>
      <c r="BC312" s="103">
        <v>1</v>
      </c>
      <c r="BD312" s="104">
        <v>3</v>
      </c>
      <c r="BE312" s="103">
        <v>6</v>
      </c>
      <c r="BF312" s="103">
        <v>4</v>
      </c>
      <c r="BG312" s="106">
        <v>4</v>
      </c>
      <c r="BH312" s="106">
        <v>7</v>
      </c>
      <c r="BI312" s="106">
        <v>2</v>
      </c>
      <c r="BJ312" s="103">
        <v>7</v>
      </c>
      <c r="BK312" s="104">
        <v>1</v>
      </c>
    </row>
    <row r="313" spans="2:63" ht="23.25">
      <c r="B313" s="15">
        <f t="shared" si="5"/>
        <v>136</v>
      </c>
      <c r="C313" s="15">
        <v>7</v>
      </c>
      <c r="D313" s="16">
        <v>14</v>
      </c>
      <c r="E313" s="26" t="s">
        <v>192</v>
      </c>
      <c r="F313" s="29"/>
      <c r="G313" s="44"/>
      <c r="H313" s="44"/>
      <c r="I313" s="62">
        <v>1</v>
      </c>
      <c r="J313" s="62">
        <v>2</v>
      </c>
      <c r="K313" s="62">
        <v>4</v>
      </c>
      <c r="L313" s="62">
        <v>1</v>
      </c>
      <c r="M313" s="44"/>
      <c r="N313" s="105">
        <v>2</v>
      </c>
      <c r="O313" s="105">
        <v>2</v>
      </c>
      <c r="P313" s="103">
        <v>7</v>
      </c>
      <c r="Q313" s="106">
        <v>7</v>
      </c>
      <c r="R313" s="103">
        <v>2</v>
      </c>
      <c r="S313" s="106">
        <v>2</v>
      </c>
      <c r="T313" s="105">
        <v>3</v>
      </c>
      <c r="U313" s="106">
        <v>3</v>
      </c>
      <c r="V313" s="105">
        <v>7</v>
      </c>
      <c r="W313" s="103">
        <v>3</v>
      </c>
      <c r="X313" s="103">
        <v>5</v>
      </c>
      <c r="Y313" s="105">
        <v>4</v>
      </c>
      <c r="Z313" s="106">
        <v>2</v>
      </c>
      <c r="AA313" s="104">
        <v>4</v>
      </c>
      <c r="AB313" s="106">
        <v>7</v>
      </c>
      <c r="AC313" s="106">
        <v>6</v>
      </c>
      <c r="AD313" s="103">
        <v>7</v>
      </c>
      <c r="AE313" s="105">
        <v>6</v>
      </c>
      <c r="AF313" s="103">
        <v>3</v>
      </c>
      <c r="AG313" s="105">
        <v>1</v>
      </c>
      <c r="AH313" s="105">
        <v>5</v>
      </c>
      <c r="AI313" s="104">
        <v>4</v>
      </c>
      <c r="AJ313" s="104">
        <v>6</v>
      </c>
      <c r="AK313" s="106">
        <v>2</v>
      </c>
      <c r="AL313" s="106">
        <v>1</v>
      </c>
      <c r="AM313" s="104">
        <v>7</v>
      </c>
      <c r="AN313" s="105">
        <v>5</v>
      </c>
      <c r="AO313" s="106">
        <v>1</v>
      </c>
      <c r="AP313" s="103">
        <v>7</v>
      </c>
      <c r="AQ313" s="106">
        <v>3</v>
      </c>
      <c r="AR313" s="105">
        <v>7</v>
      </c>
      <c r="AS313" s="105">
        <v>4</v>
      </c>
      <c r="AT313" s="103">
        <v>2</v>
      </c>
      <c r="AU313" s="105">
        <v>6</v>
      </c>
      <c r="AV313" s="106">
        <v>3</v>
      </c>
      <c r="AW313" s="104">
        <v>2</v>
      </c>
      <c r="AX313" s="104">
        <v>7</v>
      </c>
      <c r="AY313" s="106">
        <v>1</v>
      </c>
      <c r="AZ313" s="103">
        <v>6</v>
      </c>
      <c r="BA313" s="105">
        <v>3</v>
      </c>
      <c r="BB313" s="105">
        <v>7</v>
      </c>
      <c r="BC313" s="105">
        <v>7</v>
      </c>
      <c r="BD313" s="106">
        <v>5</v>
      </c>
      <c r="BE313" s="104">
        <v>6</v>
      </c>
      <c r="BF313" s="105">
        <v>3</v>
      </c>
      <c r="BG313" s="105">
        <v>4</v>
      </c>
      <c r="BH313" s="104">
        <v>6</v>
      </c>
      <c r="BI313" s="103">
        <v>4</v>
      </c>
      <c r="BJ313" s="106">
        <v>6</v>
      </c>
      <c r="BK313" s="103">
        <v>2</v>
      </c>
    </row>
    <row r="314" spans="2:63" ht="23.25">
      <c r="B314" s="15">
        <f t="shared" si="5"/>
        <v>137</v>
      </c>
      <c r="C314" s="15">
        <v>7</v>
      </c>
      <c r="D314" s="16">
        <v>14</v>
      </c>
      <c r="E314" s="26" t="s">
        <v>193</v>
      </c>
      <c r="F314" s="29"/>
      <c r="G314" s="44"/>
      <c r="H314" s="44"/>
      <c r="I314" s="62">
        <v>0</v>
      </c>
      <c r="J314" s="62">
        <v>5</v>
      </c>
      <c r="K314" s="62">
        <v>3</v>
      </c>
      <c r="L314" s="62">
        <v>2</v>
      </c>
      <c r="M314" s="44"/>
      <c r="N314" s="105">
        <v>5</v>
      </c>
      <c r="O314" s="106">
        <v>1</v>
      </c>
      <c r="P314" s="105">
        <v>7</v>
      </c>
      <c r="Q314" s="106">
        <v>3</v>
      </c>
      <c r="R314" s="103">
        <v>4</v>
      </c>
      <c r="S314" s="104">
        <v>4</v>
      </c>
      <c r="T314" s="103">
        <v>5</v>
      </c>
      <c r="U314" s="103">
        <v>6</v>
      </c>
      <c r="V314" s="103">
        <v>3</v>
      </c>
      <c r="W314" s="104">
        <v>2</v>
      </c>
      <c r="X314" s="104">
        <v>1</v>
      </c>
      <c r="Y314" s="105">
        <v>5</v>
      </c>
      <c r="Z314" s="106">
        <v>3</v>
      </c>
      <c r="AA314" s="104">
        <v>5</v>
      </c>
      <c r="AB314" s="103">
        <v>2</v>
      </c>
      <c r="AC314" s="104">
        <v>6</v>
      </c>
      <c r="AD314" s="105">
        <v>6</v>
      </c>
      <c r="AE314" s="105">
        <v>3</v>
      </c>
      <c r="AF314" s="105">
        <v>4</v>
      </c>
      <c r="AG314" s="105">
        <v>4</v>
      </c>
      <c r="AH314" s="103">
        <v>5</v>
      </c>
      <c r="AI314" s="103">
        <v>6</v>
      </c>
      <c r="AJ314" s="104">
        <v>2</v>
      </c>
      <c r="AK314" s="105">
        <v>4</v>
      </c>
      <c r="AL314" s="103">
        <v>4</v>
      </c>
      <c r="AM314" s="103">
        <v>3</v>
      </c>
      <c r="AN314" s="106">
        <v>7</v>
      </c>
      <c r="AO314" s="105">
        <v>5</v>
      </c>
      <c r="AP314" s="104">
        <v>6</v>
      </c>
      <c r="AQ314" s="103">
        <v>2</v>
      </c>
      <c r="AR314" s="105">
        <v>5</v>
      </c>
      <c r="AS314" s="106">
        <v>3</v>
      </c>
      <c r="AT314" s="105">
        <v>7</v>
      </c>
      <c r="AU314" s="104">
        <v>1</v>
      </c>
      <c r="AV314" s="106">
        <v>5</v>
      </c>
      <c r="AW314" s="104">
        <v>5</v>
      </c>
      <c r="AX314" s="103">
        <v>4</v>
      </c>
      <c r="AY314" s="103">
        <v>6</v>
      </c>
      <c r="AZ314" s="105">
        <v>7</v>
      </c>
      <c r="BA314" s="105">
        <v>7</v>
      </c>
      <c r="BB314" s="104">
        <v>1</v>
      </c>
      <c r="BC314" s="103">
        <v>1</v>
      </c>
      <c r="BD314" s="106">
        <v>1</v>
      </c>
      <c r="BE314" s="105">
        <v>6</v>
      </c>
      <c r="BF314" s="105">
        <v>1</v>
      </c>
      <c r="BG314" s="103">
        <v>2</v>
      </c>
      <c r="BH314" s="104">
        <v>1</v>
      </c>
      <c r="BI314" s="104">
        <v>5</v>
      </c>
      <c r="BJ314" s="106">
        <v>4</v>
      </c>
      <c r="BK314" s="106">
        <v>1</v>
      </c>
    </row>
    <row r="315" spans="2:63" ht="23.25">
      <c r="B315" s="15">
        <f t="shared" si="5"/>
        <v>138</v>
      </c>
      <c r="C315" s="15">
        <v>7</v>
      </c>
      <c r="D315" s="16">
        <v>14</v>
      </c>
      <c r="E315" s="26" t="s">
        <v>194</v>
      </c>
      <c r="F315" s="29"/>
      <c r="G315" s="44"/>
      <c r="H315" s="44"/>
      <c r="I315" s="62">
        <v>2</v>
      </c>
      <c r="J315" s="62">
        <v>0</v>
      </c>
      <c r="K315" s="62">
        <v>2</v>
      </c>
      <c r="L315" s="62">
        <v>2</v>
      </c>
      <c r="M315" s="44"/>
      <c r="N315" s="106">
        <v>7</v>
      </c>
      <c r="O315" s="106">
        <v>7</v>
      </c>
      <c r="P315" s="103">
        <v>1</v>
      </c>
      <c r="Q315" s="106">
        <v>1</v>
      </c>
      <c r="R315" s="104">
        <v>5</v>
      </c>
      <c r="S315" s="103">
        <v>7</v>
      </c>
      <c r="T315" s="103">
        <v>5</v>
      </c>
      <c r="U315" s="106">
        <v>4</v>
      </c>
      <c r="V315" s="104">
        <v>4</v>
      </c>
      <c r="W315" s="103">
        <v>3</v>
      </c>
      <c r="X315" s="106">
        <v>2</v>
      </c>
      <c r="Y315" s="106">
        <v>7</v>
      </c>
      <c r="Z315" s="104">
        <v>2</v>
      </c>
      <c r="AA315" s="103">
        <v>1</v>
      </c>
      <c r="AB315" s="104">
        <v>3</v>
      </c>
      <c r="AC315" s="106">
        <v>4</v>
      </c>
      <c r="AD315" s="104">
        <v>5</v>
      </c>
      <c r="AE315" s="103">
        <v>7</v>
      </c>
      <c r="AF315" s="103">
        <v>1</v>
      </c>
      <c r="AG315" s="105">
        <v>4</v>
      </c>
      <c r="AH315" s="106">
        <v>4</v>
      </c>
      <c r="AI315" s="106">
        <v>6</v>
      </c>
      <c r="AJ315" s="105">
        <v>2</v>
      </c>
      <c r="AK315" s="105">
        <v>7</v>
      </c>
      <c r="AL315" s="104">
        <v>2</v>
      </c>
      <c r="AM315" s="106">
        <v>4</v>
      </c>
      <c r="AN315" s="103">
        <v>5</v>
      </c>
      <c r="AO315" s="104">
        <v>1</v>
      </c>
      <c r="AP315" s="104">
        <v>2</v>
      </c>
      <c r="AQ315" s="103">
        <v>5</v>
      </c>
      <c r="AR315" s="106">
        <v>3</v>
      </c>
      <c r="AS315" s="104">
        <v>2</v>
      </c>
      <c r="AT315" s="106">
        <v>1</v>
      </c>
      <c r="AU315" s="105">
        <v>3</v>
      </c>
      <c r="AV315" s="105">
        <v>6</v>
      </c>
      <c r="AW315" s="104">
        <v>2</v>
      </c>
      <c r="AX315" s="105">
        <v>3</v>
      </c>
      <c r="AY315" s="104">
        <v>2</v>
      </c>
      <c r="AZ315" s="106">
        <v>7</v>
      </c>
      <c r="BA315" s="105">
        <v>2</v>
      </c>
      <c r="BB315" s="103">
        <v>4</v>
      </c>
      <c r="BC315" s="103">
        <v>2</v>
      </c>
      <c r="BD315" s="106">
        <v>5</v>
      </c>
      <c r="BE315" s="105">
        <v>5</v>
      </c>
      <c r="BF315" s="105">
        <v>3</v>
      </c>
      <c r="BG315" s="103">
        <v>1</v>
      </c>
      <c r="BH315" s="104">
        <v>5</v>
      </c>
      <c r="BI315" s="105">
        <v>1</v>
      </c>
      <c r="BJ315" s="104">
        <v>7</v>
      </c>
      <c r="BK315" s="104">
        <v>2</v>
      </c>
    </row>
    <row r="316" spans="2:63" ht="23.25">
      <c r="B316" s="15">
        <f t="shared" si="5"/>
        <v>139</v>
      </c>
      <c r="C316" s="15">
        <v>7</v>
      </c>
      <c r="D316" s="16">
        <v>14</v>
      </c>
      <c r="E316" s="26" t="s">
        <v>195</v>
      </c>
      <c r="F316" s="29"/>
      <c r="G316" s="44"/>
      <c r="H316" s="44"/>
      <c r="I316" s="62">
        <v>4</v>
      </c>
      <c r="J316" s="62">
        <v>0</v>
      </c>
      <c r="K316" s="62">
        <v>0</v>
      </c>
      <c r="L316" s="62">
        <v>2</v>
      </c>
      <c r="M316" s="44"/>
      <c r="N316" s="105">
        <v>3</v>
      </c>
      <c r="O316" s="105">
        <v>6</v>
      </c>
      <c r="P316" s="104">
        <v>4</v>
      </c>
      <c r="Q316" s="103">
        <v>7</v>
      </c>
      <c r="R316" s="105">
        <v>7</v>
      </c>
      <c r="S316" s="104">
        <v>2</v>
      </c>
      <c r="T316" s="105">
        <v>2</v>
      </c>
      <c r="U316" s="104">
        <v>5</v>
      </c>
      <c r="V316" s="105">
        <v>7</v>
      </c>
      <c r="W316" s="103">
        <v>1</v>
      </c>
      <c r="X316" s="106">
        <v>1</v>
      </c>
      <c r="Y316" s="104">
        <v>5</v>
      </c>
      <c r="Z316" s="104">
        <v>6</v>
      </c>
      <c r="AA316" s="106">
        <v>2</v>
      </c>
      <c r="AB316" s="104">
        <v>7</v>
      </c>
      <c r="AC316" s="106">
        <v>4</v>
      </c>
      <c r="AD316" s="105">
        <v>7</v>
      </c>
      <c r="AE316" s="103">
        <v>6</v>
      </c>
      <c r="AF316" s="105">
        <v>3</v>
      </c>
      <c r="AG316" s="105">
        <v>4</v>
      </c>
      <c r="AH316" s="104">
        <v>3</v>
      </c>
      <c r="AI316" s="106">
        <v>1</v>
      </c>
      <c r="AJ316" s="106">
        <v>4</v>
      </c>
      <c r="AK316" s="105">
        <v>4</v>
      </c>
      <c r="AL316" s="106">
        <v>2</v>
      </c>
      <c r="AM316" s="104">
        <v>7</v>
      </c>
      <c r="AN316" s="106">
        <v>7</v>
      </c>
      <c r="AO316" s="104">
        <v>2</v>
      </c>
      <c r="AP316" s="106">
        <v>5</v>
      </c>
      <c r="AQ316" s="103">
        <v>6</v>
      </c>
      <c r="AR316" s="106">
        <v>5</v>
      </c>
      <c r="AS316" s="106">
        <v>6</v>
      </c>
      <c r="AT316" s="105">
        <v>2</v>
      </c>
      <c r="AU316" s="106">
        <v>4</v>
      </c>
      <c r="AV316" s="104">
        <v>7</v>
      </c>
      <c r="AW316" s="103">
        <v>2</v>
      </c>
      <c r="AX316" s="103">
        <v>1</v>
      </c>
      <c r="AY316" s="105">
        <v>5</v>
      </c>
      <c r="AZ316" s="105">
        <v>7</v>
      </c>
      <c r="BA316" s="106">
        <v>2</v>
      </c>
      <c r="BB316" s="106">
        <v>1</v>
      </c>
      <c r="BC316" s="104">
        <v>4</v>
      </c>
      <c r="BD316" s="106">
        <v>7</v>
      </c>
      <c r="BE316" s="106">
        <v>1</v>
      </c>
      <c r="BF316" s="106">
        <v>2</v>
      </c>
      <c r="BG316" s="103">
        <v>4</v>
      </c>
      <c r="BH316" s="105">
        <v>5</v>
      </c>
      <c r="BI316" s="103">
        <v>1</v>
      </c>
      <c r="BJ316" s="103">
        <v>6</v>
      </c>
      <c r="BK316" s="103">
        <v>6</v>
      </c>
    </row>
    <row r="317" spans="2:63" ht="23.25">
      <c r="B317" s="15">
        <f t="shared" si="5"/>
        <v>140</v>
      </c>
      <c r="C317" s="15">
        <v>7</v>
      </c>
      <c r="D317" s="16">
        <v>14</v>
      </c>
      <c r="E317" s="26" t="s">
        <v>196</v>
      </c>
      <c r="F317" s="29"/>
      <c r="G317" s="44"/>
      <c r="H317" s="44"/>
      <c r="I317" s="62">
        <v>0</v>
      </c>
      <c r="J317" s="62">
        <v>0</v>
      </c>
      <c r="K317" s="62">
        <v>3</v>
      </c>
      <c r="L317" s="62">
        <v>2</v>
      </c>
      <c r="M317" s="44"/>
      <c r="N317" s="105">
        <v>2</v>
      </c>
      <c r="O317" s="105">
        <v>7</v>
      </c>
      <c r="P317" s="106">
        <v>7</v>
      </c>
      <c r="Q317" s="104">
        <v>6</v>
      </c>
      <c r="R317" s="103">
        <v>6</v>
      </c>
      <c r="S317" s="106">
        <v>3</v>
      </c>
      <c r="T317" s="105">
        <v>2</v>
      </c>
      <c r="U317" s="103">
        <v>1</v>
      </c>
      <c r="V317" s="105">
        <v>4</v>
      </c>
      <c r="W317" s="105">
        <v>7</v>
      </c>
      <c r="X317" s="104">
        <v>6</v>
      </c>
      <c r="Y317" s="104">
        <v>1</v>
      </c>
      <c r="Z317" s="105">
        <v>6</v>
      </c>
      <c r="AA317" s="104">
        <v>5</v>
      </c>
      <c r="AB317" s="104">
        <v>6</v>
      </c>
      <c r="AC317" s="105">
        <v>2</v>
      </c>
      <c r="AD317" s="106">
        <v>7</v>
      </c>
      <c r="AE317" s="106">
        <v>5</v>
      </c>
      <c r="AF317" s="104">
        <v>6</v>
      </c>
      <c r="AG317" s="103">
        <v>1</v>
      </c>
      <c r="AH317" s="104">
        <v>5</v>
      </c>
      <c r="AI317" s="105">
        <v>4</v>
      </c>
      <c r="AJ317" s="104">
        <v>5</v>
      </c>
      <c r="AK317" s="105">
        <v>2</v>
      </c>
      <c r="AL317" s="105">
        <v>7</v>
      </c>
      <c r="AM317" s="104">
        <v>2</v>
      </c>
      <c r="AN317" s="105">
        <v>4</v>
      </c>
      <c r="AO317" s="103">
        <v>5</v>
      </c>
      <c r="AP317" s="104">
        <v>2</v>
      </c>
      <c r="AQ317" s="104">
        <v>1</v>
      </c>
      <c r="AR317" s="103">
        <v>1</v>
      </c>
      <c r="AS317" s="105">
        <v>1</v>
      </c>
      <c r="AT317" s="103">
        <v>4</v>
      </c>
      <c r="AU317" s="106">
        <v>1</v>
      </c>
      <c r="AV317" s="106">
        <v>1</v>
      </c>
      <c r="AW317" s="104">
        <v>6</v>
      </c>
      <c r="AX317" s="105">
        <v>3</v>
      </c>
      <c r="AY317" s="106">
        <v>7</v>
      </c>
      <c r="AZ317" s="106">
        <v>6</v>
      </c>
      <c r="BA317" s="103">
        <v>7</v>
      </c>
      <c r="BB317" s="105">
        <v>4</v>
      </c>
      <c r="BC317" s="106">
        <v>7</v>
      </c>
      <c r="BD317" s="105">
        <v>7</v>
      </c>
      <c r="BE317" s="104">
        <v>7</v>
      </c>
      <c r="BF317" s="104">
        <v>5</v>
      </c>
      <c r="BG317" s="105">
        <v>6</v>
      </c>
      <c r="BH317" s="105">
        <v>1</v>
      </c>
      <c r="BI317" s="105">
        <v>7</v>
      </c>
      <c r="BJ317" s="105">
        <v>3</v>
      </c>
      <c r="BK317" s="106">
        <v>3</v>
      </c>
    </row>
    <row r="318" spans="2:63" ht="23.25">
      <c r="B318" s="15">
        <f t="shared" si="5"/>
        <v>141</v>
      </c>
      <c r="C318" s="15">
        <v>7</v>
      </c>
      <c r="D318" s="16">
        <v>14</v>
      </c>
      <c r="E318" s="26" t="s">
        <v>197</v>
      </c>
      <c r="G318" s="44"/>
      <c r="H318" s="44"/>
      <c r="I318" s="62">
        <v>0</v>
      </c>
      <c r="J318" s="62">
        <v>4</v>
      </c>
      <c r="K318" s="62">
        <v>0</v>
      </c>
      <c r="L318" s="62">
        <v>5</v>
      </c>
      <c r="M318" s="44"/>
      <c r="N318" s="106">
        <v>6</v>
      </c>
      <c r="O318" s="104">
        <v>5</v>
      </c>
      <c r="P318" s="106">
        <v>5</v>
      </c>
      <c r="Q318" s="103">
        <v>4</v>
      </c>
      <c r="R318" s="104">
        <v>2</v>
      </c>
      <c r="S318" s="106">
        <v>7</v>
      </c>
      <c r="T318" s="103">
        <v>6</v>
      </c>
      <c r="U318" s="105">
        <v>2</v>
      </c>
      <c r="V318" s="105">
        <v>7</v>
      </c>
      <c r="W318" s="104">
        <v>5</v>
      </c>
      <c r="X318" s="106">
        <v>6</v>
      </c>
      <c r="Y318" s="103">
        <v>7</v>
      </c>
      <c r="Z318" s="104">
        <v>4</v>
      </c>
      <c r="AA318" s="103">
        <v>3</v>
      </c>
      <c r="AB318" s="104">
        <v>3</v>
      </c>
      <c r="AC318" s="104">
        <v>4</v>
      </c>
      <c r="AD318" s="103">
        <v>1</v>
      </c>
      <c r="AE318" s="106">
        <v>3</v>
      </c>
      <c r="AF318" s="103">
        <v>6</v>
      </c>
      <c r="AG318" s="104">
        <v>3</v>
      </c>
      <c r="AH318" s="103">
        <v>7</v>
      </c>
      <c r="AI318" s="106">
        <v>1</v>
      </c>
      <c r="AJ318" s="106">
        <v>2</v>
      </c>
      <c r="AK318" s="105">
        <v>6</v>
      </c>
      <c r="AL318" s="105">
        <v>3</v>
      </c>
      <c r="AM318" s="103">
        <v>4</v>
      </c>
      <c r="AN318" s="104">
        <v>4</v>
      </c>
      <c r="AO318" s="105">
        <v>6</v>
      </c>
      <c r="AP318" s="104">
        <v>3</v>
      </c>
      <c r="AQ318" s="104">
        <v>7</v>
      </c>
      <c r="AR318" s="105">
        <v>5</v>
      </c>
      <c r="AS318" s="106">
        <v>3</v>
      </c>
      <c r="AT318" s="103">
        <v>6</v>
      </c>
      <c r="AU318" s="105">
        <v>5</v>
      </c>
      <c r="AV318" s="104">
        <v>5</v>
      </c>
      <c r="AW318" s="103">
        <v>5</v>
      </c>
      <c r="AX318" s="104">
        <v>7</v>
      </c>
      <c r="AY318" s="105">
        <v>4</v>
      </c>
      <c r="AZ318" s="103">
        <v>4</v>
      </c>
      <c r="BA318" s="105">
        <v>2</v>
      </c>
      <c r="BB318" s="105">
        <v>7</v>
      </c>
      <c r="BC318" s="105">
        <v>5</v>
      </c>
      <c r="BD318" s="103">
        <v>7</v>
      </c>
      <c r="BE318" s="106">
        <v>2</v>
      </c>
      <c r="BF318" s="106">
        <v>7</v>
      </c>
      <c r="BG318" s="104">
        <v>7</v>
      </c>
      <c r="BH318" s="105">
        <v>2</v>
      </c>
      <c r="BI318" s="106">
        <v>7</v>
      </c>
      <c r="BJ318" s="103">
        <v>5</v>
      </c>
      <c r="BK318" s="105">
        <v>2</v>
      </c>
    </row>
    <row r="319" spans="2:63" ht="23.25">
      <c r="B319" s="15">
        <f t="shared" si="5"/>
        <v>142</v>
      </c>
      <c r="C319" s="15">
        <v>7</v>
      </c>
      <c r="D319" s="16">
        <v>14</v>
      </c>
      <c r="E319" s="26" t="s">
        <v>198</v>
      </c>
      <c r="I319" s="62">
        <v>0</v>
      </c>
      <c r="J319" s="62">
        <v>5</v>
      </c>
      <c r="K319" s="62">
        <v>3</v>
      </c>
      <c r="L319" s="62">
        <v>1</v>
      </c>
      <c r="N319" s="103">
        <v>5</v>
      </c>
      <c r="O319" s="105">
        <v>1</v>
      </c>
      <c r="P319" s="103">
        <v>6</v>
      </c>
      <c r="Q319" s="103">
        <v>3</v>
      </c>
      <c r="R319" s="104">
        <v>5</v>
      </c>
      <c r="S319" s="103">
        <v>3</v>
      </c>
      <c r="T319" s="104">
        <v>3</v>
      </c>
      <c r="U319" s="106">
        <v>5</v>
      </c>
      <c r="V319" s="106">
        <v>6</v>
      </c>
      <c r="W319" s="104">
        <v>4</v>
      </c>
      <c r="X319" s="103">
        <v>6</v>
      </c>
      <c r="Y319" s="104">
        <v>6</v>
      </c>
      <c r="Z319" s="104">
        <v>4</v>
      </c>
      <c r="AA319" s="105">
        <v>6</v>
      </c>
      <c r="AB319" s="104">
        <v>5</v>
      </c>
      <c r="AC319" s="106">
        <v>4</v>
      </c>
      <c r="AD319" s="106">
        <v>4</v>
      </c>
      <c r="AE319" s="104">
        <v>3</v>
      </c>
      <c r="AF319" s="104">
        <v>5</v>
      </c>
      <c r="AG319" s="105">
        <v>6</v>
      </c>
      <c r="AH319" s="106">
        <v>3</v>
      </c>
      <c r="AI319" s="104">
        <v>1</v>
      </c>
      <c r="AJ319" s="106">
        <v>3</v>
      </c>
      <c r="AK319" s="105">
        <v>3</v>
      </c>
      <c r="AL319" s="103">
        <v>5</v>
      </c>
      <c r="AM319" s="105">
        <v>2</v>
      </c>
      <c r="AN319" s="104">
        <v>5</v>
      </c>
      <c r="AO319" s="106">
        <v>3</v>
      </c>
      <c r="AP319" s="103">
        <v>7</v>
      </c>
      <c r="AQ319" s="106">
        <v>6</v>
      </c>
      <c r="AR319" s="104">
        <v>5</v>
      </c>
      <c r="AS319" s="103">
        <v>2</v>
      </c>
      <c r="AT319" s="103">
        <v>3</v>
      </c>
      <c r="AU319" s="104">
        <v>5</v>
      </c>
      <c r="AV319" s="105">
        <v>1</v>
      </c>
      <c r="AW319" s="103">
        <v>7</v>
      </c>
      <c r="AX319" s="105">
        <v>6</v>
      </c>
      <c r="AY319" s="103">
        <v>3</v>
      </c>
      <c r="AZ319" s="105">
        <v>3</v>
      </c>
      <c r="BA319" s="103">
        <v>1</v>
      </c>
      <c r="BB319" s="106">
        <v>5</v>
      </c>
      <c r="BC319" s="106">
        <v>4</v>
      </c>
      <c r="BD319" s="106">
        <v>2</v>
      </c>
      <c r="BE319" s="104">
        <v>1</v>
      </c>
      <c r="BF319" s="104">
        <v>5</v>
      </c>
      <c r="BG319" s="104">
        <v>7</v>
      </c>
      <c r="BH319" s="106">
        <v>4</v>
      </c>
      <c r="BI319" s="103">
        <v>5</v>
      </c>
      <c r="BJ319" s="106">
        <v>6</v>
      </c>
      <c r="BK319" s="104">
        <v>4</v>
      </c>
    </row>
    <row r="320" spans="2:63" ht="23.25">
      <c r="B320" s="15">
        <f t="shared" si="5"/>
        <v>143</v>
      </c>
      <c r="C320" s="15">
        <v>7</v>
      </c>
      <c r="D320" s="16">
        <v>14</v>
      </c>
      <c r="E320" s="26" t="s">
        <v>199</v>
      </c>
      <c r="I320" s="62">
        <v>2</v>
      </c>
      <c r="J320" s="62">
        <v>5</v>
      </c>
      <c r="K320" s="62">
        <v>5</v>
      </c>
      <c r="L320" s="62">
        <v>1</v>
      </c>
      <c r="N320" s="105">
        <v>3</v>
      </c>
      <c r="O320" s="103">
        <v>3</v>
      </c>
      <c r="P320" s="103">
        <v>5</v>
      </c>
      <c r="Q320" s="106">
        <v>4</v>
      </c>
      <c r="R320" s="105">
        <v>1</v>
      </c>
      <c r="S320" s="103">
        <v>6</v>
      </c>
      <c r="T320" s="104">
        <v>4</v>
      </c>
      <c r="U320" s="103">
        <v>1</v>
      </c>
      <c r="V320" s="105">
        <v>2</v>
      </c>
      <c r="W320" s="105">
        <v>5</v>
      </c>
      <c r="X320" s="103">
        <v>6</v>
      </c>
      <c r="Y320" s="103">
        <v>3</v>
      </c>
      <c r="Z320" s="104">
        <v>5</v>
      </c>
      <c r="AA320" s="104">
        <v>4</v>
      </c>
      <c r="AB320" s="105">
        <v>5</v>
      </c>
      <c r="AC320" s="103">
        <v>2</v>
      </c>
      <c r="AD320" s="105">
        <v>3</v>
      </c>
      <c r="AE320" s="103">
        <v>5</v>
      </c>
      <c r="AF320" s="105">
        <v>5</v>
      </c>
      <c r="AG320" s="104">
        <v>1</v>
      </c>
      <c r="AH320" s="106">
        <v>1</v>
      </c>
      <c r="AI320" s="104">
        <v>5</v>
      </c>
      <c r="AJ320" s="103">
        <v>6</v>
      </c>
      <c r="AK320" s="106">
        <v>6</v>
      </c>
      <c r="AL320" s="106">
        <v>7</v>
      </c>
      <c r="AM320" s="105">
        <v>5</v>
      </c>
      <c r="AN320" s="103">
        <v>6</v>
      </c>
      <c r="AO320" s="103">
        <v>4</v>
      </c>
      <c r="AP320" s="104">
        <v>3</v>
      </c>
      <c r="AQ320" s="105">
        <v>6</v>
      </c>
      <c r="AR320" s="103">
        <v>4</v>
      </c>
      <c r="AS320" s="104">
        <v>5</v>
      </c>
      <c r="AT320" s="104">
        <v>4</v>
      </c>
      <c r="AU320" s="103">
        <v>2</v>
      </c>
      <c r="AV320" s="103">
        <v>3</v>
      </c>
      <c r="AW320" s="105">
        <v>2</v>
      </c>
      <c r="AX320" s="105">
        <v>5</v>
      </c>
      <c r="AY320" s="105">
        <v>4</v>
      </c>
      <c r="AZ320" s="103">
        <v>3</v>
      </c>
      <c r="BA320" s="106">
        <v>4</v>
      </c>
      <c r="BB320" s="105">
        <v>2</v>
      </c>
      <c r="BC320" s="104">
        <v>2</v>
      </c>
      <c r="BD320" s="103">
        <v>1</v>
      </c>
      <c r="BE320" s="103">
        <v>1</v>
      </c>
      <c r="BF320" s="103">
        <v>2</v>
      </c>
      <c r="BG320" s="103">
        <v>6</v>
      </c>
      <c r="BH320" s="105">
        <v>6</v>
      </c>
      <c r="BI320" s="103">
        <v>4</v>
      </c>
      <c r="BJ320" s="103">
        <v>5</v>
      </c>
      <c r="BK320" s="105">
        <v>5</v>
      </c>
    </row>
    <row r="321" spans="2:63" ht="23.25">
      <c r="B321" s="15">
        <f t="shared" si="5"/>
        <v>144</v>
      </c>
      <c r="C321" s="15">
        <v>7</v>
      </c>
      <c r="D321" s="16">
        <v>14</v>
      </c>
      <c r="E321" s="26" t="s">
        <v>200</v>
      </c>
      <c r="I321" s="62">
        <v>1</v>
      </c>
      <c r="J321" s="62">
        <v>4</v>
      </c>
      <c r="K321" s="62">
        <v>2</v>
      </c>
      <c r="L321" s="62">
        <v>4</v>
      </c>
      <c r="N321" s="105">
        <v>2</v>
      </c>
      <c r="O321" s="105">
        <v>6</v>
      </c>
      <c r="P321" s="104">
        <v>3</v>
      </c>
      <c r="Q321" s="103">
        <v>2</v>
      </c>
      <c r="R321" s="103">
        <v>2</v>
      </c>
      <c r="S321" s="106">
        <v>1</v>
      </c>
      <c r="T321" s="106">
        <v>2</v>
      </c>
      <c r="U321" s="103">
        <v>6</v>
      </c>
      <c r="V321" s="103">
        <v>6</v>
      </c>
      <c r="W321" s="106">
        <v>4</v>
      </c>
      <c r="X321" s="106">
        <v>7</v>
      </c>
      <c r="Y321" s="106">
        <v>2</v>
      </c>
      <c r="Z321" s="106">
        <v>6</v>
      </c>
      <c r="AA321" s="104">
        <v>3</v>
      </c>
      <c r="AB321" s="105">
        <v>2</v>
      </c>
      <c r="AC321" s="104">
        <v>2</v>
      </c>
      <c r="AD321" s="103">
        <v>3</v>
      </c>
      <c r="AE321" s="103">
        <v>6</v>
      </c>
      <c r="AF321" s="106">
        <v>1</v>
      </c>
      <c r="AG321" s="106">
        <v>5</v>
      </c>
      <c r="AH321" s="104">
        <v>5</v>
      </c>
      <c r="AI321" s="106">
        <v>1</v>
      </c>
      <c r="AJ321" s="105">
        <v>5</v>
      </c>
      <c r="AK321" s="106">
        <v>5</v>
      </c>
      <c r="AL321" s="106">
        <v>7</v>
      </c>
      <c r="AM321" s="103">
        <v>3</v>
      </c>
      <c r="AN321" s="106">
        <v>6</v>
      </c>
      <c r="AO321" s="105">
        <v>2</v>
      </c>
      <c r="AP321" s="103">
        <v>2</v>
      </c>
      <c r="AQ321" s="106">
        <v>5</v>
      </c>
      <c r="AR321" s="104">
        <v>7</v>
      </c>
      <c r="AS321" s="104">
        <v>5</v>
      </c>
      <c r="AT321" s="106">
        <v>7</v>
      </c>
      <c r="AU321" s="105">
        <v>1</v>
      </c>
      <c r="AV321" s="105">
        <v>2</v>
      </c>
      <c r="AW321" s="106">
        <v>6</v>
      </c>
      <c r="AX321" s="105">
        <v>2</v>
      </c>
      <c r="AY321" s="105">
        <v>1</v>
      </c>
      <c r="AZ321" s="103">
        <v>3</v>
      </c>
      <c r="BA321" s="106">
        <v>7</v>
      </c>
      <c r="BB321" s="104">
        <v>1</v>
      </c>
      <c r="BC321" s="103">
        <v>7</v>
      </c>
      <c r="BD321" s="105">
        <v>7</v>
      </c>
      <c r="BE321" s="105">
        <v>7</v>
      </c>
      <c r="BF321" s="104">
        <v>2</v>
      </c>
      <c r="BG321" s="104">
        <v>7</v>
      </c>
      <c r="BH321" s="106">
        <v>2</v>
      </c>
      <c r="BI321" s="106">
        <v>7</v>
      </c>
      <c r="BJ321" s="106">
        <v>4</v>
      </c>
      <c r="BK321" s="106">
        <v>5</v>
      </c>
    </row>
    <row r="322" spans="2:63" ht="23.25">
      <c r="B322" s="15">
        <f t="shared" si="5"/>
        <v>145</v>
      </c>
      <c r="C322" s="15">
        <v>7</v>
      </c>
      <c r="D322" s="16">
        <v>14</v>
      </c>
      <c r="E322" s="26" t="s">
        <v>183</v>
      </c>
      <c r="I322" s="62">
        <v>4</v>
      </c>
      <c r="J322" s="62">
        <v>1</v>
      </c>
      <c r="K322" s="62">
        <v>0</v>
      </c>
      <c r="L322" s="62">
        <v>1</v>
      </c>
      <c r="N322" s="105">
        <v>5</v>
      </c>
      <c r="O322" s="103">
        <v>3</v>
      </c>
      <c r="P322" s="103">
        <v>7</v>
      </c>
      <c r="Q322" s="104">
        <v>5</v>
      </c>
      <c r="R322" s="103">
        <v>6</v>
      </c>
      <c r="S322" s="105">
        <v>2</v>
      </c>
      <c r="T322" s="106">
        <v>5</v>
      </c>
      <c r="U322" s="103">
        <v>7</v>
      </c>
      <c r="V322" s="103">
        <v>7</v>
      </c>
      <c r="W322" s="103">
        <v>1</v>
      </c>
      <c r="X322" s="105">
        <v>1</v>
      </c>
      <c r="Y322" s="104">
        <v>6</v>
      </c>
      <c r="Z322" s="106">
        <v>4</v>
      </c>
      <c r="AA322" s="103">
        <v>6</v>
      </c>
      <c r="AB322" s="105">
        <v>1</v>
      </c>
      <c r="AC322" s="105">
        <v>1</v>
      </c>
      <c r="AD322" s="105">
        <v>4</v>
      </c>
      <c r="AE322" s="105">
        <v>5</v>
      </c>
      <c r="AF322" s="104">
        <v>7</v>
      </c>
      <c r="AG322" s="105">
        <v>1</v>
      </c>
      <c r="AH322" s="104">
        <v>4</v>
      </c>
      <c r="AI322" s="106">
        <v>6</v>
      </c>
      <c r="AJ322" s="104">
        <v>7</v>
      </c>
      <c r="AK322" s="105">
        <v>1</v>
      </c>
      <c r="AL322" s="104">
        <v>7</v>
      </c>
      <c r="AM322" s="104">
        <v>7</v>
      </c>
      <c r="AN322" s="103">
        <v>5</v>
      </c>
      <c r="AO322" s="105">
        <v>2</v>
      </c>
      <c r="AP322" s="103">
        <v>3</v>
      </c>
      <c r="AQ322" s="106">
        <v>4</v>
      </c>
      <c r="AR322" s="104">
        <v>7</v>
      </c>
      <c r="AS322" s="106">
        <v>5</v>
      </c>
      <c r="AT322" s="104">
        <v>2</v>
      </c>
      <c r="AU322" s="105">
        <v>1</v>
      </c>
      <c r="AV322" s="105">
        <v>6</v>
      </c>
      <c r="AW322" s="104">
        <v>4</v>
      </c>
      <c r="AX322" s="106">
        <v>4</v>
      </c>
      <c r="AY322" s="103">
        <v>3</v>
      </c>
      <c r="AZ322" s="106">
        <v>2</v>
      </c>
      <c r="BA322" s="104">
        <v>6</v>
      </c>
      <c r="BB322" s="103">
        <v>7</v>
      </c>
      <c r="BC322" s="105">
        <v>4</v>
      </c>
      <c r="BD322" s="105">
        <v>3</v>
      </c>
      <c r="BE322" s="105">
        <v>5</v>
      </c>
      <c r="BF322" s="104">
        <v>3</v>
      </c>
      <c r="BG322" s="103">
        <v>2</v>
      </c>
      <c r="BH322" s="104">
        <v>5</v>
      </c>
      <c r="BI322" s="103">
        <v>5</v>
      </c>
      <c r="BJ322" s="104">
        <v>5</v>
      </c>
      <c r="BK322" s="105">
        <v>2</v>
      </c>
    </row>
    <row r="323" spans="2:63" ht="23.25">
      <c r="B323" s="15">
        <f t="shared" si="5"/>
        <v>146</v>
      </c>
      <c r="C323" s="15">
        <v>7</v>
      </c>
      <c r="D323" s="16">
        <v>14</v>
      </c>
      <c r="E323" s="26" t="s">
        <v>201</v>
      </c>
      <c r="I323" s="62">
        <v>1</v>
      </c>
      <c r="J323" s="62">
        <v>0</v>
      </c>
      <c r="K323" s="62">
        <v>3</v>
      </c>
      <c r="L323" s="62">
        <v>0</v>
      </c>
      <c r="N323" s="106">
        <v>4</v>
      </c>
      <c r="O323" s="106">
        <v>1</v>
      </c>
      <c r="P323" s="104">
        <v>1</v>
      </c>
      <c r="Q323" s="104">
        <v>7</v>
      </c>
      <c r="R323" s="105">
        <v>6</v>
      </c>
      <c r="S323" s="106">
        <v>5</v>
      </c>
      <c r="T323" s="106">
        <v>6</v>
      </c>
      <c r="U323" s="104">
        <v>3</v>
      </c>
      <c r="V323" s="106">
        <v>3</v>
      </c>
      <c r="W323" s="106">
        <v>2</v>
      </c>
      <c r="X323" s="106">
        <v>3</v>
      </c>
      <c r="Y323" s="106">
        <v>6</v>
      </c>
      <c r="Z323" s="106">
        <v>3</v>
      </c>
      <c r="AA323" s="105">
        <v>3</v>
      </c>
      <c r="AB323" s="103">
        <v>3</v>
      </c>
      <c r="AC323" s="104">
        <v>7</v>
      </c>
      <c r="AD323" s="106">
        <v>2</v>
      </c>
      <c r="AE323" s="105">
        <v>2</v>
      </c>
      <c r="AF323" s="105">
        <v>2</v>
      </c>
      <c r="AG323" s="104">
        <v>2</v>
      </c>
      <c r="AH323" s="106">
        <v>3</v>
      </c>
      <c r="AI323" s="104">
        <v>7</v>
      </c>
      <c r="AJ323" s="103">
        <v>4</v>
      </c>
      <c r="AK323" s="106">
        <v>3</v>
      </c>
      <c r="AL323" s="103">
        <v>2</v>
      </c>
      <c r="AM323" s="104">
        <v>1</v>
      </c>
      <c r="AN323" s="106">
        <v>5</v>
      </c>
      <c r="AO323" s="103">
        <v>3</v>
      </c>
      <c r="AP323" s="106">
        <v>7</v>
      </c>
      <c r="AQ323" s="104">
        <v>5</v>
      </c>
      <c r="AR323" s="103">
        <v>1</v>
      </c>
      <c r="AS323" s="104">
        <v>6</v>
      </c>
      <c r="AT323" s="105">
        <v>4</v>
      </c>
      <c r="AU323" s="106">
        <v>3</v>
      </c>
      <c r="AV323" s="104">
        <v>5</v>
      </c>
      <c r="AW323" s="105">
        <v>2</v>
      </c>
      <c r="AX323" s="103">
        <v>4</v>
      </c>
      <c r="AY323" s="103">
        <v>6</v>
      </c>
      <c r="AZ323" s="105">
        <v>5</v>
      </c>
      <c r="BA323" s="105">
        <v>1</v>
      </c>
      <c r="BB323" s="106">
        <v>7</v>
      </c>
      <c r="BC323" s="104">
        <v>3</v>
      </c>
      <c r="BD323" s="103">
        <v>6</v>
      </c>
      <c r="BE323" s="106">
        <v>5</v>
      </c>
      <c r="BF323" s="105">
        <v>4</v>
      </c>
      <c r="BG323" s="104">
        <v>7</v>
      </c>
      <c r="BH323" s="106">
        <v>5</v>
      </c>
      <c r="BI323" s="104">
        <v>4</v>
      </c>
      <c r="BJ323" s="106">
        <v>6</v>
      </c>
      <c r="BK323" s="104">
        <v>5</v>
      </c>
    </row>
    <row r="324" spans="2:63" ht="23.25">
      <c r="B324" s="15">
        <f t="shared" si="5"/>
        <v>147</v>
      </c>
      <c r="C324" s="15">
        <v>7</v>
      </c>
      <c r="D324" s="16">
        <v>14</v>
      </c>
      <c r="E324" s="26" t="s">
        <v>202</v>
      </c>
      <c r="I324" s="62">
        <v>1</v>
      </c>
      <c r="J324" s="62">
        <v>1</v>
      </c>
      <c r="K324" s="62">
        <v>5</v>
      </c>
      <c r="L324" s="62">
        <v>1</v>
      </c>
      <c r="N324" s="106">
        <v>5</v>
      </c>
      <c r="O324" s="105">
        <v>4</v>
      </c>
      <c r="P324" s="104">
        <v>1</v>
      </c>
      <c r="Q324" s="104">
        <v>3</v>
      </c>
      <c r="R324" s="105">
        <v>1</v>
      </c>
      <c r="S324" s="104">
        <v>4</v>
      </c>
      <c r="T324" s="104">
        <v>2</v>
      </c>
      <c r="U324" s="103">
        <v>7</v>
      </c>
      <c r="V324" s="105">
        <v>4</v>
      </c>
      <c r="W324" s="104">
        <v>5</v>
      </c>
      <c r="X324" s="106">
        <v>1</v>
      </c>
      <c r="Y324" s="105">
        <v>2</v>
      </c>
      <c r="Z324" s="103">
        <v>1</v>
      </c>
      <c r="AA324" s="105">
        <v>3</v>
      </c>
      <c r="AB324" s="105">
        <v>7</v>
      </c>
      <c r="AC324" s="105">
        <v>5</v>
      </c>
      <c r="AD324" s="105">
        <v>7</v>
      </c>
      <c r="AE324" s="104">
        <v>3</v>
      </c>
      <c r="AF324" s="103">
        <v>5</v>
      </c>
      <c r="AG324" s="105">
        <v>5</v>
      </c>
      <c r="AH324" s="104">
        <v>1</v>
      </c>
      <c r="AI324" s="103">
        <v>2</v>
      </c>
      <c r="AJ324" s="103">
        <v>7</v>
      </c>
      <c r="AK324" s="105">
        <v>6</v>
      </c>
      <c r="AL324" s="104">
        <v>2</v>
      </c>
      <c r="AM324" s="106">
        <v>5</v>
      </c>
      <c r="AN324" s="105">
        <v>1</v>
      </c>
      <c r="AO324" s="103">
        <v>6</v>
      </c>
      <c r="AP324" s="105">
        <v>7</v>
      </c>
      <c r="AQ324" s="103">
        <v>2</v>
      </c>
      <c r="AR324" s="105">
        <v>2</v>
      </c>
      <c r="AS324" s="103">
        <v>4</v>
      </c>
      <c r="AT324" s="105">
        <v>7</v>
      </c>
      <c r="AU324" s="104">
        <v>6</v>
      </c>
      <c r="AV324" s="103">
        <v>1</v>
      </c>
      <c r="AW324" s="104">
        <v>2</v>
      </c>
      <c r="AX324" s="103">
        <v>4</v>
      </c>
      <c r="AY324" s="105">
        <v>6</v>
      </c>
      <c r="AZ324" s="103">
        <v>2</v>
      </c>
      <c r="BA324" s="104">
        <v>4</v>
      </c>
      <c r="BB324" s="106">
        <v>5</v>
      </c>
      <c r="BC324" s="104">
        <v>6</v>
      </c>
      <c r="BD324" s="103">
        <v>3</v>
      </c>
      <c r="BE324" s="105">
        <v>5</v>
      </c>
      <c r="BF324" s="104">
        <v>6</v>
      </c>
      <c r="BG324" s="105">
        <v>1</v>
      </c>
      <c r="BH324" s="105">
        <v>2</v>
      </c>
      <c r="BI324" s="106">
        <v>1</v>
      </c>
      <c r="BJ324" s="105">
        <v>4</v>
      </c>
      <c r="BK324" s="104">
        <v>4</v>
      </c>
    </row>
    <row r="325" spans="2:63" ht="23.25">
      <c r="B325" s="15">
        <f t="shared" si="5"/>
        <v>148</v>
      </c>
      <c r="C325" s="15">
        <v>7</v>
      </c>
      <c r="D325" s="16">
        <v>14</v>
      </c>
      <c r="E325" s="26" t="s">
        <v>203</v>
      </c>
      <c r="I325" s="62">
        <v>3</v>
      </c>
      <c r="J325" s="62">
        <v>5</v>
      </c>
      <c r="K325" s="62">
        <v>4</v>
      </c>
      <c r="L325" s="62">
        <v>3</v>
      </c>
      <c r="N325" s="104">
        <v>6</v>
      </c>
      <c r="O325" s="104">
        <v>3</v>
      </c>
      <c r="P325" s="105">
        <v>3</v>
      </c>
      <c r="Q325" s="106">
        <v>6</v>
      </c>
      <c r="R325" s="104">
        <v>2</v>
      </c>
      <c r="S325" s="104">
        <v>1</v>
      </c>
      <c r="T325" s="106">
        <v>1</v>
      </c>
      <c r="U325" s="105">
        <v>6</v>
      </c>
      <c r="V325" s="106">
        <v>3</v>
      </c>
      <c r="W325" s="106">
        <v>6</v>
      </c>
      <c r="X325" s="103">
        <v>7</v>
      </c>
      <c r="Y325" s="103">
        <v>4</v>
      </c>
      <c r="Z325" s="104">
        <v>2</v>
      </c>
      <c r="AA325" s="106">
        <v>4</v>
      </c>
      <c r="AB325" s="105">
        <v>1</v>
      </c>
      <c r="AC325" s="103">
        <v>4</v>
      </c>
      <c r="AD325" s="105">
        <v>4</v>
      </c>
      <c r="AE325" s="105">
        <v>5</v>
      </c>
      <c r="AF325" s="104">
        <v>2</v>
      </c>
      <c r="AG325" s="103">
        <v>4</v>
      </c>
      <c r="AH325" s="104">
        <v>3</v>
      </c>
      <c r="AI325" s="106">
        <v>5</v>
      </c>
      <c r="AJ325" s="104">
        <v>4</v>
      </c>
      <c r="AK325" s="103">
        <v>4</v>
      </c>
      <c r="AL325" s="103">
        <v>7</v>
      </c>
      <c r="AM325" s="106">
        <v>1</v>
      </c>
      <c r="AN325" s="106">
        <v>2</v>
      </c>
      <c r="AO325" s="105">
        <v>5</v>
      </c>
      <c r="AP325" s="105">
        <v>2</v>
      </c>
      <c r="AQ325" s="105">
        <v>2</v>
      </c>
      <c r="AR325" s="104">
        <v>1</v>
      </c>
      <c r="AS325" s="104">
        <v>7</v>
      </c>
      <c r="AT325" s="104">
        <v>2</v>
      </c>
      <c r="AU325" s="106">
        <v>5</v>
      </c>
      <c r="AV325" s="105">
        <v>1</v>
      </c>
      <c r="AW325" s="103">
        <v>3</v>
      </c>
      <c r="AX325" s="105">
        <v>4</v>
      </c>
      <c r="AY325" s="105">
        <v>1</v>
      </c>
      <c r="AZ325" s="105">
        <v>6</v>
      </c>
      <c r="BA325" s="105">
        <v>5</v>
      </c>
      <c r="BB325" s="104">
        <v>2</v>
      </c>
      <c r="BC325" s="103">
        <v>5</v>
      </c>
      <c r="BD325" s="104">
        <v>1</v>
      </c>
      <c r="BE325" s="105">
        <v>5</v>
      </c>
      <c r="BF325" s="103">
        <v>3</v>
      </c>
      <c r="BG325" s="105">
        <v>4</v>
      </c>
      <c r="BH325" s="104">
        <v>2</v>
      </c>
      <c r="BI325" s="105">
        <v>1</v>
      </c>
      <c r="BJ325" s="103">
        <v>4</v>
      </c>
      <c r="BK325" s="103">
        <v>4</v>
      </c>
    </row>
    <row r="326" spans="2:63" ht="23.25">
      <c r="B326" s="15">
        <f t="shared" si="5"/>
        <v>149</v>
      </c>
      <c r="C326" s="15">
        <v>7</v>
      </c>
      <c r="D326" s="16">
        <v>14</v>
      </c>
      <c r="E326" s="26" t="s">
        <v>204</v>
      </c>
      <c r="I326" s="62">
        <v>5</v>
      </c>
      <c r="J326" s="62">
        <v>1</v>
      </c>
      <c r="K326" s="62">
        <v>3</v>
      </c>
      <c r="L326" s="62">
        <v>4</v>
      </c>
      <c r="N326" s="105">
        <v>7</v>
      </c>
      <c r="O326" s="104">
        <v>1</v>
      </c>
      <c r="P326" s="104">
        <v>7</v>
      </c>
      <c r="Q326" s="105">
        <v>1</v>
      </c>
      <c r="R326" s="103">
        <v>2</v>
      </c>
      <c r="S326" s="105">
        <v>2</v>
      </c>
      <c r="T326" s="105">
        <v>6</v>
      </c>
      <c r="U326" s="106">
        <v>7</v>
      </c>
      <c r="V326" s="103">
        <v>2</v>
      </c>
      <c r="W326" s="106">
        <v>2</v>
      </c>
      <c r="X326" s="103">
        <v>6</v>
      </c>
      <c r="Y326" s="103">
        <v>3</v>
      </c>
      <c r="Z326" s="106">
        <v>2</v>
      </c>
      <c r="AA326" s="103">
        <v>5</v>
      </c>
      <c r="AB326" s="103">
        <v>4</v>
      </c>
      <c r="AC326" s="103">
        <v>2</v>
      </c>
      <c r="AD326" s="103">
        <v>1</v>
      </c>
      <c r="AE326" s="105">
        <v>5</v>
      </c>
      <c r="AF326" s="103">
        <v>5</v>
      </c>
      <c r="AG326" s="106">
        <v>1</v>
      </c>
      <c r="AH326" s="106">
        <v>6</v>
      </c>
      <c r="AI326" s="105">
        <v>2</v>
      </c>
      <c r="AJ326" s="106">
        <v>1</v>
      </c>
      <c r="AK326" s="106">
        <v>4</v>
      </c>
      <c r="AL326" s="105">
        <v>5</v>
      </c>
      <c r="AM326" s="106">
        <v>5</v>
      </c>
      <c r="AN326" s="105">
        <v>2</v>
      </c>
      <c r="AO326" s="104">
        <v>4</v>
      </c>
      <c r="AP326" s="103">
        <v>2</v>
      </c>
      <c r="AQ326" s="106">
        <v>2</v>
      </c>
      <c r="AR326" s="103">
        <v>4</v>
      </c>
      <c r="AS326" s="103">
        <v>1</v>
      </c>
      <c r="AT326" s="103">
        <v>3</v>
      </c>
      <c r="AU326" s="106">
        <v>1</v>
      </c>
      <c r="AV326" s="104">
        <v>2</v>
      </c>
      <c r="AW326" s="106">
        <v>3</v>
      </c>
      <c r="AX326" s="103">
        <v>2</v>
      </c>
      <c r="AY326" s="104">
        <v>7</v>
      </c>
      <c r="AZ326" s="103">
        <v>4</v>
      </c>
      <c r="BA326" s="104">
        <v>7</v>
      </c>
      <c r="BB326" s="104">
        <v>3</v>
      </c>
      <c r="BC326" s="106">
        <v>3</v>
      </c>
      <c r="BD326" s="105">
        <v>4</v>
      </c>
      <c r="BE326" s="104">
        <v>3</v>
      </c>
      <c r="BF326" s="106">
        <v>5</v>
      </c>
      <c r="BG326" s="103">
        <v>3</v>
      </c>
      <c r="BH326" s="105">
        <v>7</v>
      </c>
      <c r="BI326" s="103">
        <v>3</v>
      </c>
      <c r="BJ326" s="103">
        <v>5</v>
      </c>
      <c r="BK326" s="105">
        <v>2</v>
      </c>
    </row>
    <row r="327" spans="2:63" ht="23.25">
      <c r="B327" s="15">
        <f t="shared" si="5"/>
        <v>150</v>
      </c>
      <c r="C327" s="15">
        <v>7</v>
      </c>
      <c r="D327" s="16">
        <v>14</v>
      </c>
      <c r="E327" s="26" t="s">
        <v>205</v>
      </c>
      <c r="I327" s="62">
        <v>4</v>
      </c>
      <c r="J327" s="62">
        <v>1</v>
      </c>
      <c r="K327" s="62">
        <v>3</v>
      </c>
      <c r="L327" s="62">
        <v>2</v>
      </c>
      <c r="N327" s="104">
        <v>6</v>
      </c>
      <c r="O327" s="104">
        <v>7</v>
      </c>
      <c r="P327" s="104">
        <v>4</v>
      </c>
      <c r="Q327" s="103">
        <v>2</v>
      </c>
      <c r="R327" s="104">
        <v>3</v>
      </c>
      <c r="S327" s="106">
        <v>6</v>
      </c>
      <c r="T327" s="104">
        <v>3</v>
      </c>
      <c r="U327" s="103">
        <v>7</v>
      </c>
      <c r="V327" s="103">
        <v>6</v>
      </c>
      <c r="W327" s="103">
        <v>1</v>
      </c>
      <c r="X327" s="106">
        <v>6</v>
      </c>
      <c r="Y327" s="103">
        <v>3</v>
      </c>
      <c r="Z327" s="103">
        <v>6</v>
      </c>
      <c r="AA327" s="106">
        <v>7</v>
      </c>
      <c r="AB327" s="104">
        <v>3</v>
      </c>
      <c r="AC327" s="103">
        <v>1</v>
      </c>
      <c r="AD327" s="106">
        <v>6</v>
      </c>
      <c r="AE327" s="105">
        <v>3</v>
      </c>
      <c r="AF327" s="106">
        <v>4</v>
      </c>
      <c r="AG327" s="103">
        <v>3</v>
      </c>
      <c r="AH327" s="103">
        <v>4</v>
      </c>
      <c r="AI327" s="103">
        <v>1</v>
      </c>
      <c r="AJ327" s="105">
        <v>2</v>
      </c>
      <c r="AK327" s="103">
        <v>2</v>
      </c>
      <c r="AL327" s="103">
        <v>2</v>
      </c>
      <c r="AM327" s="106">
        <v>2</v>
      </c>
      <c r="AN327" s="105">
        <v>7</v>
      </c>
      <c r="AO327" s="104">
        <v>5</v>
      </c>
      <c r="AP327" s="103">
        <v>3</v>
      </c>
      <c r="AQ327" s="106">
        <v>2</v>
      </c>
      <c r="AR327" s="105">
        <v>5</v>
      </c>
      <c r="AS327" s="104">
        <v>3</v>
      </c>
      <c r="AT327" s="106">
        <v>5</v>
      </c>
      <c r="AU327" s="103">
        <v>5</v>
      </c>
      <c r="AV327" s="106">
        <v>3</v>
      </c>
      <c r="AW327" s="106">
        <v>3</v>
      </c>
      <c r="AX327" s="104">
        <v>7</v>
      </c>
      <c r="AY327" s="106">
        <v>6</v>
      </c>
      <c r="AZ327" s="104">
        <v>4</v>
      </c>
      <c r="BA327" s="106">
        <v>5</v>
      </c>
      <c r="BB327" s="106">
        <v>6</v>
      </c>
      <c r="BC327" s="105">
        <v>5</v>
      </c>
      <c r="BD327" s="104">
        <v>3</v>
      </c>
      <c r="BE327" s="106">
        <v>5</v>
      </c>
      <c r="BF327" s="105">
        <v>7</v>
      </c>
      <c r="BG327" s="104">
        <v>2</v>
      </c>
      <c r="BH327" s="103">
        <v>3</v>
      </c>
      <c r="BI327" s="103">
        <v>3</v>
      </c>
      <c r="BJ327" s="103">
        <v>3</v>
      </c>
      <c r="BK327" s="105">
        <v>2</v>
      </c>
    </row>
  </sheetData>
  <mergeCells count="26">
    <mergeCell ref="G56:U56"/>
    <mergeCell ref="B49:U49"/>
    <mergeCell ref="G55:U55"/>
    <mergeCell ref="B3:U3"/>
    <mergeCell ref="B5:P5"/>
    <mergeCell ref="R5:U5"/>
    <mergeCell ref="R6:U12"/>
    <mergeCell ref="B14:U14"/>
    <mergeCell ref="B15:U28"/>
    <mergeCell ref="B39:E39"/>
    <mergeCell ref="B40:E40"/>
    <mergeCell ref="B41:E41"/>
    <mergeCell ref="B42:E42"/>
    <mergeCell ref="B43:E43"/>
    <mergeCell ref="AB27:AC27"/>
    <mergeCell ref="B47:U47"/>
    <mergeCell ref="G51:U51"/>
    <mergeCell ref="G52:U52"/>
    <mergeCell ref="G54:U54"/>
    <mergeCell ref="G53:U53"/>
    <mergeCell ref="B31:E31"/>
    <mergeCell ref="B32:E32"/>
    <mergeCell ref="B33:E33"/>
    <mergeCell ref="B34:E34"/>
    <mergeCell ref="B35:E35"/>
    <mergeCell ref="B36:E36"/>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21" id="{88A5E5BF-E231-41AF-BDDA-6313261E933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F52:F56</xm:sqref>
        </x14:conditionalFormatting>
        <x14:conditionalFormatting xmlns:xm="http://schemas.microsoft.com/office/excel/2006/main">
          <x14:cfRule type="iconSet" priority="20" id="{A6D467DB-6441-46E8-BDD6-A50A76F38ACD}">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F72</xm:sqref>
        </x14:conditionalFormatting>
        <x14:conditionalFormatting xmlns:xm="http://schemas.microsoft.com/office/excel/2006/main">
          <x14:cfRule type="iconSet" priority="19" id="{A21E9CE8-817D-4622-9389-C7040C196C0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F74</xm:sqref>
        </x14:conditionalFormatting>
        <x14:conditionalFormatting xmlns:xm="http://schemas.microsoft.com/office/excel/2006/main">
          <x14:cfRule type="iconSet" priority="18" id="{D66ABCF4-F7BD-42A8-A1B7-9667C2647E3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F75:F93</xm:sqref>
        </x14:conditionalFormatting>
        <x14:conditionalFormatting xmlns:xm="http://schemas.microsoft.com/office/excel/2006/main">
          <x14:cfRule type="iconSet" priority="17" id="{DCFEC4D7-0473-42BB-A4C4-CB9C0A51835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F105</xm:sqref>
        </x14:conditionalFormatting>
        <x14:conditionalFormatting xmlns:xm="http://schemas.microsoft.com/office/excel/2006/main">
          <x14:cfRule type="iconSet" priority="16" id="{887078CF-C1FB-414C-B329-1D68E5B94751}">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F107</xm:sqref>
        </x14:conditionalFormatting>
        <x14:conditionalFormatting xmlns:xm="http://schemas.microsoft.com/office/excel/2006/main">
          <x14:cfRule type="iconSet" priority="15" id="{E3C699EB-7FEF-4DBF-9DA8-0141AAAC943B}">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F108:F126</xm:sqref>
        </x14:conditionalFormatting>
        <x14:conditionalFormatting xmlns:xm="http://schemas.microsoft.com/office/excel/2006/main">
          <x14:cfRule type="iconSet" priority="14" id="{7D81F9A8-98CE-477F-B98B-B12CDA863AD8}">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F141</xm:sqref>
        </x14:conditionalFormatting>
        <x14:conditionalFormatting xmlns:xm="http://schemas.microsoft.com/office/excel/2006/main">
          <x14:cfRule type="iconSet" priority="13" id="{77B420A7-4662-4013-ABAA-661A18805D8C}">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F143:F162</xm:sqref>
        </x14:conditionalFormatting>
        <x14:conditionalFormatting xmlns:xm="http://schemas.microsoft.com/office/excel/2006/main">
          <x14:cfRule type="iconSet" priority="12" id="{8AB5907D-1234-418A-BB58-7AED78C43207}">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F175</xm:sqref>
        </x14:conditionalFormatting>
        <x14:conditionalFormatting xmlns:xm="http://schemas.microsoft.com/office/excel/2006/main">
          <x14:cfRule type="iconSet" priority="11" id="{59723359-0901-4FB2-9156-8DB1E617E500}">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F177:F196</xm:sqref>
        </x14:conditionalFormatting>
        <x14:conditionalFormatting xmlns:xm="http://schemas.microsoft.com/office/excel/2006/main">
          <x14:cfRule type="iconSet" priority="10" id="{8CE1A2EF-44F2-41FD-A7C2-43E848B2571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F213</xm:sqref>
        </x14:conditionalFormatting>
        <x14:conditionalFormatting xmlns:xm="http://schemas.microsoft.com/office/excel/2006/main">
          <x14:cfRule type="iconSet" priority="27" id="{AC418587-4C87-4863-BB47-C476AA4E8D52}">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F215:F234</xm:sqref>
        </x14:conditionalFormatting>
        <x14:conditionalFormatting xmlns:xm="http://schemas.microsoft.com/office/excel/2006/main">
          <x14:cfRule type="iconSet" priority="8" id="{8D1D4679-FB52-4B2B-B645-13DA86A78A9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F257</xm:sqref>
        </x14:conditionalFormatting>
        <x14:conditionalFormatting xmlns:xm="http://schemas.microsoft.com/office/excel/2006/main">
          <x14:cfRule type="iconSet" priority="28" id="{9B5AEB5F-5C28-417D-9F92-86C859FDE34E}">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F259:F278</xm:sqref>
        </x14:conditionalFormatting>
        <x14:conditionalFormatting xmlns:xm="http://schemas.microsoft.com/office/excel/2006/main">
          <x14:cfRule type="iconSet" priority="2" id="{F1B4989C-841B-4C26-8F7D-D399F59622B3}">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F296</xm:sqref>
        </x14:conditionalFormatting>
        <x14:conditionalFormatting xmlns:xm="http://schemas.microsoft.com/office/excel/2006/main">
          <x14:cfRule type="iconSet" priority="3" id="{73831EC1-426F-4B42-AFCB-E05876D1B255}">
            <x14:iconSet iconSet="3Symbols" showValue="0" custom="1">
              <x14:cfvo type="percent">
                <xm:f>0</xm:f>
              </x14:cfvo>
              <x14:cfvo type="num">
                <xm:f>0</xm:f>
              </x14:cfvo>
              <x14:cfvo type="num">
                <xm:f>1</xm:f>
              </x14:cfvo>
              <x14:cfIcon iconSet="3Symbols" iconId="0"/>
              <x14:cfIcon iconSet="4RedToBlack" iconId="1"/>
              <x14:cfIcon iconSet="3Symbols" iconId="2"/>
            </x14:iconSet>
          </x14:cfRule>
          <xm:sqref>F298:F317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6BA66-15B4-4046-89A0-47E79F357F57}">
  <dimension ref="A2:U424"/>
  <sheetViews>
    <sheetView zoomScale="85" zoomScaleNormal="85" workbookViewId="0">
      <selection activeCell="C120" sqref="C120"/>
    </sheetView>
  </sheetViews>
  <sheetFormatPr defaultRowHeight="15"/>
  <cols>
    <col min="1" max="1" width="10.7109375" bestFit="1" customWidth="1"/>
    <col min="2" max="2" width="25" customWidth="1"/>
    <col min="3" max="3" width="15.5703125" customWidth="1"/>
    <col min="5" max="5" width="25" customWidth="1"/>
    <col min="6" max="6" width="15.5703125" customWidth="1"/>
    <col min="8" max="8" width="25" customWidth="1"/>
    <col min="9" max="9" width="15.5703125" customWidth="1"/>
    <col min="11" max="11" width="25" customWidth="1"/>
    <col min="12" max="12" width="15.5703125" customWidth="1"/>
    <col min="14" max="14" width="25" customWidth="1"/>
    <col min="15" max="15" width="15.5703125" customWidth="1"/>
    <col min="17" max="17" width="25" customWidth="1"/>
    <col min="18" max="18" width="15.5703125" customWidth="1"/>
    <col min="20" max="20" width="25" customWidth="1"/>
    <col min="21" max="21" width="15.5703125" customWidth="1"/>
  </cols>
  <sheetData>
    <row r="2" spans="1:21">
      <c r="B2" s="72" t="s">
        <v>10</v>
      </c>
      <c r="C2" s="72" t="str">
        <f>B2 &amp;" Price"</f>
        <v>Tritanium Price</v>
      </c>
      <c r="E2" s="72" t="s">
        <v>11</v>
      </c>
      <c r="F2" s="72" t="str">
        <f>E2 &amp;" Price"</f>
        <v>Pyerite Price</v>
      </c>
      <c r="H2" s="72" t="s">
        <v>12</v>
      </c>
      <c r="I2" s="72" t="str">
        <f>H2 &amp;" Price"</f>
        <v>Mexallon Price</v>
      </c>
      <c r="K2" s="72" t="s">
        <v>13</v>
      </c>
      <c r="L2" s="72" t="str">
        <f>K2 &amp;" Price"</f>
        <v>Isogen Price</v>
      </c>
      <c r="N2" s="72" t="s">
        <v>14</v>
      </c>
      <c r="O2" s="72" t="str">
        <f>N2 &amp;" Price"</f>
        <v>Nocxium Price</v>
      </c>
      <c r="Q2" s="72" t="s">
        <v>15</v>
      </c>
      <c r="R2" s="72" t="str">
        <f>Q2 &amp;" Price"</f>
        <v>Zydrine Price</v>
      </c>
      <c r="T2" s="72" t="s">
        <v>16</v>
      </c>
      <c r="U2" s="72" t="str">
        <f>T2 &amp;" Price"</f>
        <v>Megacyte Price</v>
      </c>
    </row>
    <row r="3" spans="1:21">
      <c r="B3" s="215" t="s">
        <v>311</v>
      </c>
      <c r="C3" s="215"/>
      <c r="E3" s="215" t="s">
        <v>312</v>
      </c>
      <c r="F3" s="215"/>
      <c r="H3" s="215" t="s">
        <v>313</v>
      </c>
      <c r="I3" s="215"/>
      <c r="K3" s="215" t="s">
        <v>314</v>
      </c>
      <c r="L3" s="215"/>
      <c r="N3" s="215" t="s">
        <v>315</v>
      </c>
      <c r="O3" s="215"/>
      <c r="Q3" s="215" t="s">
        <v>316</v>
      </c>
      <c r="R3" s="215"/>
      <c r="T3" s="215" t="s">
        <v>317</v>
      </c>
      <c r="U3" s="215"/>
    </row>
    <row r="4" spans="1:21">
      <c r="A4" s="73"/>
      <c r="B4" s="73">
        <v>45257</v>
      </c>
      <c r="C4">
        <v>4.25</v>
      </c>
      <c r="E4" s="73">
        <v>45257</v>
      </c>
      <c r="F4">
        <v>10.119999999999999</v>
      </c>
      <c r="H4" s="73">
        <v>45257</v>
      </c>
      <c r="I4">
        <v>52.52</v>
      </c>
      <c r="K4" s="73">
        <v>45257</v>
      </c>
      <c r="L4">
        <v>459.6</v>
      </c>
      <c r="N4" s="73">
        <v>45257</v>
      </c>
      <c r="O4">
        <v>1110</v>
      </c>
      <c r="Q4" s="73">
        <v>45257</v>
      </c>
      <c r="R4">
        <v>1980</v>
      </c>
      <c r="T4" s="73">
        <v>45257</v>
      </c>
      <c r="U4">
        <v>5500</v>
      </c>
    </row>
    <row r="5" spans="1:21">
      <c r="A5" s="73"/>
      <c r="B5" s="73">
        <v>45256</v>
      </c>
      <c r="C5">
        <v>4.2699999999999996</v>
      </c>
      <c r="E5" s="73">
        <v>45256</v>
      </c>
      <c r="F5">
        <v>10.19</v>
      </c>
      <c r="H5" s="73">
        <v>45256</v>
      </c>
      <c r="I5">
        <v>54.8</v>
      </c>
      <c r="K5" s="73">
        <v>45256</v>
      </c>
      <c r="L5">
        <v>458.6</v>
      </c>
      <c r="N5" s="73">
        <v>45256</v>
      </c>
      <c r="O5">
        <v>1139</v>
      </c>
      <c r="Q5" s="73">
        <v>45256</v>
      </c>
      <c r="R5">
        <v>1975</v>
      </c>
      <c r="T5" s="73">
        <v>45256</v>
      </c>
      <c r="U5">
        <v>5500</v>
      </c>
    </row>
    <row r="6" spans="1:21">
      <c r="A6" s="73"/>
      <c r="B6" s="73">
        <v>45255</v>
      </c>
      <c r="C6">
        <v>4.25</v>
      </c>
      <c r="E6" s="73">
        <v>45255</v>
      </c>
      <c r="F6">
        <v>10.18</v>
      </c>
      <c r="H6" s="73">
        <v>45255</v>
      </c>
      <c r="I6">
        <v>54.3</v>
      </c>
      <c r="K6" s="73">
        <v>45255</v>
      </c>
      <c r="L6">
        <v>459.4</v>
      </c>
      <c r="N6" s="73">
        <v>45255</v>
      </c>
      <c r="O6">
        <v>1135</v>
      </c>
      <c r="Q6" s="73">
        <v>45255</v>
      </c>
      <c r="R6">
        <v>1976</v>
      </c>
      <c r="T6" s="73">
        <v>45255</v>
      </c>
      <c r="U6">
        <v>5617</v>
      </c>
    </row>
    <row r="7" spans="1:21">
      <c r="A7" s="73"/>
      <c r="B7" s="73">
        <v>45254</v>
      </c>
      <c r="C7">
        <v>4.16</v>
      </c>
      <c r="E7" s="73">
        <v>45254</v>
      </c>
      <c r="F7">
        <v>9.98</v>
      </c>
      <c r="H7" s="73">
        <v>45254</v>
      </c>
      <c r="I7">
        <v>54.92</v>
      </c>
      <c r="K7" s="73">
        <v>45254</v>
      </c>
      <c r="L7">
        <v>478.4</v>
      </c>
      <c r="N7" s="73">
        <v>45254</v>
      </c>
      <c r="O7">
        <v>1155</v>
      </c>
      <c r="Q7" s="73">
        <v>45254</v>
      </c>
      <c r="R7">
        <v>1932</v>
      </c>
      <c r="T7" s="73">
        <v>45254</v>
      </c>
      <c r="U7">
        <v>5585</v>
      </c>
    </row>
    <row r="8" spans="1:21">
      <c r="A8" s="73"/>
      <c r="B8" s="73">
        <v>45253</v>
      </c>
      <c r="C8">
        <v>4.28</v>
      </c>
      <c r="E8" s="73">
        <v>45253</v>
      </c>
      <c r="F8">
        <v>10.16</v>
      </c>
      <c r="H8" s="73">
        <v>45253</v>
      </c>
      <c r="I8">
        <v>64.95</v>
      </c>
      <c r="K8" s="73">
        <v>45253</v>
      </c>
      <c r="L8">
        <v>473.9</v>
      </c>
      <c r="N8" s="73">
        <v>45253</v>
      </c>
      <c r="O8">
        <v>1167</v>
      </c>
      <c r="Q8" s="73">
        <v>45253</v>
      </c>
      <c r="R8">
        <v>1915</v>
      </c>
      <c r="T8" s="73">
        <v>45253</v>
      </c>
      <c r="U8">
        <v>5499</v>
      </c>
    </row>
    <row r="9" spans="1:21">
      <c r="A9" s="73"/>
      <c r="B9" s="73">
        <v>45252</v>
      </c>
      <c r="C9">
        <v>4.26</v>
      </c>
      <c r="E9" s="73">
        <v>45252</v>
      </c>
      <c r="F9">
        <v>10.15</v>
      </c>
      <c r="H9" s="73">
        <v>45252</v>
      </c>
      <c r="I9">
        <v>52.56</v>
      </c>
      <c r="K9" s="73">
        <v>45252</v>
      </c>
      <c r="L9">
        <v>464.8</v>
      </c>
      <c r="N9" s="73">
        <v>45252</v>
      </c>
      <c r="O9">
        <v>1168</v>
      </c>
      <c r="Q9" s="73">
        <v>45252</v>
      </c>
      <c r="R9">
        <v>1913</v>
      </c>
      <c r="T9" s="73">
        <v>45252</v>
      </c>
      <c r="U9">
        <v>5294</v>
      </c>
    </row>
    <row r="10" spans="1:21">
      <c r="A10" s="73"/>
      <c r="B10" s="73">
        <v>45251</v>
      </c>
      <c r="C10">
        <v>4.25</v>
      </c>
      <c r="E10" s="73">
        <v>45251</v>
      </c>
      <c r="F10">
        <v>10.210000000000001</v>
      </c>
      <c r="H10" s="73">
        <v>45251</v>
      </c>
      <c r="I10">
        <v>52.55</v>
      </c>
      <c r="K10" s="73">
        <v>45251</v>
      </c>
      <c r="L10">
        <v>464.9</v>
      </c>
      <c r="N10" s="73">
        <v>45251</v>
      </c>
      <c r="O10">
        <v>1198</v>
      </c>
      <c r="Q10" s="73">
        <v>45251</v>
      </c>
      <c r="R10">
        <v>1908</v>
      </c>
      <c r="T10" s="73">
        <v>45251</v>
      </c>
      <c r="U10">
        <v>5244</v>
      </c>
    </row>
    <row r="11" spans="1:21">
      <c r="A11" s="73"/>
      <c r="B11" s="73">
        <v>45250</v>
      </c>
      <c r="C11">
        <v>4.1900000000000004</v>
      </c>
      <c r="E11" s="73">
        <v>45250</v>
      </c>
      <c r="F11">
        <v>10.19</v>
      </c>
      <c r="H11" s="73">
        <v>45250</v>
      </c>
      <c r="I11">
        <v>52.54</v>
      </c>
      <c r="K11" s="73">
        <v>45250</v>
      </c>
      <c r="L11">
        <v>460</v>
      </c>
      <c r="N11" s="73">
        <v>45250</v>
      </c>
      <c r="O11">
        <v>1100</v>
      </c>
      <c r="Q11" s="73">
        <v>45250</v>
      </c>
      <c r="R11">
        <v>1884</v>
      </c>
      <c r="T11" s="73">
        <v>45250</v>
      </c>
      <c r="U11">
        <v>5199</v>
      </c>
    </row>
    <row r="12" spans="1:21">
      <c r="A12" s="73"/>
      <c r="B12" s="73">
        <v>45249</v>
      </c>
      <c r="C12">
        <v>4.21</v>
      </c>
      <c r="E12" s="73">
        <v>45249</v>
      </c>
      <c r="F12">
        <v>10</v>
      </c>
      <c r="H12" s="73">
        <v>45249</v>
      </c>
      <c r="I12">
        <v>51</v>
      </c>
      <c r="K12" s="73">
        <v>45249</v>
      </c>
      <c r="L12">
        <v>468.8</v>
      </c>
      <c r="N12" s="73">
        <v>45249</v>
      </c>
      <c r="O12">
        <v>1169</v>
      </c>
      <c r="Q12" s="73">
        <v>45249</v>
      </c>
      <c r="R12">
        <v>1899</v>
      </c>
      <c r="T12" s="73">
        <v>45249</v>
      </c>
      <c r="U12">
        <v>5070</v>
      </c>
    </row>
    <row r="13" spans="1:21">
      <c r="A13" s="73"/>
      <c r="B13" s="73">
        <v>45248</v>
      </c>
      <c r="C13">
        <v>4.25</v>
      </c>
      <c r="E13" s="73">
        <v>45248</v>
      </c>
      <c r="F13">
        <v>10.3</v>
      </c>
      <c r="H13" s="73">
        <v>45248</v>
      </c>
      <c r="I13">
        <v>51.04</v>
      </c>
      <c r="K13" s="73">
        <v>45248</v>
      </c>
      <c r="L13">
        <v>469.8</v>
      </c>
      <c r="N13" s="73">
        <v>45248</v>
      </c>
      <c r="O13">
        <v>1144</v>
      </c>
      <c r="Q13" s="73">
        <v>45248</v>
      </c>
      <c r="R13">
        <v>1928</v>
      </c>
      <c r="T13" s="73">
        <v>45248</v>
      </c>
      <c r="U13">
        <v>5194</v>
      </c>
    </row>
    <row r="14" spans="1:21">
      <c r="A14" s="73"/>
      <c r="B14" s="73">
        <v>45247</v>
      </c>
      <c r="C14">
        <v>4.26</v>
      </c>
      <c r="E14" s="73">
        <v>45247</v>
      </c>
      <c r="F14">
        <v>10.17</v>
      </c>
      <c r="H14" s="73">
        <v>45247</v>
      </c>
      <c r="I14">
        <v>52.34</v>
      </c>
      <c r="K14" s="73">
        <v>45247</v>
      </c>
      <c r="L14">
        <v>455.7</v>
      </c>
      <c r="N14" s="73">
        <v>45247</v>
      </c>
      <c r="O14">
        <v>1143</v>
      </c>
      <c r="Q14" s="73">
        <v>45247</v>
      </c>
      <c r="R14">
        <v>1914</v>
      </c>
      <c r="T14" s="73">
        <v>45247</v>
      </c>
      <c r="U14">
        <v>5078</v>
      </c>
    </row>
    <row r="15" spans="1:21">
      <c r="A15" s="73"/>
      <c r="B15" s="73">
        <v>45246</v>
      </c>
      <c r="C15">
        <v>4.25</v>
      </c>
      <c r="E15" s="73">
        <v>45246</v>
      </c>
      <c r="F15">
        <v>10.119999999999999</v>
      </c>
      <c r="H15" s="73">
        <v>45246</v>
      </c>
      <c r="I15">
        <v>52.67</v>
      </c>
      <c r="K15" s="73">
        <v>45246</v>
      </c>
      <c r="L15">
        <v>441.3</v>
      </c>
      <c r="N15" s="73">
        <v>45246</v>
      </c>
      <c r="O15">
        <v>1130</v>
      </c>
      <c r="Q15" s="73">
        <v>45246</v>
      </c>
      <c r="R15">
        <v>1933</v>
      </c>
      <c r="T15" s="73">
        <v>45246</v>
      </c>
      <c r="U15">
        <v>5002</v>
      </c>
    </row>
    <row r="16" spans="1:21">
      <c r="A16" s="73"/>
      <c r="B16" s="73">
        <v>45245</v>
      </c>
      <c r="C16">
        <v>4.2699999999999996</v>
      </c>
      <c r="E16" s="73">
        <v>45245</v>
      </c>
      <c r="F16">
        <v>10.32</v>
      </c>
      <c r="H16" s="73">
        <v>45245</v>
      </c>
      <c r="I16">
        <v>53.28</v>
      </c>
      <c r="K16" s="73">
        <v>45245</v>
      </c>
      <c r="L16">
        <v>458.5</v>
      </c>
      <c r="N16" s="73">
        <v>45245</v>
      </c>
      <c r="O16">
        <v>1153</v>
      </c>
      <c r="Q16" s="73">
        <v>45245</v>
      </c>
      <c r="R16">
        <v>1933</v>
      </c>
      <c r="T16" s="73">
        <v>45245</v>
      </c>
      <c r="U16">
        <v>4984</v>
      </c>
    </row>
    <row r="17" spans="1:21">
      <c r="A17" s="73"/>
      <c r="B17" s="73">
        <v>45244</v>
      </c>
      <c r="C17">
        <v>4.1900000000000004</v>
      </c>
      <c r="E17" s="73">
        <v>45244</v>
      </c>
      <c r="F17">
        <v>10.45</v>
      </c>
      <c r="H17" s="73">
        <v>45244</v>
      </c>
      <c r="I17">
        <v>52.49</v>
      </c>
      <c r="K17" s="73">
        <v>45244</v>
      </c>
      <c r="L17">
        <v>457.2</v>
      </c>
      <c r="N17" s="73">
        <v>45244</v>
      </c>
      <c r="O17">
        <v>1170</v>
      </c>
      <c r="Q17" s="73">
        <v>45244</v>
      </c>
      <c r="R17">
        <v>1953</v>
      </c>
      <c r="T17" s="73">
        <v>45244</v>
      </c>
      <c r="U17">
        <v>4995</v>
      </c>
    </row>
    <row r="18" spans="1:21">
      <c r="A18" s="73"/>
      <c r="B18" s="73">
        <v>45243</v>
      </c>
      <c r="C18">
        <v>4.2</v>
      </c>
      <c r="E18" s="73">
        <v>45243</v>
      </c>
      <c r="F18">
        <v>10.52</v>
      </c>
      <c r="H18" s="73">
        <v>45243</v>
      </c>
      <c r="I18">
        <v>52</v>
      </c>
      <c r="K18" s="73">
        <v>45243</v>
      </c>
      <c r="L18">
        <v>458</v>
      </c>
      <c r="N18" s="73">
        <v>45243</v>
      </c>
      <c r="O18">
        <v>1176</v>
      </c>
      <c r="Q18" s="73">
        <v>45243</v>
      </c>
      <c r="R18">
        <v>1995</v>
      </c>
      <c r="T18" s="73">
        <v>45243</v>
      </c>
      <c r="U18">
        <v>5050</v>
      </c>
    </row>
    <row r="19" spans="1:21">
      <c r="A19" s="73"/>
      <c r="B19" s="73">
        <v>45242</v>
      </c>
      <c r="C19">
        <v>4.3</v>
      </c>
      <c r="E19" s="73">
        <v>45242</v>
      </c>
      <c r="F19">
        <v>10.6</v>
      </c>
      <c r="H19" s="73">
        <v>45242</v>
      </c>
      <c r="I19">
        <v>52.59</v>
      </c>
      <c r="K19" s="73">
        <v>45242</v>
      </c>
      <c r="L19">
        <v>461.6</v>
      </c>
      <c r="N19" s="73">
        <v>45242</v>
      </c>
      <c r="O19">
        <v>1188</v>
      </c>
      <c r="Q19" s="73">
        <v>45242</v>
      </c>
      <c r="R19">
        <v>2050</v>
      </c>
      <c r="T19" s="73">
        <v>45242</v>
      </c>
      <c r="U19">
        <v>4877</v>
      </c>
    </row>
    <row r="20" spans="1:21">
      <c r="A20" s="73"/>
      <c r="B20" s="73">
        <v>45241</v>
      </c>
      <c r="C20">
        <v>4.3099999999999996</v>
      </c>
      <c r="E20" s="73">
        <v>45241</v>
      </c>
      <c r="F20">
        <v>10.71</v>
      </c>
      <c r="H20" s="73">
        <v>45241</v>
      </c>
      <c r="I20">
        <v>55.6</v>
      </c>
      <c r="K20" s="73">
        <v>45241</v>
      </c>
      <c r="L20">
        <v>451.9</v>
      </c>
      <c r="N20" s="73">
        <v>45241</v>
      </c>
      <c r="O20">
        <v>1196</v>
      </c>
      <c r="Q20" s="73">
        <v>45241</v>
      </c>
      <c r="R20">
        <v>1951</v>
      </c>
      <c r="T20" s="73">
        <v>45241</v>
      </c>
      <c r="U20">
        <v>5071</v>
      </c>
    </row>
    <row r="21" spans="1:21">
      <c r="A21" s="73"/>
      <c r="B21" s="73">
        <v>45240</v>
      </c>
      <c r="C21">
        <v>4.28</v>
      </c>
      <c r="E21" s="73">
        <v>45240</v>
      </c>
      <c r="F21">
        <v>10.59</v>
      </c>
      <c r="H21" s="73">
        <v>45240</v>
      </c>
      <c r="I21">
        <v>55.47</v>
      </c>
      <c r="K21" s="73">
        <v>45240</v>
      </c>
      <c r="L21">
        <v>448.7</v>
      </c>
      <c r="N21" s="73">
        <v>45240</v>
      </c>
      <c r="O21">
        <v>1195</v>
      </c>
      <c r="Q21" s="73">
        <v>45240</v>
      </c>
      <c r="R21">
        <v>1954</v>
      </c>
      <c r="T21" s="73">
        <v>45240</v>
      </c>
      <c r="U21">
        <v>5048</v>
      </c>
    </row>
    <row r="22" spans="1:21">
      <c r="A22" s="73"/>
      <c r="B22" s="73">
        <v>45239</v>
      </c>
      <c r="C22">
        <v>4.28</v>
      </c>
      <c r="E22" s="73">
        <v>45239</v>
      </c>
      <c r="F22">
        <v>10.53</v>
      </c>
      <c r="H22" s="73">
        <v>45239</v>
      </c>
      <c r="I22">
        <v>54.7</v>
      </c>
      <c r="K22" s="73">
        <v>45239</v>
      </c>
      <c r="L22">
        <v>453.4</v>
      </c>
      <c r="N22" s="73">
        <v>45239</v>
      </c>
      <c r="O22">
        <v>1232</v>
      </c>
      <c r="Q22" s="73">
        <v>45239</v>
      </c>
      <c r="R22">
        <v>1928</v>
      </c>
      <c r="T22" s="73">
        <v>45239</v>
      </c>
      <c r="U22">
        <v>4954</v>
      </c>
    </row>
    <row r="23" spans="1:21">
      <c r="A23" s="73"/>
      <c r="B23" s="73">
        <v>45238</v>
      </c>
      <c r="C23">
        <v>4.18</v>
      </c>
      <c r="E23" s="73">
        <v>45238</v>
      </c>
      <c r="F23">
        <v>10.41</v>
      </c>
      <c r="H23" s="73">
        <v>45238</v>
      </c>
      <c r="I23">
        <v>54.75</v>
      </c>
      <c r="K23" s="73">
        <v>45238</v>
      </c>
      <c r="L23">
        <v>455.9</v>
      </c>
      <c r="N23" s="73">
        <v>45238</v>
      </c>
      <c r="O23">
        <v>1299</v>
      </c>
      <c r="Q23" s="73">
        <v>45238</v>
      </c>
      <c r="R23">
        <v>1957</v>
      </c>
      <c r="T23" s="73">
        <v>45238</v>
      </c>
      <c r="U23">
        <v>4994</v>
      </c>
    </row>
    <row r="24" spans="1:21">
      <c r="A24" s="73"/>
      <c r="B24" s="73">
        <v>45237</v>
      </c>
      <c r="C24">
        <v>4.3</v>
      </c>
      <c r="E24" s="73">
        <v>45237</v>
      </c>
      <c r="F24">
        <v>10.38</v>
      </c>
      <c r="H24" s="73">
        <v>45237</v>
      </c>
      <c r="I24">
        <v>55.67</v>
      </c>
      <c r="K24" s="73">
        <v>45237</v>
      </c>
      <c r="L24">
        <v>465.8</v>
      </c>
      <c r="N24" s="73">
        <v>45237</v>
      </c>
      <c r="O24">
        <v>1280</v>
      </c>
      <c r="Q24" s="73">
        <v>45237</v>
      </c>
      <c r="R24">
        <v>1950</v>
      </c>
      <c r="T24" s="73">
        <v>45237</v>
      </c>
      <c r="U24">
        <v>5025</v>
      </c>
    </row>
    <row r="25" spans="1:21">
      <c r="A25" s="73"/>
      <c r="B25" s="73">
        <v>45236</v>
      </c>
      <c r="C25">
        <v>4.28</v>
      </c>
      <c r="E25" s="73">
        <v>45236</v>
      </c>
      <c r="F25">
        <v>10.35</v>
      </c>
      <c r="H25" s="73">
        <v>45236</v>
      </c>
      <c r="I25">
        <v>55.94</v>
      </c>
      <c r="K25" s="73">
        <v>45236</v>
      </c>
      <c r="L25">
        <v>470.6</v>
      </c>
      <c r="N25" s="73">
        <v>45236</v>
      </c>
      <c r="O25">
        <v>1257</v>
      </c>
      <c r="Q25" s="73">
        <v>45236</v>
      </c>
      <c r="R25">
        <v>1905</v>
      </c>
      <c r="T25" s="73">
        <v>45236</v>
      </c>
      <c r="U25">
        <v>4992</v>
      </c>
    </row>
    <row r="26" spans="1:21">
      <c r="A26" s="73"/>
      <c r="B26" s="73">
        <v>45235</v>
      </c>
      <c r="C26">
        <v>4.33</v>
      </c>
      <c r="E26" s="73">
        <v>45235</v>
      </c>
      <c r="F26">
        <v>10.42</v>
      </c>
      <c r="H26" s="73">
        <v>45235</v>
      </c>
      <c r="I26">
        <v>56.38</v>
      </c>
      <c r="K26" s="73">
        <v>45235</v>
      </c>
      <c r="L26">
        <v>482.6</v>
      </c>
      <c r="N26" s="73">
        <v>45235</v>
      </c>
      <c r="O26">
        <v>1220</v>
      </c>
      <c r="Q26" s="73">
        <v>45235</v>
      </c>
      <c r="R26">
        <v>1907</v>
      </c>
      <c r="T26" s="73">
        <v>45235</v>
      </c>
      <c r="U26">
        <v>5013</v>
      </c>
    </row>
    <row r="27" spans="1:21">
      <c r="A27" s="73"/>
      <c r="B27" s="73">
        <v>45234</v>
      </c>
      <c r="C27">
        <v>4.3</v>
      </c>
      <c r="E27" s="73">
        <v>45234</v>
      </c>
      <c r="F27">
        <v>10.46</v>
      </c>
      <c r="H27" s="73">
        <v>45234</v>
      </c>
      <c r="I27">
        <v>56.69</v>
      </c>
      <c r="K27" s="73">
        <v>45234</v>
      </c>
      <c r="L27">
        <v>488</v>
      </c>
      <c r="N27" s="73">
        <v>45234</v>
      </c>
      <c r="O27">
        <v>1249</v>
      </c>
      <c r="Q27" s="73">
        <v>45234</v>
      </c>
      <c r="R27">
        <v>1919</v>
      </c>
      <c r="T27" s="73">
        <v>45234</v>
      </c>
      <c r="U27">
        <v>5008</v>
      </c>
    </row>
    <row r="28" spans="1:21">
      <c r="A28" s="73"/>
      <c r="B28" s="73">
        <v>45233</v>
      </c>
      <c r="C28">
        <v>4.2300000000000004</v>
      </c>
      <c r="E28" s="73">
        <v>45233</v>
      </c>
      <c r="F28">
        <v>10.09</v>
      </c>
      <c r="H28" s="73">
        <v>45233</v>
      </c>
      <c r="I28">
        <v>59.64</v>
      </c>
      <c r="K28" s="73">
        <v>45233</v>
      </c>
      <c r="L28">
        <v>493.5</v>
      </c>
      <c r="N28" s="73">
        <v>45233</v>
      </c>
      <c r="O28">
        <v>1302</v>
      </c>
      <c r="Q28" s="73">
        <v>45233</v>
      </c>
      <c r="R28">
        <v>1963</v>
      </c>
      <c r="T28" s="73">
        <v>45233</v>
      </c>
      <c r="U28">
        <v>5010</v>
      </c>
    </row>
    <row r="29" spans="1:21">
      <c r="A29" s="73"/>
      <c r="B29" s="73">
        <v>45232</v>
      </c>
      <c r="C29">
        <v>4.34</v>
      </c>
      <c r="E29" s="73">
        <v>45232</v>
      </c>
      <c r="F29">
        <v>10.59</v>
      </c>
      <c r="H29" s="73">
        <v>45232</v>
      </c>
      <c r="I29">
        <v>61.35</v>
      </c>
      <c r="K29" s="73">
        <v>45232</v>
      </c>
      <c r="L29">
        <v>488</v>
      </c>
      <c r="N29" s="73">
        <v>45232</v>
      </c>
      <c r="O29">
        <v>1298</v>
      </c>
      <c r="Q29" s="73">
        <v>45232</v>
      </c>
      <c r="R29">
        <v>1973</v>
      </c>
      <c r="T29" s="73">
        <v>45232</v>
      </c>
      <c r="U29">
        <v>4977</v>
      </c>
    </row>
    <row r="30" spans="1:21">
      <c r="A30" s="73"/>
      <c r="B30" s="73">
        <v>45231</v>
      </c>
      <c r="C30">
        <v>4.3899999999999997</v>
      </c>
      <c r="E30" s="73">
        <v>45231</v>
      </c>
      <c r="F30">
        <v>10.47</v>
      </c>
      <c r="H30" s="73">
        <v>45231</v>
      </c>
      <c r="I30">
        <v>61.89</v>
      </c>
      <c r="K30" s="73">
        <v>45231</v>
      </c>
      <c r="L30">
        <v>498.8</v>
      </c>
      <c r="N30" s="73">
        <v>45231</v>
      </c>
      <c r="O30">
        <v>1248</v>
      </c>
      <c r="Q30" s="73">
        <v>45231</v>
      </c>
      <c r="R30">
        <v>1992</v>
      </c>
      <c r="T30" s="73">
        <v>45231</v>
      </c>
      <c r="U30">
        <v>4966</v>
      </c>
    </row>
    <row r="31" spans="1:21">
      <c r="A31" s="73"/>
      <c r="B31" s="73">
        <v>45230</v>
      </c>
      <c r="C31">
        <v>4.41</v>
      </c>
      <c r="E31" s="73">
        <v>45230</v>
      </c>
      <c r="F31">
        <v>10.54</v>
      </c>
      <c r="H31" s="73">
        <v>45230</v>
      </c>
      <c r="I31">
        <v>60.1</v>
      </c>
      <c r="K31" s="73">
        <v>45230</v>
      </c>
      <c r="L31">
        <v>496.7</v>
      </c>
      <c r="N31" s="73">
        <v>45230</v>
      </c>
      <c r="O31">
        <v>1190</v>
      </c>
      <c r="Q31" s="73">
        <v>45230</v>
      </c>
      <c r="R31">
        <v>2025</v>
      </c>
      <c r="T31" s="73">
        <v>45230</v>
      </c>
      <c r="U31">
        <v>4921</v>
      </c>
    </row>
    <row r="32" spans="1:21">
      <c r="A32" s="73"/>
      <c r="B32" s="73">
        <v>45229</v>
      </c>
      <c r="C32">
        <v>4.24</v>
      </c>
      <c r="E32" s="73">
        <v>45229</v>
      </c>
      <c r="F32">
        <v>10.71</v>
      </c>
      <c r="H32" s="73">
        <v>45229</v>
      </c>
      <c r="I32">
        <v>61.12</v>
      </c>
      <c r="K32" s="73">
        <v>45229</v>
      </c>
      <c r="L32">
        <v>484.5</v>
      </c>
      <c r="N32" s="73">
        <v>45229</v>
      </c>
      <c r="O32">
        <v>1188</v>
      </c>
      <c r="Q32" s="73">
        <v>45229</v>
      </c>
      <c r="R32">
        <v>2023</v>
      </c>
      <c r="T32" s="73">
        <v>45229</v>
      </c>
      <c r="U32">
        <v>4979</v>
      </c>
    </row>
    <row r="33" spans="1:21">
      <c r="A33" s="73"/>
      <c r="B33" s="73">
        <v>45228</v>
      </c>
      <c r="C33">
        <v>4.34</v>
      </c>
      <c r="E33" s="73">
        <v>45228</v>
      </c>
      <c r="F33">
        <v>10.88</v>
      </c>
      <c r="H33" s="73">
        <v>45228</v>
      </c>
      <c r="I33">
        <v>64.34</v>
      </c>
      <c r="K33" s="73">
        <v>45228</v>
      </c>
      <c r="L33">
        <v>479.3</v>
      </c>
      <c r="N33" s="73">
        <v>45228</v>
      </c>
      <c r="O33">
        <v>1198</v>
      </c>
      <c r="Q33" s="73">
        <v>45228</v>
      </c>
      <c r="R33">
        <v>2001</v>
      </c>
      <c r="T33" s="73">
        <v>45228</v>
      </c>
      <c r="U33">
        <v>4987</v>
      </c>
    </row>
    <row r="34" spans="1:21">
      <c r="A34" s="73"/>
      <c r="B34" s="73">
        <v>45227</v>
      </c>
      <c r="C34">
        <v>4.29</v>
      </c>
      <c r="E34" s="73">
        <v>45227</v>
      </c>
      <c r="F34">
        <v>10.85</v>
      </c>
      <c r="H34" s="73">
        <v>45227</v>
      </c>
      <c r="I34">
        <v>58</v>
      </c>
      <c r="K34" s="73">
        <v>45227</v>
      </c>
      <c r="L34">
        <v>473.6</v>
      </c>
      <c r="N34" s="73">
        <v>45227</v>
      </c>
      <c r="O34">
        <v>1179</v>
      </c>
      <c r="Q34" s="73">
        <v>45227</v>
      </c>
      <c r="R34">
        <v>1993</v>
      </c>
      <c r="T34" s="73">
        <v>45227</v>
      </c>
      <c r="U34">
        <v>4938</v>
      </c>
    </row>
    <row r="35" spans="1:21">
      <c r="A35" s="73"/>
      <c r="B35" s="73">
        <v>45226</v>
      </c>
      <c r="C35">
        <v>4.3099999999999996</v>
      </c>
      <c r="E35" s="73">
        <v>45226</v>
      </c>
      <c r="F35">
        <v>10.9</v>
      </c>
      <c r="H35" s="73">
        <v>45226</v>
      </c>
      <c r="I35">
        <v>55.12</v>
      </c>
      <c r="K35" s="73">
        <v>45226</v>
      </c>
      <c r="L35">
        <v>458.3</v>
      </c>
      <c r="N35" s="73">
        <v>45226</v>
      </c>
      <c r="O35">
        <v>1189</v>
      </c>
      <c r="Q35" s="73">
        <v>45226</v>
      </c>
      <c r="R35">
        <v>1997</v>
      </c>
      <c r="T35" s="73">
        <v>45226</v>
      </c>
      <c r="U35">
        <v>4980</v>
      </c>
    </row>
    <row r="36" spans="1:21">
      <c r="A36" s="73"/>
      <c r="B36" s="73">
        <v>45225</v>
      </c>
      <c r="C36">
        <v>4.24</v>
      </c>
      <c r="E36" s="73">
        <v>45225</v>
      </c>
      <c r="F36">
        <v>10.5</v>
      </c>
      <c r="H36" s="73">
        <v>45225</v>
      </c>
      <c r="I36">
        <v>57.82</v>
      </c>
      <c r="K36" s="73">
        <v>45225</v>
      </c>
      <c r="L36">
        <v>461.7</v>
      </c>
      <c r="N36" s="73">
        <v>45225</v>
      </c>
      <c r="O36">
        <v>1189</v>
      </c>
      <c r="Q36" s="73">
        <v>45225</v>
      </c>
      <c r="R36">
        <v>2000</v>
      </c>
      <c r="T36" s="73">
        <v>45225</v>
      </c>
      <c r="U36">
        <v>4720</v>
      </c>
    </row>
    <row r="37" spans="1:21">
      <c r="A37" s="73"/>
      <c r="B37" s="73">
        <v>45224</v>
      </c>
      <c r="C37">
        <v>4.32</v>
      </c>
      <c r="E37" s="73">
        <v>45224</v>
      </c>
      <c r="F37">
        <v>10.43</v>
      </c>
      <c r="H37" s="73">
        <v>45224</v>
      </c>
      <c r="I37">
        <v>54.34</v>
      </c>
      <c r="K37" s="73">
        <v>45224</v>
      </c>
      <c r="L37">
        <v>464.2</v>
      </c>
      <c r="N37" s="73">
        <v>45224</v>
      </c>
      <c r="O37">
        <v>1162</v>
      </c>
      <c r="Q37" s="73">
        <v>45224</v>
      </c>
      <c r="R37">
        <v>1997</v>
      </c>
      <c r="T37" s="73">
        <v>45224</v>
      </c>
      <c r="U37">
        <v>4980</v>
      </c>
    </row>
    <row r="38" spans="1:21">
      <c r="A38" s="73"/>
      <c r="B38" s="73">
        <v>45223</v>
      </c>
      <c r="C38">
        <v>4.2699999999999996</v>
      </c>
      <c r="E38" s="73">
        <v>45223</v>
      </c>
      <c r="F38">
        <v>10.4</v>
      </c>
      <c r="H38" s="73">
        <v>45223</v>
      </c>
      <c r="I38">
        <v>53.87</v>
      </c>
      <c r="K38" s="73">
        <v>45223</v>
      </c>
      <c r="L38">
        <v>463.7</v>
      </c>
      <c r="N38" s="73">
        <v>45223</v>
      </c>
      <c r="O38">
        <v>1143</v>
      </c>
      <c r="Q38" s="73">
        <v>45223</v>
      </c>
      <c r="R38">
        <v>1999</v>
      </c>
      <c r="T38" s="73">
        <v>45223</v>
      </c>
      <c r="U38">
        <v>4562</v>
      </c>
    </row>
    <row r="39" spans="1:21">
      <c r="A39" s="73"/>
      <c r="B39" s="73">
        <v>45222</v>
      </c>
      <c r="C39">
        <v>4.1100000000000003</v>
      </c>
      <c r="E39" s="73">
        <v>45222</v>
      </c>
      <c r="F39">
        <v>10.25</v>
      </c>
      <c r="H39" s="73">
        <v>45222</v>
      </c>
      <c r="I39">
        <v>53.09</v>
      </c>
      <c r="K39" s="73">
        <v>45222</v>
      </c>
      <c r="L39">
        <v>459.9</v>
      </c>
      <c r="N39" s="73">
        <v>45222</v>
      </c>
      <c r="O39">
        <v>1142</v>
      </c>
      <c r="Q39" s="73">
        <v>45222</v>
      </c>
      <c r="R39">
        <v>1999</v>
      </c>
      <c r="T39" s="73">
        <v>45222</v>
      </c>
      <c r="U39">
        <v>4690</v>
      </c>
    </row>
    <row r="40" spans="1:21">
      <c r="A40" s="73"/>
      <c r="B40" s="73">
        <v>45221</v>
      </c>
      <c r="C40">
        <v>4.3600000000000003</v>
      </c>
      <c r="E40" s="73">
        <v>45221</v>
      </c>
      <c r="F40">
        <v>10.33</v>
      </c>
      <c r="H40" s="73">
        <v>45221</v>
      </c>
      <c r="I40">
        <v>53</v>
      </c>
      <c r="K40" s="73">
        <v>45221</v>
      </c>
      <c r="L40">
        <v>460</v>
      </c>
      <c r="N40" s="73">
        <v>45221</v>
      </c>
      <c r="O40">
        <v>1144</v>
      </c>
      <c r="Q40" s="73">
        <v>45221</v>
      </c>
      <c r="R40">
        <v>1932</v>
      </c>
      <c r="T40" s="73">
        <v>45221</v>
      </c>
      <c r="U40">
        <v>4645</v>
      </c>
    </row>
    <row r="41" spans="1:21">
      <c r="A41" s="73"/>
      <c r="B41" s="73">
        <v>45220</v>
      </c>
      <c r="C41">
        <v>4.24</v>
      </c>
      <c r="E41" s="73">
        <v>45220</v>
      </c>
      <c r="F41">
        <v>10.31</v>
      </c>
      <c r="H41" s="73">
        <v>45220</v>
      </c>
      <c r="I41">
        <v>52.93</v>
      </c>
      <c r="K41" s="73">
        <v>45220</v>
      </c>
      <c r="L41">
        <v>461.5</v>
      </c>
      <c r="N41" s="73">
        <v>45220</v>
      </c>
      <c r="O41">
        <v>1165</v>
      </c>
      <c r="Q41" s="73">
        <v>45220</v>
      </c>
      <c r="R41">
        <v>1931</v>
      </c>
      <c r="T41" s="73">
        <v>45220</v>
      </c>
      <c r="U41">
        <v>4648</v>
      </c>
    </row>
    <row r="42" spans="1:21">
      <c r="A42" s="73"/>
      <c r="B42" s="73">
        <v>45219</v>
      </c>
      <c r="C42">
        <v>4.3600000000000003</v>
      </c>
      <c r="E42" s="73">
        <v>45219</v>
      </c>
      <c r="F42">
        <v>10.18</v>
      </c>
      <c r="H42" s="73">
        <v>45219</v>
      </c>
      <c r="I42">
        <v>53</v>
      </c>
      <c r="K42" s="73">
        <v>45219</v>
      </c>
      <c r="L42">
        <v>461.4</v>
      </c>
      <c r="N42" s="73">
        <v>45219</v>
      </c>
      <c r="O42">
        <v>1161</v>
      </c>
      <c r="Q42" s="73">
        <v>45219</v>
      </c>
      <c r="R42">
        <v>1913</v>
      </c>
      <c r="T42" s="73">
        <v>45219</v>
      </c>
      <c r="U42">
        <v>4728</v>
      </c>
    </row>
    <row r="43" spans="1:21">
      <c r="A43" s="73"/>
      <c r="B43" s="73">
        <v>45218</v>
      </c>
      <c r="C43">
        <v>4.41</v>
      </c>
      <c r="E43" s="73">
        <v>45218</v>
      </c>
      <c r="F43">
        <v>9.75</v>
      </c>
      <c r="H43" s="73">
        <v>45218</v>
      </c>
      <c r="I43">
        <v>52.57</v>
      </c>
      <c r="K43" s="73">
        <v>45218</v>
      </c>
      <c r="L43">
        <v>463.8</v>
      </c>
      <c r="N43" s="73">
        <v>45218</v>
      </c>
      <c r="O43">
        <v>1157</v>
      </c>
      <c r="Q43" s="73">
        <v>45218</v>
      </c>
      <c r="R43">
        <v>1929</v>
      </c>
      <c r="T43" s="73">
        <v>45218</v>
      </c>
      <c r="U43">
        <v>4740</v>
      </c>
    </row>
    <row r="44" spans="1:21">
      <c r="A44" s="73"/>
      <c r="B44" s="73">
        <v>45217</v>
      </c>
      <c r="C44">
        <v>4.42</v>
      </c>
      <c r="E44" s="73">
        <v>45217</v>
      </c>
      <c r="F44">
        <v>10.17</v>
      </c>
      <c r="H44" s="73">
        <v>45217</v>
      </c>
      <c r="I44">
        <v>52.27</v>
      </c>
      <c r="K44" s="73">
        <v>45217</v>
      </c>
      <c r="L44">
        <v>465.6</v>
      </c>
      <c r="N44" s="73">
        <v>45217</v>
      </c>
      <c r="O44">
        <v>1111</v>
      </c>
      <c r="Q44" s="73">
        <v>45217</v>
      </c>
      <c r="R44">
        <v>1936</v>
      </c>
      <c r="T44" s="73">
        <v>45217</v>
      </c>
      <c r="U44">
        <v>4747</v>
      </c>
    </row>
    <row r="45" spans="1:21">
      <c r="A45" s="73"/>
      <c r="B45" s="73">
        <v>45216</v>
      </c>
      <c r="C45">
        <v>4.3899999999999997</v>
      </c>
      <c r="E45" s="73">
        <v>45216</v>
      </c>
      <c r="F45">
        <v>10.44</v>
      </c>
      <c r="H45" s="73">
        <v>45216</v>
      </c>
      <c r="I45">
        <v>50.6</v>
      </c>
      <c r="K45" s="73">
        <v>45216</v>
      </c>
      <c r="L45">
        <v>448</v>
      </c>
      <c r="N45" s="73">
        <v>45216</v>
      </c>
      <c r="O45">
        <v>1077</v>
      </c>
      <c r="Q45" s="73">
        <v>45216</v>
      </c>
      <c r="R45">
        <v>1941</v>
      </c>
      <c r="T45" s="73">
        <v>45216</v>
      </c>
      <c r="U45">
        <v>4500</v>
      </c>
    </row>
    <row r="46" spans="1:21">
      <c r="A46" s="73"/>
      <c r="B46" s="73">
        <v>45215</v>
      </c>
      <c r="C46">
        <v>4.3600000000000003</v>
      </c>
      <c r="E46" s="73">
        <v>45215</v>
      </c>
      <c r="F46">
        <v>9.9600000000000009</v>
      </c>
      <c r="H46" s="73">
        <v>45215</v>
      </c>
      <c r="I46">
        <v>50.15</v>
      </c>
      <c r="K46" s="73">
        <v>45215</v>
      </c>
      <c r="L46">
        <v>456.7</v>
      </c>
      <c r="N46" s="73">
        <v>45215</v>
      </c>
      <c r="O46">
        <v>1070</v>
      </c>
      <c r="Q46" s="73">
        <v>45215</v>
      </c>
      <c r="R46">
        <v>1920</v>
      </c>
      <c r="T46" s="73">
        <v>45215</v>
      </c>
      <c r="U46">
        <v>4661</v>
      </c>
    </row>
    <row r="47" spans="1:21">
      <c r="A47" s="73"/>
      <c r="B47" s="73">
        <v>45214</v>
      </c>
      <c r="C47">
        <v>4.28</v>
      </c>
      <c r="E47" s="73">
        <v>45214</v>
      </c>
      <c r="F47">
        <v>10.34</v>
      </c>
      <c r="H47" s="73">
        <v>45214</v>
      </c>
      <c r="I47">
        <v>50.1</v>
      </c>
      <c r="K47" s="73">
        <v>45214</v>
      </c>
      <c r="L47">
        <v>467</v>
      </c>
      <c r="N47" s="73">
        <v>45214</v>
      </c>
      <c r="O47">
        <v>1070</v>
      </c>
      <c r="Q47" s="73">
        <v>45214</v>
      </c>
      <c r="R47">
        <v>1907</v>
      </c>
      <c r="T47" s="73">
        <v>45214</v>
      </c>
      <c r="U47">
        <v>4600</v>
      </c>
    </row>
    <row r="48" spans="1:21">
      <c r="A48" s="73"/>
      <c r="B48" s="73">
        <v>45213</v>
      </c>
      <c r="C48">
        <v>4.25</v>
      </c>
      <c r="E48" s="73">
        <v>45213</v>
      </c>
      <c r="F48">
        <v>10.17</v>
      </c>
      <c r="H48" s="73">
        <v>45213</v>
      </c>
      <c r="I48">
        <v>50.2</v>
      </c>
      <c r="K48" s="73">
        <v>45213</v>
      </c>
      <c r="L48">
        <v>452.6</v>
      </c>
      <c r="N48" s="73">
        <v>45213</v>
      </c>
      <c r="O48">
        <v>1044</v>
      </c>
      <c r="Q48" s="73">
        <v>45213</v>
      </c>
      <c r="R48">
        <v>1900</v>
      </c>
      <c r="T48" s="73">
        <v>45213</v>
      </c>
      <c r="U48">
        <v>4490</v>
      </c>
    </row>
    <row r="49" spans="1:21">
      <c r="A49" s="73"/>
      <c r="B49" s="73">
        <v>45212</v>
      </c>
      <c r="C49">
        <v>4.33</v>
      </c>
      <c r="E49" s="73">
        <v>45212</v>
      </c>
      <c r="F49">
        <v>10</v>
      </c>
      <c r="H49" s="73">
        <v>45212</v>
      </c>
      <c r="I49">
        <v>50.2</v>
      </c>
      <c r="K49" s="73">
        <v>45212</v>
      </c>
      <c r="L49">
        <v>446.7</v>
      </c>
      <c r="N49" s="73">
        <v>45212</v>
      </c>
      <c r="O49">
        <v>1043</v>
      </c>
      <c r="Q49" s="73">
        <v>45212</v>
      </c>
      <c r="R49">
        <v>1851</v>
      </c>
      <c r="T49" s="73">
        <v>45212</v>
      </c>
      <c r="U49">
        <v>4505</v>
      </c>
    </row>
    <row r="50" spans="1:21">
      <c r="A50" s="73"/>
      <c r="B50" s="73">
        <v>45211</v>
      </c>
      <c r="C50">
        <v>4.38</v>
      </c>
      <c r="E50" s="73">
        <v>45211</v>
      </c>
      <c r="F50">
        <v>9.9600000000000009</v>
      </c>
      <c r="H50" s="73">
        <v>45211</v>
      </c>
      <c r="I50">
        <v>50.22</v>
      </c>
      <c r="K50" s="73">
        <v>45211</v>
      </c>
      <c r="L50">
        <v>448.1</v>
      </c>
      <c r="N50" s="73">
        <v>45211</v>
      </c>
      <c r="O50">
        <v>1059</v>
      </c>
      <c r="Q50" s="73">
        <v>45211</v>
      </c>
      <c r="R50">
        <v>1879</v>
      </c>
      <c r="T50" s="73">
        <v>45211</v>
      </c>
      <c r="U50">
        <v>4517</v>
      </c>
    </row>
    <row r="51" spans="1:21">
      <c r="A51" s="73"/>
      <c r="B51" s="73">
        <v>45210</v>
      </c>
      <c r="C51">
        <v>4.33</v>
      </c>
      <c r="E51" s="73">
        <v>45210</v>
      </c>
      <c r="F51">
        <v>9.8699999999999992</v>
      </c>
      <c r="H51" s="73">
        <v>45210</v>
      </c>
      <c r="I51">
        <v>50.49</v>
      </c>
      <c r="K51" s="73">
        <v>45210</v>
      </c>
      <c r="L51">
        <v>452.3</v>
      </c>
      <c r="N51" s="73">
        <v>45210</v>
      </c>
      <c r="O51">
        <v>1070</v>
      </c>
      <c r="Q51" s="73">
        <v>45210</v>
      </c>
      <c r="R51">
        <v>1883</v>
      </c>
      <c r="T51" s="73">
        <v>45210</v>
      </c>
      <c r="U51">
        <v>4562</v>
      </c>
    </row>
    <row r="52" spans="1:21">
      <c r="A52" s="73"/>
      <c r="B52" s="73">
        <v>45209</v>
      </c>
      <c r="C52">
        <v>4.2699999999999996</v>
      </c>
      <c r="E52" s="73">
        <v>45209</v>
      </c>
      <c r="F52">
        <v>9.84</v>
      </c>
      <c r="H52" s="73">
        <v>45209</v>
      </c>
      <c r="I52">
        <v>50.89</v>
      </c>
      <c r="K52" s="73">
        <v>45209</v>
      </c>
      <c r="L52">
        <v>453</v>
      </c>
      <c r="N52" s="73">
        <v>45209</v>
      </c>
      <c r="O52">
        <v>1079</v>
      </c>
      <c r="Q52" s="73">
        <v>45209</v>
      </c>
      <c r="R52">
        <v>1897</v>
      </c>
      <c r="T52" s="73">
        <v>45209</v>
      </c>
      <c r="U52">
        <v>4530</v>
      </c>
    </row>
    <row r="53" spans="1:21">
      <c r="A53" s="73"/>
      <c r="B53" s="73">
        <v>45208</v>
      </c>
      <c r="C53">
        <v>4.26</v>
      </c>
      <c r="E53" s="73">
        <v>45208</v>
      </c>
      <c r="F53">
        <v>9.9499999999999993</v>
      </c>
      <c r="H53" s="73">
        <v>45208</v>
      </c>
      <c r="I53">
        <v>52.18</v>
      </c>
      <c r="K53" s="73">
        <v>45208</v>
      </c>
      <c r="L53">
        <v>454.4</v>
      </c>
      <c r="N53" s="73">
        <v>45208</v>
      </c>
      <c r="O53">
        <v>1105</v>
      </c>
      <c r="Q53" s="73">
        <v>45208</v>
      </c>
      <c r="R53">
        <v>1906</v>
      </c>
      <c r="T53" s="73">
        <v>45208</v>
      </c>
      <c r="U53">
        <v>4597</v>
      </c>
    </row>
    <row r="54" spans="1:21">
      <c r="A54" s="73"/>
      <c r="B54" s="73">
        <v>45207</v>
      </c>
      <c r="C54">
        <v>4.3099999999999996</v>
      </c>
      <c r="E54" s="73">
        <v>45207</v>
      </c>
      <c r="F54">
        <v>9.57</v>
      </c>
      <c r="H54" s="73">
        <v>45207</v>
      </c>
      <c r="I54">
        <v>48.58</v>
      </c>
      <c r="K54" s="73">
        <v>45207</v>
      </c>
      <c r="L54">
        <v>447.8</v>
      </c>
      <c r="N54" s="73">
        <v>45207</v>
      </c>
      <c r="O54">
        <v>1119</v>
      </c>
      <c r="Q54" s="73">
        <v>45207</v>
      </c>
      <c r="R54">
        <v>1890</v>
      </c>
      <c r="T54" s="73">
        <v>45207</v>
      </c>
      <c r="U54">
        <v>4619</v>
      </c>
    </row>
    <row r="55" spans="1:21">
      <c r="A55" s="73"/>
      <c r="B55" s="73">
        <v>45206</v>
      </c>
      <c r="C55">
        <v>4.21</v>
      </c>
      <c r="E55" s="73">
        <v>45206</v>
      </c>
      <c r="F55">
        <v>10.199999999999999</v>
      </c>
      <c r="H55" s="73">
        <v>45206</v>
      </c>
      <c r="I55">
        <v>52.96</v>
      </c>
      <c r="K55" s="73">
        <v>45206</v>
      </c>
      <c r="L55">
        <v>453.1</v>
      </c>
      <c r="N55" s="73">
        <v>45206</v>
      </c>
      <c r="O55">
        <v>1096</v>
      </c>
      <c r="Q55" s="73">
        <v>45206</v>
      </c>
      <c r="R55">
        <v>1909</v>
      </c>
      <c r="T55" s="73">
        <v>45206</v>
      </c>
      <c r="U55">
        <v>4674</v>
      </c>
    </row>
    <row r="56" spans="1:21">
      <c r="A56" s="73"/>
      <c r="B56" s="73">
        <v>45205</v>
      </c>
      <c r="C56">
        <v>4.25</v>
      </c>
      <c r="E56" s="73">
        <v>45205</v>
      </c>
      <c r="F56">
        <v>9.57</v>
      </c>
      <c r="H56" s="73">
        <v>45205</v>
      </c>
      <c r="I56">
        <v>48.13</v>
      </c>
      <c r="K56" s="73">
        <v>45205</v>
      </c>
      <c r="L56">
        <v>431.1</v>
      </c>
      <c r="N56" s="73">
        <v>45205</v>
      </c>
      <c r="O56">
        <v>1120</v>
      </c>
      <c r="Q56" s="73">
        <v>45205</v>
      </c>
      <c r="R56">
        <v>1895</v>
      </c>
      <c r="T56" s="73">
        <v>45205</v>
      </c>
      <c r="U56">
        <v>4615</v>
      </c>
    </row>
    <row r="57" spans="1:21">
      <c r="A57" s="73"/>
      <c r="B57" s="73">
        <v>45204</v>
      </c>
      <c r="C57">
        <v>4.3600000000000003</v>
      </c>
      <c r="E57" s="73">
        <v>45204</v>
      </c>
      <c r="F57">
        <v>9.94</v>
      </c>
      <c r="H57" s="73">
        <v>45204</v>
      </c>
      <c r="I57">
        <v>52.76</v>
      </c>
      <c r="K57" s="73">
        <v>45204</v>
      </c>
      <c r="L57">
        <v>462.9</v>
      </c>
      <c r="N57" s="73">
        <v>45204</v>
      </c>
      <c r="O57">
        <v>1213</v>
      </c>
      <c r="Q57" s="73">
        <v>45204</v>
      </c>
      <c r="R57">
        <v>1909</v>
      </c>
      <c r="T57" s="73">
        <v>45204</v>
      </c>
      <c r="U57">
        <v>4839</v>
      </c>
    </row>
    <row r="58" spans="1:21">
      <c r="A58" s="73"/>
      <c r="B58" s="73">
        <v>45203</v>
      </c>
      <c r="C58">
        <v>4.04</v>
      </c>
      <c r="E58" s="73">
        <v>45203</v>
      </c>
      <c r="F58">
        <v>9.19</v>
      </c>
      <c r="H58" s="73">
        <v>45203</v>
      </c>
      <c r="I58">
        <v>51.06</v>
      </c>
      <c r="K58" s="73">
        <v>45203</v>
      </c>
      <c r="L58">
        <v>450</v>
      </c>
      <c r="N58" s="73">
        <v>45203</v>
      </c>
      <c r="O58">
        <v>1198</v>
      </c>
      <c r="Q58" s="73">
        <v>45203</v>
      </c>
      <c r="R58">
        <v>1873</v>
      </c>
      <c r="T58" s="73">
        <v>45203</v>
      </c>
      <c r="U58">
        <v>4592</v>
      </c>
    </row>
    <row r="59" spans="1:21">
      <c r="A59" s="73"/>
      <c r="B59" s="73">
        <v>45202</v>
      </c>
      <c r="C59">
        <v>4.3</v>
      </c>
      <c r="E59" s="73">
        <v>45202</v>
      </c>
      <c r="F59">
        <v>9.4499999999999993</v>
      </c>
      <c r="H59" s="73">
        <v>45202</v>
      </c>
      <c r="I59">
        <v>52.82</v>
      </c>
      <c r="K59" s="73">
        <v>45202</v>
      </c>
      <c r="L59">
        <v>442.6</v>
      </c>
      <c r="N59" s="73">
        <v>45202</v>
      </c>
      <c r="O59">
        <v>1198</v>
      </c>
      <c r="Q59" s="73">
        <v>45202</v>
      </c>
      <c r="R59">
        <v>1900</v>
      </c>
      <c r="T59" s="73">
        <v>45202</v>
      </c>
      <c r="U59">
        <v>4986</v>
      </c>
    </row>
    <row r="60" spans="1:21">
      <c r="A60" s="73"/>
      <c r="B60" s="73">
        <v>45201</v>
      </c>
      <c r="C60">
        <v>4.25</v>
      </c>
      <c r="E60" s="73">
        <v>45201</v>
      </c>
      <c r="F60">
        <v>9.7200000000000006</v>
      </c>
      <c r="H60" s="73">
        <v>45201</v>
      </c>
      <c r="I60">
        <v>52.94</v>
      </c>
      <c r="K60" s="73">
        <v>45201</v>
      </c>
      <c r="L60">
        <v>454.7</v>
      </c>
      <c r="N60" s="73">
        <v>45201</v>
      </c>
      <c r="O60">
        <v>1209</v>
      </c>
      <c r="Q60" s="73">
        <v>45201</v>
      </c>
      <c r="R60">
        <v>1985</v>
      </c>
      <c r="T60" s="73">
        <v>45201</v>
      </c>
      <c r="U60">
        <v>5000</v>
      </c>
    </row>
    <row r="61" spans="1:21">
      <c r="A61" s="73"/>
      <c r="B61" s="73">
        <v>45200</v>
      </c>
      <c r="C61">
        <v>4.28</v>
      </c>
      <c r="E61" s="73">
        <v>45200</v>
      </c>
      <c r="F61">
        <v>9.9700000000000006</v>
      </c>
      <c r="H61" s="73">
        <v>45200</v>
      </c>
      <c r="I61">
        <v>52.89</v>
      </c>
      <c r="K61" s="73">
        <v>45200</v>
      </c>
      <c r="L61">
        <v>464.9</v>
      </c>
      <c r="N61" s="73">
        <v>45200</v>
      </c>
      <c r="O61">
        <v>1197</v>
      </c>
      <c r="Q61" s="73">
        <v>45200</v>
      </c>
      <c r="R61">
        <v>1900</v>
      </c>
      <c r="T61" s="73">
        <v>45200</v>
      </c>
      <c r="U61">
        <v>5016</v>
      </c>
    </row>
    <row r="62" spans="1:21">
      <c r="A62" s="73"/>
      <c r="B62" s="73">
        <v>45199</v>
      </c>
      <c r="C62">
        <v>4.26</v>
      </c>
      <c r="E62" s="73">
        <v>45199</v>
      </c>
      <c r="F62">
        <v>9.98</v>
      </c>
      <c r="H62" s="73">
        <v>45199</v>
      </c>
      <c r="I62">
        <v>52.98</v>
      </c>
      <c r="K62" s="73">
        <v>45199</v>
      </c>
      <c r="L62">
        <v>469.5</v>
      </c>
      <c r="N62" s="73">
        <v>45199</v>
      </c>
      <c r="O62">
        <v>1201</v>
      </c>
      <c r="Q62" s="73">
        <v>45199</v>
      </c>
      <c r="R62">
        <v>1900</v>
      </c>
      <c r="T62" s="73">
        <v>45199</v>
      </c>
      <c r="U62">
        <v>5034</v>
      </c>
    </row>
    <row r="63" spans="1:21">
      <c r="A63" s="73"/>
      <c r="B63" s="73">
        <v>45198</v>
      </c>
      <c r="C63">
        <v>4.28</v>
      </c>
      <c r="E63" s="73">
        <v>45198</v>
      </c>
      <c r="F63">
        <v>9.75</v>
      </c>
      <c r="H63" s="73">
        <v>45198</v>
      </c>
      <c r="I63">
        <v>52.93</v>
      </c>
      <c r="K63" s="73">
        <v>45198</v>
      </c>
      <c r="L63">
        <v>450</v>
      </c>
      <c r="N63" s="73">
        <v>45198</v>
      </c>
      <c r="O63">
        <v>1200</v>
      </c>
      <c r="Q63" s="73">
        <v>45198</v>
      </c>
      <c r="R63">
        <v>1906</v>
      </c>
      <c r="T63" s="73">
        <v>45198</v>
      </c>
      <c r="U63">
        <v>5032</v>
      </c>
    </row>
    <row r="64" spans="1:21">
      <c r="A64" s="73"/>
      <c r="B64" s="73">
        <v>45197</v>
      </c>
      <c r="C64">
        <v>4.3600000000000003</v>
      </c>
      <c r="E64" s="73">
        <v>45197</v>
      </c>
      <c r="F64">
        <v>9.9600000000000009</v>
      </c>
      <c r="H64" s="73">
        <v>45197</v>
      </c>
      <c r="I64">
        <v>53.13</v>
      </c>
      <c r="K64" s="73">
        <v>45197</v>
      </c>
      <c r="L64">
        <v>451</v>
      </c>
      <c r="N64" s="73">
        <v>45197</v>
      </c>
      <c r="O64">
        <v>1237</v>
      </c>
      <c r="Q64" s="73">
        <v>45197</v>
      </c>
      <c r="R64">
        <v>1937</v>
      </c>
      <c r="T64" s="73">
        <v>45197</v>
      </c>
      <c r="U64">
        <v>5075</v>
      </c>
    </row>
    <row r="65" spans="1:21">
      <c r="A65" s="73"/>
      <c r="B65" s="73">
        <v>45196</v>
      </c>
      <c r="C65">
        <v>4.28</v>
      </c>
      <c r="E65" s="73">
        <v>45196</v>
      </c>
      <c r="F65">
        <v>10.08</v>
      </c>
      <c r="H65" s="73">
        <v>45196</v>
      </c>
      <c r="I65">
        <v>53.46</v>
      </c>
      <c r="K65" s="73">
        <v>45196</v>
      </c>
      <c r="L65">
        <v>449.7</v>
      </c>
      <c r="N65" s="73">
        <v>45196</v>
      </c>
      <c r="O65">
        <v>1222</v>
      </c>
      <c r="Q65" s="73">
        <v>45196</v>
      </c>
      <c r="R65">
        <v>1985</v>
      </c>
      <c r="T65" s="73">
        <v>45196</v>
      </c>
      <c r="U65">
        <v>5080</v>
      </c>
    </row>
    <row r="66" spans="1:21">
      <c r="A66" s="73"/>
      <c r="B66" s="73">
        <v>45195</v>
      </c>
      <c r="C66">
        <v>4.25</v>
      </c>
      <c r="E66" s="73">
        <v>45195</v>
      </c>
      <c r="F66">
        <v>9.91</v>
      </c>
      <c r="H66" s="73">
        <v>45195</v>
      </c>
      <c r="I66">
        <v>52.93</v>
      </c>
      <c r="K66" s="73">
        <v>45195</v>
      </c>
      <c r="L66">
        <v>450.8</v>
      </c>
      <c r="N66" s="73">
        <v>45195</v>
      </c>
      <c r="O66">
        <v>1216</v>
      </c>
      <c r="Q66" s="73">
        <v>45195</v>
      </c>
      <c r="R66">
        <v>2000</v>
      </c>
      <c r="T66" s="73">
        <v>45195</v>
      </c>
      <c r="U66">
        <v>5093</v>
      </c>
    </row>
    <row r="67" spans="1:21">
      <c r="A67" s="73"/>
      <c r="B67" s="73">
        <v>45194</v>
      </c>
      <c r="C67">
        <v>4.21</v>
      </c>
      <c r="E67" s="73">
        <v>45194</v>
      </c>
      <c r="F67">
        <v>9.3800000000000008</v>
      </c>
      <c r="H67" s="73">
        <v>45194</v>
      </c>
      <c r="I67">
        <v>50.31</v>
      </c>
      <c r="K67" s="73">
        <v>45194</v>
      </c>
      <c r="L67">
        <v>446.7</v>
      </c>
      <c r="N67" s="73">
        <v>45194</v>
      </c>
      <c r="O67">
        <v>1226</v>
      </c>
      <c r="Q67" s="73">
        <v>45194</v>
      </c>
      <c r="R67">
        <v>2012</v>
      </c>
      <c r="T67" s="73">
        <v>45194</v>
      </c>
      <c r="U67">
        <v>5112</v>
      </c>
    </row>
    <row r="68" spans="1:21">
      <c r="A68" s="73"/>
      <c r="B68" s="73">
        <v>45193</v>
      </c>
      <c r="C68">
        <v>4.2300000000000004</v>
      </c>
      <c r="E68" s="73">
        <v>45193</v>
      </c>
      <c r="F68">
        <v>9.25</v>
      </c>
      <c r="H68" s="73">
        <v>45193</v>
      </c>
      <c r="I68">
        <v>52.97</v>
      </c>
      <c r="K68" s="73">
        <v>45193</v>
      </c>
      <c r="L68">
        <v>447.9</v>
      </c>
      <c r="N68" s="73">
        <v>45193</v>
      </c>
      <c r="O68">
        <v>1225</v>
      </c>
      <c r="Q68" s="73">
        <v>45193</v>
      </c>
      <c r="R68">
        <v>2016</v>
      </c>
      <c r="T68" s="73">
        <v>45193</v>
      </c>
      <c r="U68">
        <v>5108</v>
      </c>
    </row>
    <row r="69" spans="1:21">
      <c r="A69" s="73"/>
      <c r="B69" s="73">
        <v>45192</v>
      </c>
      <c r="C69">
        <v>4.2</v>
      </c>
      <c r="E69" s="73">
        <v>45192</v>
      </c>
      <c r="F69">
        <v>9.8699999999999992</v>
      </c>
      <c r="H69" s="73">
        <v>45192</v>
      </c>
      <c r="I69">
        <v>52.76</v>
      </c>
      <c r="K69" s="73">
        <v>45192</v>
      </c>
      <c r="L69">
        <v>452.8</v>
      </c>
      <c r="N69" s="73">
        <v>45192</v>
      </c>
      <c r="O69">
        <v>1228</v>
      </c>
      <c r="Q69" s="73">
        <v>45192</v>
      </c>
      <c r="R69">
        <v>2020</v>
      </c>
      <c r="T69" s="73">
        <v>45192</v>
      </c>
      <c r="U69">
        <v>5127</v>
      </c>
    </row>
    <row r="70" spans="1:21">
      <c r="A70" s="73"/>
      <c r="B70" s="73">
        <v>45191</v>
      </c>
      <c r="C70">
        <v>4.22</v>
      </c>
      <c r="E70" s="73">
        <v>45191</v>
      </c>
      <c r="F70">
        <v>9.91</v>
      </c>
      <c r="H70" s="73">
        <v>45191</v>
      </c>
      <c r="I70">
        <v>52.93</v>
      </c>
      <c r="K70" s="73">
        <v>45191</v>
      </c>
      <c r="L70">
        <v>452.5</v>
      </c>
      <c r="N70" s="73">
        <v>45191</v>
      </c>
      <c r="O70">
        <v>1262</v>
      </c>
      <c r="Q70" s="73">
        <v>45191</v>
      </c>
      <c r="R70">
        <v>2027</v>
      </c>
      <c r="T70" s="73">
        <v>45191</v>
      </c>
      <c r="U70">
        <v>5130</v>
      </c>
    </row>
    <row r="71" spans="1:21">
      <c r="A71" s="73"/>
      <c r="B71" s="73">
        <v>45190</v>
      </c>
      <c r="C71">
        <v>4.28</v>
      </c>
      <c r="E71" s="73">
        <v>45190</v>
      </c>
      <c r="F71">
        <v>9.83</v>
      </c>
      <c r="H71" s="73">
        <v>45190</v>
      </c>
      <c r="I71">
        <v>50.31</v>
      </c>
      <c r="K71" s="73">
        <v>45190</v>
      </c>
      <c r="L71">
        <v>436</v>
      </c>
      <c r="N71" s="73">
        <v>45190</v>
      </c>
      <c r="O71">
        <v>1255</v>
      </c>
      <c r="Q71" s="73">
        <v>45190</v>
      </c>
      <c r="R71">
        <v>1926</v>
      </c>
      <c r="T71" s="73">
        <v>45190</v>
      </c>
      <c r="U71">
        <v>5140</v>
      </c>
    </row>
    <row r="72" spans="1:21">
      <c r="A72" s="73"/>
      <c r="B72" s="73">
        <v>45189</v>
      </c>
      <c r="C72">
        <v>4.49</v>
      </c>
      <c r="E72" s="73">
        <v>45189</v>
      </c>
      <c r="F72">
        <v>10.039999999999999</v>
      </c>
      <c r="H72" s="73">
        <v>45189</v>
      </c>
      <c r="I72">
        <v>50</v>
      </c>
      <c r="K72" s="73">
        <v>45189</v>
      </c>
      <c r="L72">
        <v>457.1</v>
      </c>
      <c r="N72" s="73">
        <v>45189</v>
      </c>
      <c r="O72">
        <v>1259</v>
      </c>
      <c r="Q72" s="73">
        <v>45189</v>
      </c>
      <c r="R72">
        <v>2035</v>
      </c>
      <c r="T72" s="73">
        <v>45189</v>
      </c>
      <c r="U72">
        <v>5098</v>
      </c>
    </row>
    <row r="73" spans="1:21">
      <c r="A73" s="73"/>
      <c r="B73" s="73">
        <v>45188</v>
      </c>
      <c r="C73">
        <v>4.45</v>
      </c>
      <c r="E73" s="73">
        <v>45188</v>
      </c>
      <c r="F73">
        <v>10.24</v>
      </c>
      <c r="H73" s="73">
        <v>45188</v>
      </c>
      <c r="I73">
        <v>48.5</v>
      </c>
      <c r="K73" s="73">
        <v>45188</v>
      </c>
      <c r="L73">
        <v>467.8</v>
      </c>
      <c r="N73" s="73">
        <v>45188</v>
      </c>
      <c r="O73">
        <v>1251</v>
      </c>
      <c r="Q73" s="73">
        <v>45188</v>
      </c>
      <c r="R73">
        <v>1997</v>
      </c>
      <c r="T73" s="73">
        <v>45188</v>
      </c>
      <c r="U73">
        <v>5174</v>
      </c>
    </row>
    <row r="74" spans="1:21">
      <c r="A74" s="73"/>
      <c r="B74" s="73">
        <v>45187</v>
      </c>
      <c r="C74">
        <v>4.3600000000000003</v>
      </c>
      <c r="E74" s="73">
        <v>45187</v>
      </c>
      <c r="F74">
        <v>10.09</v>
      </c>
      <c r="H74" s="73">
        <v>45187</v>
      </c>
      <c r="I74">
        <v>49.47</v>
      </c>
      <c r="K74" s="73">
        <v>45187</v>
      </c>
      <c r="L74">
        <v>473.2</v>
      </c>
      <c r="N74" s="73">
        <v>45187</v>
      </c>
      <c r="O74">
        <v>1247</v>
      </c>
      <c r="Q74" s="73">
        <v>45187</v>
      </c>
      <c r="R74">
        <v>2030</v>
      </c>
      <c r="T74" s="73">
        <v>45187</v>
      </c>
      <c r="U74">
        <v>5050</v>
      </c>
    </row>
    <row r="75" spans="1:21">
      <c r="A75" s="73"/>
      <c r="B75" s="73">
        <v>45186</v>
      </c>
      <c r="C75">
        <v>4.3899999999999997</v>
      </c>
      <c r="E75" s="73">
        <v>45186</v>
      </c>
      <c r="F75">
        <v>10.16</v>
      </c>
      <c r="H75" s="73">
        <v>45186</v>
      </c>
      <c r="I75">
        <v>49.28</v>
      </c>
      <c r="K75" s="73">
        <v>45186</v>
      </c>
      <c r="L75">
        <v>469</v>
      </c>
      <c r="N75" s="73">
        <v>45186</v>
      </c>
      <c r="O75">
        <v>1245</v>
      </c>
      <c r="Q75" s="73">
        <v>45186</v>
      </c>
      <c r="R75">
        <v>2091</v>
      </c>
      <c r="T75" s="73">
        <v>45186</v>
      </c>
      <c r="U75">
        <v>5196</v>
      </c>
    </row>
    <row r="76" spans="1:21">
      <c r="A76" s="73"/>
      <c r="B76" s="73">
        <v>45185</v>
      </c>
      <c r="C76">
        <v>4.45</v>
      </c>
      <c r="E76" s="73">
        <v>45185</v>
      </c>
      <c r="F76">
        <v>10.35</v>
      </c>
      <c r="H76" s="73">
        <v>45185</v>
      </c>
      <c r="I76">
        <v>49</v>
      </c>
      <c r="K76" s="73">
        <v>45185</v>
      </c>
      <c r="L76">
        <v>467.1</v>
      </c>
      <c r="N76" s="73">
        <v>45185</v>
      </c>
      <c r="O76">
        <v>1258</v>
      </c>
      <c r="Q76" s="73">
        <v>45185</v>
      </c>
      <c r="R76">
        <v>2096</v>
      </c>
      <c r="T76" s="73">
        <v>45185</v>
      </c>
      <c r="U76">
        <v>5150</v>
      </c>
    </row>
    <row r="77" spans="1:21">
      <c r="A77" s="73"/>
      <c r="B77" s="73">
        <v>45184</v>
      </c>
      <c r="C77">
        <v>4.38</v>
      </c>
      <c r="E77" s="73">
        <v>45184</v>
      </c>
      <c r="F77">
        <v>10.36</v>
      </c>
      <c r="H77" s="73">
        <v>45184</v>
      </c>
      <c r="I77">
        <v>49.07</v>
      </c>
      <c r="K77" s="73">
        <v>45184</v>
      </c>
      <c r="L77">
        <v>466.9</v>
      </c>
      <c r="N77" s="73">
        <v>45184</v>
      </c>
      <c r="O77">
        <v>1273</v>
      </c>
      <c r="Q77" s="73">
        <v>45184</v>
      </c>
      <c r="R77">
        <v>2098</v>
      </c>
      <c r="T77" s="73">
        <v>45184</v>
      </c>
      <c r="U77">
        <v>5089</v>
      </c>
    </row>
    <row r="78" spans="1:21">
      <c r="A78" s="73"/>
      <c r="B78" s="73">
        <v>45183</v>
      </c>
      <c r="C78">
        <v>4.3499999999999996</v>
      </c>
      <c r="E78" s="73">
        <v>45183</v>
      </c>
      <c r="F78">
        <v>10.37</v>
      </c>
      <c r="H78" s="73">
        <v>45183</v>
      </c>
      <c r="I78">
        <v>49.42</v>
      </c>
      <c r="K78" s="73">
        <v>45183</v>
      </c>
      <c r="L78">
        <v>468.4</v>
      </c>
      <c r="N78" s="73">
        <v>45183</v>
      </c>
      <c r="O78">
        <v>1282</v>
      </c>
      <c r="Q78" s="73">
        <v>45183</v>
      </c>
      <c r="R78">
        <v>2102</v>
      </c>
      <c r="T78" s="73">
        <v>45183</v>
      </c>
      <c r="U78">
        <v>5067</v>
      </c>
    </row>
    <row r="79" spans="1:21">
      <c r="A79" s="73"/>
      <c r="B79" s="73">
        <v>45182</v>
      </c>
      <c r="C79">
        <v>4.12</v>
      </c>
      <c r="E79" s="73">
        <v>45182</v>
      </c>
      <c r="F79">
        <v>10.14</v>
      </c>
      <c r="H79" s="73">
        <v>45182</v>
      </c>
      <c r="I79">
        <v>50</v>
      </c>
      <c r="K79" s="73">
        <v>45182</v>
      </c>
      <c r="L79">
        <v>471.9</v>
      </c>
      <c r="N79" s="73">
        <v>45182</v>
      </c>
      <c r="O79">
        <v>1287</v>
      </c>
      <c r="Q79" s="73">
        <v>45182</v>
      </c>
      <c r="R79">
        <v>2121</v>
      </c>
      <c r="T79" s="73">
        <v>45182</v>
      </c>
      <c r="U79">
        <v>5040</v>
      </c>
    </row>
    <row r="80" spans="1:21">
      <c r="A80" s="73"/>
      <c r="B80" s="73">
        <v>45181</v>
      </c>
      <c r="C80">
        <v>4.3099999999999996</v>
      </c>
      <c r="E80" s="73">
        <v>45181</v>
      </c>
      <c r="F80">
        <v>10.46</v>
      </c>
      <c r="H80" s="73">
        <v>45181</v>
      </c>
      <c r="I80">
        <v>48.17</v>
      </c>
      <c r="K80" s="73">
        <v>45181</v>
      </c>
      <c r="L80">
        <v>463.6</v>
      </c>
      <c r="N80" s="73">
        <v>45181</v>
      </c>
      <c r="O80">
        <v>1286</v>
      </c>
      <c r="Q80" s="73">
        <v>45181</v>
      </c>
      <c r="R80">
        <v>2169</v>
      </c>
      <c r="T80" s="73">
        <v>45181</v>
      </c>
      <c r="U80">
        <v>5034</v>
      </c>
    </row>
    <row r="81" spans="1:21">
      <c r="A81" s="73"/>
      <c r="B81" s="73">
        <v>45180</v>
      </c>
      <c r="C81">
        <v>4.28</v>
      </c>
      <c r="E81" s="73">
        <v>45180</v>
      </c>
      <c r="F81">
        <v>10.47</v>
      </c>
      <c r="H81" s="73">
        <v>45180</v>
      </c>
      <c r="I81">
        <v>49.46</v>
      </c>
      <c r="K81" s="73">
        <v>45180</v>
      </c>
      <c r="L81">
        <v>486.4</v>
      </c>
      <c r="N81" s="73">
        <v>45180</v>
      </c>
      <c r="O81">
        <v>1296</v>
      </c>
      <c r="Q81" s="73">
        <v>45180</v>
      </c>
      <c r="R81">
        <v>2090</v>
      </c>
      <c r="T81" s="73">
        <v>45180</v>
      </c>
      <c r="U81">
        <v>5036</v>
      </c>
    </row>
    <row r="82" spans="1:21">
      <c r="A82" s="73"/>
      <c r="B82" s="73">
        <v>45179</v>
      </c>
      <c r="C82">
        <v>4.28</v>
      </c>
      <c r="E82" s="73">
        <v>45179</v>
      </c>
      <c r="F82">
        <v>10.34</v>
      </c>
      <c r="H82" s="73">
        <v>45179</v>
      </c>
      <c r="I82">
        <v>49.46</v>
      </c>
      <c r="K82" s="73">
        <v>45179</v>
      </c>
      <c r="L82">
        <v>486.6</v>
      </c>
      <c r="N82" s="73">
        <v>45179</v>
      </c>
      <c r="O82">
        <v>1316</v>
      </c>
      <c r="Q82" s="73">
        <v>45179</v>
      </c>
      <c r="R82">
        <v>2060</v>
      </c>
      <c r="T82" s="73">
        <v>45179</v>
      </c>
      <c r="U82">
        <v>5041</v>
      </c>
    </row>
    <row r="83" spans="1:21">
      <c r="A83" s="73"/>
      <c r="B83" s="73">
        <v>45178</v>
      </c>
      <c r="C83">
        <v>4.34</v>
      </c>
      <c r="E83" s="73">
        <v>45178</v>
      </c>
      <c r="F83">
        <v>10.38</v>
      </c>
      <c r="H83" s="73">
        <v>45178</v>
      </c>
      <c r="I83">
        <v>49</v>
      </c>
      <c r="K83" s="73">
        <v>45178</v>
      </c>
      <c r="L83">
        <v>484.3</v>
      </c>
      <c r="N83" s="73">
        <v>45178</v>
      </c>
      <c r="O83">
        <v>1296</v>
      </c>
      <c r="Q83" s="73">
        <v>45178</v>
      </c>
      <c r="R83">
        <v>2064</v>
      </c>
      <c r="T83" s="73">
        <v>45178</v>
      </c>
      <c r="U83">
        <v>5050</v>
      </c>
    </row>
    <row r="84" spans="1:21">
      <c r="A84" s="73"/>
      <c r="B84" s="73">
        <v>45177</v>
      </c>
      <c r="C84">
        <v>4.3</v>
      </c>
      <c r="E84" s="73">
        <v>45177</v>
      </c>
      <c r="F84">
        <v>10.66</v>
      </c>
      <c r="H84" s="73">
        <v>45177</v>
      </c>
      <c r="I84">
        <v>50.1</v>
      </c>
      <c r="K84" s="73">
        <v>45177</v>
      </c>
      <c r="L84">
        <v>472</v>
      </c>
      <c r="N84" s="73">
        <v>45177</v>
      </c>
      <c r="O84">
        <v>1209</v>
      </c>
      <c r="Q84" s="73">
        <v>45177</v>
      </c>
      <c r="R84">
        <v>2119</v>
      </c>
      <c r="T84" s="73">
        <v>45177</v>
      </c>
      <c r="U84">
        <v>5067</v>
      </c>
    </row>
    <row r="85" spans="1:21">
      <c r="A85" s="73"/>
      <c r="B85" s="73">
        <v>45176</v>
      </c>
      <c r="C85">
        <v>4.32</v>
      </c>
      <c r="E85" s="73">
        <v>45176</v>
      </c>
      <c r="F85">
        <v>10.3</v>
      </c>
      <c r="H85" s="73">
        <v>45176</v>
      </c>
      <c r="I85">
        <v>50.24</v>
      </c>
      <c r="K85" s="73">
        <v>45176</v>
      </c>
      <c r="L85">
        <v>484.8</v>
      </c>
      <c r="N85" s="73">
        <v>45176</v>
      </c>
      <c r="O85">
        <v>1210</v>
      </c>
      <c r="Q85" s="73">
        <v>45176</v>
      </c>
      <c r="R85">
        <v>2096</v>
      </c>
      <c r="T85" s="73">
        <v>45176</v>
      </c>
      <c r="U85">
        <v>4999</v>
      </c>
    </row>
    <row r="86" spans="1:21">
      <c r="A86" s="73"/>
      <c r="B86" s="73">
        <v>45175</v>
      </c>
      <c r="C86">
        <v>4.3099999999999996</v>
      </c>
      <c r="E86" s="73">
        <v>45175</v>
      </c>
      <c r="F86">
        <v>10.3</v>
      </c>
      <c r="H86" s="73">
        <v>45175</v>
      </c>
      <c r="I86">
        <v>50.25</v>
      </c>
      <c r="K86" s="73">
        <v>45175</v>
      </c>
      <c r="L86">
        <v>479.8</v>
      </c>
      <c r="N86" s="73">
        <v>45175</v>
      </c>
      <c r="O86">
        <v>1210</v>
      </c>
      <c r="Q86" s="73">
        <v>45175</v>
      </c>
      <c r="R86">
        <v>2092</v>
      </c>
      <c r="T86" s="73">
        <v>45175</v>
      </c>
      <c r="U86">
        <v>5023</v>
      </c>
    </row>
    <row r="87" spans="1:21">
      <c r="A87" s="73"/>
      <c r="B87" s="73">
        <v>45174</v>
      </c>
      <c r="C87">
        <v>4.3</v>
      </c>
      <c r="E87" s="73">
        <v>45174</v>
      </c>
      <c r="F87">
        <v>10.82</v>
      </c>
      <c r="H87" s="73">
        <v>45174</v>
      </c>
      <c r="I87">
        <v>50.26</v>
      </c>
      <c r="K87" s="73">
        <v>45174</v>
      </c>
      <c r="L87">
        <v>481.5</v>
      </c>
      <c r="N87" s="73">
        <v>45174</v>
      </c>
      <c r="O87">
        <v>1254</v>
      </c>
      <c r="Q87" s="73">
        <v>45174</v>
      </c>
      <c r="R87">
        <v>2169</v>
      </c>
      <c r="T87" s="73">
        <v>45174</v>
      </c>
      <c r="U87">
        <v>5189</v>
      </c>
    </row>
    <row r="88" spans="1:21">
      <c r="A88" s="73"/>
      <c r="B88" s="73">
        <v>45173</v>
      </c>
      <c r="C88">
        <v>4.3</v>
      </c>
      <c r="E88" s="73">
        <v>45173</v>
      </c>
      <c r="F88">
        <v>10.7</v>
      </c>
      <c r="H88" s="73">
        <v>45173</v>
      </c>
      <c r="I88">
        <v>50.54</v>
      </c>
      <c r="K88" s="73">
        <v>45173</v>
      </c>
      <c r="L88">
        <v>495</v>
      </c>
      <c r="N88" s="73">
        <v>45173</v>
      </c>
      <c r="O88">
        <v>1263</v>
      </c>
      <c r="Q88" s="73">
        <v>45173</v>
      </c>
      <c r="R88">
        <v>2197</v>
      </c>
      <c r="T88" s="73">
        <v>45173</v>
      </c>
      <c r="U88">
        <v>5250</v>
      </c>
    </row>
    <row r="89" spans="1:21">
      <c r="A89" s="73"/>
      <c r="B89" s="73">
        <v>45172</v>
      </c>
      <c r="C89">
        <v>4.3499999999999996</v>
      </c>
      <c r="E89" s="73">
        <v>45172</v>
      </c>
      <c r="F89">
        <v>11.02</v>
      </c>
      <c r="H89" s="73">
        <v>45172</v>
      </c>
      <c r="I89">
        <v>50.42</v>
      </c>
      <c r="K89" s="73">
        <v>45172</v>
      </c>
      <c r="L89">
        <v>496.9</v>
      </c>
      <c r="N89" s="73">
        <v>45172</v>
      </c>
      <c r="O89">
        <v>1261</v>
      </c>
      <c r="Q89" s="73">
        <v>45172</v>
      </c>
      <c r="R89">
        <v>2198</v>
      </c>
      <c r="T89" s="73">
        <v>45172</v>
      </c>
      <c r="U89">
        <v>5215</v>
      </c>
    </row>
    <row r="90" spans="1:21">
      <c r="A90" s="73"/>
      <c r="B90" s="73">
        <v>45169</v>
      </c>
      <c r="C90">
        <v>4.49</v>
      </c>
      <c r="E90" s="73">
        <v>45169</v>
      </c>
      <c r="F90">
        <v>11.03</v>
      </c>
      <c r="H90" s="73">
        <v>45169</v>
      </c>
      <c r="I90">
        <v>49.54</v>
      </c>
      <c r="K90" s="73">
        <v>45169</v>
      </c>
      <c r="L90">
        <v>499.9</v>
      </c>
      <c r="N90" s="73">
        <v>45169</v>
      </c>
      <c r="O90">
        <v>1232</v>
      </c>
      <c r="Q90" s="73">
        <v>45169</v>
      </c>
      <c r="R90">
        <v>2149</v>
      </c>
      <c r="T90" s="73">
        <v>45169</v>
      </c>
      <c r="U90">
        <v>5100</v>
      </c>
    </row>
    <row r="91" spans="1:21">
      <c r="A91" s="73"/>
      <c r="B91" s="73">
        <v>45168</v>
      </c>
      <c r="C91">
        <v>4.13</v>
      </c>
      <c r="E91" s="73">
        <v>45168</v>
      </c>
      <c r="F91">
        <v>10.66</v>
      </c>
      <c r="H91" s="73">
        <v>45168</v>
      </c>
      <c r="I91">
        <v>49.25</v>
      </c>
      <c r="K91" s="73">
        <v>45168</v>
      </c>
      <c r="L91">
        <v>481.5</v>
      </c>
      <c r="N91" s="73">
        <v>45168</v>
      </c>
      <c r="O91">
        <v>1266</v>
      </c>
      <c r="Q91" s="73">
        <v>45168</v>
      </c>
      <c r="R91">
        <v>2037</v>
      </c>
      <c r="T91" s="73">
        <v>45168</v>
      </c>
      <c r="U91">
        <v>5200</v>
      </c>
    </row>
    <row r="92" spans="1:21">
      <c r="A92" s="73"/>
      <c r="B92" s="73">
        <v>45167</v>
      </c>
      <c r="C92">
        <v>4.29</v>
      </c>
      <c r="E92" s="73">
        <v>45167</v>
      </c>
      <c r="F92">
        <v>10.7</v>
      </c>
      <c r="H92" s="73">
        <v>45167</v>
      </c>
      <c r="I92">
        <v>49.47</v>
      </c>
      <c r="K92" s="73">
        <v>45167</v>
      </c>
      <c r="L92">
        <v>482.6</v>
      </c>
      <c r="N92" s="73">
        <v>45167</v>
      </c>
      <c r="O92">
        <v>1283</v>
      </c>
      <c r="Q92" s="73">
        <v>45167</v>
      </c>
      <c r="R92">
        <v>2210</v>
      </c>
      <c r="T92" s="73">
        <v>45167</v>
      </c>
      <c r="U92">
        <v>5198</v>
      </c>
    </row>
    <row r="93" spans="1:21">
      <c r="A93" s="73"/>
      <c r="B93" s="73">
        <v>45166</v>
      </c>
      <c r="C93">
        <v>4.34</v>
      </c>
      <c r="E93" s="73">
        <v>45166</v>
      </c>
      <c r="F93">
        <v>10.3</v>
      </c>
      <c r="H93" s="73">
        <v>45166</v>
      </c>
      <c r="I93">
        <v>49.5</v>
      </c>
      <c r="K93" s="73">
        <v>45166</v>
      </c>
      <c r="L93">
        <v>480</v>
      </c>
      <c r="N93" s="73">
        <v>45166</v>
      </c>
      <c r="O93">
        <v>1091</v>
      </c>
      <c r="Q93" s="73">
        <v>45166</v>
      </c>
      <c r="R93">
        <v>2096</v>
      </c>
      <c r="T93" s="73">
        <v>45166</v>
      </c>
      <c r="U93">
        <v>5150</v>
      </c>
    </row>
    <row r="94" spans="1:21">
      <c r="A94" s="73"/>
      <c r="B94" s="73">
        <v>45165</v>
      </c>
      <c r="C94">
        <v>4.51</v>
      </c>
      <c r="E94" s="73">
        <v>45165</v>
      </c>
      <c r="F94">
        <v>10.8</v>
      </c>
      <c r="H94" s="73">
        <v>45165</v>
      </c>
      <c r="I94">
        <v>49.95</v>
      </c>
      <c r="K94" s="73">
        <v>45165</v>
      </c>
      <c r="L94">
        <v>487.7</v>
      </c>
      <c r="N94" s="73">
        <v>45165</v>
      </c>
      <c r="O94">
        <v>998.9</v>
      </c>
      <c r="Q94" s="73">
        <v>45165</v>
      </c>
      <c r="R94">
        <v>2150</v>
      </c>
      <c r="T94" s="73">
        <v>45165</v>
      </c>
      <c r="U94">
        <v>5146</v>
      </c>
    </row>
    <row r="95" spans="1:21">
      <c r="A95" s="73"/>
      <c r="B95" s="73">
        <v>45164</v>
      </c>
      <c r="C95">
        <v>4.45</v>
      </c>
      <c r="E95" s="73">
        <v>45164</v>
      </c>
      <c r="F95">
        <v>11.33</v>
      </c>
      <c r="H95" s="73">
        <v>45164</v>
      </c>
      <c r="I95">
        <v>50.43</v>
      </c>
      <c r="K95" s="73">
        <v>45164</v>
      </c>
      <c r="L95">
        <v>492.9</v>
      </c>
      <c r="N95" s="73">
        <v>45164</v>
      </c>
      <c r="O95">
        <v>997.9</v>
      </c>
      <c r="Q95" s="73">
        <v>45164</v>
      </c>
      <c r="R95">
        <v>2138</v>
      </c>
      <c r="T95" s="73">
        <v>45164</v>
      </c>
      <c r="U95">
        <v>5238</v>
      </c>
    </row>
    <row r="96" spans="1:21">
      <c r="A96" s="73"/>
      <c r="B96" s="73">
        <v>45163</v>
      </c>
      <c r="C96">
        <v>4.34</v>
      </c>
      <c r="E96" s="73">
        <v>45163</v>
      </c>
      <c r="F96">
        <v>11.18</v>
      </c>
      <c r="H96" s="73">
        <v>45163</v>
      </c>
      <c r="I96">
        <v>50.13</v>
      </c>
      <c r="K96" s="73">
        <v>45163</v>
      </c>
      <c r="L96">
        <v>474.9</v>
      </c>
      <c r="N96" s="73">
        <v>45163</v>
      </c>
      <c r="O96">
        <v>995.7</v>
      </c>
      <c r="Q96" s="73">
        <v>45163</v>
      </c>
      <c r="R96">
        <v>2152</v>
      </c>
      <c r="T96" s="73">
        <v>45163</v>
      </c>
      <c r="U96">
        <v>5114</v>
      </c>
    </row>
    <row r="97" spans="1:21">
      <c r="A97" s="73"/>
      <c r="B97" s="73">
        <v>45162</v>
      </c>
      <c r="C97">
        <v>4.34</v>
      </c>
      <c r="E97" s="73">
        <v>45162</v>
      </c>
      <c r="F97">
        <v>11.29</v>
      </c>
      <c r="H97" s="73">
        <v>45162</v>
      </c>
      <c r="I97">
        <v>50.32</v>
      </c>
      <c r="K97" s="73">
        <v>45162</v>
      </c>
      <c r="L97">
        <v>495.1</v>
      </c>
      <c r="N97" s="73">
        <v>45162</v>
      </c>
      <c r="O97">
        <v>987.8</v>
      </c>
      <c r="Q97" s="73">
        <v>45162</v>
      </c>
      <c r="R97">
        <v>2097</v>
      </c>
      <c r="T97" s="73">
        <v>45162</v>
      </c>
      <c r="U97">
        <v>5291</v>
      </c>
    </row>
    <row r="98" spans="1:21">
      <c r="A98" s="73"/>
      <c r="B98" s="73">
        <v>45161</v>
      </c>
      <c r="C98">
        <v>4.2699999999999996</v>
      </c>
      <c r="E98" s="73">
        <v>45161</v>
      </c>
      <c r="F98">
        <v>10.45</v>
      </c>
      <c r="H98" s="73">
        <v>45161</v>
      </c>
      <c r="I98">
        <v>47.14</v>
      </c>
      <c r="K98" s="73">
        <v>45161</v>
      </c>
      <c r="L98">
        <v>498.7</v>
      </c>
      <c r="N98" s="73">
        <v>45161</v>
      </c>
      <c r="O98">
        <v>987.5</v>
      </c>
      <c r="Q98" s="73">
        <v>45161</v>
      </c>
      <c r="R98">
        <v>2063</v>
      </c>
      <c r="T98" s="73">
        <v>45161</v>
      </c>
      <c r="U98">
        <v>5371</v>
      </c>
    </row>
    <row r="99" spans="1:21">
      <c r="A99" s="73"/>
      <c r="B99" s="73">
        <v>45160</v>
      </c>
      <c r="C99">
        <v>4.26</v>
      </c>
      <c r="E99" s="73">
        <v>45160</v>
      </c>
      <c r="F99">
        <v>10.77</v>
      </c>
      <c r="H99" s="73">
        <v>45160</v>
      </c>
      <c r="I99">
        <v>48.29</v>
      </c>
      <c r="K99" s="73">
        <v>45160</v>
      </c>
      <c r="L99">
        <v>493.5</v>
      </c>
      <c r="N99" s="73">
        <v>45160</v>
      </c>
      <c r="O99">
        <v>984.6</v>
      </c>
      <c r="Q99" s="73">
        <v>45160</v>
      </c>
      <c r="R99">
        <v>2084</v>
      </c>
      <c r="T99" s="73">
        <v>45160</v>
      </c>
      <c r="U99">
        <v>5387</v>
      </c>
    </row>
    <row r="100" spans="1:21">
      <c r="A100" s="73"/>
      <c r="B100" s="73">
        <v>45159</v>
      </c>
      <c r="C100">
        <v>4.29</v>
      </c>
      <c r="E100" s="73">
        <v>45159</v>
      </c>
      <c r="F100">
        <v>11.36</v>
      </c>
      <c r="H100" s="73">
        <v>45159</v>
      </c>
      <c r="I100">
        <v>50.67</v>
      </c>
      <c r="K100" s="73">
        <v>45159</v>
      </c>
      <c r="L100">
        <v>505.3</v>
      </c>
      <c r="N100" s="73">
        <v>45159</v>
      </c>
      <c r="O100">
        <v>883.1</v>
      </c>
      <c r="Q100" s="73">
        <v>45159</v>
      </c>
      <c r="R100">
        <v>2050</v>
      </c>
      <c r="T100" s="73">
        <v>45159</v>
      </c>
      <c r="U100">
        <v>5408</v>
      </c>
    </row>
    <row r="101" spans="1:21">
      <c r="A101" s="73"/>
      <c r="B101" s="73">
        <v>45158</v>
      </c>
      <c r="C101">
        <v>4.29</v>
      </c>
      <c r="E101" s="73">
        <v>45158</v>
      </c>
      <c r="F101">
        <v>11.28</v>
      </c>
      <c r="H101" s="73">
        <v>45158</v>
      </c>
      <c r="I101">
        <v>49.99</v>
      </c>
      <c r="K101" s="73">
        <v>45158</v>
      </c>
      <c r="L101">
        <v>488.2</v>
      </c>
      <c r="N101" s="73">
        <v>45158</v>
      </c>
      <c r="O101">
        <v>974.3</v>
      </c>
      <c r="Q101" s="73">
        <v>45158</v>
      </c>
      <c r="R101">
        <v>2169</v>
      </c>
      <c r="T101" s="73">
        <v>45158</v>
      </c>
      <c r="U101">
        <v>5534</v>
      </c>
    </row>
    <row r="102" spans="1:21">
      <c r="A102" s="73"/>
      <c r="B102" s="73">
        <v>45157</v>
      </c>
      <c r="C102">
        <v>4.29</v>
      </c>
      <c r="E102" s="73">
        <v>45157</v>
      </c>
      <c r="F102">
        <v>11.26</v>
      </c>
      <c r="H102" s="73">
        <v>45157</v>
      </c>
      <c r="I102">
        <v>50.71</v>
      </c>
      <c r="K102" s="73">
        <v>45157</v>
      </c>
      <c r="L102">
        <v>504</v>
      </c>
      <c r="N102" s="73">
        <v>45157</v>
      </c>
      <c r="O102">
        <v>999.2</v>
      </c>
      <c r="Q102" s="73">
        <v>45157</v>
      </c>
      <c r="R102">
        <v>2221</v>
      </c>
      <c r="T102" s="73">
        <v>45157</v>
      </c>
      <c r="U102">
        <v>5680</v>
      </c>
    </row>
    <row r="103" spans="1:21">
      <c r="A103" s="73"/>
      <c r="B103" s="73">
        <v>45156</v>
      </c>
      <c r="C103">
        <v>4.33</v>
      </c>
      <c r="E103" s="73">
        <v>45156</v>
      </c>
      <c r="F103">
        <v>11.49</v>
      </c>
      <c r="H103" s="73">
        <v>45156</v>
      </c>
      <c r="I103">
        <v>50.99</v>
      </c>
      <c r="K103" s="73">
        <v>45156</v>
      </c>
      <c r="L103">
        <v>509.7</v>
      </c>
      <c r="N103" s="73">
        <v>45156</v>
      </c>
      <c r="O103">
        <v>999.7</v>
      </c>
      <c r="Q103" s="73">
        <v>45156</v>
      </c>
      <c r="R103">
        <v>2243</v>
      </c>
      <c r="T103" s="73">
        <v>45156</v>
      </c>
      <c r="U103">
        <v>5684</v>
      </c>
    </row>
    <row r="104" spans="1:21">
      <c r="A104" s="73"/>
      <c r="B104" s="73">
        <v>45155</v>
      </c>
      <c r="C104">
        <v>4.3899999999999997</v>
      </c>
      <c r="E104" s="73">
        <v>45155</v>
      </c>
      <c r="F104">
        <v>11.55</v>
      </c>
      <c r="H104" s="73">
        <v>45155</v>
      </c>
      <c r="I104">
        <v>50.63</v>
      </c>
      <c r="K104" s="73">
        <v>45155</v>
      </c>
      <c r="L104">
        <v>504.5</v>
      </c>
      <c r="N104" s="73">
        <v>45155</v>
      </c>
      <c r="O104">
        <v>1004</v>
      </c>
      <c r="Q104" s="73">
        <v>45155</v>
      </c>
      <c r="R104">
        <v>2249</v>
      </c>
      <c r="T104" s="73">
        <v>45155</v>
      </c>
      <c r="U104">
        <v>5554</v>
      </c>
    </row>
    <row r="105" spans="1:21">
      <c r="A105" s="73"/>
      <c r="B105" s="73">
        <v>45154</v>
      </c>
      <c r="C105">
        <v>4.34</v>
      </c>
      <c r="E105" s="73">
        <v>45154</v>
      </c>
      <c r="F105">
        <v>11.44</v>
      </c>
      <c r="H105" s="73">
        <v>45154</v>
      </c>
      <c r="I105">
        <v>50.98</v>
      </c>
      <c r="K105" s="73">
        <v>45154</v>
      </c>
      <c r="L105">
        <v>503.3</v>
      </c>
      <c r="N105" s="73">
        <v>45154</v>
      </c>
      <c r="O105">
        <v>1000</v>
      </c>
      <c r="Q105" s="73">
        <v>45154</v>
      </c>
      <c r="R105">
        <v>2255</v>
      </c>
      <c r="T105" s="73">
        <v>45154</v>
      </c>
      <c r="U105">
        <v>5497</v>
      </c>
    </row>
    <row r="106" spans="1:21">
      <c r="A106" s="73"/>
      <c r="B106" s="73">
        <v>45153</v>
      </c>
      <c r="C106">
        <v>4.3899999999999997</v>
      </c>
      <c r="E106" s="73">
        <v>45153</v>
      </c>
      <c r="F106">
        <v>10.99</v>
      </c>
      <c r="H106" s="73">
        <v>45153</v>
      </c>
      <c r="I106">
        <v>50.95</v>
      </c>
      <c r="K106" s="73">
        <v>45153</v>
      </c>
      <c r="L106">
        <v>504.4</v>
      </c>
      <c r="N106" s="73">
        <v>45153</v>
      </c>
      <c r="O106">
        <v>999.9</v>
      </c>
      <c r="Q106" s="73">
        <v>45153</v>
      </c>
      <c r="R106">
        <v>2249</v>
      </c>
      <c r="T106" s="73">
        <v>45153</v>
      </c>
      <c r="U106">
        <v>5398</v>
      </c>
    </row>
    <row r="107" spans="1:21">
      <c r="A107" s="73"/>
      <c r="B107" s="73">
        <v>45152</v>
      </c>
      <c r="C107">
        <v>4.54</v>
      </c>
      <c r="E107" s="73">
        <v>45152</v>
      </c>
      <c r="F107">
        <v>11.32</v>
      </c>
      <c r="H107" s="73">
        <v>45152</v>
      </c>
      <c r="I107">
        <v>49.15</v>
      </c>
      <c r="K107" s="73">
        <v>45152</v>
      </c>
      <c r="L107">
        <v>512.9</v>
      </c>
      <c r="N107" s="73">
        <v>45152</v>
      </c>
      <c r="O107">
        <v>1005</v>
      </c>
      <c r="Q107" s="73">
        <v>45152</v>
      </c>
      <c r="R107">
        <v>2245</v>
      </c>
      <c r="T107" s="73">
        <v>45152</v>
      </c>
      <c r="U107">
        <v>5351</v>
      </c>
    </row>
    <row r="108" spans="1:21">
      <c r="A108" s="73"/>
      <c r="B108" s="73">
        <v>45151</v>
      </c>
      <c r="C108">
        <v>4.53</v>
      </c>
      <c r="E108" s="73">
        <v>45151</v>
      </c>
      <c r="F108">
        <v>11.3</v>
      </c>
      <c r="H108" s="73">
        <v>45151</v>
      </c>
      <c r="I108">
        <v>51.31</v>
      </c>
      <c r="K108" s="73">
        <v>45151</v>
      </c>
      <c r="L108">
        <v>512</v>
      </c>
      <c r="N108" s="73">
        <v>45151</v>
      </c>
      <c r="O108">
        <v>1013</v>
      </c>
      <c r="Q108" s="73">
        <v>45151</v>
      </c>
      <c r="R108">
        <v>2257</v>
      </c>
      <c r="T108" s="73">
        <v>45151</v>
      </c>
      <c r="U108">
        <v>5273</v>
      </c>
    </row>
    <row r="109" spans="1:21">
      <c r="A109" s="73"/>
      <c r="B109" s="73">
        <v>45150</v>
      </c>
      <c r="C109">
        <v>4.4000000000000004</v>
      </c>
      <c r="E109" s="73">
        <v>45150</v>
      </c>
      <c r="F109">
        <v>11.09</v>
      </c>
      <c r="H109" s="73">
        <v>45150</v>
      </c>
      <c r="I109">
        <v>51.28</v>
      </c>
      <c r="K109" s="73">
        <v>45150</v>
      </c>
      <c r="L109">
        <v>490.9</v>
      </c>
      <c r="N109" s="73">
        <v>45150</v>
      </c>
      <c r="O109">
        <v>1019</v>
      </c>
      <c r="Q109" s="73">
        <v>45150</v>
      </c>
      <c r="R109">
        <v>2249</v>
      </c>
      <c r="T109" s="73">
        <v>45150</v>
      </c>
      <c r="U109">
        <v>5267</v>
      </c>
    </row>
    <row r="110" spans="1:21">
      <c r="A110" s="73"/>
      <c r="B110" s="73">
        <v>45149</v>
      </c>
      <c r="C110">
        <v>4.2</v>
      </c>
      <c r="E110" s="73">
        <v>45149</v>
      </c>
      <c r="F110">
        <v>11.14</v>
      </c>
      <c r="H110" s="73">
        <v>45149</v>
      </c>
      <c r="I110">
        <v>50.69</v>
      </c>
      <c r="K110" s="73">
        <v>45149</v>
      </c>
      <c r="L110">
        <v>489.5</v>
      </c>
      <c r="N110" s="73">
        <v>45149</v>
      </c>
      <c r="O110">
        <v>1022</v>
      </c>
      <c r="Q110" s="73">
        <v>45149</v>
      </c>
      <c r="R110">
        <v>2270</v>
      </c>
      <c r="T110" s="73">
        <v>45149</v>
      </c>
      <c r="U110">
        <v>5206</v>
      </c>
    </row>
    <row r="111" spans="1:21">
      <c r="A111" s="73"/>
      <c r="B111" s="73">
        <v>45148</v>
      </c>
      <c r="C111">
        <v>4.18</v>
      </c>
      <c r="E111" s="73">
        <v>45148</v>
      </c>
      <c r="F111">
        <v>11.21</v>
      </c>
      <c r="H111" s="73">
        <v>45148</v>
      </c>
      <c r="I111">
        <v>50.92</v>
      </c>
      <c r="K111" s="73">
        <v>45148</v>
      </c>
      <c r="L111">
        <v>489.2</v>
      </c>
      <c r="N111" s="73">
        <v>45148</v>
      </c>
      <c r="O111">
        <v>1030</v>
      </c>
      <c r="Q111" s="73">
        <v>45148</v>
      </c>
      <c r="R111">
        <v>2294</v>
      </c>
      <c r="T111" s="73">
        <v>45148</v>
      </c>
      <c r="U111">
        <v>5198</v>
      </c>
    </row>
    <row r="112" spans="1:21">
      <c r="A112" s="73"/>
      <c r="B112" s="73">
        <v>45147</v>
      </c>
      <c r="C112">
        <v>4.13</v>
      </c>
      <c r="E112" s="73">
        <v>45147</v>
      </c>
      <c r="F112">
        <v>11.21</v>
      </c>
      <c r="H112" s="73">
        <v>45147</v>
      </c>
      <c r="I112">
        <v>49.2</v>
      </c>
      <c r="K112" s="73">
        <v>45147</v>
      </c>
      <c r="L112">
        <v>487</v>
      </c>
      <c r="N112" s="73">
        <v>45147</v>
      </c>
      <c r="O112">
        <v>1007</v>
      </c>
      <c r="Q112" s="73">
        <v>45147</v>
      </c>
      <c r="R112">
        <v>2215</v>
      </c>
      <c r="T112" s="73">
        <v>45147</v>
      </c>
      <c r="U112">
        <v>5190</v>
      </c>
    </row>
    <row r="113" spans="1:21">
      <c r="A113" s="73"/>
      <c r="B113" s="73">
        <v>45146</v>
      </c>
      <c r="C113">
        <v>4.2</v>
      </c>
      <c r="E113" s="73">
        <v>45146</v>
      </c>
      <c r="F113">
        <v>11.78</v>
      </c>
      <c r="H113" s="73">
        <v>45146</v>
      </c>
      <c r="I113">
        <v>53.05</v>
      </c>
      <c r="K113" s="73">
        <v>45146</v>
      </c>
      <c r="L113">
        <v>500.2</v>
      </c>
      <c r="N113" s="73">
        <v>45146</v>
      </c>
      <c r="O113">
        <v>1142</v>
      </c>
      <c r="Q113" s="73">
        <v>45146</v>
      </c>
      <c r="R113">
        <v>2398</v>
      </c>
      <c r="T113" s="73">
        <v>45146</v>
      </c>
      <c r="U113">
        <v>5256</v>
      </c>
    </row>
    <row r="114" spans="1:21">
      <c r="A114" s="73"/>
      <c r="B114" s="73">
        <v>45145</v>
      </c>
      <c r="C114">
        <v>4.1399999999999997</v>
      </c>
      <c r="E114" s="73">
        <v>45145</v>
      </c>
      <c r="F114">
        <v>11.82</v>
      </c>
      <c r="H114" s="73">
        <v>45145</v>
      </c>
      <c r="I114">
        <v>52.99</v>
      </c>
      <c r="K114" s="73">
        <v>45145</v>
      </c>
      <c r="L114">
        <v>500.7</v>
      </c>
      <c r="N114" s="73">
        <v>45145</v>
      </c>
      <c r="O114">
        <v>1237</v>
      </c>
      <c r="Q114" s="73">
        <v>45145</v>
      </c>
      <c r="R114">
        <v>2398</v>
      </c>
      <c r="T114" s="73">
        <v>45145</v>
      </c>
      <c r="U114">
        <v>5266</v>
      </c>
    </row>
    <row r="115" spans="1:21">
      <c r="A115" s="73"/>
      <c r="B115" s="73">
        <v>45144</v>
      </c>
      <c r="C115">
        <v>4.2</v>
      </c>
      <c r="E115" s="73">
        <v>45144</v>
      </c>
      <c r="F115">
        <v>11.86</v>
      </c>
      <c r="H115" s="73">
        <v>45144</v>
      </c>
      <c r="I115">
        <v>52.76</v>
      </c>
      <c r="K115" s="73">
        <v>45144</v>
      </c>
      <c r="L115">
        <v>502.4</v>
      </c>
      <c r="N115" s="73">
        <v>45144</v>
      </c>
      <c r="O115">
        <v>1089</v>
      </c>
      <c r="Q115" s="73">
        <v>45144</v>
      </c>
      <c r="R115">
        <v>2378</v>
      </c>
      <c r="T115" s="73">
        <v>45144</v>
      </c>
      <c r="U115">
        <v>5215</v>
      </c>
    </row>
    <row r="116" spans="1:21">
      <c r="A116" s="73"/>
      <c r="B116" s="73">
        <v>45143</v>
      </c>
      <c r="C116">
        <v>4.1900000000000004</v>
      </c>
      <c r="E116" s="73">
        <v>45143</v>
      </c>
      <c r="F116">
        <v>11.84</v>
      </c>
      <c r="H116" s="73">
        <v>45143</v>
      </c>
      <c r="I116">
        <v>52.51</v>
      </c>
      <c r="K116" s="73">
        <v>45143</v>
      </c>
      <c r="L116">
        <v>498.4</v>
      </c>
      <c r="N116" s="73">
        <v>45143</v>
      </c>
      <c r="O116">
        <v>1004</v>
      </c>
      <c r="Q116" s="73">
        <v>45143</v>
      </c>
      <c r="R116">
        <v>2288</v>
      </c>
      <c r="T116" s="73">
        <v>45143</v>
      </c>
      <c r="U116">
        <v>5210</v>
      </c>
    </row>
    <row r="117" spans="1:21">
      <c r="A117" s="73"/>
      <c r="B117" s="73">
        <v>45142</v>
      </c>
      <c r="C117">
        <v>4.17</v>
      </c>
      <c r="E117" s="73">
        <v>45142</v>
      </c>
      <c r="F117">
        <v>11.86</v>
      </c>
      <c r="H117" s="73">
        <v>45142</v>
      </c>
      <c r="I117">
        <v>52.61</v>
      </c>
      <c r="K117" s="73">
        <v>45142</v>
      </c>
      <c r="L117">
        <v>493.7</v>
      </c>
      <c r="N117" s="73">
        <v>45142</v>
      </c>
      <c r="O117">
        <v>1004</v>
      </c>
      <c r="Q117" s="73">
        <v>45142</v>
      </c>
      <c r="R117">
        <v>2291</v>
      </c>
      <c r="T117" s="73">
        <v>45142</v>
      </c>
      <c r="U117">
        <v>5226</v>
      </c>
    </row>
    <row r="118" spans="1:21">
      <c r="A118" s="73"/>
      <c r="B118" s="73">
        <v>45141</v>
      </c>
      <c r="C118">
        <v>4.16</v>
      </c>
      <c r="E118" s="73">
        <v>45141</v>
      </c>
      <c r="F118">
        <v>11.92</v>
      </c>
      <c r="H118" s="73">
        <v>45141</v>
      </c>
      <c r="I118">
        <v>52.92</v>
      </c>
      <c r="K118" s="73">
        <v>45141</v>
      </c>
      <c r="L118">
        <v>487.6</v>
      </c>
      <c r="N118" s="73">
        <v>45141</v>
      </c>
      <c r="O118">
        <v>1012</v>
      </c>
      <c r="Q118" s="73">
        <v>45141</v>
      </c>
      <c r="R118">
        <v>2297</v>
      </c>
      <c r="T118" s="73">
        <v>45141</v>
      </c>
      <c r="U118">
        <v>5227</v>
      </c>
    </row>
    <row r="119" spans="1:21">
      <c r="A119" s="73"/>
      <c r="B119" s="73">
        <v>45140</v>
      </c>
      <c r="C119">
        <v>4.13</v>
      </c>
      <c r="E119" s="73">
        <v>45140</v>
      </c>
      <c r="F119">
        <v>11.79</v>
      </c>
      <c r="H119" s="73">
        <v>45140</v>
      </c>
      <c r="I119">
        <v>52.8</v>
      </c>
      <c r="K119" s="73">
        <v>45140</v>
      </c>
      <c r="L119">
        <v>502.3</v>
      </c>
      <c r="N119" s="73">
        <v>45140</v>
      </c>
      <c r="O119">
        <v>1016</v>
      </c>
      <c r="Q119" s="73">
        <v>45140</v>
      </c>
      <c r="R119">
        <v>2199</v>
      </c>
      <c r="T119" s="73">
        <v>45140</v>
      </c>
      <c r="U119">
        <v>5185</v>
      </c>
    </row>
    <row r="120" spans="1:21">
      <c r="A120" s="73"/>
      <c r="B120" s="73">
        <v>45139</v>
      </c>
      <c r="C120">
        <v>4.0999999999999996</v>
      </c>
      <c r="E120" s="73">
        <v>45139</v>
      </c>
      <c r="F120">
        <v>11.74</v>
      </c>
      <c r="H120" s="73">
        <v>45139</v>
      </c>
      <c r="I120">
        <v>52.9</v>
      </c>
      <c r="K120" s="73">
        <v>45139</v>
      </c>
      <c r="L120">
        <v>487.3</v>
      </c>
      <c r="N120" s="73">
        <v>45139</v>
      </c>
      <c r="O120">
        <v>1006</v>
      </c>
      <c r="Q120" s="73">
        <v>45139</v>
      </c>
      <c r="R120">
        <v>2197</v>
      </c>
      <c r="T120" s="73">
        <v>45139</v>
      </c>
      <c r="U120">
        <v>5097</v>
      </c>
    </row>
    <row r="121" spans="1:21">
      <c r="A121" s="73"/>
      <c r="B121" s="73">
        <v>45138</v>
      </c>
      <c r="C121">
        <v>4.07</v>
      </c>
      <c r="E121" s="73">
        <v>45138</v>
      </c>
      <c r="F121">
        <v>11.84</v>
      </c>
      <c r="H121" s="73">
        <v>45138</v>
      </c>
      <c r="I121">
        <v>52.8</v>
      </c>
      <c r="K121" s="73">
        <v>45138</v>
      </c>
      <c r="L121">
        <v>503.4</v>
      </c>
      <c r="N121" s="73">
        <v>45138</v>
      </c>
      <c r="O121">
        <v>999</v>
      </c>
      <c r="Q121" s="73">
        <v>45138</v>
      </c>
      <c r="R121">
        <v>2177</v>
      </c>
      <c r="T121" s="73">
        <v>45138</v>
      </c>
      <c r="U121">
        <v>5165</v>
      </c>
    </row>
    <row r="122" spans="1:21">
      <c r="A122" s="73"/>
      <c r="B122" s="73">
        <v>45137</v>
      </c>
      <c r="C122">
        <v>4.07</v>
      </c>
      <c r="E122" s="73">
        <v>45137</v>
      </c>
      <c r="F122">
        <v>11.26</v>
      </c>
      <c r="H122" s="73">
        <v>45137</v>
      </c>
      <c r="I122">
        <v>52</v>
      </c>
      <c r="K122" s="73">
        <v>45137</v>
      </c>
      <c r="L122">
        <v>513.1</v>
      </c>
      <c r="N122" s="73">
        <v>45137</v>
      </c>
      <c r="O122">
        <v>977.1</v>
      </c>
      <c r="Q122" s="73">
        <v>45137</v>
      </c>
      <c r="R122">
        <v>2355</v>
      </c>
      <c r="T122" s="73">
        <v>45137</v>
      </c>
      <c r="U122">
        <v>5098</v>
      </c>
    </row>
    <row r="123" spans="1:21">
      <c r="A123" s="73"/>
      <c r="B123" s="73">
        <v>45136</v>
      </c>
      <c r="C123">
        <v>3.99</v>
      </c>
      <c r="E123" s="73">
        <v>45136</v>
      </c>
      <c r="F123">
        <v>11.97</v>
      </c>
      <c r="H123" s="73">
        <v>45136</v>
      </c>
      <c r="I123">
        <v>51.99</v>
      </c>
      <c r="K123" s="73">
        <v>45136</v>
      </c>
      <c r="L123">
        <v>511.8</v>
      </c>
      <c r="N123" s="73">
        <v>45136</v>
      </c>
      <c r="O123">
        <v>969</v>
      </c>
      <c r="Q123" s="73">
        <v>45136</v>
      </c>
      <c r="R123">
        <v>2355</v>
      </c>
      <c r="T123" s="73">
        <v>45136</v>
      </c>
      <c r="U123">
        <v>5089</v>
      </c>
    </row>
    <row r="124" spans="1:21">
      <c r="A124" s="73"/>
      <c r="B124" s="73">
        <v>45135</v>
      </c>
      <c r="C124">
        <v>4.0999999999999996</v>
      </c>
      <c r="E124" s="73">
        <v>45135</v>
      </c>
      <c r="F124">
        <v>11.63</v>
      </c>
      <c r="H124" s="73">
        <v>45135</v>
      </c>
      <c r="I124">
        <v>50.99</v>
      </c>
      <c r="K124" s="73">
        <v>45135</v>
      </c>
      <c r="L124">
        <v>515</v>
      </c>
      <c r="N124" s="73">
        <v>45135</v>
      </c>
      <c r="O124">
        <v>967.7</v>
      </c>
      <c r="Q124" s="73">
        <v>45135</v>
      </c>
      <c r="R124">
        <v>2389</v>
      </c>
      <c r="T124" s="73">
        <v>45135</v>
      </c>
      <c r="U124">
        <v>5071</v>
      </c>
    </row>
    <row r="125" spans="1:21">
      <c r="A125" s="73"/>
      <c r="B125" s="73">
        <v>45134</v>
      </c>
      <c r="C125">
        <v>4.1500000000000004</v>
      </c>
      <c r="E125" s="73">
        <v>45134</v>
      </c>
      <c r="F125">
        <v>11.79</v>
      </c>
      <c r="H125" s="73">
        <v>45134</v>
      </c>
      <c r="I125">
        <v>52.52</v>
      </c>
      <c r="K125" s="73">
        <v>45134</v>
      </c>
      <c r="L125">
        <v>508.8</v>
      </c>
      <c r="N125" s="73">
        <v>45134</v>
      </c>
      <c r="O125">
        <v>967.9</v>
      </c>
      <c r="Q125" s="73">
        <v>45134</v>
      </c>
      <c r="R125">
        <v>2400</v>
      </c>
      <c r="T125" s="73">
        <v>45134</v>
      </c>
      <c r="U125">
        <v>4904</v>
      </c>
    </row>
    <row r="126" spans="1:21">
      <c r="A126" s="73"/>
      <c r="B126" s="73">
        <v>45133</v>
      </c>
      <c r="C126">
        <v>4.1500000000000004</v>
      </c>
      <c r="E126" s="73">
        <v>45133</v>
      </c>
      <c r="F126">
        <v>12.01</v>
      </c>
      <c r="H126" s="73">
        <v>45133</v>
      </c>
      <c r="I126">
        <v>51.77</v>
      </c>
      <c r="K126" s="73">
        <v>45133</v>
      </c>
      <c r="L126">
        <v>526</v>
      </c>
      <c r="N126" s="73">
        <v>45133</v>
      </c>
      <c r="O126">
        <v>967.9</v>
      </c>
      <c r="Q126" s="73">
        <v>45133</v>
      </c>
      <c r="R126">
        <v>2439</v>
      </c>
      <c r="T126" s="73">
        <v>45133</v>
      </c>
      <c r="U126">
        <v>5068</v>
      </c>
    </row>
    <row r="127" spans="1:21">
      <c r="A127" s="73"/>
      <c r="B127" s="73">
        <v>45132</v>
      </c>
      <c r="C127">
        <v>4.07</v>
      </c>
      <c r="E127" s="73">
        <v>45132</v>
      </c>
      <c r="F127">
        <v>12.07</v>
      </c>
      <c r="H127" s="73">
        <v>45132</v>
      </c>
      <c r="I127">
        <v>53.49</v>
      </c>
      <c r="K127" s="73">
        <v>45132</v>
      </c>
      <c r="L127">
        <v>514.79999999999995</v>
      </c>
      <c r="N127" s="73">
        <v>45132</v>
      </c>
      <c r="O127">
        <v>969.9</v>
      </c>
      <c r="Q127" s="73">
        <v>45132</v>
      </c>
      <c r="R127">
        <v>2440</v>
      </c>
      <c r="T127" s="73">
        <v>45132</v>
      </c>
      <c r="U127">
        <v>4992</v>
      </c>
    </row>
    <row r="128" spans="1:21">
      <c r="A128" s="73"/>
      <c r="B128" s="73">
        <v>45131</v>
      </c>
      <c r="C128">
        <v>4.08</v>
      </c>
      <c r="E128" s="73">
        <v>45131</v>
      </c>
      <c r="F128">
        <v>12.1</v>
      </c>
      <c r="H128" s="73">
        <v>45131</v>
      </c>
      <c r="I128">
        <v>51.94</v>
      </c>
      <c r="K128" s="73">
        <v>45131</v>
      </c>
      <c r="L128">
        <v>516.9</v>
      </c>
      <c r="N128" s="73">
        <v>45131</v>
      </c>
      <c r="O128">
        <v>971.3</v>
      </c>
      <c r="Q128" s="73">
        <v>45131</v>
      </c>
      <c r="R128">
        <v>2579</v>
      </c>
      <c r="T128" s="73">
        <v>45131</v>
      </c>
      <c r="U128">
        <v>5094</v>
      </c>
    </row>
    <row r="129" spans="1:21">
      <c r="A129" s="73"/>
      <c r="B129" s="73">
        <v>45130</v>
      </c>
      <c r="C129">
        <v>4.09</v>
      </c>
      <c r="E129" s="73">
        <v>45130</v>
      </c>
      <c r="F129">
        <v>12.05</v>
      </c>
      <c r="H129" s="73">
        <v>45130</v>
      </c>
      <c r="I129">
        <v>53.91</v>
      </c>
      <c r="K129" s="73">
        <v>45130</v>
      </c>
      <c r="L129">
        <v>510.9</v>
      </c>
      <c r="N129" s="73">
        <v>45130</v>
      </c>
      <c r="O129">
        <v>965.1</v>
      </c>
      <c r="Q129" s="73">
        <v>45130</v>
      </c>
      <c r="R129">
        <v>2499</v>
      </c>
      <c r="T129" s="73">
        <v>45130</v>
      </c>
      <c r="U129">
        <v>5099</v>
      </c>
    </row>
    <row r="130" spans="1:21">
      <c r="A130" s="73"/>
      <c r="B130" s="73">
        <v>45129</v>
      </c>
      <c r="C130">
        <v>4.09</v>
      </c>
      <c r="E130" s="73">
        <v>45129</v>
      </c>
      <c r="F130">
        <v>12.18</v>
      </c>
      <c r="H130" s="73">
        <v>45129</v>
      </c>
      <c r="I130">
        <v>52.43</v>
      </c>
      <c r="K130" s="73">
        <v>45129</v>
      </c>
      <c r="L130">
        <v>520.1</v>
      </c>
      <c r="N130" s="73">
        <v>45129</v>
      </c>
      <c r="O130">
        <v>963.9</v>
      </c>
      <c r="Q130" s="73">
        <v>45129</v>
      </c>
      <c r="R130">
        <v>2492</v>
      </c>
      <c r="T130" s="73">
        <v>45129</v>
      </c>
      <c r="U130">
        <v>5099</v>
      </c>
    </row>
    <row r="131" spans="1:21">
      <c r="A131" s="73"/>
      <c r="B131" s="73">
        <v>45128</v>
      </c>
      <c r="C131">
        <v>4.08</v>
      </c>
      <c r="E131" s="73">
        <v>45128</v>
      </c>
      <c r="F131">
        <v>11.21</v>
      </c>
      <c r="H131" s="73">
        <v>45128</v>
      </c>
      <c r="I131">
        <v>49.72</v>
      </c>
      <c r="K131" s="73">
        <v>45128</v>
      </c>
      <c r="L131">
        <v>498.6</v>
      </c>
      <c r="N131" s="73">
        <v>45128</v>
      </c>
      <c r="O131">
        <v>963</v>
      </c>
      <c r="Q131" s="73">
        <v>45128</v>
      </c>
      <c r="R131">
        <v>2476</v>
      </c>
      <c r="T131" s="73">
        <v>45128</v>
      </c>
      <c r="U131">
        <v>5110</v>
      </c>
    </row>
    <row r="132" spans="1:21">
      <c r="A132" s="73"/>
      <c r="B132" s="73">
        <v>45127</v>
      </c>
      <c r="C132">
        <v>4.09</v>
      </c>
      <c r="E132" s="73">
        <v>45127</v>
      </c>
      <c r="F132">
        <v>12.41</v>
      </c>
      <c r="H132" s="73">
        <v>45127</v>
      </c>
      <c r="I132">
        <v>53.95</v>
      </c>
      <c r="K132" s="73">
        <v>45127</v>
      </c>
      <c r="L132">
        <v>520.29999999999995</v>
      </c>
      <c r="N132" s="73">
        <v>45127</v>
      </c>
      <c r="O132">
        <v>967.8</v>
      </c>
      <c r="Q132" s="73">
        <v>45127</v>
      </c>
      <c r="R132">
        <v>2478</v>
      </c>
      <c r="T132" s="73">
        <v>45127</v>
      </c>
      <c r="U132">
        <v>5115</v>
      </c>
    </row>
    <row r="133" spans="1:21">
      <c r="A133" s="73"/>
      <c r="B133" s="73">
        <v>45126</v>
      </c>
      <c r="C133">
        <v>4.0999999999999996</v>
      </c>
      <c r="E133" s="73">
        <v>45126</v>
      </c>
      <c r="F133">
        <v>12.16</v>
      </c>
      <c r="H133" s="73">
        <v>45126</v>
      </c>
      <c r="I133">
        <v>54.42</v>
      </c>
      <c r="K133" s="73">
        <v>45126</v>
      </c>
      <c r="L133">
        <v>534.9</v>
      </c>
      <c r="N133" s="73">
        <v>45126</v>
      </c>
      <c r="O133">
        <v>968.6</v>
      </c>
      <c r="Q133" s="73">
        <v>45126</v>
      </c>
      <c r="R133">
        <v>2482</v>
      </c>
      <c r="T133" s="73">
        <v>45126</v>
      </c>
      <c r="U133">
        <v>5219</v>
      </c>
    </row>
    <row r="134" spans="1:21">
      <c r="A134" s="73"/>
      <c r="B134" s="73">
        <v>45125</v>
      </c>
      <c r="C134">
        <v>4.04</v>
      </c>
      <c r="E134" s="73">
        <v>45125</v>
      </c>
      <c r="F134">
        <v>12.02</v>
      </c>
      <c r="H134" s="73">
        <v>45125</v>
      </c>
      <c r="I134">
        <v>54.48</v>
      </c>
      <c r="K134" s="73">
        <v>45125</v>
      </c>
      <c r="L134">
        <v>520.4</v>
      </c>
      <c r="N134" s="73">
        <v>45125</v>
      </c>
      <c r="O134">
        <v>968.3</v>
      </c>
      <c r="Q134" s="73">
        <v>45125</v>
      </c>
      <c r="R134">
        <v>2495</v>
      </c>
      <c r="T134" s="73">
        <v>45125</v>
      </c>
      <c r="U134">
        <v>5222</v>
      </c>
    </row>
    <row r="135" spans="1:21">
      <c r="A135" s="73"/>
      <c r="B135" s="73">
        <v>45124</v>
      </c>
      <c r="C135">
        <v>4.0999999999999996</v>
      </c>
      <c r="E135" s="73">
        <v>45124</v>
      </c>
      <c r="F135">
        <v>12.82</v>
      </c>
      <c r="H135" s="73">
        <v>45124</v>
      </c>
      <c r="I135">
        <v>54.43</v>
      </c>
      <c r="K135" s="73">
        <v>45124</v>
      </c>
      <c r="L135">
        <v>547.70000000000005</v>
      </c>
      <c r="N135" s="73">
        <v>45124</v>
      </c>
      <c r="O135">
        <v>971</v>
      </c>
      <c r="Q135" s="73">
        <v>45124</v>
      </c>
      <c r="R135">
        <v>2498</v>
      </c>
      <c r="T135" s="73">
        <v>45124</v>
      </c>
      <c r="U135">
        <v>5295</v>
      </c>
    </row>
    <row r="136" spans="1:21">
      <c r="A136" s="73"/>
      <c r="B136" s="73">
        <v>45123</v>
      </c>
      <c r="C136">
        <v>4.2</v>
      </c>
      <c r="E136" s="73">
        <v>45123</v>
      </c>
      <c r="F136">
        <v>13.28</v>
      </c>
      <c r="H136" s="73">
        <v>45123</v>
      </c>
      <c r="I136">
        <v>56.07</v>
      </c>
      <c r="K136" s="73">
        <v>45123</v>
      </c>
      <c r="L136">
        <v>530</v>
      </c>
      <c r="N136" s="73">
        <v>45123</v>
      </c>
      <c r="O136">
        <v>976.4</v>
      </c>
      <c r="Q136" s="73">
        <v>45123</v>
      </c>
      <c r="R136">
        <v>2544</v>
      </c>
      <c r="T136" s="73">
        <v>45123</v>
      </c>
      <c r="U136">
        <v>5387</v>
      </c>
    </row>
    <row r="137" spans="1:21">
      <c r="A137" s="73"/>
      <c r="B137" s="73">
        <v>45122</v>
      </c>
      <c r="C137">
        <v>4.2699999999999996</v>
      </c>
      <c r="E137" s="73">
        <v>45122</v>
      </c>
      <c r="F137">
        <v>13.74</v>
      </c>
      <c r="H137" s="73">
        <v>45122</v>
      </c>
      <c r="I137">
        <v>55.64</v>
      </c>
      <c r="K137" s="73">
        <v>45122</v>
      </c>
      <c r="L137">
        <v>507.1</v>
      </c>
      <c r="N137" s="73">
        <v>45122</v>
      </c>
      <c r="O137">
        <v>980</v>
      </c>
      <c r="Q137" s="73">
        <v>45122</v>
      </c>
      <c r="R137">
        <v>2478</v>
      </c>
      <c r="T137" s="73">
        <v>45122</v>
      </c>
      <c r="U137">
        <v>4973</v>
      </c>
    </row>
    <row r="138" spans="1:21">
      <c r="A138" s="73"/>
      <c r="B138" s="73">
        <v>45121</v>
      </c>
      <c r="C138">
        <v>4.1900000000000004</v>
      </c>
      <c r="E138" s="73">
        <v>45121</v>
      </c>
      <c r="F138">
        <v>13.55</v>
      </c>
      <c r="H138" s="73">
        <v>45121</v>
      </c>
      <c r="I138">
        <v>55.48</v>
      </c>
      <c r="K138" s="73">
        <v>45121</v>
      </c>
      <c r="L138">
        <v>505</v>
      </c>
      <c r="N138" s="73">
        <v>45121</v>
      </c>
      <c r="O138">
        <v>991</v>
      </c>
      <c r="Q138" s="73">
        <v>45121</v>
      </c>
      <c r="R138">
        <v>2499</v>
      </c>
      <c r="T138" s="73">
        <v>45121</v>
      </c>
      <c r="U138">
        <v>4818</v>
      </c>
    </row>
    <row r="139" spans="1:21">
      <c r="A139" s="73"/>
      <c r="B139" s="73">
        <v>45120</v>
      </c>
      <c r="C139">
        <v>4.25</v>
      </c>
      <c r="E139" s="73">
        <v>45120</v>
      </c>
      <c r="F139">
        <v>13.19</v>
      </c>
      <c r="H139" s="73">
        <v>45120</v>
      </c>
      <c r="I139">
        <v>53.61</v>
      </c>
      <c r="K139" s="73">
        <v>45120</v>
      </c>
      <c r="L139">
        <v>506.7</v>
      </c>
      <c r="N139" s="73">
        <v>45120</v>
      </c>
      <c r="O139">
        <v>992</v>
      </c>
      <c r="Q139" s="73">
        <v>45120</v>
      </c>
      <c r="R139">
        <v>2513</v>
      </c>
      <c r="T139" s="73">
        <v>45120</v>
      </c>
      <c r="U139">
        <v>4761</v>
      </c>
    </row>
    <row r="140" spans="1:21">
      <c r="A140" s="73"/>
      <c r="B140" s="73">
        <v>45119</v>
      </c>
      <c r="C140">
        <v>4.17</v>
      </c>
      <c r="E140" s="73">
        <v>45119</v>
      </c>
      <c r="F140">
        <v>14.08</v>
      </c>
      <c r="H140" s="73">
        <v>45119</v>
      </c>
      <c r="I140">
        <v>53.64</v>
      </c>
      <c r="K140" s="73">
        <v>45119</v>
      </c>
      <c r="L140">
        <v>524.70000000000005</v>
      </c>
      <c r="N140" s="73">
        <v>45119</v>
      </c>
      <c r="O140">
        <v>1000</v>
      </c>
      <c r="Q140" s="73">
        <v>45119</v>
      </c>
      <c r="R140">
        <v>2584</v>
      </c>
      <c r="T140" s="73">
        <v>45119</v>
      </c>
      <c r="U140">
        <v>4778</v>
      </c>
    </row>
    <row r="141" spans="1:21">
      <c r="A141" s="73"/>
      <c r="B141" s="73">
        <v>45118</v>
      </c>
      <c r="C141">
        <v>4.22</v>
      </c>
      <c r="E141" s="73">
        <v>45118</v>
      </c>
      <c r="F141">
        <v>13</v>
      </c>
      <c r="H141" s="73">
        <v>45118</v>
      </c>
      <c r="I141">
        <v>55.59</v>
      </c>
      <c r="K141" s="73">
        <v>45118</v>
      </c>
      <c r="L141">
        <v>527</v>
      </c>
      <c r="N141" s="73">
        <v>45118</v>
      </c>
      <c r="O141">
        <v>1039</v>
      </c>
      <c r="Q141" s="73">
        <v>45118</v>
      </c>
      <c r="R141">
        <v>2584</v>
      </c>
      <c r="T141" s="73">
        <v>45118</v>
      </c>
      <c r="U141">
        <v>4744</v>
      </c>
    </row>
    <row r="142" spans="1:21">
      <c r="A142" s="73"/>
      <c r="B142" s="73">
        <v>45117</v>
      </c>
      <c r="C142">
        <v>4.1500000000000004</v>
      </c>
      <c r="E142" s="73">
        <v>45117</v>
      </c>
      <c r="F142">
        <v>12.13</v>
      </c>
      <c r="H142" s="73">
        <v>45117</v>
      </c>
      <c r="I142">
        <v>55</v>
      </c>
      <c r="K142" s="73">
        <v>45117</v>
      </c>
      <c r="L142">
        <v>528.5</v>
      </c>
      <c r="N142" s="73">
        <v>45117</v>
      </c>
      <c r="O142">
        <v>1039</v>
      </c>
      <c r="Q142" s="73">
        <v>45117</v>
      </c>
      <c r="R142">
        <v>2499</v>
      </c>
      <c r="T142" s="73">
        <v>45117</v>
      </c>
      <c r="U142">
        <v>4750</v>
      </c>
    </row>
    <row r="143" spans="1:21">
      <c r="A143" s="73"/>
      <c r="B143" s="73">
        <v>45116</v>
      </c>
      <c r="C143">
        <v>4.1100000000000003</v>
      </c>
      <c r="E143" s="73">
        <v>45116</v>
      </c>
      <c r="F143">
        <v>12.16</v>
      </c>
      <c r="H143" s="73">
        <v>45116</v>
      </c>
      <c r="I143">
        <v>53.6</v>
      </c>
      <c r="K143" s="73">
        <v>45116</v>
      </c>
      <c r="L143">
        <v>531.4</v>
      </c>
      <c r="N143" s="73">
        <v>45116</v>
      </c>
      <c r="O143">
        <v>990.2</v>
      </c>
      <c r="Q143" s="73">
        <v>45116</v>
      </c>
      <c r="R143">
        <v>2476</v>
      </c>
      <c r="T143" s="73">
        <v>45116</v>
      </c>
      <c r="U143">
        <v>4780</v>
      </c>
    </row>
    <row r="144" spans="1:21">
      <c r="A144" s="73"/>
      <c r="B144" s="73">
        <v>45115</v>
      </c>
      <c r="C144">
        <v>4.16</v>
      </c>
      <c r="E144" s="73">
        <v>45115</v>
      </c>
      <c r="F144">
        <v>12.16</v>
      </c>
      <c r="H144" s="73">
        <v>45115</v>
      </c>
      <c r="I144">
        <v>53.78</v>
      </c>
      <c r="K144" s="73">
        <v>45115</v>
      </c>
      <c r="L144">
        <v>534.79999999999995</v>
      </c>
      <c r="N144" s="73">
        <v>45115</v>
      </c>
      <c r="O144">
        <v>995.7</v>
      </c>
      <c r="Q144" s="73">
        <v>45115</v>
      </c>
      <c r="R144">
        <v>2476</v>
      </c>
      <c r="T144" s="73">
        <v>45115</v>
      </c>
      <c r="U144">
        <v>4979</v>
      </c>
    </row>
    <row r="145" spans="1:21">
      <c r="A145" s="73"/>
      <c r="B145" s="73">
        <v>45114</v>
      </c>
      <c r="C145">
        <v>4.1399999999999997</v>
      </c>
      <c r="E145" s="73">
        <v>45114</v>
      </c>
      <c r="F145">
        <v>12.17</v>
      </c>
      <c r="H145" s="73">
        <v>45114</v>
      </c>
      <c r="I145">
        <v>52</v>
      </c>
      <c r="K145" s="73">
        <v>45114</v>
      </c>
      <c r="L145">
        <v>495.5</v>
      </c>
      <c r="N145" s="73">
        <v>45114</v>
      </c>
      <c r="O145">
        <v>967.2</v>
      </c>
      <c r="Q145" s="73">
        <v>45114</v>
      </c>
      <c r="R145">
        <v>2476</v>
      </c>
      <c r="T145" s="73">
        <v>45114</v>
      </c>
      <c r="U145">
        <v>4496</v>
      </c>
    </row>
    <row r="146" spans="1:21">
      <c r="A146" s="73"/>
      <c r="B146" s="73">
        <v>45113</v>
      </c>
      <c r="C146">
        <v>4.1399999999999997</v>
      </c>
      <c r="E146" s="73">
        <v>45113</v>
      </c>
      <c r="F146">
        <v>12.36</v>
      </c>
      <c r="H146" s="73">
        <v>45113</v>
      </c>
      <c r="I146">
        <v>62.76</v>
      </c>
      <c r="K146" s="73">
        <v>45113</v>
      </c>
      <c r="L146">
        <v>490</v>
      </c>
      <c r="N146" s="73">
        <v>45113</v>
      </c>
      <c r="O146">
        <v>934</v>
      </c>
      <c r="Q146" s="73">
        <v>45113</v>
      </c>
      <c r="R146">
        <v>2469</v>
      </c>
      <c r="T146" s="73">
        <v>45113</v>
      </c>
      <c r="U146">
        <v>4465</v>
      </c>
    </row>
    <row r="147" spans="1:21">
      <c r="A147" s="73"/>
      <c r="B147" s="73">
        <v>45112</v>
      </c>
      <c r="C147">
        <v>4.21</v>
      </c>
      <c r="E147" s="73">
        <v>45112</v>
      </c>
      <c r="F147">
        <v>11.5</v>
      </c>
      <c r="H147" s="73">
        <v>45112</v>
      </c>
      <c r="I147">
        <v>53</v>
      </c>
      <c r="K147" s="73">
        <v>45112</v>
      </c>
      <c r="L147">
        <v>481.8</v>
      </c>
      <c r="N147" s="73">
        <v>45112</v>
      </c>
      <c r="O147">
        <v>919.8</v>
      </c>
      <c r="Q147" s="73">
        <v>45112</v>
      </c>
      <c r="R147">
        <v>2469</v>
      </c>
      <c r="T147" s="73">
        <v>45112</v>
      </c>
      <c r="U147">
        <v>4450</v>
      </c>
    </row>
    <row r="148" spans="1:21">
      <c r="A148" s="73"/>
      <c r="B148" s="73">
        <v>45111</v>
      </c>
      <c r="C148">
        <v>4.34</v>
      </c>
      <c r="E148" s="73">
        <v>45111</v>
      </c>
      <c r="F148">
        <v>11.95</v>
      </c>
      <c r="H148" s="73">
        <v>45111</v>
      </c>
      <c r="I148">
        <v>52.27</v>
      </c>
      <c r="K148" s="73">
        <v>45111</v>
      </c>
      <c r="L148">
        <v>492</v>
      </c>
      <c r="N148" s="73">
        <v>45111</v>
      </c>
      <c r="O148">
        <v>919.4</v>
      </c>
      <c r="Q148" s="73">
        <v>45111</v>
      </c>
      <c r="R148">
        <v>2472</v>
      </c>
      <c r="T148" s="73">
        <v>45111</v>
      </c>
      <c r="U148">
        <v>4454</v>
      </c>
    </row>
    <row r="149" spans="1:21">
      <c r="A149" s="73"/>
      <c r="B149" s="73">
        <v>45110</v>
      </c>
      <c r="C149">
        <v>4.32</v>
      </c>
      <c r="E149" s="73">
        <v>45110</v>
      </c>
      <c r="F149">
        <v>11.66</v>
      </c>
      <c r="H149" s="73">
        <v>45110</v>
      </c>
      <c r="I149">
        <v>51.1</v>
      </c>
      <c r="K149" s="73">
        <v>45110</v>
      </c>
      <c r="L149">
        <v>455.8</v>
      </c>
      <c r="N149" s="73">
        <v>45110</v>
      </c>
      <c r="O149">
        <v>910.7</v>
      </c>
      <c r="Q149" s="73">
        <v>45110</v>
      </c>
      <c r="R149">
        <v>2477</v>
      </c>
      <c r="T149" s="73">
        <v>45110</v>
      </c>
      <c r="U149">
        <v>4458</v>
      </c>
    </row>
    <row r="150" spans="1:21">
      <c r="A150" s="73"/>
      <c r="B150" s="73">
        <v>45109</v>
      </c>
      <c r="C150">
        <v>4.28</v>
      </c>
      <c r="E150" s="73">
        <v>45109</v>
      </c>
      <c r="F150">
        <v>11.58</v>
      </c>
      <c r="H150" s="73">
        <v>45109</v>
      </c>
      <c r="I150">
        <v>51</v>
      </c>
      <c r="K150" s="73">
        <v>45109</v>
      </c>
      <c r="L150">
        <v>476.3</v>
      </c>
      <c r="N150" s="73">
        <v>45109</v>
      </c>
      <c r="O150">
        <v>903.9</v>
      </c>
      <c r="Q150" s="73">
        <v>45109</v>
      </c>
      <c r="R150">
        <v>2563</v>
      </c>
      <c r="T150" s="73">
        <v>45109</v>
      </c>
      <c r="U150">
        <v>4349</v>
      </c>
    </row>
    <row r="151" spans="1:21">
      <c r="A151" s="73"/>
      <c r="B151" s="73">
        <v>45108</v>
      </c>
      <c r="C151">
        <v>4.33</v>
      </c>
      <c r="E151" s="73">
        <v>45108</v>
      </c>
      <c r="F151">
        <v>11</v>
      </c>
      <c r="H151" s="73">
        <v>45108</v>
      </c>
      <c r="I151">
        <v>51.69</v>
      </c>
      <c r="K151" s="73">
        <v>45108</v>
      </c>
      <c r="L151">
        <v>495.9</v>
      </c>
      <c r="N151" s="73">
        <v>45108</v>
      </c>
      <c r="O151">
        <v>903</v>
      </c>
      <c r="Q151" s="73">
        <v>45108</v>
      </c>
      <c r="R151">
        <v>2519</v>
      </c>
      <c r="T151" s="73">
        <v>45108</v>
      </c>
      <c r="U151">
        <v>4297</v>
      </c>
    </row>
    <row r="152" spans="1:21">
      <c r="A152" s="73"/>
      <c r="B152" s="73">
        <v>45107</v>
      </c>
      <c r="C152">
        <v>4.38</v>
      </c>
      <c r="E152" s="73">
        <v>45107</v>
      </c>
      <c r="F152">
        <v>11.38</v>
      </c>
      <c r="H152" s="73">
        <v>45107</v>
      </c>
      <c r="I152">
        <v>51.97</v>
      </c>
      <c r="K152" s="73">
        <v>45107</v>
      </c>
      <c r="L152">
        <v>496</v>
      </c>
      <c r="N152" s="73">
        <v>45107</v>
      </c>
      <c r="O152">
        <v>907.9</v>
      </c>
      <c r="Q152" s="73">
        <v>45107</v>
      </c>
      <c r="R152">
        <v>2548</v>
      </c>
      <c r="T152" s="73">
        <v>45107</v>
      </c>
      <c r="U152">
        <v>4295</v>
      </c>
    </row>
    <row r="153" spans="1:21">
      <c r="A153" s="73"/>
      <c r="B153" s="73">
        <v>45106</v>
      </c>
      <c r="C153">
        <v>4.46</v>
      </c>
      <c r="E153" s="73">
        <v>45106</v>
      </c>
      <c r="F153">
        <v>11.02</v>
      </c>
      <c r="H153" s="73">
        <v>45106</v>
      </c>
      <c r="I153">
        <v>51.04</v>
      </c>
      <c r="K153" s="73">
        <v>45106</v>
      </c>
      <c r="L153">
        <v>498</v>
      </c>
      <c r="N153" s="73">
        <v>45106</v>
      </c>
      <c r="O153">
        <v>893.1</v>
      </c>
      <c r="Q153" s="73">
        <v>45106</v>
      </c>
      <c r="R153">
        <v>2500</v>
      </c>
      <c r="T153" s="73">
        <v>45106</v>
      </c>
      <c r="U153">
        <v>4247</v>
      </c>
    </row>
    <row r="154" spans="1:21">
      <c r="A154" s="73"/>
      <c r="B154" s="73">
        <v>45105</v>
      </c>
      <c r="C154">
        <v>4.5599999999999996</v>
      </c>
      <c r="E154" s="73">
        <v>45105</v>
      </c>
      <c r="F154">
        <v>11.2</v>
      </c>
      <c r="H154" s="73">
        <v>45105</v>
      </c>
      <c r="I154">
        <v>52.01</v>
      </c>
      <c r="K154" s="73">
        <v>45105</v>
      </c>
      <c r="L154">
        <v>490</v>
      </c>
      <c r="N154" s="73">
        <v>45105</v>
      </c>
      <c r="O154">
        <v>913.9</v>
      </c>
      <c r="Q154" s="73">
        <v>45105</v>
      </c>
      <c r="R154">
        <v>2575</v>
      </c>
      <c r="T154" s="73">
        <v>45105</v>
      </c>
      <c r="U154">
        <v>4246</v>
      </c>
    </row>
    <row r="155" spans="1:21">
      <c r="A155" s="73"/>
      <c r="B155" s="73">
        <v>45104</v>
      </c>
      <c r="C155">
        <v>4.38</v>
      </c>
      <c r="E155" s="73">
        <v>45104</v>
      </c>
      <c r="F155">
        <v>11.88</v>
      </c>
      <c r="H155" s="73">
        <v>45104</v>
      </c>
      <c r="I155">
        <v>51.28</v>
      </c>
      <c r="K155" s="73">
        <v>45104</v>
      </c>
      <c r="L155">
        <v>495</v>
      </c>
      <c r="N155" s="73">
        <v>45104</v>
      </c>
      <c r="O155">
        <v>948</v>
      </c>
      <c r="Q155" s="73">
        <v>45104</v>
      </c>
      <c r="R155">
        <v>2580</v>
      </c>
      <c r="T155" s="73">
        <v>45104</v>
      </c>
      <c r="U155">
        <v>4235</v>
      </c>
    </row>
    <row r="156" spans="1:21">
      <c r="A156" s="73"/>
      <c r="B156" s="73">
        <v>45103</v>
      </c>
      <c r="C156">
        <v>4.4400000000000004</v>
      </c>
      <c r="E156" s="73">
        <v>45103</v>
      </c>
      <c r="F156">
        <v>11.86</v>
      </c>
      <c r="H156" s="73">
        <v>45103</v>
      </c>
      <c r="I156">
        <v>51.22</v>
      </c>
      <c r="K156" s="73">
        <v>45103</v>
      </c>
      <c r="L156">
        <v>491.8</v>
      </c>
      <c r="N156" s="73">
        <v>45103</v>
      </c>
      <c r="O156">
        <v>965.5</v>
      </c>
      <c r="Q156" s="73">
        <v>45103</v>
      </c>
      <c r="R156">
        <v>2588</v>
      </c>
      <c r="T156" s="73">
        <v>45103</v>
      </c>
      <c r="U156">
        <v>4219</v>
      </c>
    </row>
    <row r="157" spans="1:21">
      <c r="A157" s="73"/>
      <c r="B157" s="73">
        <v>45102</v>
      </c>
      <c r="C157">
        <v>4.4000000000000004</v>
      </c>
      <c r="E157" s="73">
        <v>45102</v>
      </c>
      <c r="F157">
        <v>11.83</v>
      </c>
      <c r="H157" s="73">
        <v>45102</v>
      </c>
      <c r="I157">
        <v>51.28</v>
      </c>
      <c r="K157" s="73">
        <v>45102</v>
      </c>
      <c r="L157">
        <v>497.1</v>
      </c>
      <c r="N157" s="73">
        <v>45102</v>
      </c>
      <c r="O157">
        <v>976.1</v>
      </c>
      <c r="Q157" s="73">
        <v>45102</v>
      </c>
      <c r="R157">
        <v>2593</v>
      </c>
      <c r="T157" s="73">
        <v>45102</v>
      </c>
      <c r="U157">
        <v>4246</v>
      </c>
    </row>
    <row r="158" spans="1:21">
      <c r="A158" s="73"/>
      <c r="B158" s="73">
        <v>45101</v>
      </c>
      <c r="C158">
        <v>4.45</v>
      </c>
      <c r="E158" s="73">
        <v>45101</v>
      </c>
      <c r="F158">
        <v>11.99</v>
      </c>
      <c r="H158" s="73">
        <v>45101</v>
      </c>
      <c r="I158">
        <v>51.99</v>
      </c>
      <c r="K158" s="73">
        <v>45101</v>
      </c>
      <c r="L158">
        <v>494</v>
      </c>
      <c r="N158" s="73">
        <v>45101</v>
      </c>
      <c r="O158">
        <v>974.5</v>
      </c>
      <c r="Q158" s="73">
        <v>45101</v>
      </c>
      <c r="R158">
        <v>2587</v>
      </c>
      <c r="T158" s="73">
        <v>45101</v>
      </c>
      <c r="U158">
        <v>4215</v>
      </c>
    </row>
    <row r="159" spans="1:21">
      <c r="A159" s="73"/>
      <c r="B159" s="73">
        <v>45100</v>
      </c>
      <c r="C159">
        <v>4.53</v>
      </c>
      <c r="E159" s="73">
        <v>45100</v>
      </c>
      <c r="F159">
        <v>12.58</v>
      </c>
      <c r="H159" s="73">
        <v>45100</v>
      </c>
      <c r="I159">
        <v>50.94</v>
      </c>
      <c r="K159" s="73">
        <v>45100</v>
      </c>
      <c r="L159">
        <v>499</v>
      </c>
      <c r="N159" s="73">
        <v>45100</v>
      </c>
      <c r="O159">
        <v>947.6</v>
      </c>
      <c r="Q159" s="73">
        <v>45100</v>
      </c>
      <c r="R159">
        <v>2579</v>
      </c>
      <c r="T159" s="73">
        <v>45100</v>
      </c>
      <c r="U159">
        <v>4250</v>
      </c>
    </row>
    <row r="160" spans="1:21">
      <c r="A160" s="73"/>
      <c r="B160" s="73">
        <v>45099</v>
      </c>
      <c r="C160">
        <v>4.66</v>
      </c>
      <c r="E160" s="73">
        <v>45099</v>
      </c>
      <c r="F160">
        <v>11.15</v>
      </c>
      <c r="H160" s="73">
        <v>45099</v>
      </c>
      <c r="I160">
        <v>52.45</v>
      </c>
      <c r="K160" s="73">
        <v>45099</v>
      </c>
      <c r="L160">
        <v>498.8</v>
      </c>
      <c r="N160" s="73">
        <v>45099</v>
      </c>
      <c r="O160">
        <v>933.4</v>
      </c>
      <c r="Q160" s="73">
        <v>45099</v>
      </c>
      <c r="R160">
        <v>2499</v>
      </c>
      <c r="T160" s="73">
        <v>45099</v>
      </c>
      <c r="U160">
        <v>4198</v>
      </c>
    </row>
    <row r="161" spans="1:21">
      <c r="A161" s="73"/>
      <c r="B161" s="73">
        <v>45098</v>
      </c>
      <c r="C161">
        <v>4.71</v>
      </c>
      <c r="E161" s="73">
        <v>45098</v>
      </c>
      <c r="F161">
        <v>10.54</v>
      </c>
      <c r="H161" s="73">
        <v>45098</v>
      </c>
      <c r="I161">
        <v>51.96</v>
      </c>
      <c r="K161" s="73">
        <v>45098</v>
      </c>
      <c r="L161">
        <v>494</v>
      </c>
      <c r="N161" s="73">
        <v>45098</v>
      </c>
      <c r="O161">
        <v>936.7</v>
      </c>
      <c r="Q161" s="73">
        <v>45098</v>
      </c>
      <c r="R161">
        <v>2525</v>
      </c>
      <c r="T161" s="73">
        <v>45098</v>
      </c>
      <c r="U161">
        <v>4180</v>
      </c>
    </row>
    <row r="162" spans="1:21">
      <c r="A162" s="73"/>
      <c r="B162" s="73">
        <v>45097</v>
      </c>
      <c r="C162">
        <v>4.75</v>
      </c>
      <c r="E162" s="73">
        <v>45097</v>
      </c>
      <c r="F162">
        <v>10.26</v>
      </c>
      <c r="H162" s="73">
        <v>45097</v>
      </c>
      <c r="I162">
        <v>50.72</v>
      </c>
      <c r="K162" s="73">
        <v>45097</v>
      </c>
      <c r="L162">
        <v>494</v>
      </c>
      <c r="N162" s="73">
        <v>45097</v>
      </c>
      <c r="O162">
        <v>922</v>
      </c>
      <c r="Q162" s="73">
        <v>45097</v>
      </c>
      <c r="R162">
        <v>2624</v>
      </c>
      <c r="T162" s="73">
        <v>45097</v>
      </c>
      <c r="U162">
        <v>4036</v>
      </c>
    </row>
    <row r="163" spans="1:21">
      <c r="A163" s="73"/>
      <c r="B163" s="73">
        <v>45096</v>
      </c>
      <c r="C163">
        <v>4.5599999999999996</v>
      </c>
      <c r="E163" s="73">
        <v>45096</v>
      </c>
      <c r="F163">
        <v>10.25</v>
      </c>
      <c r="H163" s="73">
        <v>45096</v>
      </c>
      <c r="I163">
        <v>52.97</v>
      </c>
      <c r="K163" s="73">
        <v>45096</v>
      </c>
      <c r="L163">
        <v>504.6</v>
      </c>
      <c r="N163" s="73">
        <v>45096</v>
      </c>
      <c r="O163">
        <v>897.4</v>
      </c>
      <c r="Q163" s="73">
        <v>45096</v>
      </c>
      <c r="R163">
        <v>2625</v>
      </c>
      <c r="T163" s="73">
        <v>45096</v>
      </c>
      <c r="U163">
        <v>4241</v>
      </c>
    </row>
    <row r="164" spans="1:21">
      <c r="A164" s="73"/>
      <c r="B164" s="73">
        <v>45095</v>
      </c>
      <c r="C164">
        <v>4.47</v>
      </c>
      <c r="E164" s="73">
        <v>45095</v>
      </c>
      <c r="F164">
        <v>10.119999999999999</v>
      </c>
      <c r="H164" s="73">
        <v>45095</v>
      </c>
      <c r="I164">
        <v>52.69</v>
      </c>
      <c r="K164" s="73">
        <v>45095</v>
      </c>
      <c r="L164">
        <v>500</v>
      </c>
      <c r="N164" s="73">
        <v>45095</v>
      </c>
      <c r="O164">
        <v>886</v>
      </c>
      <c r="Q164" s="73">
        <v>45095</v>
      </c>
      <c r="R164">
        <v>2614</v>
      </c>
      <c r="T164" s="73">
        <v>45095</v>
      </c>
      <c r="U164">
        <v>4116</v>
      </c>
    </row>
    <row r="165" spans="1:21">
      <c r="A165" s="73"/>
      <c r="B165" s="73">
        <v>45094</v>
      </c>
      <c r="C165">
        <v>4.49</v>
      </c>
      <c r="E165" s="73">
        <v>45094</v>
      </c>
      <c r="F165">
        <v>10.26</v>
      </c>
      <c r="H165" s="73">
        <v>45094</v>
      </c>
      <c r="I165">
        <v>53.38</v>
      </c>
      <c r="K165" s="73">
        <v>45094</v>
      </c>
      <c r="L165">
        <v>512</v>
      </c>
      <c r="N165" s="73">
        <v>45094</v>
      </c>
      <c r="O165">
        <v>897.2</v>
      </c>
      <c r="Q165" s="73">
        <v>45094</v>
      </c>
      <c r="R165">
        <v>2617</v>
      </c>
      <c r="T165" s="73">
        <v>45094</v>
      </c>
      <c r="U165">
        <v>3971</v>
      </c>
    </row>
    <row r="166" spans="1:21">
      <c r="A166" s="73"/>
      <c r="B166" s="73">
        <v>45093</v>
      </c>
      <c r="C166">
        <v>4.55</v>
      </c>
      <c r="E166" s="73">
        <v>45093</v>
      </c>
      <c r="F166">
        <v>10.37</v>
      </c>
      <c r="H166" s="73">
        <v>45093</v>
      </c>
      <c r="I166">
        <v>54.33</v>
      </c>
      <c r="K166" s="73">
        <v>45093</v>
      </c>
      <c r="L166">
        <v>524.70000000000005</v>
      </c>
      <c r="N166" s="73">
        <v>45093</v>
      </c>
      <c r="O166">
        <v>895.8</v>
      </c>
      <c r="Q166" s="73">
        <v>45093</v>
      </c>
      <c r="R166">
        <v>2607</v>
      </c>
      <c r="T166" s="73">
        <v>45093</v>
      </c>
      <c r="U166">
        <v>3984</v>
      </c>
    </row>
    <row r="167" spans="1:21">
      <c r="A167" s="73"/>
      <c r="B167" s="73">
        <v>45092</v>
      </c>
      <c r="C167">
        <v>5</v>
      </c>
      <c r="E167" s="73">
        <v>45092</v>
      </c>
      <c r="F167">
        <v>10.58</v>
      </c>
      <c r="H167" s="73">
        <v>45092</v>
      </c>
      <c r="I167">
        <v>56.65</v>
      </c>
      <c r="K167" s="73">
        <v>45092</v>
      </c>
      <c r="L167">
        <v>518.1</v>
      </c>
      <c r="N167" s="73">
        <v>45092</v>
      </c>
      <c r="O167">
        <v>901</v>
      </c>
      <c r="Q167" s="73">
        <v>45092</v>
      </c>
      <c r="R167">
        <v>2598</v>
      </c>
      <c r="T167" s="73">
        <v>45092</v>
      </c>
      <c r="U167">
        <v>3990</v>
      </c>
    </row>
    <row r="168" spans="1:21">
      <c r="A168" s="73"/>
      <c r="B168" s="73">
        <v>45091</v>
      </c>
      <c r="C168">
        <v>4.37</v>
      </c>
      <c r="E168" s="73">
        <v>45091</v>
      </c>
      <c r="F168">
        <v>10.77</v>
      </c>
      <c r="H168" s="73">
        <v>45091</v>
      </c>
      <c r="I168">
        <v>57.13</v>
      </c>
      <c r="K168" s="73">
        <v>45091</v>
      </c>
      <c r="L168">
        <v>522.1</v>
      </c>
      <c r="N168" s="73">
        <v>45091</v>
      </c>
      <c r="O168">
        <v>899.9</v>
      </c>
      <c r="Q168" s="73">
        <v>45091</v>
      </c>
      <c r="R168">
        <v>2586</v>
      </c>
      <c r="T168" s="73">
        <v>45091</v>
      </c>
      <c r="U168">
        <v>3989</v>
      </c>
    </row>
    <row r="169" spans="1:21">
      <c r="A169" s="73"/>
      <c r="B169" s="73">
        <v>45090</v>
      </c>
      <c r="C169">
        <v>4.3099999999999996</v>
      </c>
      <c r="E169" s="73">
        <v>45090</v>
      </c>
      <c r="F169">
        <v>10.77</v>
      </c>
      <c r="H169" s="73">
        <v>45090</v>
      </c>
      <c r="I169">
        <v>60</v>
      </c>
      <c r="K169" s="73">
        <v>45090</v>
      </c>
      <c r="L169">
        <v>508.4</v>
      </c>
      <c r="N169" s="73">
        <v>45090</v>
      </c>
      <c r="O169">
        <v>899.5</v>
      </c>
      <c r="Q169" s="73">
        <v>45090</v>
      </c>
      <c r="R169">
        <v>2548</v>
      </c>
      <c r="T169" s="73">
        <v>45090</v>
      </c>
      <c r="U169">
        <v>3995</v>
      </c>
    </row>
    <row r="170" spans="1:21">
      <c r="A170" s="73"/>
      <c r="B170" s="73">
        <v>45089</v>
      </c>
      <c r="C170">
        <v>4.32</v>
      </c>
      <c r="E170" s="73">
        <v>45089</v>
      </c>
      <c r="F170">
        <v>10.97</v>
      </c>
      <c r="H170" s="73">
        <v>45089</v>
      </c>
      <c r="I170">
        <v>60</v>
      </c>
      <c r="K170" s="73">
        <v>45089</v>
      </c>
      <c r="L170">
        <v>507.8</v>
      </c>
      <c r="N170" s="73">
        <v>45089</v>
      </c>
      <c r="O170">
        <v>903.6</v>
      </c>
      <c r="Q170" s="73">
        <v>45089</v>
      </c>
      <c r="R170">
        <v>2588</v>
      </c>
      <c r="T170" s="73">
        <v>45089</v>
      </c>
      <c r="U170">
        <v>4107</v>
      </c>
    </row>
    <row r="171" spans="1:21">
      <c r="A171" s="73"/>
      <c r="B171" s="73">
        <v>45088</v>
      </c>
      <c r="C171">
        <v>4.1500000000000004</v>
      </c>
      <c r="E171" s="73">
        <v>45088</v>
      </c>
      <c r="F171">
        <v>10.8</v>
      </c>
      <c r="H171" s="73">
        <v>45088</v>
      </c>
      <c r="I171">
        <v>51.77</v>
      </c>
      <c r="K171" s="73">
        <v>45088</v>
      </c>
      <c r="L171">
        <v>510.3</v>
      </c>
      <c r="N171" s="73">
        <v>45088</v>
      </c>
      <c r="O171">
        <v>902.9</v>
      </c>
      <c r="Q171" s="73">
        <v>45088</v>
      </c>
      <c r="R171">
        <v>2609</v>
      </c>
      <c r="T171" s="73">
        <v>45088</v>
      </c>
      <c r="U171">
        <v>4110</v>
      </c>
    </row>
    <row r="172" spans="1:21">
      <c r="A172" s="73"/>
      <c r="B172" s="73">
        <v>45087</v>
      </c>
      <c r="C172">
        <v>4.0599999999999996</v>
      </c>
      <c r="E172" s="73">
        <v>45087</v>
      </c>
      <c r="F172">
        <v>10.48</v>
      </c>
      <c r="H172" s="73">
        <v>45087</v>
      </c>
      <c r="I172">
        <v>51.73</v>
      </c>
      <c r="K172" s="73">
        <v>45087</v>
      </c>
      <c r="L172">
        <v>540.9</v>
      </c>
      <c r="N172" s="73">
        <v>45087</v>
      </c>
      <c r="O172">
        <v>903.7</v>
      </c>
      <c r="Q172" s="73">
        <v>45087</v>
      </c>
      <c r="R172">
        <v>2626</v>
      </c>
      <c r="T172" s="73">
        <v>45087</v>
      </c>
      <c r="U172">
        <v>4113</v>
      </c>
    </row>
    <row r="173" spans="1:21">
      <c r="A173" s="73"/>
      <c r="B173" s="73">
        <v>45086</v>
      </c>
      <c r="C173">
        <v>4.18</v>
      </c>
      <c r="E173" s="73">
        <v>45086</v>
      </c>
      <c r="F173">
        <v>10.32</v>
      </c>
      <c r="H173" s="73">
        <v>45086</v>
      </c>
      <c r="I173">
        <v>52</v>
      </c>
      <c r="K173" s="73">
        <v>45086</v>
      </c>
      <c r="L173">
        <v>562.6</v>
      </c>
      <c r="N173" s="73">
        <v>45086</v>
      </c>
      <c r="O173">
        <v>906.9</v>
      </c>
      <c r="Q173" s="73">
        <v>45086</v>
      </c>
      <c r="R173">
        <v>2641</v>
      </c>
      <c r="T173" s="73">
        <v>45086</v>
      </c>
      <c r="U173">
        <v>4061</v>
      </c>
    </row>
    <row r="174" spans="1:21">
      <c r="A174" s="73"/>
      <c r="B174" s="73">
        <v>45085</v>
      </c>
      <c r="C174">
        <v>4.12</v>
      </c>
      <c r="E174" s="73">
        <v>45085</v>
      </c>
      <c r="F174">
        <v>10.27</v>
      </c>
      <c r="H174" s="73">
        <v>45085</v>
      </c>
      <c r="I174">
        <v>51.93</v>
      </c>
      <c r="K174" s="73">
        <v>45085</v>
      </c>
      <c r="L174">
        <v>592.9</v>
      </c>
      <c r="N174" s="73">
        <v>45085</v>
      </c>
      <c r="O174">
        <v>909.9</v>
      </c>
      <c r="Q174" s="73">
        <v>45085</v>
      </c>
      <c r="R174">
        <v>2688</v>
      </c>
      <c r="T174" s="73">
        <v>45085</v>
      </c>
      <c r="U174">
        <v>4006</v>
      </c>
    </row>
    <row r="175" spans="1:21">
      <c r="A175" s="73"/>
      <c r="B175" s="73">
        <v>45084</v>
      </c>
      <c r="C175">
        <v>4.08</v>
      </c>
      <c r="E175" s="73">
        <v>45084</v>
      </c>
      <c r="F175">
        <v>10</v>
      </c>
      <c r="H175" s="73">
        <v>45084</v>
      </c>
      <c r="I175">
        <v>50.99</v>
      </c>
      <c r="K175" s="73">
        <v>45084</v>
      </c>
      <c r="L175">
        <v>593.70000000000005</v>
      </c>
      <c r="N175" s="73">
        <v>45084</v>
      </c>
      <c r="O175">
        <v>936.2</v>
      </c>
      <c r="Q175" s="73">
        <v>45084</v>
      </c>
      <c r="R175">
        <v>2713</v>
      </c>
      <c r="T175" s="73">
        <v>45084</v>
      </c>
      <c r="U175">
        <v>4140</v>
      </c>
    </row>
    <row r="176" spans="1:21">
      <c r="A176" s="73"/>
      <c r="B176" s="73">
        <v>45083</v>
      </c>
      <c r="C176">
        <v>3.99</v>
      </c>
      <c r="E176" s="73">
        <v>45083</v>
      </c>
      <c r="F176">
        <v>10</v>
      </c>
      <c r="H176" s="73">
        <v>45083</v>
      </c>
      <c r="I176">
        <v>51.43</v>
      </c>
      <c r="K176" s="73">
        <v>45083</v>
      </c>
      <c r="L176">
        <v>594.79999999999995</v>
      </c>
      <c r="N176" s="73">
        <v>45083</v>
      </c>
      <c r="O176">
        <v>940.6</v>
      </c>
      <c r="Q176" s="73">
        <v>45083</v>
      </c>
      <c r="R176">
        <v>2753</v>
      </c>
      <c r="T176" s="73">
        <v>45083</v>
      </c>
      <c r="U176">
        <v>4200</v>
      </c>
    </row>
    <row r="177" spans="1:21">
      <c r="A177" s="73"/>
      <c r="B177" s="73">
        <v>45082</v>
      </c>
      <c r="C177">
        <v>3.95</v>
      </c>
      <c r="E177" s="73">
        <v>45082</v>
      </c>
      <c r="F177">
        <v>10.24</v>
      </c>
      <c r="H177" s="73">
        <v>45082</v>
      </c>
      <c r="I177">
        <v>51.63</v>
      </c>
      <c r="K177" s="73">
        <v>45082</v>
      </c>
      <c r="L177">
        <v>599.9</v>
      </c>
      <c r="N177" s="73">
        <v>45082</v>
      </c>
      <c r="O177">
        <v>950.7</v>
      </c>
      <c r="Q177" s="73">
        <v>45082</v>
      </c>
      <c r="R177">
        <v>2795</v>
      </c>
      <c r="T177" s="73">
        <v>45082</v>
      </c>
      <c r="U177">
        <v>3980</v>
      </c>
    </row>
    <row r="178" spans="1:21">
      <c r="A178" s="73"/>
      <c r="B178" s="73">
        <v>45081</v>
      </c>
      <c r="C178">
        <v>3.99</v>
      </c>
      <c r="E178" s="73">
        <v>45081</v>
      </c>
      <c r="F178">
        <v>10.28</v>
      </c>
      <c r="H178" s="73">
        <v>45081</v>
      </c>
      <c r="I178">
        <v>51.98</v>
      </c>
      <c r="K178" s="73">
        <v>45081</v>
      </c>
      <c r="L178">
        <v>599.79999999999995</v>
      </c>
      <c r="N178" s="73">
        <v>45081</v>
      </c>
      <c r="O178">
        <v>955.2</v>
      </c>
      <c r="Q178" s="73">
        <v>45081</v>
      </c>
      <c r="R178">
        <v>2880</v>
      </c>
      <c r="T178" s="73">
        <v>45081</v>
      </c>
      <c r="U178">
        <v>4166</v>
      </c>
    </row>
    <row r="179" spans="1:21">
      <c r="A179" s="73"/>
      <c r="B179" s="73">
        <v>45080</v>
      </c>
      <c r="C179">
        <v>3.98</v>
      </c>
      <c r="E179" s="73">
        <v>45080</v>
      </c>
      <c r="F179">
        <v>10.33</v>
      </c>
      <c r="H179" s="73">
        <v>45080</v>
      </c>
      <c r="I179">
        <v>51.42</v>
      </c>
      <c r="K179" s="73">
        <v>45080</v>
      </c>
      <c r="L179">
        <v>604</v>
      </c>
      <c r="N179" s="73">
        <v>45080</v>
      </c>
      <c r="O179">
        <v>967.4</v>
      </c>
      <c r="Q179" s="73">
        <v>45080</v>
      </c>
      <c r="R179">
        <v>2896</v>
      </c>
      <c r="T179" s="73">
        <v>45080</v>
      </c>
      <c r="U179">
        <v>3918</v>
      </c>
    </row>
    <row r="180" spans="1:21">
      <c r="A180" s="73"/>
      <c r="B180" s="73">
        <v>45079</v>
      </c>
      <c r="C180">
        <v>3.98</v>
      </c>
      <c r="E180" s="73">
        <v>45079</v>
      </c>
      <c r="F180">
        <v>10.35</v>
      </c>
      <c r="H180" s="73">
        <v>45079</v>
      </c>
      <c r="I180">
        <v>50.38</v>
      </c>
      <c r="K180" s="73">
        <v>45079</v>
      </c>
      <c r="L180">
        <v>609</v>
      </c>
      <c r="N180" s="73">
        <v>45079</v>
      </c>
      <c r="O180">
        <v>977.6</v>
      </c>
      <c r="Q180" s="73">
        <v>45079</v>
      </c>
      <c r="R180">
        <v>2951</v>
      </c>
      <c r="T180" s="73">
        <v>45079</v>
      </c>
      <c r="U180">
        <v>4165</v>
      </c>
    </row>
    <row r="181" spans="1:21">
      <c r="A181" s="73"/>
      <c r="B181" s="73">
        <v>45078</v>
      </c>
      <c r="C181">
        <v>4</v>
      </c>
      <c r="E181" s="73">
        <v>45078</v>
      </c>
      <c r="F181">
        <v>10.81</v>
      </c>
      <c r="H181" s="73">
        <v>45078</v>
      </c>
      <c r="I181">
        <v>51.9</v>
      </c>
      <c r="K181" s="73">
        <v>45078</v>
      </c>
      <c r="L181">
        <v>607.79999999999995</v>
      </c>
      <c r="N181" s="73">
        <v>45078</v>
      </c>
      <c r="O181">
        <v>955.5</v>
      </c>
      <c r="Q181" s="73">
        <v>45078</v>
      </c>
      <c r="R181">
        <v>2892</v>
      </c>
      <c r="T181" s="73">
        <v>45078</v>
      </c>
      <c r="U181">
        <v>4155</v>
      </c>
    </row>
    <row r="182" spans="1:21">
      <c r="A182" s="73"/>
      <c r="B182" s="73">
        <v>45077</v>
      </c>
      <c r="C182">
        <v>3.97</v>
      </c>
      <c r="E182" s="73">
        <v>45077</v>
      </c>
      <c r="F182">
        <v>10.88</v>
      </c>
      <c r="H182" s="73">
        <v>45077</v>
      </c>
      <c r="I182">
        <v>51.93</v>
      </c>
      <c r="K182" s="73">
        <v>45077</v>
      </c>
      <c r="L182">
        <v>608.20000000000005</v>
      </c>
      <c r="N182" s="73">
        <v>45077</v>
      </c>
      <c r="O182">
        <v>992.6</v>
      </c>
      <c r="Q182" s="73">
        <v>45077</v>
      </c>
      <c r="R182">
        <v>2893</v>
      </c>
      <c r="T182" s="73">
        <v>45077</v>
      </c>
      <c r="U182">
        <v>4113</v>
      </c>
    </row>
    <row r="183" spans="1:21">
      <c r="A183" s="73"/>
      <c r="B183" s="73">
        <v>45076</v>
      </c>
      <c r="C183">
        <v>3.96</v>
      </c>
      <c r="E183" s="73">
        <v>45076</v>
      </c>
      <c r="F183">
        <v>10.97</v>
      </c>
      <c r="H183" s="73">
        <v>45076</v>
      </c>
      <c r="I183">
        <v>51.99</v>
      </c>
      <c r="K183" s="73">
        <v>45076</v>
      </c>
      <c r="L183">
        <v>608</v>
      </c>
      <c r="N183" s="73">
        <v>45076</v>
      </c>
      <c r="O183">
        <v>995</v>
      </c>
      <c r="Q183" s="73">
        <v>45076</v>
      </c>
      <c r="R183">
        <v>2577</v>
      </c>
      <c r="T183" s="73">
        <v>45076</v>
      </c>
      <c r="U183">
        <v>3722</v>
      </c>
    </row>
    <row r="184" spans="1:21">
      <c r="A184" s="73"/>
      <c r="B184" s="73">
        <v>45075</v>
      </c>
      <c r="C184">
        <v>3.93</v>
      </c>
      <c r="E184" s="73">
        <v>45075</v>
      </c>
      <c r="F184">
        <v>9.99</v>
      </c>
      <c r="H184" s="73">
        <v>45075</v>
      </c>
      <c r="I184">
        <v>50.9</v>
      </c>
      <c r="K184" s="73">
        <v>45075</v>
      </c>
      <c r="L184">
        <v>599.9</v>
      </c>
      <c r="N184" s="73">
        <v>45075</v>
      </c>
      <c r="O184">
        <v>979.8</v>
      </c>
      <c r="Q184" s="73">
        <v>45075</v>
      </c>
      <c r="R184">
        <v>2649</v>
      </c>
      <c r="T184" s="73">
        <v>45075</v>
      </c>
      <c r="U184">
        <v>3990</v>
      </c>
    </row>
    <row r="185" spans="1:21">
      <c r="A185" s="73"/>
      <c r="B185" s="73">
        <v>45074</v>
      </c>
      <c r="C185">
        <v>3.98</v>
      </c>
      <c r="E185" s="73">
        <v>45074</v>
      </c>
      <c r="F185">
        <v>11.14</v>
      </c>
      <c r="H185" s="73">
        <v>45074</v>
      </c>
      <c r="I185">
        <v>52.53</v>
      </c>
      <c r="K185" s="73">
        <v>45074</v>
      </c>
      <c r="L185">
        <v>608.6</v>
      </c>
      <c r="N185" s="73">
        <v>45074</v>
      </c>
      <c r="O185">
        <v>980.5</v>
      </c>
      <c r="Q185" s="73">
        <v>45074</v>
      </c>
      <c r="R185">
        <v>2658</v>
      </c>
      <c r="T185" s="73">
        <v>45074</v>
      </c>
      <c r="U185">
        <v>3710</v>
      </c>
    </row>
    <row r="186" spans="1:21">
      <c r="A186" s="73"/>
      <c r="B186" s="73">
        <v>45073</v>
      </c>
      <c r="C186">
        <v>3.97</v>
      </c>
      <c r="E186" s="73">
        <v>45073</v>
      </c>
      <c r="F186">
        <v>11.1</v>
      </c>
      <c r="H186" s="73">
        <v>45073</v>
      </c>
      <c r="I186">
        <v>52.95</v>
      </c>
      <c r="K186" s="73">
        <v>45073</v>
      </c>
      <c r="L186">
        <v>607.5</v>
      </c>
      <c r="N186" s="73">
        <v>45073</v>
      </c>
      <c r="O186">
        <v>980.3</v>
      </c>
      <c r="Q186" s="73">
        <v>45073</v>
      </c>
      <c r="R186">
        <v>2392</v>
      </c>
      <c r="T186" s="73">
        <v>45073</v>
      </c>
      <c r="U186">
        <v>3590</v>
      </c>
    </row>
    <row r="187" spans="1:21">
      <c r="A187" s="73"/>
      <c r="B187" s="73">
        <v>45072</v>
      </c>
      <c r="C187">
        <v>4.04</v>
      </c>
      <c r="E187" s="73">
        <v>45072</v>
      </c>
      <c r="F187">
        <v>11.16</v>
      </c>
      <c r="H187" s="73">
        <v>45072</v>
      </c>
      <c r="I187">
        <v>54.26</v>
      </c>
      <c r="K187" s="73">
        <v>45072</v>
      </c>
      <c r="L187">
        <v>597</v>
      </c>
      <c r="N187" s="73">
        <v>45072</v>
      </c>
      <c r="O187">
        <v>973.1</v>
      </c>
      <c r="Q187" s="73">
        <v>45072</v>
      </c>
      <c r="R187">
        <v>2396</v>
      </c>
      <c r="T187" s="73">
        <v>45072</v>
      </c>
      <c r="U187">
        <v>3567</v>
      </c>
    </row>
    <row r="188" spans="1:21">
      <c r="A188" s="73"/>
      <c r="B188" s="73">
        <v>45071</v>
      </c>
      <c r="C188">
        <v>4.0199999999999996</v>
      </c>
      <c r="E188" s="73">
        <v>45071</v>
      </c>
      <c r="F188">
        <v>10.96</v>
      </c>
      <c r="H188" s="73">
        <v>45071</v>
      </c>
      <c r="I188">
        <v>54.75</v>
      </c>
      <c r="K188" s="73">
        <v>45071</v>
      </c>
      <c r="L188">
        <v>612.70000000000005</v>
      </c>
      <c r="N188" s="73">
        <v>45071</v>
      </c>
      <c r="O188">
        <v>980</v>
      </c>
      <c r="Q188" s="73">
        <v>45071</v>
      </c>
      <c r="R188">
        <v>2295</v>
      </c>
      <c r="T188" s="73">
        <v>45071</v>
      </c>
      <c r="U188">
        <v>3479</v>
      </c>
    </row>
    <row r="189" spans="1:21">
      <c r="A189" s="73"/>
      <c r="B189" s="73">
        <v>45070</v>
      </c>
      <c r="C189">
        <v>4.04</v>
      </c>
      <c r="E189" s="73">
        <v>45070</v>
      </c>
      <c r="F189">
        <v>10.87</v>
      </c>
      <c r="H189" s="73">
        <v>45070</v>
      </c>
      <c r="I189">
        <v>54.7</v>
      </c>
      <c r="K189" s="73">
        <v>45070</v>
      </c>
      <c r="L189">
        <v>643.70000000000005</v>
      </c>
      <c r="N189" s="73">
        <v>45070</v>
      </c>
      <c r="O189">
        <v>984.6</v>
      </c>
      <c r="Q189" s="73">
        <v>45070</v>
      </c>
      <c r="R189">
        <v>2291</v>
      </c>
      <c r="T189" s="73">
        <v>45070</v>
      </c>
      <c r="U189">
        <v>3479</v>
      </c>
    </row>
    <row r="190" spans="1:21">
      <c r="A190" s="73"/>
      <c r="B190" s="73">
        <v>45069</v>
      </c>
      <c r="C190">
        <v>3.99</v>
      </c>
      <c r="E190" s="73">
        <v>45069</v>
      </c>
      <c r="F190">
        <v>10.45</v>
      </c>
      <c r="H190" s="73">
        <v>45069</v>
      </c>
      <c r="I190">
        <v>55.75</v>
      </c>
      <c r="K190" s="73">
        <v>45069</v>
      </c>
      <c r="L190">
        <v>632.5</v>
      </c>
      <c r="N190" s="73">
        <v>45069</v>
      </c>
      <c r="O190">
        <v>985</v>
      </c>
      <c r="Q190" s="73">
        <v>45069</v>
      </c>
      <c r="R190">
        <v>2296</v>
      </c>
      <c r="T190" s="73">
        <v>45069</v>
      </c>
      <c r="U190">
        <v>3482</v>
      </c>
    </row>
    <row r="191" spans="1:21">
      <c r="A191" s="73"/>
      <c r="B191" s="73">
        <v>45068</v>
      </c>
      <c r="C191">
        <v>4</v>
      </c>
      <c r="E191" s="73">
        <v>45068</v>
      </c>
      <c r="F191">
        <v>10.99</v>
      </c>
      <c r="H191" s="73">
        <v>45068</v>
      </c>
      <c r="I191">
        <v>53.74</v>
      </c>
      <c r="K191" s="73">
        <v>45068</v>
      </c>
      <c r="L191">
        <v>622.1</v>
      </c>
      <c r="N191" s="73">
        <v>45068</v>
      </c>
      <c r="O191">
        <v>999.2</v>
      </c>
      <c r="Q191" s="73">
        <v>45068</v>
      </c>
      <c r="R191">
        <v>2316</v>
      </c>
      <c r="T191" s="73">
        <v>45068</v>
      </c>
      <c r="U191">
        <v>3496</v>
      </c>
    </row>
    <row r="192" spans="1:21">
      <c r="A192" s="73"/>
      <c r="B192" s="73">
        <v>45067</v>
      </c>
      <c r="C192">
        <v>3.99</v>
      </c>
      <c r="E192" s="73">
        <v>45067</v>
      </c>
      <c r="F192">
        <v>11.03</v>
      </c>
      <c r="H192" s="73">
        <v>45067</v>
      </c>
      <c r="I192">
        <v>50.94</v>
      </c>
      <c r="K192" s="73">
        <v>45067</v>
      </c>
      <c r="L192">
        <v>619.79999999999995</v>
      </c>
      <c r="N192" s="73">
        <v>45067</v>
      </c>
      <c r="O192">
        <v>998</v>
      </c>
      <c r="Q192" s="73">
        <v>45067</v>
      </c>
      <c r="R192">
        <v>2237</v>
      </c>
      <c r="T192" s="73">
        <v>45067</v>
      </c>
      <c r="U192">
        <v>3341</v>
      </c>
    </row>
    <row r="193" spans="1:21">
      <c r="A193" s="73"/>
      <c r="B193" s="73">
        <v>45066</v>
      </c>
      <c r="C193">
        <v>4.04</v>
      </c>
      <c r="E193" s="73">
        <v>45066</v>
      </c>
      <c r="F193">
        <v>10.74</v>
      </c>
      <c r="H193" s="73">
        <v>45066</v>
      </c>
      <c r="I193">
        <v>50.95</v>
      </c>
      <c r="K193" s="73">
        <v>45066</v>
      </c>
      <c r="L193">
        <v>617.5</v>
      </c>
      <c r="N193" s="73">
        <v>45066</v>
      </c>
      <c r="O193">
        <v>1018</v>
      </c>
      <c r="Q193" s="73">
        <v>45066</v>
      </c>
      <c r="R193">
        <v>2341</v>
      </c>
      <c r="T193" s="73">
        <v>45066</v>
      </c>
      <c r="U193">
        <v>3526</v>
      </c>
    </row>
    <row r="194" spans="1:21">
      <c r="A194" s="73"/>
      <c r="B194" s="73">
        <v>45065</v>
      </c>
      <c r="C194">
        <v>4.03</v>
      </c>
      <c r="E194" s="73">
        <v>45065</v>
      </c>
      <c r="F194">
        <v>10.48</v>
      </c>
      <c r="H194" s="73">
        <v>45065</v>
      </c>
      <c r="I194">
        <v>50.76</v>
      </c>
      <c r="K194" s="73">
        <v>45065</v>
      </c>
      <c r="L194">
        <v>607.4</v>
      </c>
      <c r="N194" s="73">
        <v>45065</v>
      </c>
      <c r="O194">
        <v>1020</v>
      </c>
      <c r="Q194" s="73">
        <v>45065</v>
      </c>
      <c r="R194">
        <v>2328</v>
      </c>
      <c r="T194" s="73">
        <v>45065</v>
      </c>
      <c r="U194">
        <v>3499</v>
      </c>
    </row>
    <row r="195" spans="1:21">
      <c r="A195" s="73"/>
      <c r="B195" s="73">
        <v>45064</v>
      </c>
      <c r="C195">
        <v>4.0199999999999996</v>
      </c>
      <c r="E195" s="73">
        <v>45064</v>
      </c>
      <c r="F195">
        <v>10.51</v>
      </c>
      <c r="H195" s="73">
        <v>45064</v>
      </c>
      <c r="I195">
        <v>50.69</v>
      </c>
      <c r="K195" s="73">
        <v>45064</v>
      </c>
      <c r="L195">
        <v>612.4</v>
      </c>
      <c r="N195" s="73">
        <v>45064</v>
      </c>
      <c r="O195">
        <v>1045</v>
      </c>
      <c r="Q195" s="73">
        <v>45064</v>
      </c>
      <c r="R195">
        <v>2327</v>
      </c>
      <c r="T195" s="73">
        <v>45064</v>
      </c>
      <c r="U195">
        <v>3525</v>
      </c>
    </row>
    <row r="196" spans="1:21">
      <c r="A196" s="73"/>
      <c r="B196" s="73">
        <v>45063</v>
      </c>
      <c r="C196">
        <v>4.0599999999999996</v>
      </c>
      <c r="E196" s="73">
        <v>45063</v>
      </c>
      <c r="F196">
        <v>10.4</v>
      </c>
      <c r="H196" s="73">
        <v>45063</v>
      </c>
      <c r="I196">
        <v>50.78</v>
      </c>
      <c r="K196" s="73">
        <v>45063</v>
      </c>
      <c r="L196">
        <v>612.6</v>
      </c>
      <c r="N196" s="73">
        <v>45063</v>
      </c>
      <c r="O196">
        <v>935.7</v>
      </c>
      <c r="Q196" s="73">
        <v>45063</v>
      </c>
      <c r="R196">
        <v>2286</v>
      </c>
      <c r="T196" s="73">
        <v>45063</v>
      </c>
      <c r="U196">
        <v>3566</v>
      </c>
    </row>
    <row r="197" spans="1:21">
      <c r="A197" s="73"/>
      <c r="B197" s="73">
        <v>45062</v>
      </c>
      <c r="C197">
        <v>4.07</v>
      </c>
      <c r="E197" s="73">
        <v>45062</v>
      </c>
      <c r="F197">
        <v>10.68</v>
      </c>
      <c r="H197" s="73">
        <v>45062</v>
      </c>
      <c r="I197">
        <v>50.88</v>
      </c>
      <c r="K197" s="73">
        <v>45062</v>
      </c>
      <c r="L197">
        <v>613.29999999999995</v>
      </c>
      <c r="N197" s="73">
        <v>45062</v>
      </c>
      <c r="O197">
        <v>904.6</v>
      </c>
      <c r="Q197" s="73">
        <v>45062</v>
      </c>
      <c r="R197">
        <v>2340</v>
      </c>
      <c r="T197" s="73">
        <v>45062</v>
      </c>
      <c r="U197">
        <v>3570</v>
      </c>
    </row>
    <row r="198" spans="1:21">
      <c r="A198" s="73"/>
      <c r="B198" s="73">
        <v>45061</v>
      </c>
      <c r="C198">
        <v>4.08</v>
      </c>
      <c r="E198" s="73">
        <v>45061</v>
      </c>
      <c r="F198">
        <v>10.66</v>
      </c>
      <c r="H198" s="73">
        <v>45061</v>
      </c>
      <c r="I198">
        <v>50.9</v>
      </c>
      <c r="K198" s="73">
        <v>45061</v>
      </c>
      <c r="L198">
        <v>613.9</v>
      </c>
      <c r="N198" s="73">
        <v>45061</v>
      </c>
      <c r="O198">
        <v>904.1</v>
      </c>
      <c r="Q198" s="73">
        <v>45061</v>
      </c>
      <c r="R198">
        <v>2339</v>
      </c>
      <c r="T198" s="73">
        <v>45061</v>
      </c>
      <c r="U198">
        <v>3572</v>
      </c>
    </row>
    <row r="199" spans="1:21">
      <c r="A199" s="73"/>
      <c r="B199" s="73">
        <v>45060</v>
      </c>
      <c r="C199">
        <v>4.05</v>
      </c>
      <c r="E199" s="73">
        <v>45060</v>
      </c>
      <c r="F199">
        <v>10.56</v>
      </c>
      <c r="H199" s="73">
        <v>45060</v>
      </c>
      <c r="I199">
        <v>50.63</v>
      </c>
      <c r="K199" s="73">
        <v>45060</v>
      </c>
      <c r="L199">
        <v>603.79999999999995</v>
      </c>
      <c r="N199" s="73">
        <v>45060</v>
      </c>
      <c r="O199">
        <v>904.5</v>
      </c>
      <c r="Q199" s="73">
        <v>45060</v>
      </c>
      <c r="R199">
        <v>2295</v>
      </c>
      <c r="T199" s="73">
        <v>45060</v>
      </c>
      <c r="U199">
        <v>3577</v>
      </c>
    </row>
    <row r="200" spans="1:21">
      <c r="A200" s="73"/>
      <c r="B200" s="73">
        <v>45059</v>
      </c>
      <c r="C200">
        <v>4.04</v>
      </c>
      <c r="E200" s="73">
        <v>45059</v>
      </c>
      <c r="F200">
        <v>10.47</v>
      </c>
      <c r="H200" s="73">
        <v>45059</v>
      </c>
      <c r="I200">
        <v>50.54</v>
      </c>
      <c r="K200" s="73">
        <v>45059</v>
      </c>
      <c r="L200">
        <v>601.9</v>
      </c>
      <c r="N200" s="73">
        <v>45059</v>
      </c>
      <c r="O200">
        <v>900</v>
      </c>
      <c r="Q200" s="73">
        <v>45059</v>
      </c>
      <c r="R200">
        <v>2328</v>
      </c>
      <c r="T200" s="73">
        <v>45059</v>
      </c>
      <c r="U200">
        <v>3578</v>
      </c>
    </row>
    <row r="201" spans="1:21">
      <c r="A201" s="73"/>
      <c r="B201" s="73">
        <v>45058</v>
      </c>
      <c r="C201">
        <v>3.97</v>
      </c>
      <c r="E201" s="73">
        <v>45058</v>
      </c>
      <c r="F201">
        <v>10.37</v>
      </c>
      <c r="H201" s="73">
        <v>45058</v>
      </c>
      <c r="I201">
        <v>50.97</v>
      </c>
      <c r="K201" s="73">
        <v>45058</v>
      </c>
      <c r="L201">
        <v>599.9</v>
      </c>
      <c r="N201" s="73">
        <v>45058</v>
      </c>
      <c r="O201">
        <v>903.8</v>
      </c>
      <c r="Q201" s="73">
        <v>45058</v>
      </c>
      <c r="R201">
        <v>2233</v>
      </c>
      <c r="T201" s="73">
        <v>45058</v>
      </c>
      <c r="U201">
        <v>3575</v>
      </c>
    </row>
    <row r="202" spans="1:21">
      <c r="A202" s="73"/>
      <c r="B202" s="73">
        <v>45057</v>
      </c>
      <c r="C202">
        <v>3.95</v>
      </c>
      <c r="E202" s="73">
        <v>45057</v>
      </c>
      <c r="F202">
        <v>10.36</v>
      </c>
      <c r="H202" s="73">
        <v>45057</v>
      </c>
      <c r="I202">
        <v>50.85</v>
      </c>
      <c r="K202" s="73">
        <v>45057</v>
      </c>
      <c r="L202">
        <v>590</v>
      </c>
      <c r="N202" s="73">
        <v>45057</v>
      </c>
      <c r="O202">
        <v>897</v>
      </c>
      <c r="Q202" s="73">
        <v>45057</v>
      </c>
      <c r="R202">
        <v>2196</v>
      </c>
      <c r="T202" s="73">
        <v>45057</v>
      </c>
      <c r="U202">
        <v>3575</v>
      </c>
    </row>
    <row r="203" spans="1:21">
      <c r="A203" s="73"/>
      <c r="B203" s="73">
        <v>45056</v>
      </c>
      <c r="C203">
        <v>4.0599999999999996</v>
      </c>
      <c r="E203" s="73">
        <v>45056</v>
      </c>
      <c r="F203">
        <v>10.47</v>
      </c>
      <c r="H203" s="73">
        <v>45056</v>
      </c>
      <c r="I203">
        <v>50.97</v>
      </c>
      <c r="K203" s="73">
        <v>45056</v>
      </c>
      <c r="L203">
        <v>600</v>
      </c>
      <c r="N203" s="73">
        <v>45056</v>
      </c>
      <c r="O203">
        <v>901.6</v>
      </c>
      <c r="Q203" s="73">
        <v>45056</v>
      </c>
      <c r="R203">
        <v>2197</v>
      </c>
      <c r="T203" s="73">
        <v>45056</v>
      </c>
      <c r="U203">
        <v>3481</v>
      </c>
    </row>
    <row r="204" spans="1:21">
      <c r="A204" s="73"/>
      <c r="B204" s="73">
        <v>45055</v>
      </c>
      <c r="C204">
        <v>4.0199999999999996</v>
      </c>
      <c r="E204" s="73">
        <v>45055</v>
      </c>
      <c r="F204">
        <v>10.18</v>
      </c>
      <c r="H204" s="73">
        <v>45055</v>
      </c>
      <c r="I204">
        <v>51</v>
      </c>
      <c r="K204" s="73">
        <v>45055</v>
      </c>
      <c r="L204">
        <v>599</v>
      </c>
      <c r="N204" s="73">
        <v>45055</v>
      </c>
      <c r="O204">
        <v>901.5</v>
      </c>
      <c r="Q204" s="73">
        <v>45055</v>
      </c>
      <c r="R204">
        <v>2226</v>
      </c>
      <c r="T204" s="73">
        <v>45055</v>
      </c>
      <c r="U204">
        <v>3588</v>
      </c>
    </row>
    <row r="205" spans="1:21">
      <c r="A205" s="73"/>
      <c r="B205" s="73">
        <v>45054</v>
      </c>
      <c r="C205">
        <v>4.0199999999999996</v>
      </c>
      <c r="E205" s="73">
        <v>45054</v>
      </c>
      <c r="F205">
        <v>9.9700000000000006</v>
      </c>
      <c r="H205" s="73">
        <v>45054</v>
      </c>
      <c r="I205">
        <v>50.63</v>
      </c>
      <c r="K205" s="73">
        <v>45054</v>
      </c>
      <c r="L205">
        <v>593.5</v>
      </c>
      <c r="N205" s="73">
        <v>45054</v>
      </c>
      <c r="O205">
        <v>903.4</v>
      </c>
      <c r="Q205" s="73">
        <v>45054</v>
      </c>
      <c r="R205">
        <v>2248</v>
      </c>
      <c r="T205" s="73">
        <v>45054</v>
      </c>
      <c r="U205">
        <v>3479</v>
      </c>
    </row>
    <row r="206" spans="1:21">
      <c r="A206" s="73"/>
      <c r="B206" s="73">
        <v>45053</v>
      </c>
      <c r="C206">
        <v>4</v>
      </c>
      <c r="E206" s="73">
        <v>45053</v>
      </c>
      <c r="F206">
        <v>9.9</v>
      </c>
      <c r="H206" s="73">
        <v>45053</v>
      </c>
      <c r="I206">
        <v>53.57</v>
      </c>
      <c r="K206" s="73">
        <v>45053</v>
      </c>
      <c r="L206">
        <v>599.1</v>
      </c>
      <c r="N206" s="73">
        <v>45053</v>
      </c>
      <c r="O206">
        <v>903.1</v>
      </c>
      <c r="Q206" s="73">
        <v>45053</v>
      </c>
      <c r="R206">
        <v>2359</v>
      </c>
      <c r="T206" s="73">
        <v>45053</v>
      </c>
      <c r="U206">
        <v>3438</v>
      </c>
    </row>
    <row r="207" spans="1:21">
      <c r="A207" s="73"/>
      <c r="B207" s="73">
        <v>45052</v>
      </c>
      <c r="C207">
        <v>4.03</v>
      </c>
      <c r="E207" s="73">
        <v>45052</v>
      </c>
      <c r="F207">
        <v>10.01</v>
      </c>
      <c r="H207" s="73">
        <v>45052</v>
      </c>
      <c r="I207">
        <v>52.75</v>
      </c>
      <c r="K207" s="73">
        <v>45052</v>
      </c>
      <c r="L207">
        <v>594.9</v>
      </c>
      <c r="N207" s="73">
        <v>45052</v>
      </c>
      <c r="O207">
        <v>901.7</v>
      </c>
      <c r="Q207" s="73">
        <v>45052</v>
      </c>
      <c r="R207">
        <v>2380</v>
      </c>
      <c r="T207" s="73">
        <v>45052</v>
      </c>
      <c r="U207">
        <v>3515</v>
      </c>
    </row>
    <row r="208" spans="1:21">
      <c r="A208" s="73"/>
      <c r="B208" s="73">
        <v>45051</v>
      </c>
      <c r="C208">
        <v>4.13</v>
      </c>
      <c r="E208" s="73">
        <v>45051</v>
      </c>
      <c r="F208">
        <v>10.050000000000001</v>
      </c>
      <c r="H208" s="73">
        <v>45051</v>
      </c>
      <c r="I208">
        <v>52.88</v>
      </c>
      <c r="K208" s="73">
        <v>45051</v>
      </c>
      <c r="L208">
        <v>598.9</v>
      </c>
      <c r="N208" s="73">
        <v>45051</v>
      </c>
      <c r="O208">
        <v>902.4</v>
      </c>
      <c r="Q208" s="73">
        <v>45051</v>
      </c>
      <c r="R208">
        <v>2416</v>
      </c>
      <c r="T208" s="73">
        <v>45051</v>
      </c>
      <c r="U208">
        <v>3508</v>
      </c>
    </row>
    <row r="209" spans="1:21">
      <c r="A209" s="73"/>
      <c r="B209" s="73">
        <v>45050</v>
      </c>
      <c r="C209">
        <v>4.0999999999999996</v>
      </c>
      <c r="E209" s="73">
        <v>45050</v>
      </c>
      <c r="F209">
        <v>9.98</v>
      </c>
      <c r="H209" s="73">
        <v>45050</v>
      </c>
      <c r="I209">
        <v>52.72</v>
      </c>
      <c r="K209" s="73">
        <v>45050</v>
      </c>
      <c r="L209">
        <v>598</v>
      </c>
      <c r="N209" s="73">
        <v>45050</v>
      </c>
      <c r="O209">
        <v>889</v>
      </c>
      <c r="Q209" s="73">
        <v>45050</v>
      </c>
      <c r="R209">
        <v>2373</v>
      </c>
      <c r="T209" s="73">
        <v>45050</v>
      </c>
      <c r="U209">
        <v>3454</v>
      </c>
    </row>
    <row r="210" spans="1:21">
      <c r="A210" s="73"/>
      <c r="B210" s="73">
        <v>45049</v>
      </c>
      <c r="C210">
        <v>4.04</v>
      </c>
      <c r="E210" s="73">
        <v>45049</v>
      </c>
      <c r="F210">
        <v>10.1</v>
      </c>
      <c r="H210" s="73">
        <v>45049</v>
      </c>
      <c r="I210">
        <v>53.44</v>
      </c>
      <c r="K210" s="73">
        <v>45049</v>
      </c>
      <c r="L210">
        <v>603.79999999999995</v>
      </c>
      <c r="N210" s="73">
        <v>45049</v>
      </c>
      <c r="O210">
        <v>903.6</v>
      </c>
      <c r="Q210" s="73">
        <v>45049</v>
      </c>
      <c r="R210">
        <v>2446</v>
      </c>
      <c r="T210" s="73">
        <v>45049</v>
      </c>
      <c r="U210">
        <v>3400</v>
      </c>
    </row>
    <row r="211" spans="1:21">
      <c r="A211" s="73"/>
      <c r="B211" s="73">
        <v>45048</v>
      </c>
      <c r="C211">
        <v>4.09</v>
      </c>
      <c r="E211" s="73">
        <v>45048</v>
      </c>
      <c r="F211">
        <v>10.37</v>
      </c>
      <c r="H211" s="73">
        <v>45048</v>
      </c>
      <c r="I211">
        <v>53.47</v>
      </c>
      <c r="K211" s="73">
        <v>45048</v>
      </c>
      <c r="L211">
        <v>590</v>
      </c>
      <c r="N211" s="73">
        <v>45048</v>
      </c>
      <c r="O211">
        <v>903.3</v>
      </c>
      <c r="Q211" s="73">
        <v>45048</v>
      </c>
      <c r="R211">
        <v>2297</v>
      </c>
      <c r="T211" s="73">
        <v>45048</v>
      </c>
      <c r="U211">
        <v>3380</v>
      </c>
    </row>
    <row r="212" spans="1:21">
      <c r="A212" s="73"/>
      <c r="B212" s="73">
        <v>45047</v>
      </c>
      <c r="C212">
        <v>4.01</v>
      </c>
      <c r="E212" s="73">
        <v>45047</v>
      </c>
      <c r="F212">
        <v>10.26</v>
      </c>
      <c r="H212" s="73">
        <v>45047</v>
      </c>
      <c r="I212">
        <v>53.47</v>
      </c>
      <c r="K212" s="73">
        <v>45047</v>
      </c>
      <c r="L212">
        <v>590.79999999999995</v>
      </c>
      <c r="N212" s="73">
        <v>45047</v>
      </c>
      <c r="O212">
        <v>903.3</v>
      </c>
      <c r="Q212" s="73">
        <v>45047</v>
      </c>
      <c r="R212">
        <v>2288</v>
      </c>
      <c r="T212" s="73">
        <v>45047</v>
      </c>
      <c r="U212">
        <v>3295</v>
      </c>
    </row>
    <row r="213" spans="1:21">
      <c r="A213" s="73"/>
      <c r="B213" s="73">
        <v>45046</v>
      </c>
      <c r="E213">
        <v>45046</v>
      </c>
      <c r="H213">
        <v>45046</v>
      </c>
      <c r="K213">
        <v>45046</v>
      </c>
      <c r="N213">
        <v>45046</v>
      </c>
      <c r="Q213">
        <v>45046</v>
      </c>
      <c r="T213">
        <v>45046</v>
      </c>
    </row>
    <row r="214" spans="1:21">
      <c r="A214" s="73"/>
      <c r="B214" s="73">
        <v>45045</v>
      </c>
      <c r="E214">
        <v>45045</v>
      </c>
      <c r="H214">
        <v>45045</v>
      </c>
      <c r="K214">
        <v>45045</v>
      </c>
      <c r="N214">
        <v>45045</v>
      </c>
      <c r="Q214">
        <v>45045</v>
      </c>
      <c r="T214">
        <v>45045</v>
      </c>
    </row>
    <row r="215" spans="1:21">
      <c r="A215" s="73"/>
      <c r="B215" s="73">
        <v>45044</v>
      </c>
      <c r="E215">
        <v>45044</v>
      </c>
      <c r="H215">
        <v>45044</v>
      </c>
      <c r="K215">
        <v>45044</v>
      </c>
      <c r="N215">
        <v>45044</v>
      </c>
      <c r="Q215">
        <v>45044</v>
      </c>
      <c r="T215">
        <v>45044</v>
      </c>
    </row>
    <row r="216" spans="1:21">
      <c r="A216" s="73"/>
      <c r="B216" s="73">
        <v>45043</v>
      </c>
      <c r="E216">
        <v>45043</v>
      </c>
      <c r="H216">
        <v>45043</v>
      </c>
      <c r="K216">
        <v>45043</v>
      </c>
      <c r="N216">
        <v>45043</v>
      </c>
      <c r="Q216">
        <v>45043</v>
      </c>
      <c r="T216">
        <v>45043</v>
      </c>
    </row>
    <row r="217" spans="1:21">
      <c r="A217" s="73"/>
      <c r="B217" s="73">
        <v>45042</v>
      </c>
      <c r="E217">
        <v>45042</v>
      </c>
      <c r="H217">
        <v>45042</v>
      </c>
      <c r="K217">
        <v>45042</v>
      </c>
      <c r="N217">
        <v>45042</v>
      </c>
      <c r="Q217">
        <v>45042</v>
      </c>
      <c r="T217">
        <v>45042</v>
      </c>
    </row>
    <row r="218" spans="1:21">
      <c r="A218" s="73"/>
      <c r="B218" s="73">
        <v>45041</v>
      </c>
      <c r="E218">
        <v>45041</v>
      </c>
      <c r="H218">
        <v>45041</v>
      </c>
      <c r="K218">
        <v>45041</v>
      </c>
      <c r="N218">
        <v>45041</v>
      </c>
      <c r="Q218">
        <v>45041</v>
      </c>
      <c r="T218">
        <v>45041</v>
      </c>
    </row>
    <row r="219" spans="1:21">
      <c r="A219" s="73"/>
      <c r="B219" s="73">
        <v>45040</v>
      </c>
      <c r="E219">
        <v>45040</v>
      </c>
      <c r="H219">
        <v>45040</v>
      </c>
      <c r="K219">
        <v>45040</v>
      </c>
      <c r="N219">
        <v>45040</v>
      </c>
      <c r="Q219">
        <v>45040</v>
      </c>
      <c r="T219">
        <v>45040</v>
      </c>
    </row>
    <row r="220" spans="1:21">
      <c r="A220" s="73"/>
      <c r="B220" s="73">
        <v>45039</v>
      </c>
      <c r="E220">
        <v>45039</v>
      </c>
      <c r="H220">
        <v>45039</v>
      </c>
      <c r="K220">
        <v>45039</v>
      </c>
      <c r="N220">
        <v>45039</v>
      </c>
      <c r="Q220">
        <v>45039</v>
      </c>
      <c r="T220">
        <v>45039</v>
      </c>
    </row>
    <row r="221" spans="1:21">
      <c r="A221" s="73"/>
      <c r="B221" s="73">
        <v>45038</v>
      </c>
      <c r="E221">
        <v>45038</v>
      </c>
      <c r="H221">
        <v>45038</v>
      </c>
      <c r="K221">
        <v>45038</v>
      </c>
      <c r="N221">
        <v>45038</v>
      </c>
      <c r="Q221">
        <v>45038</v>
      </c>
      <c r="T221">
        <v>45038</v>
      </c>
    </row>
    <row r="222" spans="1:21">
      <c r="A222" s="73"/>
      <c r="B222" s="73">
        <v>45037</v>
      </c>
      <c r="E222">
        <v>45037</v>
      </c>
      <c r="H222">
        <v>45037</v>
      </c>
      <c r="K222">
        <v>45037</v>
      </c>
      <c r="N222">
        <v>45037</v>
      </c>
      <c r="Q222">
        <v>45037</v>
      </c>
      <c r="T222">
        <v>45037</v>
      </c>
    </row>
    <row r="223" spans="1:21">
      <c r="A223" s="73"/>
      <c r="B223" s="73">
        <v>45036</v>
      </c>
      <c r="E223">
        <v>45036</v>
      </c>
      <c r="H223">
        <v>45036</v>
      </c>
      <c r="K223">
        <v>45036</v>
      </c>
      <c r="N223">
        <v>45036</v>
      </c>
      <c r="Q223">
        <v>45036</v>
      </c>
      <c r="T223">
        <v>45036</v>
      </c>
    </row>
    <row r="224" spans="1:21">
      <c r="A224" s="73"/>
      <c r="B224" s="73">
        <v>45035</v>
      </c>
      <c r="E224">
        <v>45035</v>
      </c>
      <c r="H224">
        <v>45035</v>
      </c>
      <c r="K224">
        <v>45035</v>
      </c>
      <c r="N224">
        <v>45035</v>
      </c>
      <c r="Q224">
        <v>45035</v>
      </c>
      <c r="T224">
        <v>45035</v>
      </c>
    </row>
    <row r="225" spans="1:20">
      <c r="A225" s="73"/>
      <c r="B225" s="73">
        <v>45034</v>
      </c>
      <c r="E225">
        <v>45034</v>
      </c>
      <c r="H225">
        <v>45034</v>
      </c>
      <c r="K225">
        <v>45034</v>
      </c>
      <c r="N225">
        <v>45034</v>
      </c>
      <c r="Q225">
        <v>45034</v>
      </c>
      <c r="T225">
        <v>45034</v>
      </c>
    </row>
    <row r="226" spans="1:20">
      <c r="A226" s="73"/>
      <c r="B226" s="73">
        <v>45033</v>
      </c>
      <c r="E226">
        <v>45033</v>
      </c>
      <c r="H226">
        <v>45033</v>
      </c>
      <c r="K226">
        <v>45033</v>
      </c>
      <c r="N226">
        <v>45033</v>
      </c>
      <c r="Q226">
        <v>45033</v>
      </c>
      <c r="T226">
        <v>45033</v>
      </c>
    </row>
    <row r="227" spans="1:20">
      <c r="A227" s="73"/>
      <c r="B227" s="73">
        <v>45032</v>
      </c>
      <c r="E227">
        <v>45032</v>
      </c>
      <c r="H227">
        <v>45032</v>
      </c>
      <c r="K227">
        <v>45032</v>
      </c>
      <c r="N227">
        <v>45032</v>
      </c>
      <c r="Q227">
        <v>45032</v>
      </c>
      <c r="T227">
        <v>45032</v>
      </c>
    </row>
    <row r="228" spans="1:20">
      <c r="A228" s="73"/>
      <c r="B228" s="73">
        <v>45031</v>
      </c>
      <c r="E228">
        <v>45031</v>
      </c>
      <c r="H228">
        <v>45031</v>
      </c>
      <c r="K228">
        <v>45031</v>
      </c>
      <c r="N228">
        <v>45031</v>
      </c>
      <c r="Q228">
        <v>45031</v>
      </c>
      <c r="T228">
        <v>45031</v>
      </c>
    </row>
    <row r="229" spans="1:20">
      <c r="A229" s="73"/>
      <c r="B229" s="73">
        <v>45030</v>
      </c>
      <c r="E229">
        <v>45030</v>
      </c>
      <c r="H229">
        <v>45030</v>
      </c>
      <c r="K229">
        <v>45030</v>
      </c>
      <c r="N229">
        <v>45030</v>
      </c>
      <c r="Q229">
        <v>45030</v>
      </c>
      <c r="T229">
        <v>45030</v>
      </c>
    </row>
    <row r="230" spans="1:20">
      <c r="A230" s="73"/>
      <c r="B230" s="73">
        <v>45029</v>
      </c>
      <c r="E230">
        <v>45029</v>
      </c>
      <c r="H230">
        <v>45029</v>
      </c>
      <c r="K230">
        <v>45029</v>
      </c>
      <c r="N230">
        <v>45029</v>
      </c>
      <c r="Q230">
        <v>45029</v>
      </c>
      <c r="T230">
        <v>45029</v>
      </c>
    </row>
    <row r="231" spans="1:20">
      <c r="A231" s="73"/>
      <c r="B231" s="73">
        <v>45028</v>
      </c>
      <c r="E231">
        <v>45028</v>
      </c>
      <c r="H231">
        <v>45028</v>
      </c>
      <c r="K231">
        <v>45028</v>
      </c>
      <c r="N231">
        <v>45028</v>
      </c>
      <c r="Q231">
        <v>45028</v>
      </c>
      <c r="T231">
        <v>45028</v>
      </c>
    </row>
    <row r="232" spans="1:20">
      <c r="A232" s="73"/>
      <c r="B232" s="73">
        <v>45027</v>
      </c>
      <c r="E232">
        <v>45027</v>
      </c>
      <c r="H232">
        <v>45027</v>
      </c>
      <c r="K232">
        <v>45027</v>
      </c>
      <c r="N232">
        <v>45027</v>
      </c>
      <c r="Q232">
        <v>45027</v>
      </c>
      <c r="T232">
        <v>45027</v>
      </c>
    </row>
    <row r="233" spans="1:20">
      <c r="A233" s="73"/>
      <c r="B233" s="73">
        <v>45026</v>
      </c>
      <c r="E233">
        <v>45026</v>
      </c>
      <c r="H233">
        <v>45026</v>
      </c>
      <c r="K233">
        <v>45026</v>
      </c>
      <c r="N233">
        <v>45026</v>
      </c>
      <c r="Q233">
        <v>45026</v>
      </c>
      <c r="T233">
        <v>45026</v>
      </c>
    </row>
    <row r="234" spans="1:20">
      <c r="A234" s="73"/>
      <c r="B234" s="73">
        <v>45025</v>
      </c>
      <c r="E234">
        <v>45025</v>
      </c>
      <c r="H234">
        <v>45025</v>
      </c>
      <c r="K234">
        <v>45025</v>
      </c>
      <c r="N234">
        <v>45025</v>
      </c>
      <c r="Q234">
        <v>45025</v>
      </c>
      <c r="T234">
        <v>45025</v>
      </c>
    </row>
    <row r="235" spans="1:20">
      <c r="A235" s="73"/>
      <c r="B235" s="73">
        <v>45024</v>
      </c>
      <c r="E235">
        <v>45024</v>
      </c>
      <c r="H235">
        <v>45024</v>
      </c>
      <c r="K235">
        <v>45024</v>
      </c>
      <c r="N235">
        <v>45024</v>
      </c>
      <c r="Q235">
        <v>45024</v>
      </c>
      <c r="T235">
        <v>45024</v>
      </c>
    </row>
    <row r="236" spans="1:20">
      <c r="A236" s="73"/>
      <c r="B236" s="73">
        <v>45023</v>
      </c>
      <c r="E236">
        <v>45023</v>
      </c>
      <c r="H236">
        <v>45023</v>
      </c>
      <c r="K236">
        <v>45023</v>
      </c>
      <c r="N236">
        <v>45023</v>
      </c>
      <c r="Q236">
        <v>45023</v>
      </c>
      <c r="T236">
        <v>45023</v>
      </c>
    </row>
    <row r="237" spans="1:20">
      <c r="A237" s="73"/>
      <c r="B237" s="73">
        <v>45022</v>
      </c>
      <c r="E237">
        <v>45022</v>
      </c>
      <c r="H237">
        <v>45022</v>
      </c>
      <c r="K237">
        <v>45022</v>
      </c>
      <c r="N237">
        <v>45022</v>
      </c>
      <c r="Q237">
        <v>45022</v>
      </c>
      <c r="T237">
        <v>45022</v>
      </c>
    </row>
    <row r="238" spans="1:20">
      <c r="A238" s="73"/>
      <c r="B238" s="73">
        <v>45021</v>
      </c>
      <c r="E238">
        <v>45021</v>
      </c>
      <c r="H238">
        <v>45021</v>
      </c>
      <c r="K238">
        <v>45021</v>
      </c>
      <c r="N238">
        <v>45021</v>
      </c>
      <c r="Q238">
        <v>45021</v>
      </c>
      <c r="T238">
        <v>45021</v>
      </c>
    </row>
    <row r="239" spans="1:20">
      <c r="A239" s="73"/>
      <c r="B239" s="73">
        <v>45020</v>
      </c>
      <c r="E239">
        <v>45020</v>
      </c>
      <c r="H239">
        <v>45020</v>
      </c>
      <c r="K239">
        <v>45020</v>
      </c>
      <c r="N239">
        <v>45020</v>
      </c>
      <c r="Q239">
        <v>45020</v>
      </c>
      <c r="T239">
        <v>45020</v>
      </c>
    </row>
    <row r="240" spans="1:20">
      <c r="A240" s="73"/>
      <c r="B240" s="73">
        <v>45019</v>
      </c>
      <c r="E240">
        <v>45019</v>
      </c>
      <c r="H240">
        <v>45019</v>
      </c>
      <c r="K240">
        <v>45019</v>
      </c>
      <c r="N240">
        <v>45019</v>
      </c>
      <c r="Q240">
        <v>45019</v>
      </c>
      <c r="T240">
        <v>45019</v>
      </c>
    </row>
    <row r="241" spans="1:20">
      <c r="A241" s="73"/>
      <c r="B241" s="73">
        <v>45018</v>
      </c>
      <c r="E241">
        <v>45018</v>
      </c>
      <c r="H241">
        <v>45018</v>
      </c>
      <c r="K241">
        <v>45018</v>
      </c>
      <c r="N241">
        <v>45018</v>
      </c>
      <c r="Q241">
        <v>45018</v>
      </c>
      <c r="T241">
        <v>45018</v>
      </c>
    </row>
    <row r="242" spans="1:20">
      <c r="A242" s="73"/>
      <c r="B242" s="73">
        <v>45017</v>
      </c>
      <c r="E242">
        <v>45017</v>
      </c>
      <c r="H242">
        <v>45017</v>
      </c>
      <c r="K242">
        <v>45017</v>
      </c>
      <c r="N242">
        <v>45017</v>
      </c>
      <c r="Q242">
        <v>45017</v>
      </c>
      <c r="T242">
        <v>45017</v>
      </c>
    </row>
    <row r="243" spans="1:20">
      <c r="A243" s="73"/>
      <c r="B243" s="73">
        <v>45016</v>
      </c>
      <c r="E243">
        <v>45016</v>
      </c>
      <c r="H243">
        <v>45016</v>
      </c>
      <c r="K243">
        <v>45016</v>
      </c>
      <c r="N243">
        <v>45016</v>
      </c>
      <c r="Q243">
        <v>45016</v>
      </c>
      <c r="T243">
        <v>45016</v>
      </c>
    </row>
    <row r="244" spans="1:20">
      <c r="A244" s="73"/>
      <c r="B244" s="73">
        <v>45015</v>
      </c>
      <c r="E244">
        <v>45015</v>
      </c>
      <c r="H244">
        <v>45015</v>
      </c>
      <c r="K244">
        <v>45015</v>
      </c>
      <c r="N244">
        <v>45015</v>
      </c>
      <c r="Q244">
        <v>45015</v>
      </c>
      <c r="T244">
        <v>45015</v>
      </c>
    </row>
    <row r="245" spans="1:20">
      <c r="A245" s="73"/>
      <c r="B245" s="73">
        <v>45014</v>
      </c>
      <c r="E245">
        <v>45014</v>
      </c>
      <c r="H245">
        <v>45014</v>
      </c>
      <c r="K245">
        <v>45014</v>
      </c>
      <c r="N245">
        <v>45014</v>
      </c>
      <c r="Q245">
        <v>45014</v>
      </c>
      <c r="T245">
        <v>45014</v>
      </c>
    </row>
    <row r="246" spans="1:20">
      <c r="A246" s="73"/>
      <c r="B246" s="73">
        <v>45013</v>
      </c>
      <c r="E246">
        <v>45013</v>
      </c>
      <c r="H246">
        <v>45013</v>
      </c>
      <c r="K246">
        <v>45013</v>
      </c>
      <c r="N246">
        <v>45013</v>
      </c>
      <c r="Q246">
        <v>45013</v>
      </c>
      <c r="T246">
        <v>45013</v>
      </c>
    </row>
    <row r="247" spans="1:20">
      <c r="A247" s="73"/>
      <c r="B247" s="73">
        <v>45012</v>
      </c>
      <c r="E247">
        <v>45012</v>
      </c>
      <c r="H247">
        <v>45012</v>
      </c>
      <c r="K247">
        <v>45012</v>
      </c>
      <c r="N247">
        <v>45012</v>
      </c>
      <c r="Q247">
        <v>45012</v>
      </c>
      <c r="T247">
        <v>45012</v>
      </c>
    </row>
    <row r="248" spans="1:20">
      <c r="A248" s="73"/>
      <c r="B248" s="73">
        <v>45011</v>
      </c>
      <c r="E248">
        <v>45011</v>
      </c>
      <c r="H248">
        <v>45011</v>
      </c>
      <c r="K248">
        <v>45011</v>
      </c>
      <c r="N248">
        <v>45011</v>
      </c>
      <c r="Q248">
        <v>45011</v>
      </c>
      <c r="T248">
        <v>45011</v>
      </c>
    </row>
    <row r="249" spans="1:20">
      <c r="A249" s="73"/>
      <c r="B249" s="73">
        <v>45010</v>
      </c>
      <c r="E249">
        <v>45010</v>
      </c>
      <c r="H249">
        <v>45010</v>
      </c>
      <c r="K249">
        <v>45010</v>
      </c>
      <c r="N249">
        <v>45010</v>
      </c>
      <c r="Q249">
        <v>45010</v>
      </c>
      <c r="T249">
        <v>45010</v>
      </c>
    </row>
    <row r="250" spans="1:20">
      <c r="A250" s="73"/>
      <c r="B250" s="73">
        <v>45009</v>
      </c>
      <c r="E250">
        <v>45009</v>
      </c>
      <c r="H250">
        <v>45009</v>
      </c>
      <c r="K250">
        <v>45009</v>
      </c>
      <c r="N250">
        <v>45009</v>
      </c>
      <c r="Q250">
        <v>45009</v>
      </c>
      <c r="T250">
        <v>45009</v>
      </c>
    </row>
    <row r="251" spans="1:20">
      <c r="A251" s="73"/>
      <c r="B251" s="73">
        <v>45008</v>
      </c>
      <c r="E251">
        <v>45008</v>
      </c>
      <c r="H251">
        <v>45008</v>
      </c>
      <c r="K251">
        <v>45008</v>
      </c>
      <c r="N251">
        <v>45008</v>
      </c>
      <c r="Q251">
        <v>45008</v>
      </c>
      <c r="T251">
        <v>45008</v>
      </c>
    </row>
    <row r="252" spans="1:20">
      <c r="A252" s="73"/>
      <c r="B252" s="73">
        <v>45007</v>
      </c>
      <c r="E252">
        <v>45007</v>
      </c>
      <c r="H252">
        <v>45007</v>
      </c>
      <c r="K252">
        <v>45007</v>
      </c>
      <c r="N252">
        <v>45007</v>
      </c>
      <c r="Q252">
        <v>45007</v>
      </c>
      <c r="T252">
        <v>45007</v>
      </c>
    </row>
    <row r="253" spans="1:20">
      <c r="A253" s="73"/>
      <c r="B253" s="73">
        <v>45006</v>
      </c>
      <c r="E253">
        <v>45006</v>
      </c>
      <c r="H253">
        <v>45006</v>
      </c>
      <c r="K253">
        <v>45006</v>
      </c>
      <c r="N253">
        <v>45006</v>
      </c>
      <c r="Q253">
        <v>45006</v>
      </c>
      <c r="T253">
        <v>45006</v>
      </c>
    </row>
    <row r="254" spans="1:20">
      <c r="A254" s="73"/>
      <c r="B254" s="73">
        <v>45005</v>
      </c>
      <c r="E254">
        <v>45005</v>
      </c>
      <c r="H254">
        <v>45005</v>
      </c>
      <c r="K254">
        <v>45005</v>
      </c>
      <c r="N254">
        <v>45005</v>
      </c>
      <c r="Q254">
        <v>45005</v>
      </c>
      <c r="T254">
        <v>45005</v>
      </c>
    </row>
    <row r="255" spans="1:20">
      <c r="A255" s="73"/>
      <c r="B255" s="73">
        <v>45004</v>
      </c>
      <c r="E255">
        <v>45004</v>
      </c>
      <c r="H255">
        <v>45004</v>
      </c>
      <c r="K255">
        <v>45004</v>
      </c>
      <c r="N255">
        <v>45004</v>
      </c>
      <c r="Q255">
        <v>45004</v>
      </c>
      <c r="T255">
        <v>45004</v>
      </c>
    </row>
    <row r="256" spans="1:20">
      <c r="A256" s="73"/>
      <c r="B256" s="73">
        <v>45003</v>
      </c>
      <c r="E256">
        <v>45003</v>
      </c>
      <c r="H256">
        <v>45003</v>
      </c>
      <c r="K256">
        <v>45003</v>
      </c>
      <c r="N256">
        <v>45003</v>
      </c>
      <c r="Q256">
        <v>45003</v>
      </c>
      <c r="T256">
        <v>45003</v>
      </c>
    </row>
    <row r="257" spans="1:20">
      <c r="A257" s="73"/>
      <c r="B257" s="73">
        <v>45002</v>
      </c>
      <c r="E257">
        <v>45002</v>
      </c>
      <c r="H257">
        <v>45002</v>
      </c>
      <c r="K257">
        <v>45002</v>
      </c>
      <c r="N257">
        <v>45002</v>
      </c>
      <c r="Q257">
        <v>45002</v>
      </c>
      <c r="T257">
        <v>45002</v>
      </c>
    </row>
    <row r="258" spans="1:20">
      <c r="A258" s="73"/>
      <c r="B258" s="73">
        <v>45001</v>
      </c>
      <c r="E258">
        <v>45001</v>
      </c>
      <c r="H258">
        <v>45001</v>
      </c>
      <c r="K258">
        <v>45001</v>
      </c>
      <c r="N258">
        <v>45001</v>
      </c>
      <c r="Q258">
        <v>45001</v>
      </c>
      <c r="T258">
        <v>45001</v>
      </c>
    </row>
    <row r="259" spans="1:20">
      <c r="A259" s="73"/>
      <c r="B259" s="73">
        <v>45000</v>
      </c>
      <c r="E259">
        <v>45000</v>
      </c>
      <c r="H259">
        <v>45000</v>
      </c>
      <c r="K259">
        <v>45000</v>
      </c>
      <c r="N259">
        <v>45000</v>
      </c>
      <c r="Q259">
        <v>45000</v>
      </c>
      <c r="T259">
        <v>45000</v>
      </c>
    </row>
    <row r="260" spans="1:20">
      <c r="A260" s="73"/>
      <c r="B260" s="73">
        <v>44999</v>
      </c>
      <c r="E260">
        <v>44999</v>
      </c>
      <c r="H260">
        <v>44999</v>
      </c>
      <c r="K260">
        <v>44999</v>
      </c>
      <c r="N260">
        <v>44999</v>
      </c>
      <c r="Q260">
        <v>44999</v>
      </c>
      <c r="T260">
        <v>44999</v>
      </c>
    </row>
    <row r="261" spans="1:20">
      <c r="A261" s="73"/>
      <c r="B261" s="73">
        <v>44998</v>
      </c>
      <c r="E261">
        <v>44998</v>
      </c>
      <c r="H261">
        <v>44998</v>
      </c>
      <c r="K261">
        <v>44998</v>
      </c>
      <c r="N261">
        <v>44998</v>
      </c>
      <c r="Q261">
        <v>44998</v>
      </c>
      <c r="T261">
        <v>44998</v>
      </c>
    </row>
    <row r="262" spans="1:20">
      <c r="A262" s="73"/>
      <c r="B262" s="73">
        <v>44997</v>
      </c>
      <c r="E262">
        <v>44997</v>
      </c>
      <c r="H262">
        <v>44997</v>
      </c>
      <c r="K262">
        <v>44997</v>
      </c>
      <c r="N262">
        <v>44997</v>
      </c>
      <c r="Q262">
        <v>44997</v>
      </c>
      <c r="T262">
        <v>44997</v>
      </c>
    </row>
    <row r="263" spans="1:20">
      <c r="A263" s="73"/>
      <c r="B263" s="73">
        <v>44996</v>
      </c>
      <c r="E263">
        <v>44996</v>
      </c>
      <c r="H263">
        <v>44996</v>
      </c>
      <c r="K263">
        <v>44996</v>
      </c>
      <c r="N263">
        <v>44996</v>
      </c>
      <c r="Q263">
        <v>44996</v>
      </c>
      <c r="T263">
        <v>44996</v>
      </c>
    </row>
    <row r="264" spans="1:20">
      <c r="A264" s="73"/>
      <c r="B264" s="73">
        <v>44995</v>
      </c>
      <c r="E264">
        <v>44995</v>
      </c>
      <c r="H264">
        <v>44995</v>
      </c>
      <c r="K264">
        <v>44995</v>
      </c>
      <c r="N264">
        <v>44995</v>
      </c>
      <c r="Q264">
        <v>44995</v>
      </c>
      <c r="T264">
        <v>44995</v>
      </c>
    </row>
    <row r="265" spans="1:20">
      <c r="A265" s="73"/>
      <c r="B265" s="73">
        <v>44994</v>
      </c>
      <c r="E265">
        <v>44994</v>
      </c>
      <c r="H265">
        <v>44994</v>
      </c>
      <c r="K265">
        <v>44994</v>
      </c>
      <c r="N265">
        <v>44994</v>
      </c>
      <c r="Q265">
        <v>44994</v>
      </c>
      <c r="T265">
        <v>44994</v>
      </c>
    </row>
    <row r="266" spans="1:20">
      <c r="A266" s="73"/>
      <c r="B266" s="73">
        <v>44993</v>
      </c>
      <c r="E266">
        <v>44993</v>
      </c>
      <c r="H266">
        <v>44993</v>
      </c>
      <c r="K266">
        <v>44993</v>
      </c>
      <c r="N266">
        <v>44993</v>
      </c>
      <c r="Q266">
        <v>44993</v>
      </c>
      <c r="T266">
        <v>44993</v>
      </c>
    </row>
    <row r="267" spans="1:20">
      <c r="A267" s="73"/>
      <c r="B267" s="73">
        <v>44992</v>
      </c>
      <c r="E267">
        <v>44992</v>
      </c>
      <c r="H267">
        <v>44992</v>
      </c>
      <c r="K267">
        <v>44992</v>
      </c>
      <c r="N267">
        <v>44992</v>
      </c>
      <c r="Q267">
        <v>44992</v>
      </c>
      <c r="T267">
        <v>44992</v>
      </c>
    </row>
    <row r="268" spans="1:20">
      <c r="A268" s="73"/>
      <c r="B268" s="73">
        <v>44991</v>
      </c>
      <c r="E268">
        <v>44991</v>
      </c>
      <c r="H268">
        <v>44991</v>
      </c>
      <c r="K268">
        <v>44991</v>
      </c>
      <c r="N268">
        <v>44991</v>
      </c>
      <c r="Q268">
        <v>44991</v>
      </c>
      <c r="T268">
        <v>44991</v>
      </c>
    </row>
    <row r="269" spans="1:20">
      <c r="A269" s="73"/>
      <c r="B269" s="73">
        <v>44990</v>
      </c>
      <c r="E269">
        <v>44990</v>
      </c>
      <c r="H269">
        <v>44990</v>
      </c>
      <c r="K269">
        <v>44990</v>
      </c>
      <c r="N269">
        <v>44990</v>
      </c>
      <c r="Q269">
        <v>44990</v>
      </c>
      <c r="T269">
        <v>44990</v>
      </c>
    </row>
    <row r="270" spans="1:20">
      <c r="A270" s="73"/>
      <c r="B270" s="73">
        <v>44989</v>
      </c>
      <c r="E270">
        <v>44989</v>
      </c>
      <c r="H270">
        <v>44989</v>
      </c>
      <c r="K270">
        <v>44989</v>
      </c>
      <c r="N270">
        <v>44989</v>
      </c>
      <c r="Q270">
        <v>44989</v>
      </c>
      <c r="T270">
        <v>44989</v>
      </c>
    </row>
    <row r="271" spans="1:20">
      <c r="A271" s="73"/>
      <c r="B271" s="73">
        <v>44988</v>
      </c>
      <c r="E271">
        <v>44988</v>
      </c>
      <c r="H271">
        <v>44988</v>
      </c>
      <c r="K271">
        <v>44988</v>
      </c>
      <c r="N271">
        <v>44988</v>
      </c>
      <c r="Q271">
        <v>44988</v>
      </c>
      <c r="T271">
        <v>44988</v>
      </c>
    </row>
    <row r="272" spans="1:20">
      <c r="A272" s="73"/>
      <c r="B272" s="73">
        <v>44987</v>
      </c>
      <c r="E272">
        <v>44987</v>
      </c>
      <c r="H272">
        <v>44987</v>
      </c>
      <c r="K272">
        <v>44987</v>
      </c>
      <c r="N272">
        <v>44987</v>
      </c>
      <c r="Q272">
        <v>44987</v>
      </c>
      <c r="T272">
        <v>44987</v>
      </c>
    </row>
    <row r="273" spans="1:20">
      <c r="A273" s="73"/>
      <c r="B273" s="73">
        <v>44986</v>
      </c>
      <c r="E273">
        <v>44986</v>
      </c>
      <c r="H273">
        <v>44986</v>
      </c>
      <c r="K273">
        <v>44986</v>
      </c>
      <c r="N273">
        <v>44986</v>
      </c>
      <c r="Q273">
        <v>44986</v>
      </c>
      <c r="T273">
        <v>44986</v>
      </c>
    </row>
    <row r="274" spans="1:20">
      <c r="A274" s="73"/>
      <c r="B274" s="73">
        <v>44985</v>
      </c>
      <c r="E274">
        <v>44985</v>
      </c>
      <c r="H274">
        <v>44985</v>
      </c>
      <c r="K274">
        <v>44985</v>
      </c>
      <c r="N274">
        <v>44985</v>
      </c>
      <c r="Q274">
        <v>44985</v>
      </c>
      <c r="T274">
        <v>44985</v>
      </c>
    </row>
    <row r="275" spans="1:20">
      <c r="A275" s="73"/>
      <c r="B275" s="73">
        <v>44984</v>
      </c>
      <c r="E275">
        <v>44984</v>
      </c>
      <c r="H275">
        <v>44984</v>
      </c>
      <c r="K275">
        <v>44984</v>
      </c>
      <c r="N275">
        <v>44984</v>
      </c>
      <c r="Q275">
        <v>44984</v>
      </c>
      <c r="T275">
        <v>44984</v>
      </c>
    </row>
    <row r="276" spans="1:20">
      <c r="A276" s="73"/>
      <c r="B276" s="73">
        <v>44983</v>
      </c>
      <c r="E276">
        <v>44983</v>
      </c>
      <c r="H276">
        <v>44983</v>
      </c>
      <c r="K276">
        <v>44983</v>
      </c>
      <c r="N276">
        <v>44983</v>
      </c>
      <c r="Q276">
        <v>44983</v>
      </c>
      <c r="T276">
        <v>44983</v>
      </c>
    </row>
    <row r="277" spans="1:20">
      <c r="A277" s="73"/>
      <c r="B277" s="73">
        <v>44982</v>
      </c>
      <c r="E277">
        <v>44982</v>
      </c>
      <c r="H277">
        <v>44982</v>
      </c>
      <c r="K277">
        <v>44982</v>
      </c>
      <c r="N277">
        <v>44982</v>
      </c>
      <c r="Q277">
        <v>44982</v>
      </c>
      <c r="T277">
        <v>44982</v>
      </c>
    </row>
    <row r="278" spans="1:20">
      <c r="A278" s="73"/>
      <c r="B278" s="73">
        <v>44981</v>
      </c>
      <c r="E278">
        <v>44981</v>
      </c>
      <c r="H278">
        <v>44981</v>
      </c>
      <c r="K278">
        <v>44981</v>
      </c>
      <c r="N278">
        <v>44981</v>
      </c>
      <c r="Q278">
        <v>44981</v>
      </c>
      <c r="T278">
        <v>44981</v>
      </c>
    </row>
    <row r="279" spans="1:20">
      <c r="A279" s="73"/>
      <c r="B279" s="73">
        <v>44980</v>
      </c>
      <c r="E279">
        <v>44980</v>
      </c>
      <c r="H279">
        <v>44980</v>
      </c>
      <c r="K279">
        <v>44980</v>
      </c>
      <c r="N279">
        <v>44980</v>
      </c>
      <c r="Q279">
        <v>44980</v>
      </c>
      <c r="T279">
        <v>44980</v>
      </c>
    </row>
    <row r="280" spans="1:20">
      <c r="A280" s="73"/>
      <c r="B280" s="73">
        <v>44979</v>
      </c>
      <c r="E280">
        <v>44979</v>
      </c>
      <c r="H280">
        <v>44979</v>
      </c>
      <c r="K280">
        <v>44979</v>
      </c>
      <c r="N280">
        <v>44979</v>
      </c>
      <c r="Q280">
        <v>44979</v>
      </c>
      <c r="T280">
        <v>44979</v>
      </c>
    </row>
    <row r="281" spans="1:20">
      <c r="A281" s="73"/>
      <c r="B281" s="73">
        <v>44978</v>
      </c>
      <c r="E281">
        <v>44978</v>
      </c>
      <c r="H281">
        <v>44978</v>
      </c>
      <c r="K281">
        <v>44978</v>
      </c>
      <c r="N281">
        <v>44978</v>
      </c>
      <c r="Q281">
        <v>44978</v>
      </c>
      <c r="T281">
        <v>44978</v>
      </c>
    </row>
    <row r="282" spans="1:20">
      <c r="A282" s="73"/>
      <c r="B282" s="73">
        <v>44977</v>
      </c>
      <c r="E282">
        <v>44977</v>
      </c>
      <c r="H282">
        <v>44977</v>
      </c>
      <c r="K282">
        <v>44977</v>
      </c>
      <c r="N282">
        <v>44977</v>
      </c>
      <c r="Q282">
        <v>44977</v>
      </c>
      <c r="T282">
        <v>44977</v>
      </c>
    </row>
    <row r="283" spans="1:20">
      <c r="A283" s="73"/>
      <c r="B283" s="73">
        <v>44976</v>
      </c>
      <c r="E283">
        <v>44976</v>
      </c>
      <c r="H283">
        <v>44976</v>
      </c>
      <c r="K283">
        <v>44976</v>
      </c>
      <c r="N283">
        <v>44976</v>
      </c>
      <c r="Q283">
        <v>44976</v>
      </c>
      <c r="T283">
        <v>44976</v>
      </c>
    </row>
    <row r="284" spans="1:20">
      <c r="A284" s="73"/>
      <c r="B284" s="73">
        <v>44975</v>
      </c>
      <c r="E284">
        <v>44975</v>
      </c>
      <c r="H284">
        <v>44975</v>
      </c>
      <c r="K284">
        <v>44975</v>
      </c>
      <c r="N284">
        <v>44975</v>
      </c>
      <c r="Q284">
        <v>44975</v>
      </c>
      <c r="T284">
        <v>44975</v>
      </c>
    </row>
    <row r="285" spans="1:20">
      <c r="A285" s="73"/>
      <c r="B285" s="73">
        <v>44974</v>
      </c>
      <c r="E285">
        <v>44974</v>
      </c>
      <c r="H285">
        <v>44974</v>
      </c>
      <c r="K285">
        <v>44974</v>
      </c>
      <c r="N285">
        <v>44974</v>
      </c>
      <c r="Q285">
        <v>44974</v>
      </c>
      <c r="T285">
        <v>44974</v>
      </c>
    </row>
    <row r="286" spans="1:20">
      <c r="A286" s="73"/>
      <c r="B286" s="73">
        <v>44973</v>
      </c>
      <c r="E286">
        <v>44973</v>
      </c>
      <c r="H286">
        <v>44973</v>
      </c>
      <c r="K286">
        <v>44973</v>
      </c>
      <c r="N286">
        <v>44973</v>
      </c>
      <c r="Q286">
        <v>44973</v>
      </c>
      <c r="T286">
        <v>44973</v>
      </c>
    </row>
    <row r="287" spans="1:20">
      <c r="A287" s="73"/>
      <c r="B287" s="73">
        <v>44972</v>
      </c>
      <c r="E287">
        <v>44972</v>
      </c>
      <c r="H287">
        <v>44972</v>
      </c>
      <c r="K287">
        <v>44972</v>
      </c>
      <c r="N287">
        <v>44972</v>
      </c>
      <c r="Q287">
        <v>44972</v>
      </c>
      <c r="T287">
        <v>44972</v>
      </c>
    </row>
    <row r="288" spans="1:20">
      <c r="A288" s="73"/>
      <c r="B288" s="73">
        <v>44971</v>
      </c>
      <c r="E288">
        <v>44971</v>
      </c>
      <c r="H288">
        <v>44971</v>
      </c>
      <c r="K288">
        <v>44971</v>
      </c>
      <c r="N288">
        <v>44971</v>
      </c>
      <c r="Q288">
        <v>44971</v>
      </c>
      <c r="T288">
        <v>44971</v>
      </c>
    </row>
    <row r="289" spans="1:20">
      <c r="A289" s="73"/>
      <c r="B289" s="73">
        <v>44970</v>
      </c>
      <c r="E289">
        <v>44970</v>
      </c>
      <c r="H289">
        <v>44970</v>
      </c>
      <c r="K289">
        <v>44970</v>
      </c>
      <c r="N289">
        <v>44970</v>
      </c>
      <c r="Q289">
        <v>44970</v>
      </c>
      <c r="T289">
        <v>44970</v>
      </c>
    </row>
    <row r="290" spans="1:20">
      <c r="A290" s="73"/>
      <c r="B290" s="73">
        <v>44969</v>
      </c>
      <c r="E290">
        <v>44969</v>
      </c>
      <c r="H290">
        <v>44969</v>
      </c>
      <c r="K290">
        <v>44969</v>
      </c>
      <c r="N290">
        <v>44969</v>
      </c>
      <c r="Q290">
        <v>44969</v>
      </c>
      <c r="T290">
        <v>44969</v>
      </c>
    </row>
    <row r="291" spans="1:20">
      <c r="A291" s="73"/>
      <c r="B291" s="73">
        <v>44968</v>
      </c>
      <c r="E291">
        <v>44968</v>
      </c>
      <c r="H291">
        <v>44968</v>
      </c>
      <c r="K291">
        <v>44968</v>
      </c>
      <c r="N291">
        <v>44968</v>
      </c>
      <c r="Q291">
        <v>44968</v>
      </c>
      <c r="T291">
        <v>44968</v>
      </c>
    </row>
    <row r="292" spans="1:20">
      <c r="A292" s="73"/>
      <c r="B292" s="73">
        <v>44967</v>
      </c>
      <c r="E292">
        <v>44967</v>
      </c>
      <c r="H292">
        <v>44967</v>
      </c>
      <c r="K292">
        <v>44967</v>
      </c>
      <c r="N292">
        <v>44967</v>
      </c>
      <c r="Q292">
        <v>44967</v>
      </c>
      <c r="T292">
        <v>44967</v>
      </c>
    </row>
    <row r="293" spans="1:20">
      <c r="A293" s="73"/>
      <c r="B293" s="73">
        <v>44966</v>
      </c>
      <c r="E293">
        <v>44966</v>
      </c>
      <c r="H293">
        <v>44966</v>
      </c>
      <c r="K293">
        <v>44966</v>
      </c>
      <c r="N293">
        <v>44966</v>
      </c>
      <c r="Q293">
        <v>44966</v>
      </c>
      <c r="T293">
        <v>44966</v>
      </c>
    </row>
    <row r="294" spans="1:20">
      <c r="A294" s="73"/>
      <c r="B294" s="73">
        <v>44965</v>
      </c>
      <c r="E294">
        <v>44965</v>
      </c>
      <c r="H294">
        <v>44965</v>
      </c>
      <c r="K294">
        <v>44965</v>
      </c>
      <c r="N294">
        <v>44965</v>
      </c>
      <c r="Q294">
        <v>44965</v>
      </c>
      <c r="T294">
        <v>44965</v>
      </c>
    </row>
    <row r="295" spans="1:20">
      <c r="A295" s="73"/>
      <c r="B295" s="73">
        <v>44964</v>
      </c>
      <c r="E295">
        <v>44964</v>
      </c>
      <c r="H295">
        <v>44964</v>
      </c>
      <c r="K295">
        <v>44964</v>
      </c>
      <c r="N295">
        <v>44964</v>
      </c>
      <c r="Q295">
        <v>44964</v>
      </c>
      <c r="T295">
        <v>44964</v>
      </c>
    </row>
    <row r="296" spans="1:20">
      <c r="A296" s="73"/>
      <c r="B296" s="73">
        <v>44963</v>
      </c>
      <c r="E296">
        <v>44963</v>
      </c>
      <c r="H296">
        <v>44963</v>
      </c>
      <c r="K296">
        <v>44963</v>
      </c>
      <c r="N296">
        <v>44963</v>
      </c>
      <c r="Q296">
        <v>44963</v>
      </c>
      <c r="T296">
        <v>44963</v>
      </c>
    </row>
    <row r="297" spans="1:20">
      <c r="A297" s="73"/>
      <c r="B297" s="73">
        <v>44962</v>
      </c>
      <c r="E297">
        <v>44962</v>
      </c>
      <c r="H297">
        <v>44962</v>
      </c>
      <c r="K297">
        <v>44962</v>
      </c>
      <c r="N297">
        <v>44962</v>
      </c>
      <c r="Q297">
        <v>44962</v>
      </c>
      <c r="T297">
        <v>44962</v>
      </c>
    </row>
    <row r="298" spans="1:20">
      <c r="A298" s="73"/>
      <c r="B298" s="73">
        <v>44961</v>
      </c>
      <c r="E298">
        <v>44961</v>
      </c>
      <c r="H298">
        <v>44961</v>
      </c>
      <c r="K298">
        <v>44961</v>
      </c>
      <c r="N298">
        <v>44961</v>
      </c>
      <c r="Q298">
        <v>44961</v>
      </c>
      <c r="T298">
        <v>44961</v>
      </c>
    </row>
    <row r="299" spans="1:20">
      <c r="A299" s="73"/>
      <c r="B299" s="73">
        <v>44960</v>
      </c>
      <c r="E299">
        <v>44960</v>
      </c>
      <c r="H299">
        <v>44960</v>
      </c>
      <c r="K299">
        <v>44960</v>
      </c>
      <c r="N299">
        <v>44960</v>
      </c>
      <c r="Q299">
        <v>44960</v>
      </c>
      <c r="T299">
        <v>44960</v>
      </c>
    </row>
    <row r="300" spans="1:20">
      <c r="A300" s="73"/>
      <c r="B300" s="73">
        <v>44959</v>
      </c>
      <c r="E300">
        <v>44959</v>
      </c>
      <c r="H300">
        <v>44959</v>
      </c>
      <c r="K300">
        <v>44959</v>
      </c>
      <c r="N300">
        <v>44959</v>
      </c>
      <c r="Q300">
        <v>44959</v>
      </c>
      <c r="T300">
        <v>44959</v>
      </c>
    </row>
    <row r="301" spans="1:20">
      <c r="A301" s="73"/>
      <c r="B301" s="73">
        <v>44958</v>
      </c>
      <c r="E301">
        <v>44958</v>
      </c>
      <c r="H301">
        <v>44958</v>
      </c>
      <c r="K301">
        <v>44958</v>
      </c>
      <c r="N301">
        <v>44958</v>
      </c>
      <c r="Q301">
        <v>44958</v>
      </c>
      <c r="T301">
        <v>44958</v>
      </c>
    </row>
    <row r="302" spans="1:20">
      <c r="A302" s="73"/>
      <c r="B302" s="73">
        <v>44957</v>
      </c>
      <c r="E302">
        <v>44957</v>
      </c>
      <c r="H302">
        <v>44957</v>
      </c>
      <c r="K302">
        <v>44957</v>
      </c>
      <c r="N302">
        <v>44957</v>
      </c>
      <c r="Q302">
        <v>44957</v>
      </c>
      <c r="T302">
        <v>44957</v>
      </c>
    </row>
    <row r="303" spans="1:20">
      <c r="A303" s="73"/>
      <c r="B303" s="73">
        <v>44956</v>
      </c>
      <c r="E303">
        <v>44956</v>
      </c>
      <c r="H303">
        <v>44956</v>
      </c>
      <c r="K303">
        <v>44956</v>
      </c>
      <c r="N303">
        <v>44956</v>
      </c>
      <c r="Q303">
        <v>44956</v>
      </c>
      <c r="T303">
        <v>44956</v>
      </c>
    </row>
    <row r="304" spans="1:20">
      <c r="A304" s="73"/>
      <c r="B304" s="73">
        <v>44955</v>
      </c>
      <c r="E304">
        <v>44955</v>
      </c>
      <c r="H304">
        <v>44955</v>
      </c>
      <c r="K304">
        <v>44955</v>
      </c>
      <c r="N304">
        <v>44955</v>
      </c>
      <c r="Q304">
        <v>44955</v>
      </c>
      <c r="T304">
        <v>44955</v>
      </c>
    </row>
    <row r="305" spans="1:20">
      <c r="A305" s="73"/>
      <c r="B305" s="73">
        <v>44954</v>
      </c>
      <c r="E305">
        <v>44954</v>
      </c>
      <c r="H305">
        <v>44954</v>
      </c>
      <c r="K305">
        <v>44954</v>
      </c>
      <c r="N305">
        <v>44954</v>
      </c>
      <c r="Q305">
        <v>44954</v>
      </c>
      <c r="T305">
        <v>44954</v>
      </c>
    </row>
    <row r="306" spans="1:20">
      <c r="A306" s="73"/>
      <c r="B306" s="73">
        <v>44953</v>
      </c>
      <c r="E306">
        <v>44953</v>
      </c>
      <c r="H306">
        <v>44953</v>
      </c>
      <c r="K306">
        <v>44953</v>
      </c>
      <c r="N306">
        <v>44953</v>
      </c>
      <c r="Q306">
        <v>44953</v>
      </c>
      <c r="T306">
        <v>44953</v>
      </c>
    </row>
    <row r="307" spans="1:20">
      <c r="A307" s="73"/>
      <c r="B307" s="73">
        <v>44952</v>
      </c>
      <c r="E307">
        <v>44952</v>
      </c>
      <c r="H307">
        <v>44952</v>
      </c>
      <c r="K307">
        <v>44952</v>
      </c>
      <c r="N307">
        <v>44952</v>
      </c>
      <c r="Q307">
        <v>44952</v>
      </c>
      <c r="T307">
        <v>44952</v>
      </c>
    </row>
    <row r="308" spans="1:20">
      <c r="A308" s="73"/>
      <c r="B308" s="73">
        <v>44951</v>
      </c>
      <c r="E308">
        <v>44951</v>
      </c>
      <c r="H308">
        <v>44951</v>
      </c>
      <c r="K308">
        <v>44951</v>
      </c>
      <c r="N308">
        <v>44951</v>
      </c>
      <c r="Q308">
        <v>44951</v>
      </c>
      <c r="T308">
        <v>44951</v>
      </c>
    </row>
    <row r="309" spans="1:20">
      <c r="A309" s="73"/>
      <c r="B309" s="73">
        <v>44950</v>
      </c>
      <c r="E309">
        <v>44950</v>
      </c>
      <c r="H309">
        <v>44950</v>
      </c>
      <c r="K309">
        <v>44950</v>
      </c>
      <c r="N309">
        <v>44950</v>
      </c>
      <c r="Q309">
        <v>44950</v>
      </c>
      <c r="T309">
        <v>44950</v>
      </c>
    </row>
    <row r="310" spans="1:20">
      <c r="A310" s="73"/>
      <c r="B310" s="73">
        <v>44949</v>
      </c>
      <c r="E310">
        <v>44949</v>
      </c>
      <c r="H310">
        <v>44949</v>
      </c>
      <c r="K310">
        <v>44949</v>
      </c>
      <c r="N310">
        <v>44949</v>
      </c>
      <c r="Q310">
        <v>44949</v>
      </c>
      <c r="T310">
        <v>44949</v>
      </c>
    </row>
    <row r="311" spans="1:20">
      <c r="A311" s="73"/>
      <c r="B311" s="73">
        <v>44948</v>
      </c>
      <c r="E311">
        <v>44948</v>
      </c>
      <c r="H311">
        <v>44948</v>
      </c>
      <c r="K311">
        <v>44948</v>
      </c>
      <c r="N311">
        <v>44948</v>
      </c>
      <c r="Q311">
        <v>44948</v>
      </c>
      <c r="T311">
        <v>44948</v>
      </c>
    </row>
    <row r="312" spans="1:20">
      <c r="A312" s="73"/>
      <c r="B312" s="73">
        <v>44947</v>
      </c>
      <c r="E312">
        <v>44947</v>
      </c>
      <c r="H312">
        <v>44947</v>
      </c>
      <c r="K312">
        <v>44947</v>
      </c>
      <c r="N312">
        <v>44947</v>
      </c>
      <c r="Q312">
        <v>44947</v>
      </c>
      <c r="T312">
        <v>44947</v>
      </c>
    </row>
    <row r="313" spans="1:20">
      <c r="A313" s="73"/>
      <c r="B313" s="73">
        <v>44946</v>
      </c>
      <c r="E313">
        <v>44946</v>
      </c>
      <c r="H313">
        <v>44946</v>
      </c>
      <c r="K313">
        <v>44946</v>
      </c>
      <c r="N313">
        <v>44946</v>
      </c>
      <c r="Q313">
        <v>44946</v>
      </c>
      <c r="T313">
        <v>44946</v>
      </c>
    </row>
    <row r="314" spans="1:20">
      <c r="A314" s="73"/>
      <c r="B314" s="73">
        <v>44945</v>
      </c>
      <c r="E314">
        <v>44945</v>
      </c>
      <c r="H314">
        <v>44945</v>
      </c>
      <c r="K314">
        <v>44945</v>
      </c>
      <c r="N314">
        <v>44945</v>
      </c>
      <c r="Q314">
        <v>44945</v>
      </c>
      <c r="T314">
        <v>44945</v>
      </c>
    </row>
    <row r="315" spans="1:20">
      <c r="A315" s="73"/>
      <c r="B315" s="73">
        <v>44944</v>
      </c>
      <c r="E315">
        <v>44944</v>
      </c>
      <c r="H315">
        <v>44944</v>
      </c>
      <c r="K315">
        <v>44944</v>
      </c>
      <c r="N315">
        <v>44944</v>
      </c>
      <c r="Q315">
        <v>44944</v>
      </c>
      <c r="T315">
        <v>44944</v>
      </c>
    </row>
    <row r="316" spans="1:20">
      <c r="A316" s="73"/>
      <c r="B316" s="73">
        <v>44943</v>
      </c>
      <c r="E316">
        <v>44943</v>
      </c>
      <c r="H316">
        <v>44943</v>
      </c>
      <c r="K316">
        <v>44943</v>
      </c>
      <c r="N316">
        <v>44943</v>
      </c>
      <c r="Q316">
        <v>44943</v>
      </c>
      <c r="T316">
        <v>44943</v>
      </c>
    </row>
    <row r="317" spans="1:20">
      <c r="A317" s="73"/>
      <c r="B317" s="73">
        <v>44942</v>
      </c>
      <c r="E317">
        <v>44942</v>
      </c>
      <c r="H317">
        <v>44942</v>
      </c>
      <c r="K317">
        <v>44942</v>
      </c>
      <c r="N317">
        <v>44942</v>
      </c>
      <c r="Q317">
        <v>44942</v>
      </c>
      <c r="T317">
        <v>44942</v>
      </c>
    </row>
    <row r="318" spans="1:20">
      <c r="A318" s="73"/>
      <c r="B318" s="73">
        <v>44941</v>
      </c>
      <c r="E318">
        <v>44941</v>
      </c>
      <c r="H318">
        <v>44941</v>
      </c>
      <c r="K318">
        <v>44941</v>
      </c>
      <c r="N318">
        <v>44941</v>
      </c>
      <c r="Q318">
        <v>44941</v>
      </c>
      <c r="T318">
        <v>44941</v>
      </c>
    </row>
    <row r="319" spans="1:20">
      <c r="A319" s="73"/>
      <c r="B319" s="73">
        <v>44940</v>
      </c>
      <c r="E319">
        <v>44940</v>
      </c>
      <c r="H319">
        <v>44940</v>
      </c>
      <c r="K319">
        <v>44940</v>
      </c>
      <c r="N319">
        <v>44940</v>
      </c>
      <c r="Q319">
        <v>44940</v>
      </c>
      <c r="T319">
        <v>44940</v>
      </c>
    </row>
    <row r="320" spans="1:20">
      <c r="A320" s="73"/>
      <c r="B320" s="73">
        <v>44939</v>
      </c>
      <c r="E320">
        <v>44939</v>
      </c>
      <c r="H320">
        <v>44939</v>
      </c>
      <c r="K320">
        <v>44939</v>
      </c>
      <c r="N320">
        <v>44939</v>
      </c>
      <c r="Q320">
        <v>44939</v>
      </c>
      <c r="T320">
        <v>44939</v>
      </c>
    </row>
    <row r="321" spans="1:20">
      <c r="A321" s="73"/>
      <c r="B321" s="73">
        <v>44938</v>
      </c>
      <c r="E321">
        <v>44938</v>
      </c>
      <c r="H321">
        <v>44938</v>
      </c>
      <c r="K321">
        <v>44938</v>
      </c>
      <c r="N321">
        <v>44938</v>
      </c>
      <c r="Q321">
        <v>44938</v>
      </c>
      <c r="T321">
        <v>44938</v>
      </c>
    </row>
    <row r="322" spans="1:20">
      <c r="A322" s="73"/>
      <c r="B322" s="73">
        <v>44937</v>
      </c>
      <c r="E322">
        <v>44937</v>
      </c>
      <c r="H322">
        <v>44937</v>
      </c>
      <c r="K322">
        <v>44937</v>
      </c>
      <c r="N322">
        <v>44937</v>
      </c>
      <c r="Q322">
        <v>44937</v>
      </c>
      <c r="T322">
        <v>44937</v>
      </c>
    </row>
    <row r="323" spans="1:20">
      <c r="A323" s="73"/>
      <c r="B323" s="73">
        <v>44936</v>
      </c>
      <c r="E323">
        <v>44936</v>
      </c>
      <c r="H323">
        <v>44936</v>
      </c>
      <c r="K323">
        <v>44936</v>
      </c>
      <c r="N323">
        <v>44936</v>
      </c>
      <c r="Q323">
        <v>44936</v>
      </c>
      <c r="T323">
        <v>44936</v>
      </c>
    </row>
    <row r="324" spans="1:20">
      <c r="A324" s="73"/>
      <c r="B324" s="73">
        <v>44935</v>
      </c>
      <c r="E324">
        <v>44935</v>
      </c>
      <c r="H324">
        <v>44935</v>
      </c>
      <c r="K324">
        <v>44935</v>
      </c>
      <c r="N324">
        <v>44935</v>
      </c>
      <c r="Q324">
        <v>44935</v>
      </c>
      <c r="T324">
        <v>44935</v>
      </c>
    </row>
    <row r="325" spans="1:20">
      <c r="A325" s="73"/>
      <c r="B325" s="73">
        <v>44934</v>
      </c>
      <c r="E325">
        <v>44934</v>
      </c>
      <c r="H325">
        <v>44934</v>
      </c>
      <c r="K325">
        <v>44934</v>
      </c>
      <c r="N325">
        <v>44934</v>
      </c>
      <c r="Q325">
        <v>44934</v>
      </c>
      <c r="T325">
        <v>44934</v>
      </c>
    </row>
    <row r="326" spans="1:20">
      <c r="A326" s="73"/>
      <c r="B326" s="73">
        <v>44933</v>
      </c>
      <c r="E326">
        <v>44933</v>
      </c>
      <c r="H326">
        <v>44933</v>
      </c>
      <c r="K326">
        <v>44933</v>
      </c>
      <c r="N326">
        <v>44933</v>
      </c>
      <c r="Q326">
        <v>44933</v>
      </c>
      <c r="T326">
        <v>44933</v>
      </c>
    </row>
    <row r="327" spans="1:20">
      <c r="A327" s="73"/>
      <c r="B327" s="73">
        <v>44932</v>
      </c>
      <c r="E327">
        <v>44932</v>
      </c>
      <c r="H327">
        <v>44932</v>
      </c>
      <c r="K327">
        <v>44932</v>
      </c>
      <c r="N327">
        <v>44932</v>
      </c>
      <c r="Q327">
        <v>44932</v>
      </c>
      <c r="T327">
        <v>44932</v>
      </c>
    </row>
    <row r="328" spans="1:20">
      <c r="A328" s="73"/>
      <c r="B328" s="73">
        <v>44931</v>
      </c>
      <c r="E328">
        <v>44931</v>
      </c>
      <c r="H328">
        <v>44931</v>
      </c>
      <c r="K328">
        <v>44931</v>
      </c>
      <c r="N328">
        <v>44931</v>
      </c>
      <c r="Q328">
        <v>44931</v>
      </c>
      <c r="T328">
        <v>44931</v>
      </c>
    </row>
    <row r="329" spans="1:20">
      <c r="A329" s="73"/>
      <c r="B329" s="73">
        <v>44930</v>
      </c>
      <c r="E329">
        <v>44930</v>
      </c>
      <c r="H329">
        <v>44930</v>
      </c>
      <c r="K329">
        <v>44930</v>
      </c>
      <c r="N329">
        <v>44930</v>
      </c>
      <c r="Q329">
        <v>44930</v>
      </c>
      <c r="T329">
        <v>44930</v>
      </c>
    </row>
    <row r="330" spans="1:20">
      <c r="A330" s="73"/>
      <c r="B330" s="73">
        <v>44929</v>
      </c>
      <c r="E330">
        <v>44929</v>
      </c>
      <c r="H330">
        <v>44929</v>
      </c>
      <c r="K330">
        <v>44929</v>
      </c>
      <c r="N330">
        <v>44929</v>
      </c>
      <c r="Q330">
        <v>44929</v>
      </c>
      <c r="T330">
        <v>44929</v>
      </c>
    </row>
    <row r="331" spans="1:20">
      <c r="A331" s="73"/>
      <c r="B331" s="73">
        <v>44928</v>
      </c>
      <c r="E331">
        <v>44928</v>
      </c>
      <c r="H331">
        <v>44928</v>
      </c>
      <c r="K331">
        <v>44928</v>
      </c>
      <c r="N331">
        <v>44928</v>
      </c>
      <c r="Q331">
        <v>44928</v>
      </c>
      <c r="T331">
        <v>44928</v>
      </c>
    </row>
    <row r="332" spans="1:20">
      <c r="A332" s="73"/>
      <c r="B332" s="73">
        <v>44927</v>
      </c>
      <c r="E332">
        <v>44927</v>
      </c>
      <c r="H332">
        <v>44927</v>
      </c>
      <c r="K332">
        <v>44927</v>
      </c>
      <c r="N332">
        <v>44927</v>
      </c>
      <c r="Q332">
        <v>44927</v>
      </c>
      <c r="T332">
        <v>44927</v>
      </c>
    </row>
    <row r="333" spans="1:20">
      <c r="A333" s="73"/>
      <c r="B333" s="73">
        <v>44926</v>
      </c>
      <c r="E333">
        <v>44926</v>
      </c>
      <c r="H333">
        <v>44926</v>
      </c>
      <c r="K333">
        <v>44926</v>
      </c>
      <c r="N333">
        <v>44926</v>
      </c>
      <c r="Q333">
        <v>44926</v>
      </c>
      <c r="T333">
        <v>44926</v>
      </c>
    </row>
    <row r="334" spans="1:20">
      <c r="A334" s="73"/>
      <c r="B334" s="73">
        <v>44925</v>
      </c>
      <c r="E334">
        <v>44925</v>
      </c>
      <c r="H334">
        <v>44925</v>
      </c>
      <c r="K334">
        <v>44925</v>
      </c>
      <c r="N334">
        <v>44925</v>
      </c>
      <c r="Q334">
        <v>44925</v>
      </c>
      <c r="T334">
        <v>44925</v>
      </c>
    </row>
    <row r="335" spans="1:20">
      <c r="A335" s="73"/>
      <c r="B335" s="73">
        <v>44924</v>
      </c>
      <c r="E335">
        <v>44924</v>
      </c>
      <c r="H335">
        <v>44924</v>
      </c>
      <c r="K335">
        <v>44924</v>
      </c>
      <c r="N335">
        <v>44924</v>
      </c>
      <c r="Q335">
        <v>44924</v>
      </c>
      <c r="T335">
        <v>44924</v>
      </c>
    </row>
    <row r="336" spans="1:20">
      <c r="A336" s="73"/>
      <c r="B336" s="73">
        <v>44923</v>
      </c>
      <c r="E336">
        <v>44923</v>
      </c>
      <c r="H336">
        <v>44923</v>
      </c>
      <c r="K336">
        <v>44923</v>
      </c>
      <c r="N336">
        <v>44923</v>
      </c>
      <c r="Q336">
        <v>44923</v>
      </c>
      <c r="T336">
        <v>44923</v>
      </c>
    </row>
    <row r="337" spans="1:20">
      <c r="A337" s="73"/>
      <c r="B337" s="73">
        <v>44922</v>
      </c>
      <c r="E337">
        <v>44922</v>
      </c>
      <c r="H337">
        <v>44922</v>
      </c>
      <c r="K337">
        <v>44922</v>
      </c>
      <c r="N337">
        <v>44922</v>
      </c>
      <c r="Q337">
        <v>44922</v>
      </c>
      <c r="T337">
        <v>44922</v>
      </c>
    </row>
    <row r="338" spans="1:20">
      <c r="A338" s="73"/>
      <c r="B338" s="73">
        <v>44921</v>
      </c>
      <c r="E338">
        <v>44921</v>
      </c>
      <c r="H338">
        <v>44921</v>
      </c>
      <c r="K338">
        <v>44921</v>
      </c>
      <c r="N338">
        <v>44921</v>
      </c>
      <c r="Q338">
        <v>44921</v>
      </c>
      <c r="T338">
        <v>44921</v>
      </c>
    </row>
    <row r="339" spans="1:20">
      <c r="A339" s="73"/>
      <c r="B339" s="73">
        <v>44920</v>
      </c>
      <c r="E339">
        <v>44920</v>
      </c>
      <c r="H339">
        <v>44920</v>
      </c>
      <c r="K339">
        <v>44920</v>
      </c>
      <c r="N339">
        <v>44920</v>
      </c>
      <c r="Q339">
        <v>44920</v>
      </c>
      <c r="T339">
        <v>44920</v>
      </c>
    </row>
    <row r="340" spans="1:20">
      <c r="A340" s="73"/>
      <c r="B340" s="73">
        <v>44919</v>
      </c>
      <c r="E340">
        <v>44919</v>
      </c>
      <c r="H340">
        <v>44919</v>
      </c>
      <c r="K340">
        <v>44919</v>
      </c>
      <c r="N340">
        <v>44919</v>
      </c>
      <c r="Q340">
        <v>44919</v>
      </c>
      <c r="T340">
        <v>44919</v>
      </c>
    </row>
    <row r="341" spans="1:20">
      <c r="A341" s="73"/>
      <c r="B341" s="73">
        <v>44918</v>
      </c>
      <c r="E341">
        <v>44918</v>
      </c>
      <c r="H341">
        <v>44918</v>
      </c>
      <c r="K341">
        <v>44918</v>
      </c>
      <c r="N341">
        <v>44918</v>
      </c>
      <c r="Q341">
        <v>44918</v>
      </c>
      <c r="T341">
        <v>44918</v>
      </c>
    </row>
    <row r="342" spans="1:20">
      <c r="A342" s="73"/>
      <c r="B342" s="73">
        <v>44917</v>
      </c>
      <c r="E342">
        <v>44917</v>
      </c>
      <c r="H342">
        <v>44917</v>
      </c>
      <c r="K342">
        <v>44917</v>
      </c>
      <c r="N342">
        <v>44917</v>
      </c>
      <c r="Q342">
        <v>44917</v>
      </c>
      <c r="T342">
        <v>44917</v>
      </c>
    </row>
    <row r="343" spans="1:20">
      <c r="A343" s="73"/>
      <c r="B343" s="73">
        <v>44916</v>
      </c>
      <c r="E343">
        <v>44916</v>
      </c>
      <c r="H343">
        <v>44916</v>
      </c>
      <c r="K343">
        <v>44916</v>
      </c>
      <c r="N343">
        <v>44916</v>
      </c>
      <c r="Q343">
        <v>44916</v>
      </c>
      <c r="T343">
        <v>44916</v>
      </c>
    </row>
    <row r="344" spans="1:20">
      <c r="A344" s="73"/>
      <c r="B344" s="73">
        <v>44915</v>
      </c>
      <c r="E344">
        <v>44915</v>
      </c>
      <c r="H344">
        <v>44915</v>
      </c>
      <c r="K344">
        <v>44915</v>
      </c>
      <c r="N344">
        <v>44915</v>
      </c>
      <c r="Q344">
        <v>44915</v>
      </c>
      <c r="T344">
        <v>44915</v>
      </c>
    </row>
    <row r="345" spans="1:20">
      <c r="A345" s="73"/>
      <c r="B345" s="73">
        <v>44914</v>
      </c>
      <c r="E345">
        <v>44914</v>
      </c>
      <c r="H345">
        <v>44914</v>
      </c>
      <c r="K345">
        <v>44914</v>
      </c>
      <c r="N345">
        <v>44914</v>
      </c>
      <c r="Q345">
        <v>44914</v>
      </c>
      <c r="T345">
        <v>44914</v>
      </c>
    </row>
    <row r="346" spans="1:20">
      <c r="A346" s="73"/>
      <c r="B346" s="73">
        <v>44913</v>
      </c>
      <c r="E346">
        <v>44913</v>
      </c>
      <c r="H346">
        <v>44913</v>
      </c>
      <c r="K346">
        <v>44913</v>
      </c>
      <c r="N346">
        <v>44913</v>
      </c>
      <c r="Q346">
        <v>44913</v>
      </c>
      <c r="T346">
        <v>44913</v>
      </c>
    </row>
    <row r="347" spans="1:20">
      <c r="A347" s="73"/>
      <c r="B347" s="73">
        <v>44912</v>
      </c>
      <c r="E347">
        <v>44912</v>
      </c>
      <c r="H347">
        <v>44912</v>
      </c>
      <c r="K347">
        <v>44912</v>
      </c>
      <c r="N347">
        <v>44912</v>
      </c>
      <c r="Q347">
        <v>44912</v>
      </c>
      <c r="T347">
        <v>44912</v>
      </c>
    </row>
    <row r="348" spans="1:20">
      <c r="A348" s="73"/>
      <c r="B348" s="73">
        <v>44911</v>
      </c>
      <c r="E348">
        <v>44911</v>
      </c>
      <c r="H348">
        <v>44911</v>
      </c>
      <c r="K348">
        <v>44911</v>
      </c>
      <c r="N348">
        <v>44911</v>
      </c>
      <c r="Q348">
        <v>44911</v>
      </c>
      <c r="T348">
        <v>44911</v>
      </c>
    </row>
    <row r="349" spans="1:20">
      <c r="A349" s="73"/>
      <c r="B349" s="73">
        <v>44910</v>
      </c>
      <c r="E349">
        <v>44910</v>
      </c>
      <c r="H349">
        <v>44910</v>
      </c>
      <c r="K349">
        <v>44910</v>
      </c>
      <c r="N349">
        <v>44910</v>
      </c>
      <c r="Q349">
        <v>44910</v>
      </c>
      <c r="T349">
        <v>44910</v>
      </c>
    </row>
    <row r="350" spans="1:20">
      <c r="A350" s="73"/>
      <c r="B350" s="73">
        <v>44909</v>
      </c>
      <c r="E350">
        <v>44909</v>
      </c>
      <c r="H350">
        <v>44909</v>
      </c>
      <c r="K350">
        <v>44909</v>
      </c>
      <c r="N350">
        <v>44909</v>
      </c>
      <c r="Q350">
        <v>44909</v>
      </c>
      <c r="T350">
        <v>44909</v>
      </c>
    </row>
    <row r="351" spans="1:20">
      <c r="A351" s="73"/>
      <c r="B351" s="73">
        <v>44908</v>
      </c>
      <c r="E351">
        <v>44908</v>
      </c>
      <c r="H351">
        <v>44908</v>
      </c>
      <c r="K351">
        <v>44908</v>
      </c>
      <c r="N351">
        <v>44908</v>
      </c>
      <c r="Q351">
        <v>44908</v>
      </c>
      <c r="T351">
        <v>44908</v>
      </c>
    </row>
    <row r="352" spans="1:20">
      <c r="A352" s="73"/>
      <c r="B352" s="73">
        <v>44907</v>
      </c>
      <c r="E352">
        <v>44907</v>
      </c>
      <c r="H352">
        <v>44907</v>
      </c>
      <c r="K352">
        <v>44907</v>
      </c>
      <c r="N352">
        <v>44907</v>
      </c>
      <c r="Q352">
        <v>44907</v>
      </c>
      <c r="T352">
        <v>44907</v>
      </c>
    </row>
    <row r="353" spans="1:20">
      <c r="A353" s="73"/>
      <c r="B353" s="73">
        <v>44906</v>
      </c>
      <c r="E353">
        <v>44906</v>
      </c>
      <c r="H353">
        <v>44906</v>
      </c>
      <c r="K353">
        <v>44906</v>
      </c>
      <c r="N353">
        <v>44906</v>
      </c>
      <c r="Q353">
        <v>44906</v>
      </c>
      <c r="T353">
        <v>44906</v>
      </c>
    </row>
    <row r="354" spans="1:20">
      <c r="A354" s="73"/>
      <c r="B354" s="73">
        <v>44905</v>
      </c>
      <c r="E354">
        <v>44905</v>
      </c>
      <c r="H354">
        <v>44905</v>
      </c>
      <c r="K354">
        <v>44905</v>
      </c>
      <c r="N354">
        <v>44905</v>
      </c>
      <c r="Q354">
        <v>44905</v>
      </c>
      <c r="T354">
        <v>44905</v>
      </c>
    </row>
    <row r="355" spans="1:20">
      <c r="A355" s="73"/>
      <c r="B355" s="73">
        <v>44904</v>
      </c>
      <c r="E355">
        <v>44904</v>
      </c>
      <c r="H355">
        <v>44904</v>
      </c>
      <c r="K355">
        <v>44904</v>
      </c>
      <c r="N355">
        <v>44904</v>
      </c>
      <c r="Q355">
        <v>44904</v>
      </c>
      <c r="T355">
        <v>44904</v>
      </c>
    </row>
    <row r="356" spans="1:20">
      <c r="A356" s="73"/>
      <c r="B356" s="73">
        <v>44903</v>
      </c>
      <c r="E356">
        <v>44903</v>
      </c>
      <c r="H356">
        <v>44903</v>
      </c>
      <c r="K356">
        <v>44903</v>
      </c>
      <c r="N356">
        <v>44903</v>
      </c>
      <c r="Q356">
        <v>44903</v>
      </c>
      <c r="T356">
        <v>44903</v>
      </c>
    </row>
    <row r="357" spans="1:20">
      <c r="A357" s="73"/>
      <c r="B357" s="73">
        <v>44902</v>
      </c>
      <c r="E357">
        <v>44902</v>
      </c>
      <c r="H357">
        <v>44902</v>
      </c>
      <c r="K357">
        <v>44902</v>
      </c>
      <c r="N357">
        <v>44902</v>
      </c>
      <c r="Q357">
        <v>44902</v>
      </c>
      <c r="T357">
        <v>44902</v>
      </c>
    </row>
    <row r="358" spans="1:20">
      <c r="A358" s="73"/>
      <c r="B358" s="73">
        <v>44901</v>
      </c>
      <c r="E358">
        <v>44901</v>
      </c>
      <c r="H358">
        <v>44901</v>
      </c>
      <c r="K358">
        <v>44901</v>
      </c>
      <c r="N358">
        <v>44901</v>
      </c>
      <c r="Q358">
        <v>44901</v>
      </c>
      <c r="T358">
        <v>44901</v>
      </c>
    </row>
    <row r="359" spans="1:20">
      <c r="A359" s="73"/>
      <c r="B359" s="73">
        <v>44900</v>
      </c>
      <c r="E359">
        <v>44900</v>
      </c>
      <c r="H359">
        <v>44900</v>
      </c>
      <c r="K359">
        <v>44900</v>
      </c>
      <c r="N359">
        <v>44900</v>
      </c>
      <c r="Q359">
        <v>44900</v>
      </c>
      <c r="T359">
        <v>44900</v>
      </c>
    </row>
    <row r="360" spans="1:20">
      <c r="A360" s="73"/>
      <c r="B360" s="73">
        <v>44899</v>
      </c>
      <c r="E360">
        <v>44899</v>
      </c>
      <c r="H360">
        <v>44899</v>
      </c>
      <c r="K360">
        <v>44899</v>
      </c>
      <c r="N360">
        <v>44899</v>
      </c>
      <c r="Q360">
        <v>44899</v>
      </c>
      <c r="T360">
        <v>44899</v>
      </c>
    </row>
    <row r="361" spans="1:20">
      <c r="A361" s="73"/>
      <c r="B361" s="73">
        <v>44898</v>
      </c>
      <c r="E361">
        <v>44898</v>
      </c>
      <c r="H361">
        <v>44898</v>
      </c>
      <c r="K361">
        <v>44898</v>
      </c>
      <c r="N361">
        <v>44898</v>
      </c>
      <c r="Q361">
        <v>44898</v>
      </c>
      <c r="T361">
        <v>44898</v>
      </c>
    </row>
    <row r="362" spans="1:20">
      <c r="A362" s="73"/>
      <c r="B362" s="73">
        <v>44897</v>
      </c>
      <c r="E362">
        <v>44897</v>
      </c>
      <c r="H362">
        <v>44897</v>
      </c>
      <c r="K362">
        <v>44897</v>
      </c>
      <c r="N362">
        <v>44897</v>
      </c>
      <c r="Q362">
        <v>44897</v>
      </c>
      <c r="T362">
        <v>44897</v>
      </c>
    </row>
    <row r="363" spans="1:20">
      <c r="A363" s="73"/>
      <c r="B363" s="73">
        <v>44896</v>
      </c>
      <c r="E363">
        <v>44896</v>
      </c>
      <c r="H363">
        <v>44896</v>
      </c>
      <c r="K363">
        <v>44896</v>
      </c>
      <c r="N363">
        <v>44896</v>
      </c>
      <c r="Q363">
        <v>44896</v>
      </c>
      <c r="T363">
        <v>44896</v>
      </c>
    </row>
    <row r="364" spans="1:20">
      <c r="A364" s="73"/>
      <c r="B364" s="73">
        <v>44895</v>
      </c>
      <c r="E364">
        <v>44895</v>
      </c>
      <c r="H364">
        <v>44895</v>
      </c>
      <c r="K364">
        <v>44895</v>
      </c>
      <c r="N364">
        <v>44895</v>
      </c>
      <c r="Q364">
        <v>44895</v>
      </c>
      <c r="T364">
        <v>44895</v>
      </c>
    </row>
    <row r="365" spans="1:20">
      <c r="A365" s="73"/>
      <c r="B365" s="73">
        <v>44894</v>
      </c>
      <c r="E365">
        <v>44894</v>
      </c>
      <c r="H365">
        <v>44894</v>
      </c>
      <c r="K365">
        <v>44894</v>
      </c>
      <c r="N365">
        <v>44894</v>
      </c>
      <c r="Q365">
        <v>44894</v>
      </c>
      <c r="T365">
        <v>44894</v>
      </c>
    </row>
    <row r="366" spans="1:20">
      <c r="A366" s="73"/>
      <c r="B366" s="73">
        <v>44893</v>
      </c>
      <c r="E366">
        <v>44893</v>
      </c>
      <c r="H366">
        <v>44893</v>
      </c>
      <c r="K366">
        <v>44893</v>
      </c>
      <c r="N366">
        <v>44893</v>
      </c>
      <c r="Q366">
        <v>44893</v>
      </c>
      <c r="T366">
        <v>44893</v>
      </c>
    </row>
    <row r="367" spans="1:20">
      <c r="A367" s="73"/>
      <c r="B367" s="73">
        <v>44892</v>
      </c>
      <c r="E367">
        <v>44892</v>
      </c>
      <c r="H367">
        <v>44892</v>
      </c>
      <c r="K367">
        <v>44892</v>
      </c>
      <c r="N367">
        <v>44892</v>
      </c>
      <c r="Q367">
        <v>44892</v>
      </c>
      <c r="T367">
        <v>44892</v>
      </c>
    </row>
    <row r="368" spans="1:20">
      <c r="A368" s="73"/>
      <c r="B368" s="73">
        <v>44891</v>
      </c>
      <c r="E368">
        <v>44891</v>
      </c>
      <c r="H368">
        <v>44891</v>
      </c>
      <c r="K368">
        <v>44891</v>
      </c>
      <c r="N368">
        <v>44891</v>
      </c>
      <c r="Q368">
        <v>44891</v>
      </c>
      <c r="T368">
        <v>44891</v>
      </c>
    </row>
    <row r="369" spans="1:20">
      <c r="A369" s="73"/>
      <c r="B369" s="73">
        <v>44890</v>
      </c>
      <c r="E369">
        <v>44890</v>
      </c>
      <c r="H369">
        <v>44890</v>
      </c>
      <c r="K369">
        <v>44890</v>
      </c>
      <c r="N369">
        <v>44890</v>
      </c>
      <c r="Q369">
        <v>44890</v>
      </c>
      <c r="T369">
        <v>44890</v>
      </c>
    </row>
    <row r="370" spans="1:20">
      <c r="A370" s="73"/>
      <c r="B370" s="73">
        <v>44889</v>
      </c>
      <c r="E370">
        <v>44889</v>
      </c>
      <c r="H370">
        <v>44889</v>
      </c>
      <c r="K370">
        <v>44889</v>
      </c>
      <c r="N370">
        <v>44889</v>
      </c>
      <c r="Q370">
        <v>44889</v>
      </c>
      <c r="T370">
        <v>44889</v>
      </c>
    </row>
    <row r="371" spans="1:20">
      <c r="A371" s="73"/>
      <c r="B371" s="73">
        <v>44888</v>
      </c>
      <c r="E371">
        <v>44888</v>
      </c>
      <c r="H371">
        <v>44888</v>
      </c>
      <c r="K371">
        <v>44888</v>
      </c>
      <c r="N371">
        <v>44888</v>
      </c>
      <c r="Q371">
        <v>44888</v>
      </c>
      <c r="T371">
        <v>44888</v>
      </c>
    </row>
    <row r="372" spans="1:20">
      <c r="A372" s="73"/>
      <c r="B372" s="73">
        <v>44887</v>
      </c>
      <c r="E372">
        <v>44887</v>
      </c>
      <c r="H372">
        <v>44887</v>
      </c>
      <c r="K372">
        <v>44887</v>
      </c>
      <c r="N372">
        <v>44887</v>
      </c>
      <c r="Q372">
        <v>44887</v>
      </c>
      <c r="T372">
        <v>44887</v>
      </c>
    </row>
    <row r="373" spans="1:20">
      <c r="A373" s="73"/>
      <c r="B373" s="73">
        <v>44886</v>
      </c>
      <c r="E373">
        <v>44886</v>
      </c>
      <c r="H373">
        <v>44886</v>
      </c>
      <c r="K373">
        <v>44886</v>
      </c>
      <c r="N373">
        <v>44886</v>
      </c>
      <c r="Q373">
        <v>44886</v>
      </c>
      <c r="T373">
        <v>44886</v>
      </c>
    </row>
    <row r="374" spans="1:20">
      <c r="A374" s="73"/>
      <c r="B374" s="73">
        <v>44885</v>
      </c>
      <c r="E374">
        <v>44885</v>
      </c>
      <c r="H374">
        <v>44885</v>
      </c>
      <c r="K374">
        <v>44885</v>
      </c>
      <c r="N374">
        <v>44885</v>
      </c>
      <c r="Q374">
        <v>44885</v>
      </c>
      <c r="T374">
        <v>44885</v>
      </c>
    </row>
    <row r="375" spans="1:20">
      <c r="A375" s="73"/>
      <c r="B375" s="73">
        <v>44884</v>
      </c>
      <c r="E375">
        <v>44884</v>
      </c>
      <c r="H375">
        <v>44884</v>
      </c>
      <c r="K375">
        <v>44884</v>
      </c>
      <c r="N375">
        <v>44884</v>
      </c>
      <c r="Q375">
        <v>44884</v>
      </c>
      <c r="T375">
        <v>44884</v>
      </c>
    </row>
    <row r="376" spans="1:20">
      <c r="A376" s="73"/>
      <c r="B376" s="73">
        <v>44883</v>
      </c>
      <c r="E376">
        <v>44883</v>
      </c>
      <c r="H376">
        <v>44883</v>
      </c>
      <c r="K376">
        <v>44883</v>
      </c>
      <c r="N376">
        <v>44883</v>
      </c>
      <c r="Q376">
        <v>44883</v>
      </c>
      <c r="T376">
        <v>44883</v>
      </c>
    </row>
    <row r="377" spans="1:20">
      <c r="A377" s="73"/>
      <c r="B377" s="73">
        <v>44882</v>
      </c>
      <c r="E377">
        <v>44882</v>
      </c>
      <c r="H377">
        <v>44882</v>
      </c>
      <c r="K377">
        <v>44882</v>
      </c>
      <c r="N377">
        <v>44882</v>
      </c>
      <c r="Q377">
        <v>44882</v>
      </c>
      <c r="T377">
        <v>44882</v>
      </c>
    </row>
    <row r="378" spans="1:20">
      <c r="A378" s="73"/>
      <c r="B378" s="73">
        <v>44881</v>
      </c>
      <c r="E378">
        <v>44881</v>
      </c>
      <c r="H378">
        <v>44881</v>
      </c>
      <c r="K378">
        <v>44881</v>
      </c>
      <c r="N378">
        <v>44881</v>
      </c>
      <c r="Q378">
        <v>44881</v>
      </c>
      <c r="T378">
        <v>44881</v>
      </c>
    </row>
    <row r="379" spans="1:20">
      <c r="A379" s="73"/>
      <c r="B379" s="73">
        <v>44880</v>
      </c>
      <c r="E379">
        <v>44880</v>
      </c>
      <c r="H379">
        <v>44880</v>
      </c>
      <c r="K379">
        <v>44880</v>
      </c>
      <c r="N379">
        <v>44880</v>
      </c>
      <c r="Q379">
        <v>44880</v>
      </c>
      <c r="T379">
        <v>44880</v>
      </c>
    </row>
    <row r="380" spans="1:20">
      <c r="A380" s="73"/>
      <c r="B380" s="73">
        <v>44879</v>
      </c>
      <c r="E380">
        <v>44879</v>
      </c>
      <c r="H380">
        <v>44879</v>
      </c>
      <c r="K380">
        <v>44879</v>
      </c>
      <c r="N380">
        <v>44879</v>
      </c>
      <c r="Q380">
        <v>44879</v>
      </c>
      <c r="T380">
        <v>44879</v>
      </c>
    </row>
    <row r="381" spans="1:20">
      <c r="A381" s="73"/>
      <c r="B381" s="73">
        <v>44878</v>
      </c>
      <c r="E381">
        <v>44878</v>
      </c>
      <c r="H381">
        <v>44878</v>
      </c>
      <c r="K381">
        <v>44878</v>
      </c>
      <c r="N381">
        <v>44878</v>
      </c>
      <c r="Q381">
        <v>44878</v>
      </c>
      <c r="T381">
        <v>44878</v>
      </c>
    </row>
    <row r="382" spans="1:20">
      <c r="A382" s="73"/>
      <c r="B382" s="73">
        <v>44877</v>
      </c>
      <c r="E382">
        <v>44877</v>
      </c>
      <c r="H382">
        <v>44877</v>
      </c>
      <c r="K382">
        <v>44877</v>
      </c>
      <c r="N382">
        <v>44877</v>
      </c>
      <c r="Q382">
        <v>44877</v>
      </c>
      <c r="T382">
        <v>44877</v>
      </c>
    </row>
    <row r="383" spans="1:20">
      <c r="A383" s="73"/>
      <c r="B383" s="73">
        <v>44876</v>
      </c>
      <c r="E383">
        <v>44876</v>
      </c>
      <c r="H383">
        <v>44876</v>
      </c>
      <c r="K383">
        <v>44876</v>
      </c>
      <c r="N383">
        <v>44876</v>
      </c>
      <c r="Q383">
        <v>44876</v>
      </c>
      <c r="T383">
        <v>44876</v>
      </c>
    </row>
    <row r="384" spans="1:20">
      <c r="A384" s="73"/>
      <c r="B384" s="73">
        <v>44875</v>
      </c>
      <c r="E384">
        <v>44875</v>
      </c>
      <c r="H384">
        <v>44875</v>
      </c>
      <c r="K384">
        <v>44875</v>
      </c>
      <c r="N384">
        <v>44875</v>
      </c>
      <c r="Q384">
        <v>44875</v>
      </c>
      <c r="T384">
        <v>44875</v>
      </c>
    </row>
    <row r="385" spans="1:20">
      <c r="A385" s="73"/>
      <c r="B385" s="73">
        <v>44874</v>
      </c>
      <c r="E385">
        <v>44874</v>
      </c>
      <c r="H385">
        <v>44874</v>
      </c>
      <c r="K385">
        <v>44874</v>
      </c>
      <c r="N385">
        <v>44874</v>
      </c>
      <c r="Q385">
        <v>44874</v>
      </c>
      <c r="T385">
        <v>44874</v>
      </c>
    </row>
    <row r="386" spans="1:20">
      <c r="A386" s="73"/>
      <c r="B386" s="73">
        <v>44873</v>
      </c>
      <c r="E386">
        <v>44873</v>
      </c>
      <c r="H386">
        <v>44873</v>
      </c>
      <c r="K386">
        <v>44873</v>
      </c>
      <c r="N386">
        <v>44873</v>
      </c>
      <c r="Q386">
        <v>44873</v>
      </c>
      <c r="T386">
        <v>44873</v>
      </c>
    </row>
    <row r="387" spans="1:20">
      <c r="A387" s="73"/>
      <c r="B387" s="73">
        <v>44872</v>
      </c>
      <c r="E387">
        <v>44872</v>
      </c>
      <c r="H387">
        <v>44872</v>
      </c>
      <c r="K387">
        <v>44872</v>
      </c>
      <c r="N387">
        <v>44872</v>
      </c>
      <c r="Q387">
        <v>44872</v>
      </c>
      <c r="T387">
        <v>44872</v>
      </c>
    </row>
    <row r="388" spans="1:20">
      <c r="A388" s="73"/>
      <c r="B388" s="73">
        <v>44871</v>
      </c>
      <c r="E388">
        <v>44871</v>
      </c>
      <c r="H388">
        <v>44871</v>
      </c>
      <c r="K388">
        <v>44871</v>
      </c>
      <c r="N388">
        <v>44871</v>
      </c>
      <c r="Q388">
        <v>44871</v>
      </c>
      <c r="T388">
        <v>44871</v>
      </c>
    </row>
    <row r="389" spans="1:20">
      <c r="A389" s="73"/>
      <c r="B389" s="73">
        <v>44870</v>
      </c>
      <c r="E389">
        <v>44870</v>
      </c>
      <c r="H389">
        <v>44870</v>
      </c>
      <c r="K389">
        <v>44870</v>
      </c>
      <c r="N389">
        <v>44870</v>
      </c>
      <c r="Q389">
        <v>44870</v>
      </c>
      <c r="T389">
        <v>44870</v>
      </c>
    </row>
    <row r="390" spans="1:20">
      <c r="A390" s="73"/>
      <c r="B390" s="73">
        <v>44869</v>
      </c>
      <c r="E390">
        <v>44869</v>
      </c>
      <c r="H390">
        <v>44869</v>
      </c>
      <c r="K390">
        <v>44869</v>
      </c>
      <c r="N390">
        <v>44869</v>
      </c>
      <c r="Q390">
        <v>44869</v>
      </c>
      <c r="T390">
        <v>44869</v>
      </c>
    </row>
    <row r="391" spans="1:20">
      <c r="A391" s="73"/>
      <c r="B391" s="73">
        <v>44868</v>
      </c>
      <c r="E391">
        <v>44868</v>
      </c>
      <c r="H391">
        <v>44868</v>
      </c>
      <c r="K391">
        <v>44868</v>
      </c>
      <c r="N391">
        <v>44868</v>
      </c>
      <c r="Q391">
        <v>44868</v>
      </c>
      <c r="T391">
        <v>44868</v>
      </c>
    </row>
    <row r="392" spans="1:20">
      <c r="A392" s="73"/>
      <c r="B392" s="73">
        <v>44867</v>
      </c>
      <c r="E392">
        <v>44867</v>
      </c>
      <c r="H392">
        <v>44867</v>
      </c>
      <c r="K392">
        <v>44867</v>
      </c>
      <c r="N392">
        <v>44867</v>
      </c>
      <c r="Q392">
        <v>44867</v>
      </c>
      <c r="T392">
        <v>44867</v>
      </c>
    </row>
    <row r="393" spans="1:20">
      <c r="A393" s="73"/>
      <c r="B393" s="73">
        <v>44866</v>
      </c>
      <c r="E393">
        <v>44866</v>
      </c>
      <c r="H393">
        <v>44866</v>
      </c>
      <c r="K393">
        <v>44866</v>
      </c>
      <c r="N393">
        <v>44866</v>
      </c>
      <c r="Q393">
        <v>44866</v>
      </c>
      <c r="T393">
        <v>44866</v>
      </c>
    </row>
    <row r="394" spans="1:20">
      <c r="A394" s="73"/>
      <c r="B394" s="73">
        <v>44865</v>
      </c>
      <c r="E394">
        <v>44865</v>
      </c>
      <c r="H394">
        <v>44865</v>
      </c>
      <c r="K394">
        <v>44865</v>
      </c>
      <c r="N394">
        <v>44865</v>
      </c>
      <c r="Q394">
        <v>44865</v>
      </c>
      <c r="T394">
        <v>44865</v>
      </c>
    </row>
    <row r="395" spans="1:20">
      <c r="A395" s="73"/>
      <c r="B395" s="73">
        <v>44864</v>
      </c>
      <c r="E395">
        <v>44864</v>
      </c>
      <c r="H395">
        <v>44864</v>
      </c>
      <c r="K395">
        <v>44864</v>
      </c>
      <c r="N395">
        <v>44864</v>
      </c>
      <c r="Q395">
        <v>44864</v>
      </c>
      <c r="T395">
        <v>44864</v>
      </c>
    </row>
    <row r="396" spans="1:20">
      <c r="A396" s="73"/>
      <c r="B396" s="73">
        <v>44863</v>
      </c>
      <c r="E396">
        <v>44863</v>
      </c>
      <c r="H396">
        <v>44863</v>
      </c>
      <c r="K396">
        <v>44863</v>
      </c>
      <c r="N396">
        <v>44863</v>
      </c>
      <c r="Q396">
        <v>44863</v>
      </c>
      <c r="T396">
        <v>44863</v>
      </c>
    </row>
    <row r="397" spans="1:20">
      <c r="A397" s="73"/>
      <c r="B397" s="73">
        <v>44862</v>
      </c>
      <c r="E397">
        <v>44862</v>
      </c>
      <c r="H397">
        <v>44862</v>
      </c>
      <c r="K397">
        <v>44862</v>
      </c>
      <c r="N397">
        <v>44862</v>
      </c>
      <c r="Q397">
        <v>44862</v>
      </c>
      <c r="T397">
        <v>44862</v>
      </c>
    </row>
    <row r="398" spans="1:20">
      <c r="A398" s="73"/>
      <c r="B398" s="73">
        <v>44861</v>
      </c>
      <c r="E398">
        <v>44861</v>
      </c>
      <c r="H398">
        <v>44861</v>
      </c>
      <c r="K398">
        <v>44861</v>
      </c>
      <c r="N398">
        <v>44861</v>
      </c>
      <c r="Q398">
        <v>44861</v>
      </c>
      <c r="T398">
        <v>44861</v>
      </c>
    </row>
    <row r="399" spans="1:20">
      <c r="A399" s="73"/>
      <c r="B399" s="73">
        <v>44860</v>
      </c>
      <c r="E399">
        <v>44860</v>
      </c>
      <c r="H399">
        <v>44860</v>
      </c>
      <c r="K399">
        <v>44860</v>
      </c>
      <c r="N399">
        <v>44860</v>
      </c>
      <c r="Q399">
        <v>44860</v>
      </c>
      <c r="T399">
        <v>44860</v>
      </c>
    </row>
    <row r="400" spans="1:20">
      <c r="A400" s="73"/>
      <c r="B400" s="73">
        <v>44859</v>
      </c>
      <c r="E400">
        <v>44859</v>
      </c>
      <c r="H400">
        <v>44859</v>
      </c>
      <c r="K400">
        <v>44859</v>
      </c>
      <c r="N400">
        <v>44859</v>
      </c>
      <c r="Q400">
        <v>44859</v>
      </c>
      <c r="T400">
        <v>44859</v>
      </c>
    </row>
    <row r="401" spans="1:20">
      <c r="A401" s="73"/>
      <c r="B401" s="73">
        <v>44858</v>
      </c>
      <c r="E401">
        <v>44858</v>
      </c>
      <c r="H401">
        <v>44858</v>
      </c>
      <c r="K401">
        <v>44858</v>
      </c>
      <c r="N401">
        <v>44858</v>
      </c>
      <c r="Q401">
        <v>44858</v>
      </c>
      <c r="T401">
        <v>44858</v>
      </c>
    </row>
    <row r="402" spans="1:20">
      <c r="A402" s="73"/>
      <c r="B402" s="73">
        <v>44857</v>
      </c>
      <c r="E402">
        <v>44857</v>
      </c>
      <c r="H402">
        <v>44857</v>
      </c>
      <c r="K402">
        <v>44857</v>
      </c>
      <c r="N402">
        <v>44857</v>
      </c>
      <c r="Q402">
        <v>44857</v>
      </c>
      <c r="T402">
        <v>44857</v>
      </c>
    </row>
    <row r="403" spans="1:20">
      <c r="A403" s="73"/>
      <c r="B403" s="73">
        <v>44856</v>
      </c>
      <c r="E403">
        <v>44856</v>
      </c>
      <c r="H403">
        <v>44856</v>
      </c>
      <c r="K403">
        <v>44856</v>
      </c>
      <c r="N403">
        <v>44856</v>
      </c>
      <c r="Q403">
        <v>44856</v>
      </c>
      <c r="T403">
        <v>44856</v>
      </c>
    </row>
    <row r="404" spans="1:20">
      <c r="A404" s="73"/>
      <c r="B404" s="73">
        <v>44855</v>
      </c>
      <c r="E404">
        <v>44855</v>
      </c>
      <c r="H404">
        <v>44855</v>
      </c>
      <c r="K404">
        <v>44855</v>
      </c>
      <c r="N404">
        <v>44855</v>
      </c>
      <c r="Q404">
        <v>44855</v>
      </c>
      <c r="T404">
        <v>44855</v>
      </c>
    </row>
    <row r="405" spans="1:20">
      <c r="A405" s="73"/>
      <c r="B405" s="73">
        <v>44854</v>
      </c>
      <c r="E405">
        <v>44854</v>
      </c>
      <c r="H405">
        <v>44854</v>
      </c>
      <c r="K405">
        <v>44854</v>
      </c>
      <c r="N405">
        <v>44854</v>
      </c>
      <c r="Q405">
        <v>44854</v>
      </c>
      <c r="T405">
        <v>44854</v>
      </c>
    </row>
    <row r="406" spans="1:20">
      <c r="A406" s="73"/>
      <c r="B406" s="73">
        <v>44853</v>
      </c>
      <c r="E406">
        <v>44853</v>
      </c>
      <c r="H406">
        <v>44853</v>
      </c>
      <c r="K406">
        <v>44853</v>
      </c>
      <c r="N406">
        <v>44853</v>
      </c>
      <c r="Q406">
        <v>44853</v>
      </c>
      <c r="T406">
        <v>44853</v>
      </c>
    </row>
    <row r="407" spans="1:20">
      <c r="A407" s="73"/>
      <c r="B407" s="73">
        <v>44852</v>
      </c>
      <c r="E407">
        <v>44852</v>
      </c>
      <c r="H407">
        <v>44852</v>
      </c>
      <c r="K407">
        <v>44852</v>
      </c>
      <c r="N407">
        <v>44852</v>
      </c>
      <c r="Q407">
        <v>44852</v>
      </c>
      <c r="T407">
        <v>44852</v>
      </c>
    </row>
    <row r="408" spans="1:20">
      <c r="A408" s="73"/>
      <c r="B408" s="73">
        <v>44851</v>
      </c>
      <c r="E408">
        <v>44851</v>
      </c>
      <c r="H408">
        <v>44851</v>
      </c>
      <c r="K408">
        <v>44851</v>
      </c>
      <c r="N408">
        <v>44851</v>
      </c>
      <c r="Q408">
        <v>44851</v>
      </c>
      <c r="T408">
        <v>44851</v>
      </c>
    </row>
    <row r="409" spans="1:20">
      <c r="A409" s="73"/>
      <c r="B409" s="73">
        <v>44850</v>
      </c>
      <c r="E409">
        <v>44850</v>
      </c>
      <c r="H409">
        <v>44850</v>
      </c>
      <c r="K409">
        <v>44850</v>
      </c>
      <c r="N409">
        <v>44850</v>
      </c>
      <c r="Q409">
        <v>44850</v>
      </c>
      <c r="T409">
        <v>44850</v>
      </c>
    </row>
    <row r="410" spans="1:20">
      <c r="A410" s="73"/>
      <c r="B410" s="73">
        <v>44849</v>
      </c>
      <c r="E410">
        <v>44849</v>
      </c>
      <c r="H410">
        <v>44849</v>
      </c>
      <c r="K410">
        <v>44849</v>
      </c>
      <c r="N410">
        <v>44849</v>
      </c>
      <c r="Q410">
        <v>44849</v>
      </c>
      <c r="T410">
        <v>44849</v>
      </c>
    </row>
    <row r="411" spans="1:20">
      <c r="A411" s="73"/>
      <c r="B411" s="73">
        <v>44848</v>
      </c>
      <c r="E411">
        <v>44848</v>
      </c>
      <c r="H411">
        <v>44848</v>
      </c>
      <c r="K411">
        <v>44848</v>
      </c>
      <c r="N411">
        <v>44848</v>
      </c>
      <c r="Q411">
        <v>44848</v>
      </c>
      <c r="T411">
        <v>44848</v>
      </c>
    </row>
    <row r="412" spans="1:20">
      <c r="A412" s="73"/>
      <c r="B412" s="73">
        <v>44847</v>
      </c>
      <c r="E412">
        <v>44847</v>
      </c>
      <c r="H412">
        <v>44847</v>
      </c>
      <c r="K412">
        <v>44847</v>
      </c>
      <c r="N412">
        <v>44847</v>
      </c>
      <c r="Q412">
        <v>44847</v>
      </c>
      <c r="T412">
        <v>44847</v>
      </c>
    </row>
    <row r="413" spans="1:20">
      <c r="A413" s="73"/>
      <c r="B413" s="73">
        <v>44846</v>
      </c>
      <c r="E413">
        <v>44846</v>
      </c>
      <c r="H413">
        <v>44846</v>
      </c>
      <c r="K413">
        <v>44846</v>
      </c>
      <c r="N413">
        <v>44846</v>
      </c>
      <c r="Q413">
        <v>44846</v>
      </c>
      <c r="T413">
        <v>44846</v>
      </c>
    </row>
    <row r="414" spans="1:20">
      <c r="A414" s="73"/>
      <c r="B414" s="73">
        <v>44845</v>
      </c>
      <c r="E414">
        <v>44845</v>
      </c>
      <c r="H414">
        <v>44845</v>
      </c>
      <c r="K414">
        <v>44845</v>
      </c>
      <c r="N414">
        <v>44845</v>
      </c>
      <c r="Q414">
        <v>44845</v>
      </c>
      <c r="T414">
        <v>44845</v>
      </c>
    </row>
    <row r="415" spans="1:20">
      <c r="A415" s="73"/>
      <c r="B415" s="73">
        <v>44844</v>
      </c>
      <c r="E415">
        <v>44844</v>
      </c>
      <c r="H415">
        <v>44844</v>
      </c>
      <c r="K415">
        <v>44844</v>
      </c>
      <c r="N415">
        <v>44844</v>
      </c>
      <c r="Q415">
        <v>44844</v>
      </c>
      <c r="T415">
        <v>44844</v>
      </c>
    </row>
    <row r="416" spans="1:20">
      <c r="A416" s="73"/>
      <c r="B416" s="73">
        <v>44843</v>
      </c>
      <c r="E416">
        <v>44843</v>
      </c>
      <c r="H416">
        <v>44843</v>
      </c>
      <c r="K416">
        <v>44843</v>
      </c>
      <c r="N416">
        <v>44843</v>
      </c>
      <c r="Q416">
        <v>44843</v>
      </c>
      <c r="T416">
        <v>44843</v>
      </c>
    </row>
    <row r="417" spans="1:20">
      <c r="A417" s="73"/>
      <c r="B417" s="73">
        <v>44842</v>
      </c>
      <c r="E417">
        <v>44842</v>
      </c>
      <c r="H417">
        <v>44842</v>
      </c>
      <c r="K417">
        <v>44842</v>
      </c>
      <c r="N417">
        <v>44842</v>
      </c>
      <c r="Q417">
        <v>44842</v>
      </c>
      <c r="T417">
        <v>44842</v>
      </c>
    </row>
    <row r="418" spans="1:20">
      <c r="A418" s="73"/>
      <c r="B418" s="73">
        <v>44841</v>
      </c>
      <c r="E418">
        <v>44841</v>
      </c>
      <c r="H418">
        <v>44841</v>
      </c>
      <c r="K418">
        <v>44841</v>
      </c>
      <c r="N418">
        <v>44841</v>
      </c>
      <c r="Q418">
        <v>44841</v>
      </c>
      <c r="T418">
        <v>44841</v>
      </c>
    </row>
    <row r="419" spans="1:20">
      <c r="A419" s="73"/>
      <c r="B419" s="73">
        <v>44840</v>
      </c>
      <c r="E419">
        <v>44840</v>
      </c>
      <c r="H419">
        <v>44840</v>
      </c>
      <c r="K419">
        <v>44840</v>
      </c>
      <c r="N419">
        <v>44840</v>
      </c>
      <c r="Q419">
        <v>44840</v>
      </c>
      <c r="T419">
        <v>44840</v>
      </c>
    </row>
    <row r="420" spans="1:20">
      <c r="A420" s="73"/>
      <c r="B420" s="73">
        <v>44839</v>
      </c>
      <c r="E420">
        <v>44839</v>
      </c>
      <c r="H420">
        <v>44839</v>
      </c>
      <c r="K420">
        <v>44839</v>
      </c>
      <c r="N420">
        <v>44839</v>
      </c>
      <c r="Q420">
        <v>44839</v>
      </c>
      <c r="T420">
        <v>44839</v>
      </c>
    </row>
    <row r="421" spans="1:20">
      <c r="A421" s="73"/>
      <c r="B421" s="73">
        <v>44838</v>
      </c>
      <c r="E421">
        <v>44838</v>
      </c>
      <c r="H421">
        <v>44838</v>
      </c>
      <c r="K421">
        <v>44838</v>
      </c>
      <c r="N421">
        <v>44838</v>
      </c>
      <c r="Q421">
        <v>44838</v>
      </c>
      <c r="T421">
        <v>44838</v>
      </c>
    </row>
    <row r="422" spans="1:20">
      <c r="A422" s="73"/>
      <c r="B422" s="73">
        <v>44837</v>
      </c>
      <c r="E422">
        <v>44837</v>
      </c>
      <c r="H422">
        <v>44837</v>
      </c>
      <c r="K422">
        <v>44837</v>
      </c>
      <c r="N422">
        <v>44837</v>
      </c>
      <c r="Q422">
        <v>44837</v>
      </c>
      <c r="T422">
        <v>44837</v>
      </c>
    </row>
    <row r="423" spans="1:20">
      <c r="A423" s="73"/>
      <c r="B423" s="73">
        <v>44836</v>
      </c>
      <c r="E423">
        <v>44836</v>
      </c>
      <c r="H423">
        <v>44836</v>
      </c>
      <c r="K423">
        <v>44836</v>
      </c>
      <c r="N423">
        <v>44836</v>
      </c>
      <c r="Q423">
        <v>44836</v>
      </c>
      <c r="T423">
        <v>44836</v>
      </c>
    </row>
    <row r="424" spans="1:20">
      <c r="A424" s="73"/>
      <c r="B424" s="73">
        <v>44835</v>
      </c>
      <c r="E424">
        <v>44835</v>
      </c>
      <c r="H424">
        <v>44835</v>
      </c>
      <c r="K424">
        <v>44835</v>
      </c>
      <c r="N424">
        <v>44835</v>
      </c>
      <c r="Q424">
        <v>44835</v>
      </c>
      <c r="T424">
        <v>44835</v>
      </c>
    </row>
  </sheetData>
  <mergeCells count="7">
    <mergeCell ref="T3:U3"/>
    <mergeCell ref="B3:C3"/>
    <mergeCell ref="E3:F3"/>
    <mergeCell ref="H3:I3"/>
    <mergeCell ref="K3:L3"/>
    <mergeCell ref="N3:O3"/>
    <mergeCell ref="Q3:R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1A82B-7794-4B0A-AF52-E3878C89F3B2}">
  <dimension ref="B1:K22"/>
  <sheetViews>
    <sheetView showGridLines="0" workbookViewId="0">
      <selection activeCell="I4" sqref="I4"/>
    </sheetView>
  </sheetViews>
  <sheetFormatPr defaultRowHeight="15"/>
  <cols>
    <col min="1" max="10" width="5.42578125" customWidth="1"/>
  </cols>
  <sheetData>
    <row r="1" spans="2:11" ht="15.75" thickBot="1"/>
    <row r="2" spans="2:11" ht="24.75" thickTop="1" thickBot="1">
      <c r="B2" s="212" t="s">
        <v>212</v>
      </c>
      <c r="C2" s="213"/>
      <c r="D2" s="213"/>
      <c r="E2" s="213"/>
      <c r="F2" s="213"/>
      <c r="G2" s="213"/>
      <c r="H2" s="213"/>
      <c r="I2" s="213"/>
      <c r="J2" s="214"/>
    </row>
    <row r="3" spans="2:11" ht="15.75" thickTop="1">
      <c r="B3" s="75"/>
      <c r="C3" s="76"/>
      <c r="D3" s="76"/>
      <c r="E3" s="76"/>
      <c r="F3" s="76"/>
      <c r="G3" s="76"/>
      <c r="H3" s="76"/>
      <c r="I3" s="76"/>
      <c r="J3" s="77"/>
      <c r="K3" s="72">
        <v>3</v>
      </c>
    </row>
    <row r="4" spans="2:11">
      <c r="B4" s="78"/>
      <c r="C4" s="79"/>
      <c r="D4" s="80">
        <v>1</v>
      </c>
      <c r="E4" s="79"/>
      <c r="F4" s="79"/>
      <c r="G4" s="80">
        <v>2</v>
      </c>
      <c r="H4" s="79"/>
      <c r="I4" s="81">
        <v>5</v>
      </c>
      <c r="J4" s="82"/>
      <c r="K4" s="72">
        <v>4</v>
      </c>
    </row>
    <row r="5" spans="2:11">
      <c r="B5" s="78"/>
      <c r="C5" s="79"/>
      <c r="D5" s="79"/>
      <c r="E5" s="81">
        <v>3</v>
      </c>
      <c r="F5" s="79"/>
      <c r="G5" s="79"/>
      <c r="H5" s="79"/>
      <c r="I5" s="79"/>
      <c r="J5" s="82"/>
      <c r="K5" s="72">
        <v>5</v>
      </c>
    </row>
    <row r="6" spans="2:11">
      <c r="B6" s="78"/>
      <c r="C6" s="83">
        <v>6</v>
      </c>
      <c r="D6" s="79"/>
      <c r="E6" s="79"/>
      <c r="F6" s="84">
        <v>1</v>
      </c>
      <c r="G6" s="79"/>
      <c r="H6" s="79"/>
      <c r="I6" s="81">
        <v>4</v>
      </c>
      <c r="J6" s="82"/>
      <c r="K6" s="72">
        <v>6</v>
      </c>
    </row>
    <row r="7" spans="2:11">
      <c r="B7" s="78"/>
      <c r="C7" s="79"/>
      <c r="D7" s="79"/>
      <c r="E7" s="84">
        <v>2</v>
      </c>
      <c r="F7" s="79"/>
      <c r="G7" s="83">
        <v>5</v>
      </c>
      <c r="H7" s="79"/>
      <c r="I7" s="79"/>
      <c r="J7" s="82"/>
      <c r="K7" s="72">
        <v>7</v>
      </c>
    </row>
    <row r="8" spans="2:11">
      <c r="B8" s="78"/>
      <c r="C8" s="79"/>
      <c r="D8" s="79"/>
      <c r="E8" s="79"/>
      <c r="F8" s="79"/>
      <c r="G8" s="79"/>
      <c r="H8" s="79"/>
      <c r="I8" s="80">
        <v>3</v>
      </c>
      <c r="J8" s="82"/>
      <c r="K8" s="72">
        <v>8</v>
      </c>
    </row>
    <row r="9" spans="2:11" ht="15.75" thickBot="1">
      <c r="B9" s="78"/>
      <c r="C9" s="81">
        <v>2</v>
      </c>
      <c r="D9" s="79"/>
      <c r="E9" s="83">
        <v>4</v>
      </c>
      <c r="F9" s="79"/>
      <c r="G9" s="79"/>
      <c r="H9" s="84">
        <v>5</v>
      </c>
      <c r="I9" s="79"/>
      <c r="J9" s="82"/>
      <c r="K9" s="72">
        <v>9</v>
      </c>
    </row>
    <row r="10" spans="2:11" ht="16.5" thickTop="1" thickBot="1">
      <c r="B10" s="78"/>
      <c r="C10" s="79"/>
      <c r="D10" s="79"/>
      <c r="E10" s="79"/>
      <c r="F10" s="85" t="s">
        <v>213</v>
      </c>
      <c r="G10" s="79"/>
      <c r="H10" s="79"/>
      <c r="I10" s="79"/>
      <c r="J10" s="82"/>
      <c r="K10" s="72">
        <v>10</v>
      </c>
    </row>
    <row r="11" spans="2:11" ht="15.75" thickTop="1">
      <c r="B11" s="78"/>
      <c r="C11" s="79"/>
      <c r="D11" s="81">
        <v>1</v>
      </c>
      <c r="E11" s="79"/>
      <c r="F11" s="79"/>
      <c r="G11" s="79"/>
      <c r="H11" s="80">
        <v>4</v>
      </c>
      <c r="I11" s="79"/>
      <c r="J11" s="82"/>
      <c r="K11" s="72">
        <v>11</v>
      </c>
    </row>
    <row r="12" spans="2:11">
      <c r="B12" s="78"/>
      <c r="C12" s="84">
        <v>3</v>
      </c>
      <c r="D12" s="79"/>
      <c r="E12" s="79"/>
      <c r="F12" s="83">
        <v>3</v>
      </c>
      <c r="G12" s="79"/>
      <c r="H12" s="79"/>
      <c r="I12" s="79"/>
      <c r="J12" s="82"/>
      <c r="K12" s="72">
        <v>12</v>
      </c>
    </row>
    <row r="13" spans="2:11">
      <c r="B13" s="78"/>
      <c r="C13" s="79"/>
      <c r="D13" s="79"/>
      <c r="E13" s="79"/>
      <c r="F13" s="79"/>
      <c r="G13" s="79"/>
      <c r="H13" s="79"/>
      <c r="I13" s="81">
        <v>6</v>
      </c>
      <c r="J13" s="82"/>
      <c r="K13" s="72">
        <v>13</v>
      </c>
    </row>
    <row r="14" spans="2:11">
      <c r="B14" s="78"/>
      <c r="C14" s="79"/>
      <c r="D14" s="80">
        <v>6</v>
      </c>
      <c r="E14" s="79"/>
      <c r="F14" s="79"/>
      <c r="G14" s="80">
        <v>5</v>
      </c>
      <c r="H14" s="79"/>
      <c r="I14" s="79"/>
      <c r="J14" s="82"/>
      <c r="K14" s="72">
        <v>14</v>
      </c>
    </row>
    <row r="15" spans="2:11">
      <c r="B15" s="78"/>
      <c r="C15" s="79"/>
      <c r="D15" s="79"/>
      <c r="E15" s="79"/>
      <c r="F15" s="79"/>
      <c r="G15" s="79"/>
      <c r="H15" s="81">
        <v>7</v>
      </c>
      <c r="I15" s="79"/>
      <c r="J15" s="82"/>
      <c r="K15" s="72">
        <v>15</v>
      </c>
    </row>
    <row r="16" spans="2:11">
      <c r="B16" s="78"/>
      <c r="C16" s="79"/>
      <c r="D16" s="83">
        <v>2</v>
      </c>
      <c r="E16" s="79"/>
      <c r="F16" s="84">
        <v>4</v>
      </c>
      <c r="G16" s="79"/>
      <c r="H16" s="79"/>
      <c r="I16" s="83">
        <v>1</v>
      </c>
      <c r="J16" s="82"/>
      <c r="K16" s="72">
        <v>16</v>
      </c>
    </row>
    <row r="17" spans="2:11" ht="15.75" thickBot="1">
      <c r="B17" s="86"/>
      <c r="C17" s="87"/>
      <c r="D17" s="87"/>
      <c r="E17" s="87"/>
      <c r="F17" s="87"/>
      <c r="G17" s="87"/>
      <c r="H17" s="87"/>
      <c r="I17" s="87"/>
      <c r="J17" s="88"/>
      <c r="K17" s="72">
        <v>17</v>
      </c>
    </row>
    <row r="18" spans="2:11" ht="15.75" thickTop="1">
      <c r="B18" s="72" t="s">
        <v>214</v>
      </c>
      <c r="C18" s="72" t="s">
        <v>215</v>
      </c>
      <c r="D18" s="72" t="s">
        <v>216</v>
      </c>
      <c r="E18" s="72" t="s">
        <v>217</v>
      </c>
      <c r="F18" s="72" t="s">
        <v>218</v>
      </c>
      <c r="G18" s="72" t="s">
        <v>219</v>
      </c>
      <c r="H18" s="72" t="s">
        <v>220</v>
      </c>
      <c r="I18" s="72" t="s">
        <v>221</v>
      </c>
      <c r="J18" s="72" t="s">
        <v>222</v>
      </c>
    </row>
    <row r="20" spans="2:11" ht="15.75" thickBot="1"/>
    <row r="21" spans="2:11" ht="16.5" thickTop="1" thickBot="1">
      <c r="B21" s="85" t="s">
        <v>213</v>
      </c>
      <c r="C21" t="s">
        <v>318</v>
      </c>
    </row>
    <row r="22" spans="2:11" ht="15.75" thickTop="1"/>
  </sheetData>
  <mergeCells count="1">
    <mergeCell ref="B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vt:i4>
      </vt:variant>
    </vt:vector>
  </HeadingPairs>
  <TitlesOfParts>
    <vt:vector size="21" baseType="lpstr">
      <vt:lpstr>Case</vt:lpstr>
      <vt:lpstr>Bonus 2</vt:lpstr>
      <vt:lpstr>Bonus 3</vt:lpstr>
      <vt:lpstr>Bonus 4</vt:lpstr>
      <vt:lpstr>Bonus 5</vt:lpstr>
      <vt:lpstr>vraag 3</vt:lpstr>
      <vt:lpstr>vraag 4</vt:lpstr>
      <vt:lpstr>vraag 5</vt:lpstr>
      <vt:lpstr>vraag 6</vt:lpstr>
      <vt:lpstr>vraag 7</vt:lpstr>
      <vt:lpstr>Answers</vt:lpstr>
      <vt:lpstr>Add-In Output</vt:lpstr>
      <vt:lpstr>Asteroid Field Map (Levels 4-6)</vt:lpstr>
      <vt:lpstr>'vraag 6'!col_rng</vt:lpstr>
      <vt:lpstr>col_rng</vt:lpstr>
      <vt:lpstr>'vraag 6'!graph.data</vt:lpstr>
      <vt:lpstr>graph.data</vt:lpstr>
      <vt:lpstr>'vraag 6'!grid</vt:lpstr>
      <vt:lpstr>grid</vt:lpstr>
      <vt:lpstr>'vraag 6'!row_rng</vt:lpstr>
      <vt:lpstr>row_rng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FMWC</dc:creator>
  <cp:keywords/>
  <dc:description/>
  <cp:lastModifiedBy>jamie</cp:lastModifiedBy>
  <cp:revision/>
  <dcterms:created xsi:type="dcterms:W3CDTF">2021-08-11T13:47:05Z</dcterms:created>
  <dcterms:modified xsi:type="dcterms:W3CDTF">2026-09-22T19:27:06Z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{50F4E8AB-4640-4F5D-BA39-192C65DEFCB0}</vt:lpwstr>
  </property>
  <property fmtid="{D5CDD505-2E9C-101B-9397-08002B2CF9AE}" pid="3" name="MSIP_Label_38f1469a-2c2a-4aee-b92b-090d4c5468ff_Enabled">
    <vt:lpwstr>true</vt:lpwstr>
  </property>
  <property fmtid="{D5CDD505-2E9C-101B-9397-08002B2CF9AE}" pid="4" name="MSIP_Label_38f1469a-2c2a-4aee-b92b-090d4c5468ff_SetDate">
    <vt:lpwstr>2023-11-06T13:47:34Z</vt:lpwstr>
  </property>
  <property fmtid="{D5CDD505-2E9C-101B-9397-08002B2CF9AE}" pid="5" name="MSIP_Label_38f1469a-2c2a-4aee-b92b-090d4c5468ff_Method">
    <vt:lpwstr>Standard</vt:lpwstr>
  </property>
  <property fmtid="{D5CDD505-2E9C-101B-9397-08002B2CF9AE}" pid="6" name="MSIP_Label_38f1469a-2c2a-4aee-b92b-090d4c5468ff_Name">
    <vt:lpwstr>Confidential - Unmarked</vt:lpwstr>
  </property>
  <property fmtid="{D5CDD505-2E9C-101B-9397-08002B2CF9AE}" pid="7" name="MSIP_Label_38f1469a-2c2a-4aee-b92b-090d4c5468ff_SiteId">
    <vt:lpwstr>2a6e6092-73e4-4752-b1a5-477a17f5056d</vt:lpwstr>
  </property>
  <property fmtid="{D5CDD505-2E9C-101B-9397-08002B2CF9AE}" pid="8" name="MSIP_Label_38f1469a-2c2a-4aee-b92b-090d4c5468ff_ActionId">
    <vt:lpwstr>55bcb695-1c55-4ea3-805d-04828c086c26</vt:lpwstr>
  </property>
  <property fmtid="{D5CDD505-2E9C-101B-9397-08002B2CF9AE}" pid="9" name="MSIP_Label_38f1469a-2c2a-4aee-b92b-090d4c5468ff_ContentBits">
    <vt:lpwstr>0</vt:lpwstr>
  </property>
</Properties>
</file>