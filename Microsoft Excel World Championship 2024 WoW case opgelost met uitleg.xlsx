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jamie\Documents\Excel+PowerBI+Fabric\FMWC\"/>
    </mc:Choice>
  </mc:AlternateContent>
  <xr:revisionPtr revIDLastSave="0" documentId="13_ncr:1_{603B3859-E558-47F0-A607-5B8222BBC905}" xr6:coauthVersionLast="47" xr6:coauthVersionMax="47" xr10:uidLastSave="{00000000-0000-0000-0000-000000000000}"/>
  <bookViews>
    <workbookView xWindow="44880" yWindow="105" windowWidth="29040" windowHeight="15720" tabRatio="701" xr2:uid="{B22FE428-7D3D-4954-B4CC-73CB1176870C}"/>
  </bookViews>
  <sheets>
    <sheet name="Case" sheetId="114" r:id="rId1"/>
    <sheet name="Answers" sheetId="96" r:id="rId2"/>
    <sheet name="Quests (L2)" sheetId="99" r:id="rId3"/>
    <sheet name="Ore Prices (L3)" sheetId="100" r:id="rId4"/>
    <sheet name="More Quests &amp; Items (L4)" sheetId="111" r:id="rId5"/>
    <sheet name="Dungeons (L5)" sheetId="112" r:id="rId6"/>
    <sheet name="L4 Calc" sheetId="115" r:id="rId7"/>
    <sheet name="L5 Calc" sheetId="117" r:id="rId8"/>
    <sheet name="L6 Calc" sheetId="119" r:id="rId9"/>
    <sheet name="L7 Calc" sheetId="120" r:id="rId10"/>
    <sheet name="Bonus #5" sheetId="122" r:id="rId11"/>
  </sheets>
  <definedNames>
    <definedName name="_xlnm._FilterDatabase" localSheetId="10" hidden="1">'Bonus #5'!#REF!</definedName>
    <definedName name="_xlnm._FilterDatabase" localSheetId="5" hidden="1">'Dungeons (L5)'!$B$4:$L$34</definedName>
    <definedName name="_xlnm._FilterDatabase" localSheetId="6" hidden="1">'L4 Calc'!$H$31:$H$31</definedName>
    <definedName name="_xlnm._FilterDatabase" localSheetId="7" hidden="1">'L5 Calc'!$O$32:$AK$92</definedName>
    <definedName name="_xlnm._FilterDatabase" localSheetId="8" hidden="1">'L6 Calc'!#REF!</definedName>
    <definedName name="_xlnm._FilterDatabase" localSheetId="9" hidden="1">'L7 Calc'!#REF!</definedName>
    <definedName name="_xlnm._FilterDatabase" localSheetId="4" hidden="1">'More Quests &amp; Items (L4)'!$B$4:$K$43</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 i="120" l="1"/>
  <c r="M4" i="120"/>
  <c r="N4" i="120"/>
  <c r="O4" i="120"/>
  <c r="P4" i="120"/>
  <c r="L5" i="120"/>
  <c r="M5" i="120"/>
  <c r="N5" i="120"/>
  <c r="O5" i="120"/>
  <c r="P5" i="120"/>
  <c r="L6" i="120"/>
  <c r="M6" i="120"/>
  <c r="N6" i="120"/>
  <c r="O6" i="120"/>
  <c r="P6" i="120"/>
  <c r="L7" i="120"/>
  <c r="M7" i="120"/>
  <c r="N7" i="120"/>
  <c r="O7" i="120"/>
  <c r="P7" i="120"/>
  <c r="L8" i="120"/>
  <c r="M8" i="120"/>
  <c r="N8" i="120"/>
  <c r="O8" i="120"/>
  <c r="P8" i="120"/>
  <c r="L9" i="120"/>
  <c r="M9" i="120"/>
  <c r="N9" i="120"/>
  <c r="O9" i="120"/>
  <c r="P9" i="120"/>
  <c r="L10" i="120"/>
  <c r="M10" i="120"/>
  <c r="N10" i="120"/>
  <c r="O10" i="120"/>
  <c r="P10" i="120"/>
  <c r="L11" i="120"/>
  <c r="M11" i="120"/>
  <c r="N11" i="120"/>
  <c r="O11" i="120"/>
  <c r="P11" i="120"/>
  <c r="L12" i="120"/>
  <c r="M12" i="120"/>
  <c r="N12" i="120"/>
  <c r="O12" i="120"/>
  <c r="P12" i="120"/>
  <c r="L13" i="120"/>
  <c r="M13" i="120"/>
  <c r="N13" i="120"/>
  <c r="O13" i="120"/>
  <c r="P13" i="120"/>
  <c r="L14" i="120"/>
  <c r="M14" i="120"/>
  <c r="N14" i="120"/>
  <c r="O14" i="120"/>
  <c r="P14" i="120"/>
  <c r="L15" i="120"/>
  <c r="M15" i="120"/>
  <c r="N15" i="120"/>
  <c r="O15" i="120"/>
  <c r="P15" i="120"/>
  <c r="L16" i="120"/>
  <c r="M16" i="120"/>
  <c r="N16" i="120"/>
  <c r="O16" i="120"/>
  <c r="P16" i="120"/>
  <c r="L17" i="120"/>
  <c r="M17" i="120"/>
  <c r="N17" i="120"/>
  <c r="O17" i="120"/>
  <c r="P17" i="120"/>
  <c r="L18" i="120"/>
  <c r="M18" i="120"/>
  <c r="N18" i="120"/>
  <c r="O18" i="120"/>
  <c r="P18" i="120"/>
  <c r="L19" i="120"/>
  <c r="M19" i="120"/>
  <c r="N19" i="120"/>
  <c r="O19" i="120"/>
  <c r="P19" i="120"/>
  <c r="L20" i="120"/>
  <c r="M20" i="120"/>
  <c r="N20" i="120"/>
  <c r="O20" i="120"/>
  <c r="P20" i="120"/>
  <c r="L21" i="120"/>
  <c r="M21" i="120"/>
  <c r="N21" i="120"/>
  <c r="O21" i="120"/>
  <c r="P21" i="120"/>
  <c r="L22" i="120"/>
  <c r="M22" i="120"/>
  <c r="N22" i="120"/>
  <c r="O22" i="120"/>
  <c r="P22" i="120"/>
  <c r="L23" i="120"/>
  <c r="M23" i="120"/>
  <c r="N23" i="120"/>
  <c r="O23" i="120"/>
  <c r="P23" i="120"/>
  <c r="M3" i="120"/>
  <c r="N3" i="120"/>
  <c r="O3" i="120"/>
  <c r="P3" i="120"/>
  <c r="L3" i="120"/>
  <c r="G5" i="99"/>
  <c r="A67" i="122"/>
  <c r="A68" i="122" s="1"/>
  <c r="A69" i="122" s="1"/>
  <c r="A70" i="122" s="1"/>
  <c r="A71" i="122" s="1"/>
  <c r="A72" i="122" s="1"/>
  <c r="A73" i="122" s="1"/>
  <c r="A74" i="122" s="1"/>
  <c r="A75" i="122" s="1"/>
  <c r="A76" i="122" s="1"/>
  <c r="A77" i="122" s="1"/>
  <c r="A78" i="122" s="1"/>
  <c r="A79" i="122" s="1"/>
  <c r="A80" i="122" s="1"/>
  <c r="A81" i="122" s="1"/>
  <c r="A82" i="122" s="1"/>
  <c r="A83" i="122" s="1"/>
  <c r="A84" i="122" s="1"/>
  <c r="A85" i="122" s="1"/>
  <c r="A86" i="122" s="1"/>
  <c r="A87" i="122" s="1"/>
  <c r="A88" i="122" s="1"/>
  <c r="A89" i="122" s="1"/>
  <c r="A90" i="122" s="1"/>
  <c r="A91" i="122" s="1"/>
  <c r="A92" i="122" s="1"/>
  <c r="A93" i="122" s="1"/>
  <c r="A94" i="122" s="1"/>
  <c r="A95" i="122" s="1"/>
  <c r="A96" i="122" s="1"/>
  <c r="A97" i="122" s="1"/>
  <c r="A98" i="122" s="1"/>
  <c r="A99" i="122" s="1"/>
  <c r="A100" i="122" s="1"/>
  <c r="A101" i="122" s="1"/>
  <c r="A102" i="122" s="1"/>
  <c r="A103" i="122" s="1"/>
  <c r="A104" i="122" s="1"/>
  <c r="A105" i="122" s="1"/>
  <c r="A106" i="122" s="1"/>
  <c r="A107" i="122" s="1"/>
  <c r="A108" i="122" s="1"/>
  <c r="A109" i="122" s="1"/>
  <c r="A110" i="122" s="1"/>
  <c r="A111" i="122" s="1"/>
  <c r="A112" i="122" s="1"/>
  <c r="A113" i="122" s="1"/>
  <c r="A114" i="122" s="1"/>
  <c r="A115" i="122" s="1"/>
  <c r="A116" i="122" s="1"/>
  <c r="A117" i="122" s="1"/>
  <c r="A118" i="122" s="1"/>
  <c r="A119" i="122" s="1"/>
  <c r="A120" i="122" s="1"/>
  <c r="A121" i="122" s="1"/>
  <c r="A122" i="122" s="1"/>
  <c r="A123" i="122" s="1"/>
  <c r="A124" i="122" s="1"/>
  <c r="A125" i="122" s="1"/>
  <c r="A126" i="122" s="1"/>
  <c r="A127" i="122" s="1"/>
  <c r="A128" i="122" s="1"/>
  <c r="A129" i="122" s="1"/>
  <c r="A130" i="122" s="1"/>
  <c r="A131" i="122" s="1"/>
  <c r="A132" i="122" s="1"/>
  <c r="A133" i="122" s="1"/>
  <c r="A134" i="122" s="1"/>
  <c r="A135" i="122" s="1"/>
  <c r="A136" i="122" s="1"/>
  <c r="A137" i="122" s="1"/>
  <c r="A138" i="122" s="1"/>
  <c r="A139" i="122" s="1"/>
  <c r="A140" i="122" s="1"/>
  <c r="A141" i="122" s="1"/>
  <c r="A142" i="122" s="1"/>
  <c r="A143" i="122" s="1"/>
  <c r="A144" i="122" s="1"/>
  <c r="A145" i="122" s="1"/>
  <c r="A146" i="122" s="1"/>
  <c r="A147" i="122" s="1"/>
  <c r="A148" i="122" s="1"/>
  <c r="A149" i="122" s="1"/>
  <c r="A150" i="122" s="1"/>
  <c r="A151" i="122" s="1"/>
  <c r="A152" i="122" s="1"/>
  <c r="A153" i="122" s="1"/>
  <c r="A154" i="122" s="1"/>
  <c r="A155" i="122" s="1"/>
  <c r="A156" i="122" s="1"/>
  <c r="A157" i="122" s="1"/>
  <c r="A158" i="122" s="1"/>
  <c r="A159" i="122" s="1"/>
  <c r="A160" i="122" s="1"/>
  <c r="A161" i="122" s="1"/>
  <c r="A162" i="122" s="1"/>
  <c r="A163" i="122" s="1"/>
  <c r="A164" i="122" s="1"/>
  <c r="A165" i="122" s="1"/>
  <c r="A166" i="122" s="1"/>
  <c r="A167" i="122" s="1"/>
  <c r="A168" i="122" s="1"/>
  <c r="A169" i="122" s="1"/>
  <c r="A170" i="122" s="1"/>
  <c r="A171" i="122" s="1"/>
  <c r="A172" i="122" s="1"/>
  <c r="A173" i="122" s="1"/>
  <c r="A174" i="122" s="1"/>
  <c r="A175" i="122" s="1"/>
  <c r="A176" i="122" s="1"/>
  <c r="A177" i="122" s="1"/>
  <c r="A178" i="122" s="1"/>
  <c r="A179" i="122" s="1"/>
  <c r="A180" i="122" s="1"/>
  <c r="A181" i="122" s="1"/>
  <c r="A182" i="122" s="1"/>
  <c r="A183" i="122" s="1"/>
  <c r="A184" i="122" s="1"/>
  <c r="A185" i="122" s="1"/>
  <c r="A186" i="122" s="1"/>
  <c r="A187" i="122" s="1"/>
  <c r="A188" i="122" s="1"/>
  <c r="A189" i="122" s="1"/>
  <c r="A190" i="122" s="1"/>
  <c r="A191" i="122" s="1"/>
  <c r="BM166" i="122"/>
  <c r="BM167" i="122"/>
  <c r="BM168" i="122"/>
  <c r="BM169" i="122"/>
  <c r="BM170" i="122"/>
  <c r="BM171" i="122"/>
  <c r="BM172" i="122"/>
  <c r="BM173" i="122"/>
  <c r="BM174" i="122"/>
  <c r="BM175" i="122"/>
  <c r="BM176" i="122"/>
  <c r="BM177" i="122"/>
  <c r="BM178" i="122"/>
  <c r="BM179" i="122"/>
  <c r="BM180" i="122"/>
  <c r="BM181" i="122"/>
  <c r="BM182" i="122"/>
  <c r="BM183" i="122"/>
  <c r="BM184" i="122"/>
  <c r="BM185" i="122"/>
  <c r="BM186" i="122"/>
  <c r="BM187" i="122"/>
  <c r="BM188" i="122"/>
  <c r="BM189" i="122"/>
  <c r="BM190" i="122"/>
  <c r="BM191" i="122"/>
  <c r="BM116" i="122"/>
  <c r="BM117" i="122"/>
  <c r="BM118" i="122"/>
  <c r="BM119" i="122"/>
  <c r="BM120" i="122"/>
  <c r="BM121" i="122"/>
  <c r="BM122" i="122"/>
  <c r="BM123" i="122"/>
  <c r="BM124" i="122"/>
  <c r="BM125" i="122"/>
  <c r="BM126" i="122"/>
  <c r="BM127" i="122"/>
  <c r="BM128" i="122"/>
  <c r="BM129" i="122"/>
  <c r="BM130" i="122"/>
  <c r="BM131" i="122"/>
  <c r="BM132" i="122"/>
  <c r="BM133" i="122"/>
  <c r="BM134" i="122"/>
  <c r="BM135" i="122"/>
  <c r="BM136" i="122"/>
  <c r="BM137" i="122"/>
  <c r="BM138" i="122"/>
  <c r="BM139" i="122"/>
  <c r="BM140" i="122"/>
  <c r="BM141" i="122"/>
  <c r="BM142" i="122"/>
  <c r="BM143" i="122"/>
  <c r="BM144" i="122"/>
  <c r="BM145" i="122"/>
  <c r="BM146" i="122"/>
  <c r="BM147" i="122"/>
  <c r="BM148" i="122"/>
  <c r="BM149" i="122"/>
  <c r="BM150" i="122"/>
  <c r="BM151" i="122"/>
  <c r="BM152" i="122"/>
  <c r="BM153" i="122"/>
  <c r="BM154" i="122"/>
  <c r="BM155" i="122"/>
  <c r="BM156" i="122"/>
  <c r="BM157" i="122"/>
  <c r="BM158" i="122"/>
  <c r="BM159" i="122"/>
  <c r="BM160" i="122"/>
  <c r="BM161" i="122"/>
  <c r="BM162" i="122"/>
  <c r="BM163" i="122"/>
  <c r="BM164" i="122"/>
  <c r="BM165" i="122"/>
  <c r="BM67" i="122"/>
  <c r="BM68" i="122"/>
  <c r="BM69" i="122"/>
  <c r="BM70" i="122"/>
  <c r="BM71" i="122"/>
  <c r="BM72" i="122"/>
  <c r="BM73" i="122"/>
  <c r="BM74" i="122"/>
  <c r="BM75" i="122"/>
  <c r="BM76" i="122"/>
  <c r="BM77" i="122"/>
  <c r="BM78" i="122"/>
  <c r="BM79" i="122"/>
  <c r="BM80" i="122"/>
  <c r="BM81" i="122"/>
  <c r="BM82" i="122"/>
  <c r="BM83" i="122"/>
  <c r="BM84" i="122"/>
  <c r="BM85" i="122"/>
  <c r="BM86" i="122"/>
  <c r="BM87" i="122"/>
  <c r="BM88" i="122"/>
  <c r="BM89" i="122"/>
  <c r="BM90" i="122"/>
  <c r="BM91" i="122"/>
  <c r="BM92" i="122"/>
  <c r="BM93" i="122"/>
  <c r="BM94" i="122"/>
  <c r="BM95" i="122"/>
  <c r="BM96" i="122"/>
  <c r="BM97" i="122"/>
  <c r="BM98" i="122"/>
  <c r="BM99" i="122"/>
  <c r="BM100" i="122"/>
  <c r="BM101" i="122"/>
  <c r="BM102" i="122"/>
  <c r="BM103" i="122"/>
  <c r="BM104" i="122"/>
  <c r="BM105" i="122"/>
  <c r="BM106" i="122"/>
  <c r="BM107" i="122"/>
  <c r="BM108" i="122"/>
  <c r="BM109" i="122"/>
  <c r="BM110" i="122"/>
  <c r="BM111" i="122"/>
  <c r="BM112" i="122"/>
  <c r="BM113" i="122"/>
  <c r="BM114" i="122"/>
  <c r="BM115" i="122"/>
  <c r="BM66" i="122"/>
  <c r="BL66" i="122"/>
  <c r="B36" i="120"/>
  <c r="C23" i="122"/>
  <c r="B23" i="122"/>
  <c r="C22" i="122"/>
  <c r="B22" i="122"/>
  <c r="C21" i="122"/>
  <c r="B21" i="122"/>
  <c r="C20" i="122"/>
  <c r="B20" i="122"/>
  <c r="C19" i="122"/>
  <c r="B19" i="122"/>
  <c r="C18" i="122"/>
  <c r="B18" i="122"/>
  <c r="C17" i="122"/>
  <c r="B17" i="122"/>
  <c r="C16" i="122"/>
  <c r="B16" i="122"/>
  <c r="C15" i="122"/>
  <c r="B15" i="122"/>
  <c r="C14" i="122"/>
  <c r="B14" i="122"/>
  <c r="C13" i="122"/>
  <c r="B13" i="122"/>
  <c r="C12" i="122"/>
  <c r="B12" i="122"/>
  <c r="C11" i="122"/>
  <c r="B11" i="122"/>
  <c r="C10" i="122"/>
  <c r="B10" i="122"/>
  <c r="C9" i="122"/>
  <c r="B9" i="122"/>
  <c r="C8" i="122"/>
  <c r="B8" i="122"/>
  <c r="C7" i="122"/>
  <c r="B7" i="122"/>
  <c r="C6" i="122"/>
  <c r="B6" i="122"/>
  <c r="C5" i="122"/>
  <c r="B5" i="122"/>
  <c r="C4" i="122"/>
  <c r="B4" i="122"/>
  <c r="C3" i="122"/>
  <c r="B3" i="122"/>
  <c r="H450" i="114" l="1"/>
  <c r="I450" i="114" s="1"/>
  <c r="H451" i="114"/>
  <c r="I451" i="114" s="1"/>
  <c r="H452" i="114"/>
  <c r="I452" i="114" s="1"/>
  <c r="H453" i="114"/>
  <c r="I453" i="114" s="1"/>
  <c r="H454" i="114"/>
  <c r="I454" i="114" s="1"/>
  <c r="H455" i="114"/>
  <c r="I455" i="114" s="1"/>
  <c r="H456" i="114"/>
  <c r="I456" i="114" s="1"/>
  <c r="H457" i="114"/>
  <c r="I457" i="114" s="1"/>
  <c r="H458" i="114"/>
  <c r="I458" i="114" s="1"/>
  <c r="H459" i="114"/>
  <c r="I459" i="114" s="1"/>
  <c r="H460" i="114"/>
  <c r="I460" i="114" s="1"/>
  <c r="H461" i="114"/>
  <c r="I461" i="114" s="1"/>
  <c r="H462" i="114"/>
  <c r="I462" i="114" s="1"/>
  <c r="H463" i="114"/>
  <c r="I463" i="114" s="1"/>
  <c r="H464" i="114"/>
  <c r="I464" i="114" s="1"/>
  <c r="H465" i="114"/>
  <c r="I465" i="114" s="1"/>
  <c r="H466" i="114"/>
  <c r="I466" i="114" s="1"/>
  <c r="H467" i="114"/>
  <c r="I467" i="114" s="1"/>
  <c r="H468" i="114"/>
  <c r="I468" i="114" s="1"/>
  <c r="H449" i="114"/>
  <c r="I449" i="114" s="1"/>
  <c r="C63" i="120"/>
  <c r="D63" i="120"/>
  <c r="E63" i="120"/>
  <c r="F63" i="120"/>
  <c r="B63" i="120"/>
  <c r="Q4" i="120"/>
  <c r="R4" i="120"/>
  <c r="S4" i="120"/>
  <c r="Q5" i="120"/>
  <c r="R5" i="120"/>
  <c r="S5" i="120"/>
  <c r="Q6" i="120"/>
  <c r="R6" i="120"/>
  <c r="S6" i="120"/>
  <c r="Q7" i="120"/>
  <c r="R7" i="120"/>
  <c r="S7" i="120"/>
  <c r="Q8" i="120"/>
  <c r="R8" i="120"/>
  <c r="S8" i="120"/>
  <c r="Q9" i="120"/>
  <c r="R9" i="120"/>
  <c r="S9" i="120"/>
  <c r="Q10" i="120"/>
  <c r="R10" i="120"/>
  <c r="S10" i="120"/>
  <c r="Q11" i="120"/>
  <c r="R11" i="120"/>
  <c r="S11" i="120"/>
  <c r="Q12" i="120"/>
  <c r="R12" i="120"/>
  <c r="S12" i="120"/>
  <c r="Q13" i="120"/>
  <c r="R13" i="120"/>
  <c r="S13" i="120"/>
  <c r="Q14" i="120"/>
  <c r="R14" i="120"/>
  <c r="S14" i="120"/>
  <c r="Q15" i="120"/>
  <c r="R15" i="120"/>
  <c r="S15" i="120"/>
  <c r="Q16" i="120"/>
  <c r="R16" i="120"/>
  <c r="S16" i="120"/>
  <c r="Q17" i="120"/>
  <c r="R17" i="120"/>
  <c r="S17" i="120"/>
  <c r="Q18" i="120"/>
  <c r="R18" i="120"/>
  <c r="S18" i="120"/>
  <c r="Q19" i="120"/>
  <c r="R19" i="120"/>
  <c r="S19" i="120"/>
  <c r="Q20" i="120"/>
  <c r="R20" i="120"/>
  <c r="S20" i="120"/>
  <c r="Q21" i="120"/>
  <c r="R21" i="120"/>
  <c r="S21" i="120"/>
  <c r="Q22" i="120"/>
  <c r="R22" i="120"/>
  <c r="S22" i="120"/>
  <c r="Q23" i="120"/>
  <c r="R23" i="120"/>
  <c r="S23" i="120"/>
  <c r="R3" i="120"/>
  <c r="S3" i="120"/>
  <c r="Q3" i="120"/>
  <c r="B38" i="120"/>
  <c r="B39" i="120"/>
  <c r="B40" i="120"/>
  <c r="B37" i="120"/>
  <c r="C23" i="120"/>
  <c r="B23" i="120"/>
  <c r="C22" i="120"/>
  <c r="B22" i="120"/>
  <c r="C21" i="120"/>
  <c r="B21" i="120"/>
  <c r="C20" i="120"/>
  <c r="B20" i="120"/>
  <c r="C19" i="120"/>
  <c r="B19" i="120"/>
  <c r="C18" i="120"/>
  <c r="B18" i="120"/>
  <c r="C17" i="120"/>
  <c r="B17" i="120"/>
  <c r="C16" i="120"/>
  <c r="B16" i="120"/>
  <c r="C15" i="120"/>
  <c r="B15" i="120"/>
  <c r="C14" i="120"/>
  <c r="B14" i="120"/>
  <c r="C13" i="120"/>
  <c r="B13" i="120"/>
  <c r="C12" i="120"/>
  <c r="B12" i="120"/>
  <c r="C11" i="120"/>
  <c r="B11" i="120"/>
  <c r="C10" i="120"/>
  <c r="B10" i="120"/>
  <c r="C9" i="120"/>
  <c r="B9" i="120"/>
  <c r="C8" i="120"/>
  <c r="B8" i="120"/>
  <c r="C7" i="120"/>
  <c r="B7" i="120"/>
  <c r="C6" i="120"/>
  <c r="B6" i="120"/>
  <c r="C5" i="120"/>
  <c r="B5" i="120"/>
  <c r="C4" i="120"/>
  <c r="B4" i="120"/>
  <c r="C3" i="120"/>
  <c r="B3" i="120"/>
  <c r="H384" i="114"/>
  <c r="I384" i="114" s="1"/>
  <c r="H385" i="114"/>
  <c r="I385" i="114" s="1"/>
  <c r="H386" i="114"/>
  <c r="I386" i="114" s="1"/>
  <c r="H387" i="114"/>
  <c r="I387" i="114" s="1"/>
  <c r="H388" i="114"/>
  <c r="H389" i="114"/>
  <c r="I389" i="114" s="1"/>
  <c r="H390" i="114"/>
  <c r="H391" i="114"/>
  <c r="I391" i="114" s="1"/>
  <c r="H392" i="114"/>
  <c r="I392" i="114" s="1"/>
  <c r="H393" i="114"/>
  <c r="I393" i="114" s="1"/>
  <c r="H394" i="114"/>
  <c r="H395" i="114"/>
  <c r="H396" i="114"/>
  <c r="I396" i="114" s="1"/>
  <c r="H397" i="114"/>
  <c r="I397" i="114" s="1"/>
  <c r="H398" i="114"/>
  <c r="I398" i="114" s="1"/>
  <c r="H399" i="114"/>
  <c r="H400" i="114"/>
  <c r="H401" i="114"/>
  <c r="H402" i="114"/>
  <c r="I402" i="114" s="1"/>
  <c r="H383" i="114"/>
  <c r="I383" i="114" s="1"/>
  <c r="E4" i="119"/>
  <c r="E5" i="119"/>
  <c r="E6" i="119"/>
  <c r="E7" i="119"/>
  <c r="E8" i="119"/>
  <c r="E9" i="119"/>
  <c r="E10" i="119"/>
  <c r="E11" i="119"/>
  <c r="E12" i="119"/>
  <c r="E13" i="119"/>
  <c r="E14" i="119"/>
  <c r="E15" i="119"/>
  <c r="E16" i="119"/>
  <c r="E17" i="119"/>
  <c r="E18" i="119"/>
  <c r="E19" i="119"/>
  <c r="E20" i="119"/>
  <c r="E21" i="119"/>
  <c r="E22" i="119"/>
  <c r="E23" i="119"/>
  <c r="E3" i="119"/>
  <c r="D4" i="119"/>
  <c r="D5" i="119"/>
  <c r="D6" i="119"/>
  <c r="D7" i="119"/>
  <c r="D8" i="119"/>
  <c r="D9" i="119"/>
  <c r="D10" i="119"/>
  <c r="D11" i="119"/>
  <c r="D12" i="119"/>
  <c r="D13" i="119"/>
  <c r="D14" i="119"/>
  <c r="D15" i="119"/>
  <c r="D16" i="119"/>
  <c r="D17" i="119"/>
  <c r="D18" i="119"/>
  <c r="D19" i="119"/>
  <c r="D20" i="119"/>
  <c r="D21" i="119"/>
  <c r="D22" i="119"/>
  <c r="D23" i="119"/>
  <c r="D3" i="119"/>
  <c r="C23" i="119"/>
  <c r="G23" i="119" s="1"/>
  <c r="B23" i="119"/>
  <c r="C22" i="119"/>
  <c r="F22" i="119" s="1"/>
  <c r="B22" i="119"/>
  <c r="C21" i="119"/>
  <c r="F21" i="119" s="1"/>
  <c r="B21" i="119"/>
  <c r="C20" i="119"/>
  <c r="J20" i="119" s="1"/>
  <c r="B20" i="119"/>
  <c r="C19" i="119"/>
  <c r="I19" i="119" s="1"/>
  <c r="B19" i="119"/>
  <c r="C18" i="119"/>
  <c r="H18" i="119" s="1"/>
  <c r="E18" i="122" s="1"/>
  <c r="B18" i="119"/>
  <c r="C17" i="119"/>
  <c r="G17" i="119" s="1"/>
  <c r="B17" i="119"/>
  <c r="C16" i="119"/>
  <c r="F16" i="119" s="1"/>
  <c r="B16" i="119"/>
  <c r="C15" i="119"/>
  <c r="F15" i="119" s="1"/>
  <c r="B15" i="119"/>
  <c r="C14" i="119"/>
  <c r="J14" i="119" s="1"/>
  <c r="B14" i="119"/>
  <c r="C13" i="119"/>
  <c r="I13" i="119" s="1"/>
  <c r="B13" i="119"/>
  <c r="C12" i="119"/>
  <c r="H12" i="119" s="1"/>
  <c r="E12" i="122" s="1"/>
  <c r="B12" i="119"/>
  <c r="C11" i="119"/>
  <c r="G11" i="119" s="1"/>
  <c r="B11" i="119"/>
  <c r="C10" i="119"/>
  <c r="F10" i="119" s="1"/>
  <c r="B10" i="119"/>
  <c r="C9" i="119"/>
  <c r="F9" i="119" s="1"/>
  <c r="B9" i="119"/>
  <c r="C8" i="119"/>
  <c r="J8" i="119" s="1"/>
  <c r="B8" i="119"/>
  <c r="C7" i="119"/>
  <c r="I7" i="119" s="1"/>
  <c r="B7" i="119"/>
  <c r="C6" i="119"/>
  <c r="H6" i="119" s="1"/>
  <c r="E6" i="120" s="1"/>
  <c r="B6" i="119"/>
  <c r="C5" i="119"/>
  <c r="G5" i="119" s="1"/>
  <c r="B5" i="119"/>
  <c r="C4" i="119"/>
  <c r="F4" i="119" s="1"/>
  <c r="B4" i="119"/>
  <c r="C3" i="119"/>
  <c r="I3" i="119" s="1"/>
  <c r="B3" i="119"/>
  <c r="H322" i="114"/>
  <c r="I322" i="114" s="1"/>
  <c r="H310" i="114"/>
  <c r="I310" i="114" s="1"/>
  <c r="H311" i="114"/>
  <c r="I311" i="114" s="1"/>
  <c r="H312" i="114"/>
  <c r="I312" i="114" s="1"/>
  <c r="H313" i="114"/>
  <c r="I313" i="114" s="1"/>
  <c r="H314" i="114"/>
  <c r="I314" i="114" s="1"/>
  <c r="H315" i="114"/>
  <c r="I315" i="114" s="1"/>
  <c r="H316" i="114"/>
  <c r="I316" i="114" s="1"/>
  <c r="H317" i="114"/>
  <c r="I317" i="114" s="1"/>
  <c r="H318" i="114"/>
  <c r="I318" i="114" s="1"/>
  <c r="H319" i="114"/>
  <c r="I319" i="114" s="1"/>
  <c r="H320" i="114"/>
  <c r="I320" i="114" s="1"/>
  <c r="H321" i="114"/>
  <c r="I321" i="114" s="1"/>
  <c r="H323" i="114"/>
  <c r="I323" i="114" s="1"/>
  <c r="H324" i="114"/>
  <c r="I324" i="114" s="1"/>
  <c r="H325" i="114"/>
  <c r="I325" i="114" s="1"/>
  <c r="H326" i="114"/>
  <c r="I326" i="114" s="1"/>
  <c r="H327" i="114"/>
  <c r="I327" i="114" s="1"/>
  <c r="H328" i="114"/>
  <c r="I328" i="114" s="1"/>
  <c r="H309" i="114"/>
  <c r="I309" i="114" s="1"/>
  <c r="A28" i="117"/>
  <c r="A30" i="117" s="1"/>
  <c r="F61" i="117"/>
  <c r="F62" i="117" s="1"/>
  <c r="E61" i="117"/>
  <c r="E62" i="117" s="1"/>
  <c r="C61" i="117"/>
  <c r="C62" i="117" s="1"/>
  <c r="F58" i="117"/>
  <c r="F59" i="117" s="1"/>
  <c r="E58" i="117"/>
  <c r="E59" i="117" s="1"/>
  <c r="C58" i="117"/>
  <c r="C59" i="117" s="1"/>
  <c r="F55" i="117"/>
  <c r="F56" i="117" s="1"/>
  <c r="E55" i="117"/>
  <c r="E56" i="117" s="1"/>
  <c r="C55" i="117"/>
  <c r="C56" i="117" s="1"/>
  <c r="F52" i="117"/>
  <c r="F53" i="117" s="1"/>
  <c r="E52" i="117"/>
  <c r="E53" i="117" s="1"/>
  <c r="C52" i="117"/>
  <c r="C53" i="117" s="1"/>
  <c r="F49" i="117"/>
  <c r="F50" i="117" s="1"/>
  <c r="E49" i="117"/>
  <c r="E50" i="117" s="1"/>
  <c r="C49" i="117"/>
  <c r="C50" i="117" s="1"/>
  <c r="F46" i="117"/>
  <c r="F47" i="117" s="1"/>
  <c r="E46" i="117"/>
  <c r="E47" i="117" s="1"/>
  <c r="C46" i="117"/>
  <c r="C47" i="117" s="1"/>
  <c r="F43" i="117"/>
  <c r="F44" i="117" s="1"/>
  <c r="E43" i="117"/>
  <c r="E44" i="117" s="1"/>
  <c r="C43" i="117"/>
  <c r="C44" i="117" s="1"/>
  <c r="F40" i="117"/>
  <c r="F41" i="117" s="1"/>
  <c r="E40" i="117"/>
  <c r="E41" i="117" s="1"/>
  <c r="C40" i="117"/>
  <c r="C41" i="117" s="1"/>
  <c r="F37" i="117"/>
  <c r="F38" i="117" s="1"/>
  <c r="E37" i="117"/>
  <c r="E38" i="117" s="1"/>
  <c r="C37" i="117"/>
  <c r="C38" i="117" s="1"/>
  <c r="Q249" i="114"/>
  <c r="P310" i="114" s="1"/>
  <c r="F5" i="117" s="1"/>
  <c r="Q250" i="114"/>
  <c r="P311" i="114" s="1"/>
  <c r="F6" i="117" s="1"/>
  <c r="Q251" i="114"/>
  <c r="P312" i="114" s="1"/>
  <c r="F7" i="117" s="1"/>
  <c r="Q252" i="114"/>
  <c r="P313" i="114" s="1"/>
  <c r="F8" i="117" s="1"/>
  <c r="Q253" i="114"/>
  <c r="P314" i="114" s="1"/>
  <c r="F9" i="117" s="1"/>
  <c r="Q254" i="114"/>
  <c r="P315" i="114" s="1"/>
  <c r="F10" i="117" s="1"/>
  <c r="Q255" i="114"/>
  <c r="P316" i="114" s="1"/>
  <c r="F11" i="117" s="1"/>
  <c r="Q256" i="114"/>
  <c r="P317" i="114" s="1"/>
  <c r="F12" i="117" s="1"/>
  <c r="Q257" i="114"/>
  <c r="P318" i="114" s="1"/>
  <c r="F13" i="117" s="1"/>
  <c r="Q258" i="114"/>
  <c r="P319" i="114" s="1"/>
  <c r="F14" i="117" s="1"/>
  <c r="Q259" i="114"/>
  <c r="P320" i="114" s="1"/>
  <c r="F15" i="117" s="1"/>
  <c r="Q260" i="114"/>
  <c r="P321" i="114" s="1"/>
  <c r="F16" i="117" s="1"/>
  <c r="Q261" i="114"/>
  <c r="P322" i="114" s="1"/>
  <c r="F17" i="117" s="1"/>
  <c r="Q262" i="114"/>
  <c r="P323" i="114" s="1"/>
  <c r="F18" i="117" s="1"/>
  <c r="Q263" i="114"/>
  <c r="P324" i="114" s="1"/>
  <c r="F19" i="117" s="1"/>
  <c r="Q264" i="114"/>
  <c r="P325" i="114" s="1"/>
  <c r="F20" i="117" s="1"/>
  <c r="Q265" i="114"/>
  <c r="P326" i="114" s="1"/>
  <c r="F21" i="117" s="1"/>
  <c r="Q266" i="114"/>
  <c r="P327" i="114" s="1"/>
  <c r="F22" i="117" s="1"/>
  <c r="Q267" i="114"/>
  <c r="P328" i="114" s="1"/>
  <c r="F23" i="117" s="1"/>
  <c r="Q248" i="114"/>
  <c r="P309" i="114" s="1"/>
  <c r="F4" i="117" s="1"/>
  <c r="Q246" i="114"/>
  <c r="P307" i="114" s="1"/>
  <c r="F3" i="117" s="1"/>
  <c r="C23" i="117"/>
  <c r="B23" i="117"/>
  <c r="C22" i="117"/>
  <c r="B22" i="117"/>
  <c r="C21" i="117"/>
  <c r="B21" i="117"/>
  <c r="C20" i="117"/>
  <c r="B20" i="117"/>
  <c r="C19" i="117"/>
  <c r="B19" i="117"/>
  <c r="C18" i="117"/>
  <c r="B18" i="117"/>
  <c r="C17" i="117"/>
  <c r="B17" i="117"/>
  <c r="C16" i="117"/>
  <c r="B16" i="117"/>
  <c r="C15" i="117"/>
  <c r="B15" i="117"/>
  <c r="C14" i="117"/>
  <c r="B14" i="117"/>
  <c r="C13" i="117"/>
  <c r="B13" i="117"/>
  <c r="C12" i="117"/>
  <c r="B12" i="117"/>
  <c r="C11" i="117"/>
  <c r="B11" i="117"/>
  <c r="C10" i="117"/>
  <c r="B10" i="117"/>
  <c r="C9" i="117"/>
  <c r="B9" i="117"/>
  <c r="C8" i="117"/>
  <c r="B8" i="117"/>
  <c r="C7" i="117"/>
  <c r="B7" i="117"/>
  <c r="C6" i="117"/>
  <c r="B6" i="117"/>
  <c r="C5" i="117"/>
  <c r="B5" i="117"/>
  <c r="C4" i="117"/>
  <c r="B4" i="117"/>
  <c r="C3" i="117"/>
  <c r="B3" i="117"/>
  <c r="AA65" i="114"/>
  <c r="AB65" i="114" s="1"/>
  <c r="AA64" i="114"/>
  <c r="I28" i="111"/>
  <c r="I33" i="111"/>
  <c r="I6" i="111"/>
  <c r="I9" i="111"/>
  <c r="I12" i="111"/>
  <c r="I18" i="111"/>
  <c r="I17" i="111"/>
  <c r="I24" i="111"/>
  <c r="I40" i="111"/>
  <c r="I29" i="111"/>
  <c r="I5" i="111"/>
  <c r="I35" i="111"/>
  <c r="I30" i="111"/>
  <c r="I8" i="111"/>
  <c r="I21" i="111"/>
  <c r="I16" i="111"/>
  <c r="I41" i="111"/>
  <c r="I34" i="111"/>
  <c r="I23" i="111"/>
  <c r="I25" i="111"/>
  <c r="I37" i="111"/>
  <c r="I39" i="111"/>
  <c r="I20" i="111"/>
  <c r="I32" i="111"/>
  <c r="I43" i="111"/>
  <c r="I19" i="111"/>
  <c r="I36" i="111"/>
  <c r="I26" i="111"/>
  <c r="I11" i="111"/>
  <c r="I13" i="111"/>
  <c r="I15" i="111"/>
  <c r="I27" i="111"/>
  <c r="I7" i="111"/>
  <c r="I42" i="111"/>
  <c r="I31" i="111"/>
  <c r="I14" i="111"/>
  <c r="I10" i="111"/>
  <c r="I22" i="111"/>
  <c r="J28" i="111"/>
  <c r="J33" i="111"/>
  <c r="J6" i="111"/>
  <c r="J9" i="111"/>
  <c r="J12" i="111"/>
  <c r="J18" i="111"/>
  <c r="J17" i="111"/>
  <c r="J24" i="111"/>
  <c r="J40" i="111"/>
  <c r="J29" i="111"/>
  <c r="J5" i="111"/>
  <c r="J35" i="111"/>
  <c r="J30" i="111"/>
  <c r="J8" i="111"/>
  <c r="J21" i="111"/>
  <c r="J16" i="111"/>
  <c r="J41" i="111"/>
  <c r="J34" i="111"/>
  <c r="J23" i="111"/>
  <c r="J25" i="111"/>
  <c r="J37" i="111"/>
  <c r="J39" i="111"/>
  <c r="J20" i="111"/>
  <c r="J32" i="111"/>
  <c r="J43" i="111"/>
  <c r="J19" i="111"/>
  <c r="J36" i="111"/>
  <c r="J26" i="111"/>
  <c r="J11" i="111"/>
  <c r="J13" i="111"/>
  <c r="J15" i="111"/>
  <c r="J27" i="111"/>
  <c r="J7" i="111"/>
  <c r="J42" i="111"/>
  <c r="J31" i="111"/>
  <c r="J14" i="111"/>
  <c r="J10" i="111"/>
  <c r="J22" i="111"/>
  <c r="J38" i="111"/>
  <c r="I38" i="111"/>
  <c r="H28" i="111"/>
  <c r="H33" i="111"/>
  <c r="H6" i="111"/>
  <c r="H9" i="111"/>
  <c r="H12" i="111"/>
  <c r="H18" i="111"/>
  <c r="H17" i="111"/>
  <c r="H24" i="111"/>
  <c r="H40" i="111"/>
  <c r="H29" i="111"/>
  <c r="H5" i="111"/>
  <c r="H35" i="111"/>
  <c r="H30" i="111"/>
  <c r="H8" i="111"/>
  <c r="H21" i="111"/>
  <c r="H16" i="111"/>
  <c r="H41" i="111"/>
  <c r="H34" i="111"/>
  <c r="H23" i="111"/>
  <c r="H25" i="111"/>
  <c r="H37" i="111"/>
  <c r="H39" i="111"/>
  <c r="H20" i="111"/>
  <c r="H32" i="111"/>
  <c r="H43" i="111"/>
  <c r="H19" i="111"/>
  <c r="H36" i="111"/>
  <c r="H26" i="111"/>
  <c r="H11" i="111"/>
  <c r="H13" i="111"/>
  <c r="H15" i="111"/>
  <c r="H27" i="111"/>
  <c r="H7" i="111"/>
  <c r="H42" i="111"/>
  <c r="H31" i="111"/>
  <c r="H14" i="111"/>
  <c r="H10" i="111"/>
  <c r="H22" i="111"/>
  <c r="H38" i="111"/>
  <c r="C4" i="115"/>
  <c r="C5" i="115"/>
  <c r="C6" i="115"/>
  <c r="C7" i="115"/>
  <c r="C8" i="115"/>
  <c r="C9" i="115"/>
  <c r="C10" i="115"/>
  <c r="C11" i="115"/>
  <c r="C12" i="115"/>
  <c r="C13" i="115"/>
  <c r="C14" i="115"/>
  <c r="C15" i="115"/>
  <c r="C16" i="115"/>
  <c r="C17" i="115"/>
  <c r="C18" i="115"/>
  <c r="C19" i="115"/>
  <c r="C20" i="115"/>
  <c r="C21" i="115"/>
  <c r="C22" i="115"/>
  <c r="C23" i="115"/>
  <c r="C3" i="115"/>
  <c r="B4" i="115"/>
  <c r="B5" i="115"/>
  <c r="B6" i="115"/>
  <c r="B7" i="115"/>
  <c r="B8" i="115"/>
  <c r="B9" i="115"/>
  <c r="B10" i="115"/>
  <c r="B11" i="115"/>
  <c r="B12" i="115"/>
  <c r="B13" i="115"/>
  <c r="B14" i="115"/>
  <c r="B15" i="115"/>
  <c r="B16" i="115"/>
  <c r="B17" i="115"/>
  <c r="B18" i="115"/>
  <c r="B19" i="115"/>
  <c r="B20" i="115"/>
  <c r="B21" i="115"/>
  <c r="B22" i="115"/>
  <c r="B23" i="115"/>
  <c r="M246" i="114"/>
  <c r="E3" i="115" s="1"/>
  <c r="X185" i="114"/>
  <c r="Y185" i="114"/>
  <c r="Z185" i="114"/>
  <c r="AA185" i="114"/>
  <c r="AB185" i="114"/>
  <c r="X186" i="114"/>
  <c r="Y186" i="114"/>
  <c r="Z186" i="114"/>
  <c r="AA186" i="114"/>
  <c r="AB186" i="114"/>
  <c r="X187" i="114"/>
  <c r="Y187" i="114"/>
  <c r="Z187" i="114"/>
  <c r="AA187" i="114"/>
  <c r="AB187" i="114"/>
  <c r="X188" i="114"/>
  <c r="Y188" i="114"/>
  <c r="Z188" i="114"/>
  <c r="AA188" i="114"/>
  <c r="AB188" i="114"/>
  <c r="X189" i="114"/>
  <c r="Y189" i="114"/>
  <c r="Z189" i="114"/>
  <c r="AA189" i="114"/>
  <c r="AB189" i="114"/>
  <c r="X190" i="114"/>
  <c r="Y190" i="114"/>
  <c r="Z190" i="114"/>
  <c r="AA190" i="114"/>
  <c r="AB190" i="114"/>
  <c r="X191" i="114"/>
  <c r="Y191" i="114"/>
  <c r="Z191" i="114"/>
  <c r="AA191" i="114"/>
  <c r="AB191" i="114"/>
  <c r="X192" i="114"/>
  <c r="Y192" i="114"/>
  <c r="Z192" i="114"/>
  <c r="AA192" i="114"/>
  <c r="AB192" i="114"/>
  <c r="X193" i="114"/>
  <c r="Y193" i="114"/>
  <c r="Z193" i="114"/>
  <c r="AA193" i="114"/>
  <c r="AB193" i="114"/>
  <c r="X194" i="114"/>
  <c r="Y194" i="114"/>
  <c r="Z194" i="114"/>
  <c r="AA194" i="114"/>
  <c r="AB194" i="114"/>
  <c r="X195" i="114"/>
  <c r="Y195" i="114"/>
  <c r="Z195" i="114"/>
  <c r="AA195" i="114"/>
  <c r="AB195" i="114"/>
  <c r="X196" i="114"/>
  <c r="Y196" i="114"/>
  <c r="Z196" i="114"/>
  <c r="AA196" i="114"/>
  <c r="AB196" i="114"/>
  <c r="X197" i="114"/>
  <c r="Y197" i="114"/>
  <c r="Z197" i="114"/>
  <c r="AA197" i="114"/>
  <c r="AB197" i="114"/>
  <c r="X198" i="114"/>
  <c r="Y198" i="114"/>
  <c r="Z198" i="114"/>
  <c r="AA198" i="114"/>
  <c r="AB198" i="114"/>
  <c r="X199" i="114"/>
  <c r="Y199" i="114"/>
  <c r="Z199" i="114"/>
  <c r="AA199" i="114"/>
  <c r="AB199" i="114"/>
  <c r="X200" i="114"/>
  <c r="Y200" i="114"/>
  <c r="Z200" i="114"/>
  <c r="AA200" i="114"/>
  <c r="AB200" i="114"/>
  <c r="X201" i="114"/>
  <c r="Y201" i="114"/>
  <c r="Z201" i="114"/>
  <c r="AA201" i="114"/>
  <c r="AB201" i="114"/>
  <c r="X202" i="114"/>
  <c r="Y202" i="114"/>
  <c r="Z202" i="114"/>
  <c r="AA202" i="114"/>
  <c r="AB202" i="114"/>
  <c r="X203" i="114"/>
  <c r="Y203" i="114"/>
  <c r="Z203" i="114"/>
  <c r="AA203" i="114"/>
  <c r="AB203" i="114"/>
  <c r="AB184" i="114"/>
  <c r="AA184" i="114"/>
  <c r="Z184" i="114"/>
  <c r="Y184" i="114"/>
  <c r="X184" i="114"/>
  <c r="X182" i="114"/>
  <c r="Y182" i="114"/>
  <c r="Z182" i="114"/>
  <c r="AA182" i="114"/>
  <c r="AB182" i="114"/>
  <c r="L182" i="114"/>
  <c r="AC185" i="114"/>
  <c r="AH185" i="114" s="1"/>
  <c r="AM185" i="114" s="1"/>
  <c r="AR185" i="114" s="1"/>
  <c r="BB185" i="114" s="1"/>
  <c r="AD185" i="114"/>
  <c r="AE185" i="114"/>
  <c r="AF185" i="114"/>
  <c r="AG185" i="114"/>
  <c r="AC186" i="114"/>
  <c r="AD186" i="114"/>
  <c r="AE186" i="114"/>
  <c r="AF186" i="114"/>
  <c r="AG186" i="114"/>
  <c r="AC187" i="114"/>
  <c r="AD187" i="114"/>
  <c r="AE187" i="114"/>
  <c r="AF187" i="114"/>
  <c r="AG187" i="114"/>
  <c r="AC188" i="114"/>
  <c r="AH188" i="114" s="1"/>
  <c r="AD188" i="114"/>
  <c r="AE188" i="114"/>
  <c r="AF188" i="114"/>
  <c r="AG188" i="114"/>
  <c r="AC189" i="114"/>
  <c r="AD189" i="114"/>
  <c r="AE189" i="114"/>
  <c r="AF189" i="114"/>
  <c r="AG189" i="114"/>
  <c r="AC190" i="114"/>
  <c r="AD190" i="114"/>
  <c r="AE190" i="114"/>
  <c r="AF190" i="114"/>
  <c r="AG190" i="114"/>
  <c r="AC191" i="114"/>
  <c r="AH191" i="114" s="1"/>
  <c r="AD191" i="114"/>
  <c r="AE191" i="114"/>
  <c r="AF191" i="114"/>
  <c r="AG191" i="114"/>
  <c r="AC192" i="114"/>
  <c r="AD192" i="114"/>
  <c r="AE192" i="114"/>
  <c r="AF192" i="114"/>
  <c r="AG192" i="114"/>
  <c r="AC193" i="114"/>
  <c r="AD193" i="114"/>
  <c r="AE193" i="114"/>
  <c r="AF193" i="114"/>
  <c r="AG193" i="114"/>
  <c r="AC194" i="114"/>
  <c r="AH194" i="114" s="1"/>
  <c r="AD194" i="114"/>
  <c r="AE194" i="114"/>
  <c r="AF194" i="114"/>
  <c r="AG194" i="114"/>
  <c r="AC195" i="114"/>
  <c r="AD195" i="114"/>
  <c r="AE195" i="114"/>
  <c r="AF195" i="114"/>
  <c r="AG195" i="114"/>
  <c r="AC196" i="114"/>
  <c r="AD196" i="114"/>
  <c r="AE196" i="114"/>
  <c r="AF196" i="114"/>
  <c r="AG196" i="114"/>
  <c r="AC197" i="114"/>
  <c r="AH197" i="114" s="1"/>
  <c r="AD197" i="114"/>
  <c r="AE197" i="114"/>
  <c r="AF197" i="114"/>
  <c r="AG197" i="114"/>
  <c r="AC198" i="114"/>
  <c r="AD198" i="114"/>
  <c r="AE198" i="114"/>
  <c r="AF198" i="114"/>
  <c r="AG198" i="114"/>
  <c r="AC199" i="114"/>
  <c r="AD199" i="114"/>
  <c r="AE199" i="114"/>
  <c r="AF199" i="114"/>
  <c r="AG199" i="114"/>
  <c r="AC200" i="114"/>
  <c r="AH200" i="114" s="1"/>
  <c r="AD200" i="114"/>
  <c r="AE200" i="114"/>
  <c r="AF200" i="114"/>
  <c r="AG200" i="114"/>
  <c r="AC201" i="114"/>
  <c r="AD201" i="114"/>
  <c r="AE201" i="114"/>
  <c r="AF201" i="114"/>
  <c r="AG201" i="114"/>
  <c r="AC202" i="114"/>
  <c r="AD202" i="114"/>
  <c r="AE202" i="114"/>
  <c r="AF202" i="114"/>
  <c r="AG202" i="114"/>
  <c r="AC203" i="114"/>
  <c r="AH203" i="114" s="1"/>
  <c r="AD203" i="114"/>
  <c r="AE203" i="114"/>
  <c r="AF203" i="114"/>
  <c r="AG203" i="114"/>
  <c r="AG184" i="114"/>
  <c r="AF184" i="114"/>
  <c r="AE184" i="114"/>
  <c r="AD184" i="114"/>
  <c r="AC184" i="114"/>
  <c r="AH184" i="114" s="1"/>
  <c r="AD182" i="114"/>
  <c r="AE182" i="114"/>
  <c r="AF182" i="114"/>
  <c r="AG182" i="114"/>
  <c r="AC182" i="114"/>
  <c r="AH182" i="114" s="1"/>
  <c r="I6" i="99"/>
  <c r="I7" i="99"/>
  <c r="I8" i="99"/>
  <c r="I9" i="99"/>
  <c r="I10" i="99"/>
  <c r="I11" i="99"/>
  <c r="I12" i="99"/>
  <c r="I13" i="99"/>
  <c r="I14" i="99"/>
  <c r="I15" i="99"/>
  <c r="I16" i="99"/>
  <c r="I17" i="99"/>
  <c r="I18" i="99"/>
  <c r="I19" i="99"/>
  <c r="I20" i="99"/>
  <c r="I21" i="99"/>
  <c r="I22" i="99"/>
  <c r="I23" i="99"/>
  <c r="I24" i="99"/>
  <c r="I25" i="99"/>
  <c r="I26" i="99"/>
  <c r="I27" i="99"/>
  <c r="I28" i="99"/>
  <c r="I29" i="99"/>
  <c r="I30" i="99"/>
  <c r="I31" i="99"/>
  <c r="I32" i="99"/>
  <c r="I33" i="99"/>
  <c r="I34" i="99"/>
  <c r="I35" i="99"/>
  <c r="I36" i="99"/>
  <c r="I37" i="99"/>
  <c r="I38" i="99"/>
  <c r="I39" i="99"/>
  <c r="I40" i="99"/>
  <c r="I41" i="99"/>
  <c r="I42" i="99"/>
  <c r="I43" i="99"/>
  <c r="I44" i="99"/>
  <c r="I45" i="99"/>
  <c r="I46" i="99"/>
  <c r="I47" i="99"/>
  <c r="I48" i="99"/>
  <c r="I49" i="99"/>
  <c r="I50" i="99"/>
  <c r="I51" i="99"/>
  <c r="I52" i="99"/>
  <c r="I53" i="99"/>
  <c r="I54" i="99"/>
  <c r="I55" i="99"/>
  <c r="I56" i="99"/>
  <c r="I57" i="99"/>
  <c r="I58" i="99"/>
  <c r="I59" i="99"/>
  <c r="I60" i="99"/>
  <c r="I61" i="99"/>
  <c r="I62" i="99"/>
  <c r="I63" i="99"/>
  <c r="I64" i="99"/>
  <c r="I65" i="99"/>
  <c r="I66" i="99"/>
  <c r="I67" i="99"/>
  <c r="I68" i="99"/>
  <c r="I69" i="99"/>
  <c r="I70" i="99"/>
  <c r="I71" i="99"/>
  <c r="I72" i="99"/>
  <c r="I73" i="99"/>
  <c r="I74" i="99"/>
  <c r="I75" i="99"/>
  <c r="I76" i="99"/>
  <c r="I77" i="99"/>
  <c r="I78" i="99"/>
  <c r="I79" i="99"/>
  <c r="I80" i="99"/>
  <c r="I81" i="99"/>
  <c r="I82" i="99"/>
  <c r="I83" i="99"/>
  <c r="I84" i="99"/>
  <c r="I85" i="99"/>
  <c r="I86" i="99"/>
  <c r="I87" i="99"/>
  <c r="I88" i="99"/>
  <c r="I89" i="99"/>
  <c r="I90" i="99"/>
  <c r="I91" i="99"/>
  <c r="I92" i="99"/>
  <c r="I93" i="99"/>
  <c r="I94" i="99"/>
  <c r="I95" i="99"/>
  <c r="I96" i="99"/>
  <c r="I97" i="99"/>
  <c r="I98" i="99"/>
  <c r="I99" i="99"/>
  <c r="I100" i="99"/>
  <c r="I101" i="99"/>
  <c r="I102" i="99"/>
  <c r="I103" i="99"/>
  <c r="I104" i="99"/>
  <c r="I105" i="99"/>
  <c r="I106" i="99"/>
  <c r="I107" i="99"/>
  <c r="I108" i="99"/>
  <c r="I109" i="99"/>
  <c r="I110" i="99"/>
  <c r="I111" i="99"/>
  <c r="I112" i="99"/>
  <c r="I113" i="99"/>
  <c r="I114" i="99"/>
  <c r="I115" i="99"/>
  <c r="I116" i="99"/>
  <c r="I117" i="99"/>
  <c r="I118" i="99"/>
  <c r="I119" i="99"/>
  <c r="I120" i="99"/>
  <c r="I121" i="99"/>
  <c r="I122" i="99"/>
  <c r="I123" i="99"/>
  <c r="I124" i="99"/>
  <c r="I125" i="99"/>
  <c r="I126" i="99"/>
  <c r="I127" i="99"/>
  <c r="I128" i="99"/>
  <c r="I129" i="99"/>
  <c r="I130" i="99"/>
  <c r="I131" i="99"/>
  <c r="I132" i="99"/>
  <c r="I133" i="99"/>
  <c r="I134" i="99"/>
  <c r="I135" i="99"/>
  <c r="I136" i="99"/>
  <c r="I137" i="99"/>
  <c r="I138" i="99"/>
  <c r="I139" i="99"/>
  <c r="I140" i="99"/>
  <c r="I141" i="99"/>
  <c r="I142" i="99"/>
  <c r="I143" i="99"/>
  <c r="I144" i="99"/>
  <c r="I145" i="99"/>
  <c r="I146" i="99"/>
  <c r="I147" i="99"/>
  <c r="I148" i="99"/>
  <c r="I149" i="99"/>
  <c r="I150" i="99"/>
  <c r="I151" i="99"/>
  <c r="I152" i="99"/>
  <c r="I153" i="99"/>
  <c r="I154" i="99"/>
  <c r="I155" i="99"/>
  <c r="I156" i="99"/>
  <c r="I157" i="99"/>
  <c r="I158" i="99"/>
  <c r="I159" i="99"/>
  <c r="I160" i="99"/>
  <c r="I161" i="99"/>
  <c r="I162" i="99"/>
  <c r="I163" i="99"/>
  <c r="I164" i="99"/>
  <c r="I165" i="99"/>
  <c r="I166" i="99"/>
  <c r="I167" i="99"/>
  <c r="I168" i="99"/>
  <c r="I169" i="99"/>
  <c r="I170" i="99"/>
  <c r="I171" i="99"/>
  <c r="I172" i="99"/>
  <c r="I173" i="99"/>
  <c r="I174" i="99"/>
  <c r="I175" i="99"/>
  <c r="I176" i="99"/>
  <c r="I177" i="99"/>
  <c r="I178" i="99"/>
  <c r="I179" i="99"/>
  <c r="I180" i="99"/>
  <c r="I181" i="99"/>
  <c r="I182" i="99"/>
  <c r="I183" i="99"/>
  <c r="I184" i="99"/>
  <c r="I185" i="99"/>
  <c r="I186" i="99"/>
  <c r="I187" i="99"/>
  <c r="I188" i="99"/>
  <c r="I189" i="99"/>
  <c r="I190" i="99"/>
  <c r="I191" i="99"/>
  <c r="I192" i="99"/>
  <c r="I193" i="99"/>
  <c r="I194" i="99"/>
  <c r="I195" i="99"/>
  <c r="I196" i="99"/>
  <c r="I197" i="99"/>
  <c r="I198" i="99"/>
  <c r="I199" i="99"/>
  <c r="I200" i="99"/>
  <c r="I201" i="99"/>
  <c r="I202" i="99"/>
  <c r="I203" i="99"/>
  <c r="I204" i="99"/>
  <c r="I205" i="99"/>
  <c r="I206" i="99"/>
  <c r="I207" i="99"/>
  <c r="I208" i="99"/>
  <c r="I209" i="99"/>
  <c r="I210" i="99"/>
  <c r="I211" i="99"/>
  <c r="I212" i="99"/>
  <c r="I213" i="99"/>
  <c r="I214" i="99"/>
  <c r="I215" i="99"/>
  <c r="I216" i="99"/>
  <c r="I217" i="99"/>
  <c r="I218" i="99"/>
  <c r="I219" i="99"/>
  <c r="I220" i="99"/>
  <c r="I221" i="99"/>
  <c r="I222" i="99"/>
  <c r="I223" i="99"/>
  <c r="I224" i="99"/>
  <c r="I5" i="99"/>
  <c r="G6" i="99"/>
  <c r="H6" i="99"/>
  <c r="G7" i="99"/>
  <c r="H7" i="99"/>
  <c r="G8" i="99"/>
  <c r="H8" i="99"/>
  <c r="G9" i="99"/>
  <c r="H9" i="99"/>
  <c r="G10" i="99"/>
  <c r="H10" i="99"/>
  <c r="G11" i="99"/>
  <c r="H11" i="99"/>
  <c r="G12" i="99"/>
  <c r="H12" i="99"/>
  <c r="G13" i="99"/>
  <c r="H13" i="99"/>
  <c r="G14" i="99"/>
  <c r="H14" i="99"/>
  <c r="G15" i="99"/>
  <c r="H15" i="99"/>
  <c r="G16" i="99"/>
  <c r="H16" i="99"/>
  <c r="G17" i="99"/>
  <c r="H17" i="99"/>
  <c r="G18" i="99"/>
  <c r="H18" i="99"/>
  <c r="G19" i="99"/>
  <c r="H19" i="99"/>
  <c r="G20" i="99"/>
  <c r="H20" i="99"/>
  <c r="G21" i="99"/>
  <c r="H21" i="99"/>
  <c r="G22" i="99"/>
  <c r="H22" i="99"/>
  <c r="G23" i="99"/>
  <c r="H23" i="99"/>
  <c r="G24" i="99"/>
  <c r="H24" i="99"/>
  <c r="G25" i="99"/>
  <c r="H25" i="99"/>
  <c r="G26" i="99"/>
  <c r="H26" i="99"/>
  <c r="G27" i="99"/>
  <c r="H27" i="99"/>
  <c r="G28" i="99"/>
  <c r="H28" i="99"/>
  <c r="G29" i="99"/>
  <c r="H29" i="99"/>
  <c r="G30" i="99"/>
  <c r="H30" i="99"/>
  <c r="G31" i="99"/>
  <c r="H31" i="99"/>
  <c r="G32" i="99"/>
  <c r="H32" i="99"/>
  <c r="G33" i="99"/>
  <c r="H33" i="99"/>
  <c r="G34" i="99"/>
  <c r="H34" i="99"/>
  <c r="G35" i="99"/>
  <c r="H35" i="99"/>
  <c r="G36" i="99"/>
  <c r="H36" i="99"/>
  <c r="G37" i="99"/>
  <c r="H37" i="99"/>
  <c r="G38" i="99"/>
  <c r="H38" i="99"/>
  <c r="G39" i="99"/>
  <c r="H39" i="99"/>
  <c r="G40" i="99"/>
  <c r="H40" i="99"/>
  <c r="G41" i="99"/>
  <c r="H41" i="99"/>
  <c r="G42" i="99"/>
  <c r="H42" i="99"/>
  <c r="G43" i="99"/>
  <c r="H43" i="99"/>
  <c r="G44" i="99"/>
  <c r="H44" i="99"/>
  <c r="G45" i="99"/>
  <c r="H45" i="99"/>
  <c r="G46" i="99"/>
  <c r="H46" i="99"/>
  <c r="G47" i="99"/>
  <c r="H47" i="99"/>
  <c r="G48" i="99"/>
  <c r="H48" i="99"/>
  <c r="G49" i="99"/>
  <c r="H49" i="99"/>
  <c r="G50" i="99"/>
  <c r="H50" i="99"/>
  <c r="G51" i="99"/>
  <c r="H51" i="99"/>
  <c r="G52" i="99"/>
  <c r="H52" i="99"/>
  <c r="G53" i="99"/>
  <c r="H53" i="99"/>
  <c r="G54" i="99"/>
  <c r="H54" i="99"/>
  <c r="G55" i="99"/>
  <c r="H55" i="99"/>
  <c r="G56" i="99"/>
  <c r="H56" i="99"/>
  <c r="G57" i="99"/>
  <c r="H57" i="99"/>
  <c r="G58" i="99"/>
  <c r="H58" i="99"/>
  <c r="G59" i="99"/>
  <c r="H59" i="99"/>
  <c r="G60" i="99"/>
  <c r="H60" i="99"/>
  <c r="G61" i="99"/>
  <c r="H61" i="99"/>
  <c r="G62" i="99"/>
  <c r="H62" i="99"/>
  <c r="G63" i="99"/>
  <c r="H63" i="99"/>
  <c r="G64" i="99"/>
  <c r="H64" i="99"/>
  <c r="G65" i="99"/>
  <c r="H65" i="99"/>
  <c r="G66" i="99"/>
  <c r="H66" i="99"/>
  <c r="G67" i="99"/>
  <c r="H67" i="99"/>
  <c r="G68" i="99"/>
  <c r="H68" i="99"/>
  <c r="G69" i="99"/>
  <c r="H69" i="99"/>
  <c r="G70" i="99"/>
  <c r="H70" i="99"/>
  <c r="G71" i="99"/>
  <c r="H71" i="99"/>
  <c r="G72" i="99"/>
  <c r="H72" i="99"/>
  <c r="G73" i="99"/>
  <c r="H73" i="99"/>
  <c r="G74" i="99"/>
  <c r="H74" i="99"/>
  <c r="G75" i="99"/>
  <c r="H75" i="99"/>
  <c r="G76" i="99"/>
  <c r="H76" i="99"/>
  <c r="G77" i="99"/>
  <c r="H77" i="99"/>
  <c r="G78" i="99"/>
  <c r="H78" i="99"/>
  <c r="G79" i="99"/>
  <c r="H79" i="99"/>
  <c r="G80" i="99"/>
  <c r="H80" i="99"/>
  <c r="G81" i="99"/>
  <c r="H81" i="99"/>
  <c r="G82" i="99"/>
  <c r="H82" i="99"/>
  <c r="G83" i="99"/>
  <c r="H83" i="99"/>
  <c r="G84" i="99"/>
  <c r="H84" i="99"/>
  <c r="G85" i="99"/>
  <c r="H85" i="99"/>
  <c r="G86" i="99"/>
  <c r="H86" i="99"/>
  <c r="G87" i="99"/>
  <c r="H87" i="99"/>
  <c r="G88" i="99"/>
  <c r="H88" i="99"/>
  <c r="G89" i="99"/>
  <c r="H89" i="99"/>
  <c r="G90" i="99"/>
  <c r="H90" i="99"/>
  <c r="G91" i="99"/>
  <c r="H91" i="99"/>
  <c r="G92" i="99"/>
  <c r="H92" i="99"/>
  <c r="G93" i="99"/>
  <c r="H93" i="99"/>
  <c r="G94" i="99"/>
  <c r="H94" i="99"/>
  <c r="G95" i="99"/>
  <c r="H95" i="99"/>
  <c r="G96" i="99"/>
  <c r="H96" i="99"/>
  <c r="G97" i="99"/>
  <c r="H97" i="99"/>
  <c r="G98" i="99"/>
  <c r="H98" i="99"/>
  <c r="G99" i="99"/>
  <c r="H99" i="99"/>
  <c r="G100" i="99"/>
  <c r="H100" i="99"/>
  <c r="G101" i="99"/>
  <c r="H101" i="99"/>
  <c r="G102" i="99"/>
  <c r="H102" i="99"/>
  <c r="G103" i="99"/>
  <c r="H103" i="99"/>
  <c r="G104" i="99"/>
  <c r="H104" i="99"/>
  <c r="G105" i="99"/>
  <c r="H105" i="99"/>
  <c r="G106" i="99"/>
  <c r="H106" i="99"/>
  <c r="G107" i="99"/>
  <c r="H107" i="99"/>
  <c r="G108" i="99"/>
  <c r="H108" i="99"/>
  <c r="G109" i="99"/>
  <c r="H109" i="99"/>
  <c r="G110" i="99"/>
  <c r="H110" i="99"/>
  <c r="G111" i="99"/>
  <c r="H111" i="99"/>
  <c r="G112" i="99"/>
  <c r="H112" i="99"/>
  <c r="G113" i="99"/>
  <c r="H113" i="99"/>
  <c r="G114" i="99"/>
  <c r="H114" i="99"/>
  <c r="G115" i="99"/>
  <c r="H115" i="99"/>
  <c r="G116" i="99"/>
  <c r="H116" i="99"/>
  <c r="G117" i="99"/>
  <c r="H117" i="99"/>
  <c r="G118" i="99"/>
  <c r="H118" i="99"/>
  <c r="G119" i="99"/>
  <c r="H119" i="99"/>
  <c r="G120" i="99"/>
  <c r="H120" i="99"/>
  <c r="G121" i="99"/>
  <c r="H121" i="99"/>
  <c r="G122" i="99"/>
  <c r="H122" i="99"/>
  <c r="G123" i="99"/>
  <c r="H123" i="99"/>
  <c r="G124" i="99"/>
  <c r="H124" i="99"/>
  <c r="G125" i="99"/>
  <c r="H125" i="99"/>
  <c r="G126" i="99"/>
  <c r="H126" i="99"/>
  <c r="G127" i="99"/>
  <c r="H127" i="99"/>
  <c r="G128" i="99"/>
  <c r="H128" i="99"/>
  <c r="G129" i="99"/>
  <c r="H129" i="99"/>
  <c r="G130" i="99"/>
  <c r="H130" i="99"/>
  <c r="G131" i="99"/>
  <c r="H131" i="99"/>
  <c r="G132" i="99"/>
  <c r="H132" i="99"/>
  <c r="G133" i="99"/>
  <c r="H133" i="99"/>
  <c r="G134" i="99"/>
  <c r="H134" i="99"/>
  <c r="G135" i="99"/>
  <c r="H135" i="99"/>
  <c r="G136" i="99"/>
  <c r="H136" i="99"/>
  <c r="G137" i="99"/>
  <c r="H137" i="99"/>
  <c r="G138" i="99"/>
  <c r="H138" i="99"/>
  <c r="G139" i="99"/>
  <c r="H139" i="99"/>
  <c r="G140" i="99"/>
  <c r="H140" i="99"/>
  <c r="G141" i="99"/>
  <c r="H141" i="99"/>
  <c r="G142" i="99"/>
  <c r="H142" i="99"/>
  <c r="G143" i="99"/>
  <c r="H143" i="99"/>
  <c r="G144" i="99"/>
  <c r="H144" i="99"/>
  <c r="G145" i="99"/>
  <c r="H145" i="99"/>
  <c r="G146" i="99"/>
  <c r="H146" i="99"/>
  <c r="G147" i="99"/>
  <c r="H147" i="99"/>
  <c r="G148" i="99"/>
  <c r="H148" i="99"/>
  <c r="G149" i="99"/>
  <c r="H149" i="99"/>
  <c r="G150" i="99"/>
  <c r="H150" i="99"/>
  <c r="G151" i="99"/>
  <c r="H151" i="99"/>
  <c r="G152" i="99"/>
  <c r="H152" i="99"/>
  <c r="G153" i="99"/>
  <c r="H153" i="99"/>
  <c r="G154" i="99"/>
  <c r="H154" i="99"/>
  <c r="G155" i="99"/>
  <c r="H155" i="99"/>
  <c r="G156" i="99"/>
  <c r="H156" i="99"/>
  <c r="G157" i="99"/>
  <c r="H157" i="99"/>
  <c r="G158" i="99"/>
  <c r="H158" i="99"/>
  <c r="G159" i="99"/>
  <c r="H159" i="99"/>
  <c r="G160" i="99"/>
  <c r="H160" i="99"/>
  <c r="G161" i="99"/>
  <c r="H161" i="99"/>
  <c r="G162" i="99"/>
  <c r="H162" i="99"/>
  <c r="G163" i="99"/>
  <c r="H163" i="99"/>
  <c r="G164" i="99"/>
  <c r="H164" i="99"/>
  <c r="G165" i="99"/>
  <c r="H165" i="99"/>
  <c r="G166" i="99"/>
  <c r="H166" i="99"/>
  <c r="G167" i="99"/>
  <c r="H167" i="99"/>
  <c r="G168" i="99"/>
  <c r="H168" i="99"/>
  <c r="G169" i="99"/>
  <c r="H169" i="99"/>
  <c r="G170" i="99"/>
  <c r="H170" i="99"/>
  <c r="G171" i="99"/>
  <c r="H171" i="99"/>
  <c r="G172" i="99"/>
  <c r="H172" i="99"/>
  <c r="G173" i="99"/>
  <c r="H173" i="99"/>
  <c r="G174" i="99"/>
  <c r="H174" i="99"/>
  <c r="G175" i="99"/>
  <c r="H175" i="99"/>
  <c r="G176" i="99"/>
  <c r="H176" i="99"/>
  <c r="G177" i="99"/>
  <c r="H177" i="99"/>
  <c r="G178" i="99"/>
  <c r="H178" i="99"/>
  <c r="G179" i="99"/>
  <c r="H179" i="99"/>
  <c r="G180" i="99"/>
  <c r="H180" i="99"/>
  <c r="G181" i="99"/>
  <c r="H181" i="99"/>
  <c r="G182" i="99"/>
  <c r="H182" i="99"/>
  <c r="G183" i="99"/>
  <c r="H183" i="99"/>
  <c r="G184" i="99"/>
  <c r="H184" i="99"/>
  <c r="G185" i="99"/>
  <c r="H185" i="99"/>
  <c r="G186" i="99"/>
  <c r="H186" i="99"/>
  <c r="G187" i="99"/>
  <c r="H187" i="99"/>
  <c r="G188" i="99"/>
  <c r="H188" i="99"/>
  <c r="G189" i="99"/>
  <c r="H189" i="99"/>
  <c r="G190" i="99"/>
  <c r="H190" i="99"/>
  <c r="G191" i="99"/>
  <c r="H191" i="99"/>
  <c r="G192" i="99"/>
  <c r="H192" i="99"/>
  <c r="G193" i="99"/>
  <c r="H193" i="99"/>
  <c r="G194" i="99"/>
  <c r="H194" i="99"/>
  <c r="G195" i="99"/>
  <c r="H195" i="99"/>
  <c r="G196" i="99"/>
  <c r="H196" i="99"/>
  <c r="G197" i="99"/>
  <c r="H197" i="99"/>
  <c r="G198" i="99"/>
  <c r="H198" i="99"/>
  <c r="G199" i="99"/>
  <c r="H199" i="99"/>
  <c r="G200" i="99"/>
  <c r="H200" i="99"/>
  <c r="G201" i="99"/>
  <c r="H201" i="99"/>
  <c r="G202" i="99"/>
  <c r="H202" i="99"/>
  <c r="G203" i="99"/>
  <c r="H203" i="99"/>
  <c r="G204" i="99"/>
  <c r="H204" i="99"/>
  <c r="G205" i="99"/>
  <c r="H205" i="99"/>
  <c r="G206" i="99"/>
  <c r="H206" i="99"/>
  <c r="G207" i="99"/>
  <c r="H207" i="99"/>
  <c r="G208" i="99"/>
  <c r="H208" i="99"/>
  <c r="G209" i="99"/>
  <c r="H209" i="99"/>
  <c r="G210" i="99"/>
  <c r="H210" i="99"/>
  <c r="G211" i="99"/>
  <c r="H211" i="99"/>
  <c r="G212" i="99"/>
  <c r="H212" i="99"/>
  <c r="G213" i="99"/>
  <c r="H213" i="99"/>
  <c r="G214" i="99"/>
  <c r="H214" i="99"/>
  <c r="G215" i="99"/>
  <c r="H215" i="99"/>
  <c r="G216" i="99"/>
  <c r="H216" i="99"/>
  <c r="G217" i="99"/>
  <c r="H217" i="99"/>
  <c r="G218" i="99"/>
  <c r="H218" i="99"/>
  <c r="G219" i="99"/>
  <c r="H219" i="99"/>
  <c r="G220" i="99"/>
  <c r="H220" i="99"/>
  <c r="G221" i="99"/>
  <c r="H221" i="99"/>
  <c r="G222" i="99"/>
  <c r="H222" i="99"/>
  <c r="G223" i="99"/>
  <c r="H223" i="99"/>
  <c r="G224" i="99"/>
  <c r="H224" i="99"/>
  <c r="H5" i="99"/>
  <c r="N123" i="114"/>
  <c r="O123" i="114"/>
  <c r="P123" i="114"/>
  <c r="Q123" i="114" s="1"/>
  <c r="S123" i="114"/>
  <c r="T123" i="114" s="1"/>
  <c r="N124" i="114"/>
  <c r="O124" i="114"/>
  <c r="P124" i="114"/>
  <c r="Q124" i="114" s="1"/>
  <c r="S124" i="114"/>
  <c r="T124" i="114" s="1"/>
  <c r="N125" i="114"/>
  <c r="O125" i="114"/>
  <c r="P125" i="114"/>
  <c r="R125" i="114" s="1"/>
  <c r="S125" i="114"/>
  <c r="T125" i="114" s="1"/>
  <c r="N126" i="114"/>
  <c r="O126" i="114"/>
  <c r="P126" i="114"/>
  <c r="Q126" i="114" s="1"/>
  <c r="S126" i="114"/>
  <c r="T126" i="114" s="1"/>
  <c r="N127" i="114"/>
  <c r="O127" i="114"/>
  <c r="P127" i="114"/>
  <c r="R127" i="114" s="1"/>
  <c r="S127" i="114"/>
  <c r="T127" i="114" s="1"/>
  <c r="N128" i="114"/>
  <c r="O128" i="114"/>
  <c r="P128" i="114"/>
  <c r="Q128" i="114" s="1"/>
  <c r="S128" i="114"/>
  <c r="T128" i="114" s="1"/>
  <c r="N129" i="114"/>
  <c r="O129" i="114"/>
  <c r="P129" i="114"/>
  <c r="R129" i="114" s="1"/>
  <c r="S129" i="114"/>
  <c r="T129" i="114" s="1"/>
  <c r="N130" i="114"/>
  <c r="O130" i="114"/>
  <c r="P130" i="114"/>
  <c r="Q130" i="114" s="1"/>
  <c r="S130" i="114"/>
  <c r="T130" i="114" s="1"/>
  <c r="N131" i="114"/>
  <c r="O131" i="114"/>
  <c r="P131" i="114"/>
  <c r="R131" i="114" s="1"/>
  <c r="S131" i="114"/>
  <c r="T131" i="114" s="1"/>
  <c r="N132" i="114"/>
  <c r="O132" i="114"/>
  <c r="P132" i="114"/>
  <c r="Q132" i="114" s="1"/>
  <c r="S132" i="114"/>
  <c r="T132" i="114" s="1"/>
  <c r="N133" i="114"/>
  <c r="O133" i="114"/>
  <c r="P133" i="114"/>
  <c r="R133" i="114" s="1"/>
  <c r="S133" i="114"/>
  <c r="T133" i="114" s="1"/>
  <c r="N134" i="114"/>
  <c r="O134" i="114"/>
  <c r="P134" i="114"/>
  <c r="Q134" i="114" s="1"/>
  <c r="S134" i="114"/>
  <c r="T134" i="114" s="1"/>
  <c r="N135" i="114"/>
  <c r="O135" i="114"/>
  <c r="P135" i="114"/>
  <c r="Q135" i="114" s="1"/>
  <c r="S135" i="114"/>
  <c r="T135" i="114" s="1"/>
  <c r="N136" i="114"/>
  <c r="O136" i="114"/>
  <c r="P136" i="114"/>
  <c r="Q136" i="114" s="1"/>
  <c r="S136" i="114"/>
  <c r="U136" i="114" s="1"/>
  <c r="N137" i="114"/>
  <c r="O137" i="114"/>
  <c r="P137" i="114"/>
  <c r="Q137" i="114" s="1"/>
  <c r="S137" i="114"/>
  <c r="T137" i="114" s="1"/>
  <c r="N138" i="114"/>
  <c r="O138" i="114"/>
  <c r="P138" i="114"/>
  <c r="Q138" i="114" s="1"/>
  <c r="S138" i="114"/>
  <c r="U138" i="114" s="1"/>
  <c r="N139" i="114"/>
  <c r="O139" i="114"/>
  <c r="P139" i="114"/>
  <c r="Q139" i="114" s="1"/>
  <c r="S139" i="114"/>
  <c r="T139" i="114" s="1"/>
  <c r="N140" i="114"/>
  <c r="O140" i="114"/>
  <c r="P140" i="114"/>
  <c r="Q140" i="114" s="1"/>
  <c r="S140" i="114"/>
  <c r="T140" i="114" s="1"/>
  <c r="N141" i="114"/>
  <c r="O141" i="114"/>
  <c r="P141" i="114"/>
  <c r="Q141" i="114" s="1"/>
  <c r="S141" i="114"/>
  <c r="T141" i="114" s="1"/>
  <c r="N122" i="114"/>
  <c r="O122" i="114"/>
  <c r="P122" i="114"/>
  <c r="Q122" i="114" s="1"/>
  <c r="S122" i="114"/>
  <c r="U122" i="114" s="1"/>
  <c r="S120" i="114"/>
  <c r="U120" i="114" s="1"/>
  <c r="P120" i="114"/>
  <c r="R120" i="114" s="1"/>
  <c r="O120" i="114"/>
  <c r="N120" i="114"/>
  <c r="H38" i="114"/>
  <c r="I38" i="114" s="1"/>
  <c r="N65" i="114"/>
  <c r="N66" i="114" s="1"/>
  <c r="N67" i="114" s="1"/>
  <c r="N68" i="114" s="1"/>
  <c r="N69" i="114" s="1"/>
  <c r="N70" i="114" s="1"/>
  <c r="N71" i="114" s="1"/>
  <c r="N72" i="114" s="1"/>
  <c r="N73" i="114" s="1"/>
  <c r="N74" i="114" s="1"/>
  <c r="N75" i="114" s="1"/>
  <c r="N76" i="114" s="1"/>
  <c r="N77" i="114" s="1"/>
  <c r="N78" i="114" s="1"/>
  <c r="N79" i="114" s="1"/>
  <c r="N80" i="114" s="1"/>
  <c r="N81" i="114" s="1"/>
  <c r="N82" i="114" s="1"/>
  <c r="N83" i="114" s="1"/>
  <c r="N84" i="114" s="1"/>
  <c r="R64" i="114" s="1"/>
  <c r="R65" i="114" s="1"/>
  <c r="R66" i="114" s="1"/>
  <c r="R67" i="114" s="1"/>
  <c r="R68" i="114" s="1"/>
  <c r="R69" i="114" s="1"/>
  <c r="R70" i="114" s="1"/>
  <c r="R71" i="114" s="1"/>
  <c r="R72" i="114" s="1"/>
  <c r="R73" i="114" s="1"/>
  <c r="R74" i="114" s="1"/>
  <c r="R75" i="114" s="1"/>
  <c r="R76" i="114" s="1"/>
  <c r="R77" i="114" s="1"/>
  <c r="R78" i="114" s="1"/>
  <c r="R79" i="114" s="1"/>
  <c r="R80" i="114" s="1"/>
  <c r="R81" i="114" s="1"/>
  <c r="R82" i="114" s="1"/>
  <c r="R83" i="114" s="1"/>
  <c r="R84" i="114" s="1"/>
  <c r="V64" i="114" s="1"/>
  <c r="V65" i="114" s="1"/>
  <c r="V66" i="114" s="1"/>
  <c r="V67" i="114" s="1"/>
  <c r="V68" i="114" s="1"/>
  <c r="V69" i="114" s="1"/>
  <c r="V70" i="114" s="1"/>
  <c r="V71" i="114" s="1"/>
  <c r="V72" i="114" s="1"/>
  <c r="V73" i="114" s="1"/>
  <c r="V74" i="114" s="1"/>
  <c r="V75" i="114" s="1"/>
  <c r="V76" i="114" s="1"/>
  <c r="V77" i="114" s="1"/>
  <c r="V78" i="114" s="1"/>
  <c r="V79" i="114" s="1"/>
  <c r="V80" i="114" s="1"/>
  <c r="V81" i="114" s="1"/>
  <c r="M65" i="114"/>
  <c r="I447" i="114"/>
  <c r="I401" i="114"/>
  <c r="I400" i="114"/>
  <c r="I399" i="114"/>
  <c r="I395" i="114"/>
  <c r="I394" i="114"/>
  <c r="I390" i="114"/>
  <c r="I388" i="114"/>
  <c r="I381" i="114"/>
  <c r="I307" i="114"/>
  <c r="I182" i="114"/>
  <c r="I120" i="114"/>
  <c r="I63" i="114"/>
  <c r="C449" i="114"/>
  <c r="C450" i="114" s="1"/>
  <c r="C451" i="114" s="1"/>
  <c r="C452" i="114" s="1"/>
  <c r="C453" i="114" s="1"/>
  <c r="C454" i="114" s="1"/>
  <c r="C455" i="114" s="1"/>
  <c r="C456" i="114" s="1"/>
  <c r="C457" i="114" s="1"/>
  <c r="C458" i="114" s="1"/>
  <c r="C459" i="114" s="1"/>
  <c r="C460" i="114" s="1"/>
  <c r="C461" i="114" s="1"/>
  <c r="C462" i="114" s="1"/>
  <c r="C463" i="114" s="1"/>
  <c r="C464" i="114" s="1"/>
  <c r="C465" i="114" s="1"/>
  <c r="C466" i="114" s="1"/>
  <c r="C467" i="114" s="1"/>
  <c r="C468" i="114" s="1"/>
  <c r="N415" i="114"/>
  <c r="N414" i="114"/>
  <c r="N413" i="114"/>
  <c r="N412" i="114"/>
  <c r="T19" i="120" s="1"/>
  <c r="N411" i="114"/>
  <c r="N410" i="114"/>
  <c r="T11" i="120" s="1"/>
  <c r="N409" i="114"/>
  <c r="N408" i="114"/>
  <c r="N407" i="114"/>
  <c r="N406" i="114"/>
  <c r="T3" i="120" s="1"/>
  <c r="C383" i="114"/>
  <c r="C384" i="114" s="1"/>
  <c r="C385" i="114" s="1"/>
  <c r="C386" i="114" s="1"/>
  <c r="C387" i="114" s="1"/>
  <c r="C388" i="114" s="1"/>
  <c r="C389" i="114" s="1"/>
  <c r="C390" i="114" s="1"/>
  <c r="C391" i="114" s="1"/>
  <c r="C392" i="114" s="1"/>
  <c r="C393" i="114" s="1"/>
  <c r="C394" i="114" s="1"/>
  <c r="C395" i="114" s="1"/>
  <c r="C396" i="114" s="1"/>
  <c r="C397" i="114" s="1"/>
  <c r="C398" i="114" s="1"/>
  <c r="C399" i="114" s="1"/>
  <c r="C400" i="114" s="1"/>
  <c r="C401" i="114" s="1"/>
  <c r="C402" i="114" s="1"/>
  <c r="C309" i="114"/>
  <c r="C310" i="114" s="1"/>
  <c r="C311" i="114" s="1"/>
  <c r="C312" i="114" s="1"/>
  <c r="C313" i="114" s="1"/>
  <c r="C314" i="114" s="1"/>
  <c r="C315" i="114" s="1"/>
  <c r="C316" i="114" s="1"/>
  <c r="C317" i="114" s="1"/>
  <c r="C318" i="114" s="1"/>
  <c r="C319" i="114" s="1"/>
  <c r="C320" i="114" s="1"/>
  <c r="C321" i="114" s="1"/>
  <c r="C322" i="114" s="1"/>
  <c r="C323" i="114" s="1"/>
  <c r="C324" i="114" s="1"/>
  <c r="C325" i="114" s="1"/>
  <c r="C326" i="114" s="1"/>
  <c r="C327" i="114" s="1"/>
  <c r="C328" i="114" s="1"/>
  <c r="C248" i="114"/>
  <c r="C249" i="114" s="1"/>
  <c r="C250" i="114" s="1"/>
  <c r="C251" i="114" s="1"/>
  <c r="C252" i="114" s="1"/>
  <c r="C253" i="114" s="1"/>
  <c r="C254" i="114" s="1"/>
  <c r="C255" i="114" s="1"/>
  <c r="C256" i="114" s="1"/>
  <c r="C257" i="114" s="1"/>
  <c r="C258" i="114" s="1"/>
  <c r="C259" i="114" s="1"/>
  <c r="C260" i="114" s="1"/>
  <c r="C261" i="114" s="1"/>
  <c r="C262" i="114" s="1"/>
  <c r="C263" i="114" s="1"/>
  <c r="C264" i="114" s="1"/>
  <c r="C265" i="114" s="1"/>
  <c r="C266" i="114" s="1"/>
  <c r="C267" i="114" s="1"/>
  <c r="C184" i="114"/>
  <c r="C185" i="114" s="1"/>
  <c r="C186" i="114" s="1"/>
  <c r="C187" i="114" s="1"/>
  <c r="C188" i="114" s="1"/>
  <c r="C189" i="114" s="1"/>
  <c r="C190" i="114" s="1"/>
  <c r="C191" i="114" s="1"/>
  <c r="C192" i="114" s="1"/>
  <c r="C193" i="114" s="1"/>
  <c r="C194" i="114" s="1"/>
  <c r="C195" i="114" s="1"/>
  <c r="C196" i="114" s="1"/>
  <c r="C197" i="114" s="1"/>
  <c r="C198" i="114" s="1"/>
  <c r="C199" i="114" s="1"/>
  <c r="C200" i="114" s="1"/>
  <c r="C201" i="114" s="1"/>
  <c r="C202" i="114" s="1"/>
  <c r="C203" i="114" s="1"/>
  <c r="C122" i="114"/>
  <c r="C123" i="114" s="1"/>
  <c r="C124" i="114" s="1"/>
  <c r="C125" i="114" s="1"/>
  <c r="C126" i="114" s="1"/>
  <c r="C127" i="114" s="1"/>
  <c r="C128" i="114" s="1"/>
  <c r="C129" i="114" s="1"/>
  <c r="C130" i="114" s="1"/>
  <c r="C131" i="114" s="1"/>
  <c r="C132" i="114" s="1"/>
  <c r="C133" i="114" s="1"/>
  <c r="C134" i="114" s="1"/>
  <c r="C135" i="114" s="1"/>
  <c r="C136" i="114" s="1"/>
  <c r="C137" i="114" s="1"/>
  <c r="C138" i="114" s="1"/>
  <c r="C139" i="114" s="1"/>
  <c r="C140" i="114" s="1"/>
  <c r="C141" i="114" s="1"/>
  <c r="F3" i="115" l="1"/>
  <c r="F23" i="115"/>
  <c r="G22" i="115"/>
  <c r="H22" i="115" a="1"/>
  <c r="H22" i="115" s="1"/>
  <c r="M22" i="115" s="1" a="1"/>
  <c r="M22" i="115" s="1"/>
  <c r="G20" i="115"/>
  <c r="H20" i="115" a="1"/>
  <c r="H20" i="115" s="1"/>
  <c r="M20" i="115" s="1" a="1"/>
  <c r="M20" i="115" s="1"/>
  <c r="F19" i="115"/>
  <c r="F18" i="115"/>
  <c r="G15" i="115"/>
  <c r="H15" i="115" a="1"/>
  <c r="H15" i="115" s="1"/>
  <c r="M15" i="115" s="1" a="1"/>
  <c r="M15" i="115" s="1"/>
  <c r="G14" i="115"/>
  <c r="H14" i="115" a="1"/>
  <c r="H14" i="115" s="1"/>
  <c r="M14" i="115" s="1" a="1"/>
  <c r="M14" i="115" s="1"/>
  <c r="F12" i="115"/>
  <c r="F11" i="115"/>
  <c r="G9" i="115"/>
  <c r="H9" i="115" a="1"/>
  <c r="H9" i="115" s="1"/>
  <c r="M9" i="115" s="1" a="1"/>
  <c r="M9" i="115" s="1"/>
  <c r="G8" i="115"/>
  <c r="H8" i="115" a="1"/>
  <c r="H8" i="115" s="1"/>
  <c r="M8" i="115" s="1" a="1"/>
  <c r="M8" i="115" s="1"/>
  <c r="F7" i="115"/>
  <c r="F6" i="115"/>
  <c r="G5" i="115"/>
  <c r="H5" i="115" a="1"/>
  <c r="H5" i="115" s="1"/>
  <c r="M5" i="115" s="1" a="1"/>
  <c r="M5" i="115" s="1"/>
  <c r="G4" i="115"/>
  <c r="H4" i="115" a="1"/>
  <c r="H4" i="115" s="1"/>
  <c r="M4" i="115" s="1" a="1"/>
  <c r="M4" i="115" s="1"/>
  <c r="K23" i="111"/>
  <c r="K17" i="111"/>
  <c r="K28" i="111"/>
  <c r="K13" i="111"/>
  <c r="F5" i="115"/>
  <c r="AB64" i="114"/>
  <c r="AC64" i="114" s="1"/>
  <c r="T6" i="120"/>
  <c r="T17" i="120"/>
  <c r="T138" i="114"/>
  <c r="T9" i="120"/>
  <c r="T23" i="120"/>
  <c r="T4" i="120"/>
  <c r="T7" i="120"/>
  <c r="T10" i="120"/>
  <c r="T13" i="120"/>
  <c r="T12" i="120"/>
  <c r="T22" i="120"/>
  <c r="T18" i="120"/>
  <c r="T14" i="120"/>
  <c r="T20" i="120"/>
  <c r="T16" i="120"/>
  <c r="T15" i="120"/>
  <c r="T21" i="120"/>
  <c r="T5" i="120"/>
  <c r="T8" i="120"/>
  <c r="G17" i="115"/>
  <c r="H17" i="115" s="1" a="1"/>
  <c r="H17" i="115" s="1"/>
  <c r="F17" i="115"/>
  <c r="H40" i="114"/>
  <c r="I40" i="114" s="1"/>
  <c r="E18" i="120"/>
  <c r="E12" i="120"/>
  <c r="O14" i="119"/>
  <c r="E6" i="122"/>
  <c r="C47" i="122"/>
  <c r="E47" i="122" s="1"/>
  <c r="AI167" i="122"/>
  <c r="AI169" i="122"/>
  <c r="AI171" i="122"/>
  <c r="AI174" i="122"/>
  <c r="AI178" i="122"/>
  <c r="AI180" i="122"/>
  <c r="AI182" i="122"/>
  <c r="AI184" i="122"/>
  <c r="AI186" i="122"/>
  <c r="AI188" i="122"/>
  <c r="AI190" i="122"/>
  <c r="AI116" i="122"/>
  <c r="AI117" i="122"/>
  <c r="AI119" i="122"/>
  <c r="AI121" i="122"/>
  <c r="AI123" i="122"/>
  <c r="AI166" i="122"/>
  <c r="AI170" i="122"/>
  <c r="AI168" i="122"/>
  <c r="AI172" i="122"/>
  <c r="AI173" i="122"/>
  <c r="AI176" i="122"/>
  <c r="AI177" i="122"/>
  <c r="AI125" i="122"/>
  <c r="AI126" i="122"/>
  <c r="AI127" i="122"/>
  <c r="AI128" i="122"/>
  <c r="AI175" i="122"/>
  <c r="AI181" i="122"/>
  <c r="AI187" i="122"/>
  <c r="AI179" i="122"/>
  <c r="AI124" i="122"/>
  <c r="AI120" i="122"/>
  <c r="AI189" i="122"/>
  <c r="AI118" i="122"/>
  <c r="AI134" i="122"/>
  <c r="AI140" i="122"/>
  <c r="AI185" i="122"/>
  <c r="AI132" i="122"/>
  <c r="AI183" i="122"/>
  <c r="AI131" i="122"/>
  <c r="AI122" i="122"/>
  <c r="AI133" i="122"/>
  <c r="AI147" i="122"/>
  <c r="AI130" i="122"/>
  <c r="AI145" i="122"/>
  <c r="AI150" i="122"/>
  <c r="AI129" i="122"/>
  <c r="AI148" i="122"/>
  <c r="AI191" i="122"/>
  <c r="AI141" i="122"/>
  <c r="AI146" i="122"/>
  <c r="AI144" i="122"/>
  <c r="AI142" i="122"/>
  <c r="AI160" i="122"/>
  <c r="AI161" i="122"/>
  <c r="AI76" i="122"/>
  <c r="AI77" i="122"/>
  <c r="AI88" i="122"/>
  <c r="AI89" i="122"/>
  <c r="AI137" i="122"/>
  <c r="AI162" i="122"/>
  <c r="AI164" i="122"/>
  <c r="AI67" i="122"/>
  <c r="AI152" i="122"/>
  <c r="AI154" i="122"/>
  <c r="AI72" i="122"/>
  <c r="AI73" i="122"/>
  <c r="AI84" i="122"/>
  <c r="AI85" i="122"/>
  <c r="AI135" i="122"/>
  <c r="AI138" i="122"/>
  <c r="AI143" i="122"/>
  <c r="AI156" i="122"/>
  <c r="AI157" i="122"/>
  <c r="AI158" i="122"/>
  <c r="AI159" i="122"/>
  <c r="AI149" i="122"/>
  <c r="AI163" i="122"/>
  <c r="AI165" i="122"/>
  <c r="AI68" i="122"/>
  <c r="AI69" i="122"/>
  <c r="AI80" i="122"/>
  <c r="AI81" i="122"/>
  <c r="AI92" i="122"/>
  <c r="AI75" i="122"/>
  <c r="AI86" i="122"/>
  <c r="AI93" i="122"/>
  <c r="AI97" i="122"/>
  <c r="AI98" i="122"/>
  <c r="AI108" i="122"/>
  <c r="AI110" i="122"/>
  <c r="AI74" i="122"/>
  <c r="AI103" i="122"/>
  <c r="AI153" i="122"/>
  <c r="AI79" i="122"/>
  <c r="AI112" i="122"/>
  <c r="AI139" i="122"/>
  <c r="AI70" i="122"/>
  <c r="AI83" i="122"/>
  <c r="AI96" i="122"/>
  <c r="AI105" i="122"/>
  <c r="AI106" i="122"/>
  <c r="AI66" i="122"/>
  <c r="AI104" i="122"/>
  <c r="AI136" i="122"/>
  <c r="AI151" i="122"/>
  <c r="AI155" i="122"/>
  <c r="AI78" i="122"/>
  <c r="AI101" i="122"/>
  <c r="AI102" i="122"/>
  <c r="AI107" i="122"/>
  <c r="AI109" i="122"/>
  <c r="AI111" i="122"/>
  <c r="AI113" i="122"/>
  <c r="AI115" i="122"/>
  <c r="AI95" i="122"/>
  <c r="AI99" i="122"/>
  <c r="AI114" i="122"/>
  <c r="AI87" i="122"/>
  <c r="AI94" i="122"/>
  <c r="AI71" i="122"/>
  <c r="AI82" i="122"/>
  <c r="AI90" i="122"/>
  <c r="AI91" i="122"/>
  <c r="AI100" i="122"/>
  <c r="C53" i="122"/>
  <c r="E53" i="122" s="1"/>
  <c r="AJ166" i="122"/>
  <c r="AJ168" i="122"/>
  <c r="AJ170" i="122"/>
  <c r="AJ172" i="122"/>
  <c r="AJ174" i="122"/>
  <c r="AJ176" i="122"/>
  <c r="AJ178" i="122"/>
  <c r="AJ180" i="122"/>
  <c r="AJ182" i="122"/>
  <c r="AJ184" i="122"/>
  <c r="AJ186" i="122"/>
  <c r="AJ188" i="122"/>
  <c r="AJ190" i="122"/>
  <c r="AJ116" i="122"/>
  <c r="AJ167" i="122"/>
  <c r="AJ169" i="122"/>
  <c r="AJ171" i="122"/>
  <c r="AJ173" i="122"/>
  <c r="AJ175" i="122"/>
  <c r="AJ177" i="122"/>
  <c r="AJ179" i="122"/>
  <c r="AJ181" i="122"/>
  <c r="AJ183" i="122"/>
  <c r="AJ185" i="122"/>
  <c r="AJ187" i="122"/>
  <c r="AJ189" i="122"/>
  <c r="AJ191" i="122"/>
  <c r="AJ118" i="122"/>
  <c r="AJ120" i="122"/>
  <c r="AJ122" i="122"/>
  <c r="AJ124" i="122"/>
  <c r="AJ126" i="122"/>
  <c r="AJ123" i="122"/>
  <c r="AJ121" i="122"/>
  <c r="AJ125" i="122"/>
  <c r="AJ127" i="122"/>
  <c r="AJ128" i="122"/>
  <c r="AJ130" i="122"/>
  <c r="AJ132" i="122"/>
  <c r="AJ134" i="122"/>
  <c r="AJ136" i="122"/>
  <c r="AJ138" i="122"/>
  <c r="AJ119" i="122"/>
  <c r="AJ117" i="122"/>
  <c r="AJ140" i="122"/>
  <c r="AJ142" i="122"/>
  <c r="AJ133" i="122"/>
  <c r="AJ135" i="122"/>
  <c r="AJ137" i="122"/>
  <c r="AJ139" i="122"/>
  <c r="AJ141" i="122"/>
  <c r="AJ143" i="122"/>
  <c r="AJ145" i="122"/>
  <c r="AJ147" i="122"/>
  <c r="AJ149" i="122"/>
  <c r="AJ151" i="122"/>
  <c r="AJ153" i="122"/>
  <c r="AJ155" i="122"/>
  <c r="AJ157" i="122"/>
  <c r="AJ159" i="122"/>
  <c r="AJ161" i="122"/>
  <c r="AJ163" i="122"/>
  <c r="AJ165" i="122"/>
  <c r="AJ131" i="122"/>
  <c r="AJ152" i="122"/>
  <c r="AJ154" i="122"/>
  <c r="AJ150" i="122"/>
  <c r="AJ129" i="122"/>
  <c r="AJ148" i="122"/>
  <c r="AJ146" i="122"/>
  <c r="AJ144" i="122"/>
  <c r="AJ78" i="122"/>
  <c r="AJ79" i="122"/>
  <c r="AJ90" i="122"/>
  <c r="AJ91" i="122"/>
  <c r="AJ93" i="122"/>
  <c r="AJ95" i="122"/>
  <c r="AJ160" i="122"/>
  <c r="AJ162" i="122"/>
  <c r="AJ164" i="122"/>
  <c r="AJ67" i="122"/>
  <c r="AJ74" i="122"/>
  <c r="AJ75" i="122"/>
  <c r="AJ86" i="122"/>
  <c r="AJ87" i="122"/>
  <c r="AJ156" i="122"/>
  <c r="AJ158" i="122"/>
  <c r="AJ70" i="122"/>
  <c r="AJ71" i="122"/>
  <c r="AJ82" i="122"/>
  <c r="AJ83" i="122"/>
  <c r="AJ73" i="122"/>
  <c r="AJ88" i="122"/>
  <c r="AJ99" i="122"/>
  <c r="AJ100" i="122"/>
  <c r="AJ96" i="122"/>
  <c r="AJ77" i="122"/>
  <c r="AJ97" i="122"/>
  <c r="AJ98" i="122"/>
  <c r="AJ69" i="122"/>
  <c r="AJ72" i="122"/>
  <c r="AJ81" i="122"/>
  <c r="AJ108" i="122"/>
  <c r="AJ110" i="122"/>
  <c r="AJ112" i="122"/>
  <c r="AJ114" i="122"/>
  <c r="AJ66" i="122"/>
  <c r="AJ68" i="122"/>
  <c r="AJ80" i="122"/>
  <c r="AJ94" i="122"/>
  <c r="AJ103" i="122"/>
  <c r="AJ104" i="122"/>
  <c r="AJ101" i="122"/>
  <c r="AJ109" i="122"/>
  <c r="AJ76" i="122"/>
  <c r="AJ85" i="122"/>
  <c r="AJ106" i="122"/>
  <c r="AJ84" i="122"/>
  <c r="AJ89" i="122"/>
  <c r="AJ92" i="122"/>
  <c r="AJ102" i="122"/>
  <c r="AJ107" i="122"/>
  <c r="AJ111" i="122"/>
  <c r="AJ113" i="122"/>
  <c r="AJ115" i="122"/>
  <c r="AJ105" i="122"/>
  <c r="T73" i="120"/>
  <c r="S66" i="120"/>
  <c r="T102" i="120"/>
  <c r="T138" i="120"/>
  <c r="T150" i="120"/>
  <c r="T78" i="120"/>
  <c r="T132" i="120"/>
  <c r="T96" i="120"/>
  <c r="T114" i="120"/>
  <c r="T144" i="120"/>
  <c r="T108" i="120"/>
  <c r="T72" i="120"/>
  <c r="T162" i="120"/>
  <c r="T126" i="120"/>
  <c r="T90" i="120"/>
  <c r="T156" i="120"/>
  <c r="T120" i="120"/>
  <c r="T84" i="120"/>
  <c r="T67" i="120"/>
  <c r="T161" i="120"/>
  <c r="T155" i="120"/>
  <c r="T149" i="120"/>
  <c r="T143" i="120"/>
  <c r="T137" i="120"/>
  <c r="T131" i="120"/>
  <c r="T125" i="120"/>
  <c r="T119" i="120"/>
  <c r="T113" i="120"/>
  <c r="T107" i="120"/>
  <c r="T101" i="120"/>
  <c r="T95" i="120"/>
  <c r="T89" i="120"/>
  <c r="T83" i="120"/>
  <c r="T77" i="120"/>
  <c r="T160" i="120"/>
  <c r="T154" i="120"/>
  <c r="T148" i="120"/>
  <c r="T142" i="120"/>
  <c r="T136" i="120"/>
  <c r="T130" i="120"/>
  <c r="T124" i="120"/>
  <c r="T118" i="120"/>
  <c r="T112" i="120"/>
  <c r="T106" i="120"/>
  <c r="T100" i="120"/>
  <c r="T94" i="120"/>
  <c r="T88" i="120"/>
  <c r="T82" i="120"/>
  <c r="T76" i="120"/>
  <c r="T165" i="120"/>
  <c r="T159" i="120"/>
  <c r="T153" i="120"/>
  <c r="T147" i="120"/>
  <c r="T141" i="120"/>
  <c r="T135" i="120"/>
  <c r="T129" i="120"/>
  <c r="T123" i="120"/>
  <c r="T117" i="120"/>
  <c r="T111" i="120"/>
  <c r="T105" i="120"/>
  <c r="T99" i="120"/>
  <c r="T93" i="120"/>
  <c r="T87" i="120"/>
  <c r="T81" i="120"/>
  <c r="T75" i="120"/>
  <c r="T164" i="120"/>
  <c r="T158" i="120"/>
  <c r="T152" i="120"/>
  <c r="T146" i="120"/>
  <c r="T140" i="120"/>
  <c r="T134" i="120"/>
  <c r="T128" i="120"/>
  <c r="T122" i="120"/>
  <c r="T116" i="120"/>
  <c r="T110" i="120"/>
  <c r="T104" i="120"/>
  <c r="T98" i="120"/>
  <c r="T92" i="120"/>
  <c r="T86" i="120"/>
  <c r="T80" i="120"/>
  <c r="T74" i="120"/>
  <c r="K138" i="120"/>
  <c r="T163" i="120"/>
  <c r="T157" i="120"/>
  <c r="T151" i="120"/>
  <c r="T145" i="120"/>
  <c r="T139" i="120"/>
  <c r="T133" i="120"/>
  <c r="T127" i="120"/>
  <c r="T121" i="120"/>
  <c r="T115" i="120"/>
  <c r="T109" i="120"/>
  <c r="T103" i="120"/>
  <c r="T97" i="120"/>
  <c r="T91" i="120"/>
  <c r="T85" i="120"/>
  <c r="T79" i="120"/>
  <c r="K148" i="120"/>
  <c r="K160" i="120"/>
  <c r="K154" i="120"/>
  <c r="K142" i="120"/>
  <c r="K165" i="120"/>
  <c r="K159" i="120"/>
  <c r="K153" i="120"/>
  <c r="K147" i="120"/>
  <c r="K141" i="120"/>
  <c r="K72" i="120"/>
  <c r="K161" i="120"/>
  <c r="K155" i="120"/>
  <c r="K149" i="120"/>
  <c r="K143" i="120"/>
  <c r="K162" i="120"/>
  <c r="K156" i="120"/>
  <c r="K144" i="120"/>
  <c r="K73" i="120"/>
  <c r="K74" i="120"/>
  <c r="K75" i="120"/>
  <c r="K76" i="120"/>
  <c r="K77" i="120"/>
  <c r="K78" i="120"/>
  <c r="K79" i="120"/>
  <c r="K80" i="120"/>
  <c r="K81" i="120"/>
  <c r="K82" i="120"/>
  <c r="K83" i="120"/>
  <c r="K84" i="120"/>
  <c r="K85" i="120"/>
  <c r="K86" i="120"/>
  <c r="K87" i="120"/>
  <c r="K88" i="120"/>
  <c r="K89" i="120"/>
  <c r="K90" i="120"/>
  <c r="K91" i="120"/>
  <c r="K92" i="120"/>
  <c r="K93" i="120"/>
  <c r="K94" i="120"/>
  <c r="K95" i="120"/>
  <c r="K96" i="120"/>
  <c r="K97" i="120"/>
  <c r="K98" i="120"/>
  <c r="K99" i="120"/>
  <c r="K100" i="120"/>
  <c r="K101" i="120"/>
  <c r="K102" i="120"/>
  <c r="K103" i="120"/>
  <c r="K104" i="120"/>
  <c r="K105" i="120"/>
  <c r="K106" i="120"/>
  <c r="K107" i="120"/>
  <c r="K108" i="120"/>
  <c r="K109" i="120"/>
  <c r="K110" i="120"/>
  <c r="K111" i="120"/>
  <c r="K112" i="120"/>
  <c r="K113" i="120"/>
  <c r="K114" i="120"/>
  <c r="K115" i="120"/>
  <c r="K116" i="120"/>
  <c r="K117" i="120"/>
  <c r="K118" i="120"/>
  <c r="K119" i="120"/>
  <c r="K120" i="120"/>
  <c r="K121" i="120"/>
  <c r="K122" i="120"/>
  <c r="K123" i="120"/>
  <c r="K124" i="120"/>
  <c r="K125" i="120"/>
  <c r="K126" i="120"/>
  <c r="K127" i="120"/>
  <c r="K128" i="120"/>
  <c r="K129" i="120"/>
  <c r="K130" i="120"/>
  <c r="K131" i="120"/>
  <c r="K132" i="120"/>
  <c r="K133" i="120"/>
  <c r="K134" i="120"/>
  <c r="K135" i="120"/>
  <c r="K136" i="120"/>
  <c r="K137" i="120"/>
  <c r="K163" i="120"/>
  <c r="K157" i="120"/>
  <c r="K151" i="120"/>
  <c r="K145" i="120"/>
  <c r="K139" i="120"/>
  <c r="K150" i="120"/>
  <c r="K164" i="120"/>
  <c r="K158" i="120"/>
  <c r="K152" i="120"/>
  <c r="K146" i="120"/>
  <c r="K140" i="120"/>
  <c r="K67" i="120"/>
  <c r="K68" i="120"/>
  <c r="T68" i="120"/>
  <c r="T66" i="120"/>
  <c r="T71" i="120"/>
  <c r="T70" i="120"/>
  <c r="T69" i="120"/>
  <c r="K71" i="120"/>
  <c r="K70" i="120"/>
  <c r="K69" i="120"/>
  <c r="K66" i="120"/>
  <c r="D37" i="120"/>
  <c r="H21" i="119"/>
  <c r="H9" i="119"/>
  <c r="F19" i="119"/>
  <c r="F7" i="119"/>
  <c r="O23" i="119"/>
  <c r="I16" i="119"/>
  <c r="L16" i="119" s="1"/>
  <c r="F16" i="122" s="1"/>
  <c r="I4" i="119"/>
  <c r="L4" i="119" s="1"/>
  <c r="H15" i="119"/>
  <c r="O15" i="119"/>
  <c r="F13" i="119"/>
  <c r="L3" i="119"/>
  <c r="F3" i="122" s="1"/>
  <c r="I22" i="119"/>
  <c r="L22" i="119" s="1"/>
  <c r="I10" i="119"/>
  <c r="L10" i="119" s="1"/>
  <c r="L19" i="119"/>
  <c r="F19" i="122" s="1"/>
  <c r="L13" i="119"/>
  <c r="L7" i="119"/>
  <c r="K20" i="119"/>
  <c r="D20" i="122" s="1"/>
  <c r="B55" i="122" s="1"/>
  <c r="K14" i="119"/>
  <c r="D14" i="122" s="1"/>
  <c r="B49" i="122" s="1"/>
  <c r="K8" i="119"/>
  <c r="D8" i="122" s="1"/>
  <c r="B43" i="122" s="1"/>
  <c r="H3" i="119"/>
  <c r="F23" i="119"/>
  <c r="J21" i="119"/>
  <c r="K21" i="119" s="1"/>
  <c r="I20" i="119"/>
  <c r="L20" i="119" s="1"/>
  <c r="F20" i="122" s="1"/>
  <c r="H19" i="119"/>
  <c r="G18" i="119"/>
  <c r="F17" i="119"/>
  <c r="J15" i="119"/>
  <c r="K15" i="119" s="1"/>
  <c r="I14" i="119"/>
  <c r="L14" i="119" s="1"/>
  <c r="F14" i="122" s="1"/>
  <c r="H13" i="119"/>
  <c r="G12" i="119"/>
  <c r="F11" i="119"/>
  <c r="J9" i="119"/>
  <c r="K9" i="119" s="1"/>
  <c r="I8" i="119"/>
  <c r="L8" i="119" s="1"/>
  <c r="F8" i="122" s="1"/>
  <c r="H7" i="119"/>
  <c r="G6" i="119"/>
  <c r="F5" i="119"/>
  <c r="G20" i="119"/>
  <c r="G8" i="119"/>
  <c r="G3" i="119"/>
  <c r="J22" i="119"/>
  <c r="K22" i="119" s="1"/>
  <c r="I21" i="119"/>
  <c r="L21" i="119" s="1"/>
  <c r="H20" i="119"/>
  <c r="G19" i="119"/>
  <c r="F18" i="119"/>
  <c r="J16" i="119"/>
  <c r="K16" i="119" s="1"/>
  <c r="D16" i="122" s="1"/>
  <c r="B51" i="122" s="1"/>
  <c r="I15" i="119"/>
  <c r="L15" i="119" s="1"/>
  <c r="H14" i="119"/>
  <c r="G13" i="119"/>
  <c r="F12" i="119"/>
  <c r="J10" i="119"/>
  <c r="K10" i="119" s="1"/>
  <c r="I9" i="119"/>
  <c r="L9" i="119" s="1"/>
  <c r="H8" i="119"/>
  <c r="G7" i="119"/>
  <c r="F6" i="119"/>
  <c r="J4" i="119"/>
  <c r="K4" i="119" s="1"/>
  <c r="D4" i="122" s="1"/>
  <c r="B39" i="122" s="1"/>
  <c r="J23" i="119"/>
  <c r="K23" i="119" s="1"/>
  <c r="G14" i="119"/>
  <c r="J11" i="119"/>
  <c r="K11" i="119" s="1"/>
  <c r="F3" i="119"/>
  <c r="I23" i="119"/>
  <c r="L23" i="119" s="1"/>
  <c r="H22" i="119"/>
  <c r="G21" i="119"/>
  <c r="F20" i="119"/>
  <c r="J18" i="119"/>
  <c r="K18" i="119" s="1"/>
  <c r="I17" i="119"/>
  <c r="L17" i="119" s="1"/>
  <c r="H16" i="119"/>
  <c r="G15" i="119"/>
  <c r="F14" i="119"/>
  <c r="J12" i="119"/>
  <c r="K12" i="119" s="1"/>
  <c r="I11" i="119"/>
  <c r="L11" i="119" s="1"/>
  <c r="H10" i="119"/>
  <c r="G9" i="119"/>
  <c r="F8" i="119"/>
  <c r="J6" i="119"/>
  <c r="K6" i="119" s="1"/>
  <c r="I5" i="119"/>
  <c r="L5" i="119" s="1"/>
  <c r="F5" i="122" s="1"/>
  <c r="H4" i="119"/>
  <c r="J17" i="119"/>
  <c r="K17" i="119" s="1"/>
  <c r="J5" i="119"/>
  <c r="K5" i="119" s="1"/>
  <c r="D5" i="122" s="1"/>
  <c r="B40" i="122" s="1"/>
  <c r="J3" i="119"/>
  <c r="K3" i="119" s="1"/>
  <c r="D3" i="122" s="1"/>
  <c r="H23" i="119"/>
  <c r="G22" i="119"/>
  <c r="J19" i="119"/>
  <c r="K19" i="119" s="1"/>
  <c r="D19" i="122" s="1"/>
  <c r="B54" i="122" s="1"/>
  <c r="I18" i="119"/>
  <c r="L18" i="119" s="1"/>
  <c r="H17" i="119"/>
  <c r="G16" i="119"/>
  <c r="J13" i="119"/>
  <c r="K13" i="119" s="1"/>
  <c r="I12" i="119"/>
  <c r="L12" i="119" s="1"/>
  <c r="H11" i="119"/>
  <c r="G10" i="119"/>
  <c r="J7" i="119"/>
  <c r="K7" i="119" s="1"/>
  <c r="I6" i="119"/>
  <c r="L6" i="119" s="1"/>
  <c r="H5" i="119"/>
  <c r="G4" i="119"/>
  <c r="K34" i="111"/>
  <c r="K35" i="111"/>
  <c r="K18" i="111"/>
  <c r="K30" i="111"/>
  <c r="K5" i="111"/>
  <c r="K25" i="111"/>
  <c r="K19" i="111"/>
  <c r="K43" i="111"/>
  <c r="K7" i="111"/>
  <c r="K11" i="111"/>
  <c r="K41" i="111"/>
  <c r="K12" i="111"/>
  <c r="K37" i="111"/>
  <c r="K20" i="111"/>
  <c r="K31" i="111"/>
  <c r="K39" i="111"/>
  <c r="K33" i="111"/>
  <c r="K27" i="111"/>
  <c r="K21" i="111"/>
  <c r="K15" i="111"/>
  <c r="K9" i="111"/>
  <c r="K40" i="111"/>
  <c r="K38" i="111"/>
  <c r="K32" i="111"/>
  <c r="K26" i="111"/>
  <c r="K14" i="111"/>
  <c r="K8" i="111"/>
  <c r="K42" i="111"/>
  <c r="K36" i="111"/>
  <c r="M36" i="111" s="1"/>
  <c r="K24" i="111"/>
  <c r="K6" i="111"/>
  <c r="K29" i="111"/>
  <c r="K22" i="111"/>
  <c r="K16" i="111"/>
  <c r="K10" i="111"/>
  <c r="M6" i="111" s="1"/>
  <c r="P29" i="117"/>
  <c r="AC65" i="114"/>
  <c r="AD65" i="114" s="1"/>
  <c r="AE65" i="114" s="1"/>
  <c r="AF65" i="114" s="1"/>
  <c r="AG65" i="114" s="1"/>
  <c r="AH65" i="114" s="1"/>
  <c r="AI65" i="114" s="1"/>
  <c r="AJ65" i="114" s="1"/>
  <c r="AK65" i="114" s="1"/>
  <c r="AL65" i="114" s="1"/>
  <c r="AM65" i="114" s="1"/>
  <c r="AN65" i="114" s="1"/>
  <c r="AO65" i="114" s="1"/>
  <c r="AP65" i="114" s="1"/>
  <c r="AQ65" i="114" s="1"/>
  <c r="AR65" i="114" s="1"/>
  <c r="AS65" i="114" s="1"/>
  <c r="AT65" i="114" s="1"/>
  <c r="AU65" i="114" s="1"/>
  <c r="AV65" i="114" s="1"/>
  <c r="AW65" i="114" s="1"/>
  <c r="AX65" i="114" s="1"/>
  <c r="AY65" i="114" s="1"/>
  <c r="AZ65" i="114" s="1"/>
  <c r="BA65" i="114" s="1"/>
  <c r="BB65" i="114" s="1"/>
  <c r="BC65" i="114" s="1"/>
  <c r="BD65" i="114" s="1"/>
  <c r="BE65" i="114" s="1"/>
  <c r="BF65" i="114" s="1"/>
  <c r="BG65" i="114" s="1"/>
  <c r="BH65" i="114" s="1"/>
  <c r="BI65" i="114" s="1"/>
  <c r="BJ65" i="114" s="1"/>
  <c r="BK65" i="114" s="1"/>
  <c r="BL65" i="114" s="1"/>
  <c r="BM65" i="114" s="1"/>
  <c r="BN65" i="114" s="1"/>
  <c r="BO65" i="114" s="1"/>
  <c r="BP65" i="114" s="1"/>
  <c r="BQ65" i="114" s="1"/>
  <c r="BR65" i="114" s="1"/>
  <c r="BS65" i="114" s="1"/>
  <c r="BT65" i="114" s="1"/>
  <c r="BU65" i="114" s="1"/>
  <c r="BV65" i="114" s="1"/>
  <c r="BW65" i="114" s="1"/>
  <c r="BX65" i="114" s="1"/>
  <c r="BY65" i="114" s="1"/>
  <c r="BZ65" i="114" s="1"/>
  <c r="CA65" i="114" s="1"/>
  <c r="CB65" i="114" s="1"/>
  <c r="CC65" i="114" s="1"/>
  <c r="CD65" i="114" s="1"/>
  <c r="CE65" i="114" s="1"/>
  <c r="CF65" i="114" s="1"/>
  <c r="CG65" i="114" s="1"/>
  <c r="CH65" i="114" s="1"/>
  <c r="CI65" i="114" s="1"/>
  <c r="CJ65" i="114" s="1"/>
  <c r="CK65" i="114" s="1"/>
  <c r="CL65" i="114" s="1"/>
  <c r="CM65" i="114" s="1"/>
  <c r="CN65" i="114" s="1"/>
  <c r="CO65" i="114" s="1"/>
  <c r="CP65" i="114" s="1"/>
  <c r="CQ65" i="114" s="1"/>
  <c r="CR65" i="114" s="1"/>
  <c r="CS65" i="114" s="1"/>
  <c r="CT65" i="114" s="1"/>
  <c r="CU65" i="114" s="1"/>
  <c r="CV65" i="114" s="1"/>
  <c r="CW65" i="114" s="1"/>
  <c r="CX65" i="114" s="1"/>
  <c r="CY65" i="114" s="1"/>
  <c r="CZ65" i="114" s="1"/>
  <c r="DA65" i="114" s="1"/>
  <c r="DB65" i="114" s="1"/>
  <c r="DC65" i="114" s="1"/>
  <c r="DD65" i="114" s="1"/>
  <c r="DE65" i="114" s="1"/>
  <c r="DF65" i="114" s="1"/>
  <c r="DG65" i="114" s="1"/>
  <c r="DH65" i="114" s="1"/>
  <c r="DI65" i="114" s="1"/>
  <c r="DJ65" i="114" s="1"/>
  <c r="DK65" i="114" s="1"/>
  <c r="DL65" i="114" s="1"/>
  <c r="DM65" i="114" s="1"/>
  <c r="DN65" i="114" s="1"/>
  <c r="DO65" i="114" s="1"/>
  <c r="DP65" i="114" s="1"/>
  <c r="DQ65" i="114" s="1"/>
  <c r="DR65" i="114" s="1"/>
  <c r="DS65" i="114" s="1"/>
  <c r="DT65" i="114" s="1"/>
  <c r="DU65" i="114" s="1"/>
  <c r="F22" i="115"/>
  <c r="F16" i="115"/>
  <c r="F10" i="115"/>
  <c r="F4" i="115"/>
  <c r="G19" i="115"/>
  <c r="H19" i="115" s="1" a="1"/>
  <c r="H19" i="115" s="1"/>
  <c r="G13" i="115"/>
  <c r="H13" i="115" s="1" a="1"/>
  <c r="H13" i="115" s="1"/>
  <c r="G7" i="115"/>
  <c r="H7" i="115" s="1" a="1"/>
  <c r="H7" i="115" s="1"/>
  <c r="F21" i="115"/>
  <c r="F15" i="115"/>
  <c r="F9" i="115"/>
  <c r="G3" i="115"/>
  <c r="H3" i="115" s="1" a="1"/>
  <c r="H3" i="115" s="1"/>
  <c r="G18" i="115"/>
  <c r="H18" i="115" s="1" a="1"/>
  <c r="H18" i="115" s="1"/>
  <c r="G12" i="115"/>
  <c r="H12" i="115" s="1" a="1"/>
  <c r="H12" i="115" s="1"/>
  <c r="G6" i="115"/>
  <c r="H6" i="115" s="1" a="1"/>
  <c r="H6" i="115" s="1"/>
  <c r="F20" i="115"/>
  <c r="F14" i="115"/>
  <c r="F8" i="115"/>
  <c r="G23" i="115"/>
  <c r="H23" i="115" s="1" a="1"/>
  <c r="H23" i="115" s="1"/>
  <c r="G11" i="115"/>
  <c r="H11" i="115" s="1" a="1"/>
  <c r="H11" i="115" s="1"/>
  <c r="F13" i="115"/>
  <c r="G16" i="115"/>
  <c r="H16" i="115" s="1" a="1"/>
  <c r="H16" i="115" s="1"/>
  <c r="G10" i="115"/>
  <c r="H10" i="115" s="1" a="1"/>
  <c r="H10" i="115" s="1"/>
  <c r="G21" i="115"/>
  <c r="H21" i="115" s="1" a="1"/>
  <c r="H21" i="115" s="1"/>
  <c r="T122" i="114"/>
  <c r="U140" i="114"/>
  <c r="T136" i="114"/>
  <c r="U126" i="114"/>
  <c r="Q125" i="114"/>
  <c r="BG185" i="114"/>
  <c r="U132" i="114"/>
  <c r="Q131" i="114"/>
  <c r="U128" i="114"/>
  <c r="Q127" i="114"/>
  <c r="BG182" i="114"/>
  <c r="BL182" i="114" s="1"/>
  <c r="M66" i="114"/>
  <c r="M67" i="114" s="1"/>
  <c r="M68" i="114" s="1"/>
  <c r="M69" i="114" s="1"/>
  <c r="M70" i="114" s="1"/>
  <c r="M71" i="114" s="1"/>
  <c r="M72" i="114" s="1"/>
  <c r="M73" i="114" s="1"/>
  <c r="M74" i="114" s="1"/>
  <c r="H65" i="114" s="1"/>
  <c r="AM191" i="114"/>
  <c r="AM188" i="114"/>
  <c r="AM194" i="114"/>
  <c r="AM203" i="114"/>
  <c r="AM200" i="114"/>
  <c r="AI185" i="114"/>
  <c r="AM197" i="114"/>
  <c r="AH202" i="114"/>
  <c r="AH199" i="114"/>
  <c r="AH196" i="114"/>
  <c r="AH193" i="114"/>
  <c r="AH190" i="114"/>
  <c r="BG190" i="114" s="1"/>
  <c r="AH187" i="114"/>
  <c r="AH201" i="114"/>
  <c r="AH198" i="114"/>
  <c r="AH195" i="114"/>
  <c r="AH192" i="114"/>
  <c r="AH189" i="114"/>
  <c r="AH186" i="114"/>
  <c r="AM184" i="114"/>
  <c r="Q120" i="114"/>
  <c r="U134" i="114"/>
  <c r="Q133" i="114"/>
  <c r="R122" i="114"/>
  <c r="R141" i="114"/>
  <c r="R139" i="114"/>
  <c r="R137" i="114"/>
  <c r="R135" i="114"/>
  <c r="U130" i="114"/>
  <c r="Q129" i="114"/>
  <c r="U124" i="114"/>
  <c r="AM182" i="114"/>
  <c r="BG184" i="114"/>
  <c r="BG200" i="114"/>
  <c r="BG194" i="114"/>
  <c r="BG188" i="114"/>
  <c r="R123" i="114"/>
  <c r="U141" i="114"/>
  <c r="R140" i="114"/>
  <c r="U139" i="114"/>
  <c r="R138" i="114"/>
  <c r="U137" i="114"/>
  <c r="R136" i="114"/>
  <c r="U135" i="114"/>
  <c r="R134" i="114"/>
  <c r="U133" i="114"/>
  <c r="R132" i="114"/>
  <c r="U131" i="114"/>
  <c r="R130" i="114"/>
  <c r="U129" i="114"/>
  <c r="R128" i="114"/>
  <c r="U127" i="114"/>
  <c r="R126" i="114"/>
  <c r="U125" i="114"/>
  <c r="R124" i="114"/>
  <c r="U123" i="114"/>
  <c r="T120" i="114"/>
  <c r="N415" i="96"/>
  <c r="N414" i="96"/>
  <c r="N413" i="96"/>
  <c r="N412" i="96"/>
  <c r="N411" i="96"/>
  <c r="N410" i="96"/>
  <c r="N409" i="96"/>
  <c r="N408" i="96"/>
  <c r="N407" i="96"/>
  <c r="N406" i="96"/>
  <c r="G33" i="112"/>
  <c r="G34" i="112" s="1"/>
  <c r="F33" i="112"/>
  <c r="F34" i="112" s="1"/>
  <c r="D33" i="112"/>
  <c r="D34" i="112" s="1"/>
  <c r="G30" i="112"/>
  <c r="G31" i="112" s="1"/>
  <c r="F30" i="112"/>
  <c r="F31" i="112" s="1"/>
  <c r="D30" i="112"/>
  <c r="D31" i="112" s="1"/>
  <c r="G27" i="112"/>
  <c r="G28" i="112" s="1"/>
  <c r="F27" i="112"/>
  <c r="F28" i="112" s="1"/>
  <c r="D27" i="112"/>
  <c r="D28" i="112" s="1"/>
  <c r="G24" i="112"/>
  <c r="G25" i="112" s="1"/>
  <c r="F24" i="112"/>
  <c r="F25" i="112" s="1"/>
  <c r="D24" i="112"/>
  <c r="D25" i="112" s="1"/>
  <c r="G21" i="112"/>
  <c r="G22" i="112" s="1"/>
  <c r="F21" i="112"/>
  <c r="F22" i="112" s="1"/>
  <c r="D21" i="112"/>
  <c r="D22" i="112" s="1"/>
  <c r="G18" i="112"/>
  <c r="G19" i="112" s="1"/>
  <c r="F18" i="112"/>
  <c r="F19" i="112" s="1"/>
  <c r="D18" i="112"/>
  <c r="D19" i="112" s="1"/>
  <c r="G15" i="112"/>
  <c r="G16" i="112" s="1"/>
  <c r="F15" i="112"/>
  <c r="F16" i="112" s="1"/>
  <c r="D15" i="112"/>
  <c r="D16" i="112" s="1"/>
  <c r="G12" i="112"/>
  <c r="G13" i="112" s="1"/>
  <c r="F12" i="112"/>
  <c r="F13" i="112" s="1"/>
  <c r="D12" i="112"/>
  <c r="D13" i="112" s="1"/>
  <c r="G9" i="112"/>
  <c r="G10" i="112" s="1"/>
  <c r="F9" i="112"/>
  <c r="F10" i="112" s="1"/>
  <c r="D9" i="112"/>
  <c r="D10" i="112" s="1"/>
  <c r="C248" i="96"/>
  <c r="C249" i="96" s="1"/>
  <c r="C250" i="96" s="1"/>
  <c r="C251" i="96" s="1"/>
  <c r="C252" i="96" s="1"/>
  <c r="C253" i="96" s="1"/>
  <c r="C254" i="96" s="1"/>
  <c r="C255" i="96" s="1"/>
  <c r="C256" i="96" s="1"/>
  <c r="C257" i="96" s="1"/>
  <c r="C258" i="96" s="1"/>
  <c r="C259" i="96" s="1"/>
  <c r="C260" i="96" s="1"/>
  <c r="C261" i="96" s="1"/>
  <c r="C262" i="96" s="1"/>
  <c r="C263" i="96" s="1"/>
  <c r="C264" i="96" s="1"/>
  <c r="C265" i="96" s="1"/>
  <c r="C266" i="96" s="1"/>
  <c r="C267" i="96" s="1"/>
  <c r="C449" i="96"/>
  <c r="C450" i="96" s="1"/>
  <c r="C451" i="96" s="1"/>
  <c r="C452" i="96" s="1"/>
  <c r="C453" i="96" s="1"/>
  <c r="C454" i="96" s="1"/>
  <c r="C455" i="96" s="1"/>
  <c r="C456" i="96" s="1"/>
  <c r="C457" i="96" s="1"/>
  <c r="C458" i="96" s="1"/>
  <c r="C459" i="96" s="1"/>
  <c r="C460" i="96" s="1"/>
  <c r="C461" i="96" s="1"/>
  <c r="C462" i="96" s="1"/>
  <c r="C463" i="96" s="1"/>
  <c r="C464" i="96" s="1"/>
  <c r="C465" i="96" s="1"/>
  <c r="C466" i="96" s="1"/>
  <c r="C467" i="96" s="1"/>
  <c r="C468" i="96" s="1"/>
  <c r="C383" i="96"/>
  <c r="C384" i="96" s="1"/>
  <c r="C385" i="96" s="1"/>
  <c r="C386" i="96" s="1"/>
  <c r="C387" i="96" s="1"/>
  <c r="C388" i="96" s="1"/>
  <c r="C389" i="96" s="1"/>
  <c r="C390" i="96" s="1"/>
  <c r="C391" i="96" s="1"/>
  <c r="C392" i="96" s="1"/>
  <c r="C393" i="96" s="1"/>
  <c r="C394" i="96" s="1"/>
  <c r="C395" i="96" s="1"/>
  <c r="C396" i="96" s="1"/>
  <c r="C397" i="96" s="1"/>
  <c r="C398" i="96" s="1"/>
  <c r="C399" i="96" s="1"/>
  <c r="C400" i="96" s="1"/>
  <c r="C401" i="96" s="1"/>
  <c r="C402" i="96" s="1"/>
  <c r="C309" i="96"/>
  <c r="C310" i="96" s="1"/>
  <c r="C311" i="96" s="1"/>
  <c r="C312" i="96" s="1"/>
  <c r="C313" i="96" s="1"/>
  <c r="C314" i="96" s="1"/>
  <c r="C315" i="96" s="1"/>
  <c r="C316" i="96" s="1"/>
  <c r="C317" i="96" s="1"/>
  <c r="C318" i="96" s="1"/>
  <c r="C319" i="96" s="1"/>
  <c r="C320" i="96" s="1"/>
  <c r="C321" i="96" s="1"/>
  <c r="C322" i="96" s="1"/>
  <c r="C323" i="96" s="1"/>
  <c r="C324" i="96" s="1"/>
  <c r="C325" i="96" s="1"/>
  <c r="C326" i="96" s="1"/>
  <c r="C327" i="96" s="1"/>
  <c r="C328" i="96" s="1"/>
  <c r="C184" i="96"/>
  <c r="C185" i="96" s="1"/>
  <c r="C186" i="96" s="1"/>
  <c r="C187" i="96" s="1"/>
  <c r="C188" i="96" s="1"/>
  <c r="C189" i="96" s="1"/>
  <c r="C190" i="96" s="1"/>
  <c r="C191" i="96" s="1"/>
  <c r="C192" i="96" s="1"/>
  <c r="C193" i="96" s="1"/>
  <c r="C194" i="96" s="1"/>
  <c r="C195" i="96" s="1"/>
  <c r="C196" i="96" s="1"/>
  <c r="C197" i="96" s="1"/>
  <c r="C198" i="96" s="1"/>
  <c r="C199" i="96" s="1"/>
  <c r="C200" i="96" s="1"/>
  <c r="C201" i="96" s="1"/>
  <c r="C202" i="96" s="1"/>
  <c r="C203" i="96" s="1"/>
  <c r="C122" i="96"/>
  <c r="C123" i="96" s="1"/>
  <c r="C124" i="96" s="1"/>
  <c r="C125" i="96" s="1"/>
  <c r="C126" i="96" s="1"/>
  <c r="C127" i="96" s="1"/>
  <c r="C128" i="96" s="1"/>
  <c r="C129" i="96" s="1"/>
  <c r="C130" i="96" s="1"/>
  <c r="C131" i="96" s="1"/>
  <c r="C132" i="96" s="1"/>
  <c r="C133" i="96" s="1"/>
  <c r="C134" i="96" s="1"/>
  <c r="C135" i="96" s="1"/>
  <c r="C136" i="96" s="1"/>
  <c r="C137" i="96" s="1"/>
  <c r="C138" i="96" s="1"/>
  <c r="C139" i="96" s="1"/>
  <c r="C140" i="96" s="1"/>
  <c r="C141" i="96" s="1"/>
  <c r="I15" i="115" l="1" a="1"/>
  <c r="I15" i="115" s="1"/>
  <c r="I4" i="115" a="1"/>
  <c r="I4" i="115" s="1"/>
  <c r="I14" i="115" a="1"/>
  <c r="I14" i="115" s="1"/>
  <c r="I9" i="115" a="1"/>
  <c r="I9" i="115" s="1"/>
  <c r="I20" i="115" a="1"/>
  <c r="I20" i="115" s="1"/>
  <c r="I5" i="115" a="1"/>
  <c r="I5" i="115" s="1"/>
  <c r="I8" i="115" a="1"/>
  <c r="I8" i="115" s="1"/>
  <c r="I22" i="115" a="1"/>
  <c r="I22" i="115" s="1"/>
  <c r="J5" i="115" a="1"/>
  <c r="J5" i="115" s="1"/>
  <c r="J8" i="115" a="1"/>
  <c r="J8" i="115" s="1"/>
  <c r="J22" i="115" a="1"/>
  <c r="J22" i="115" s="1"/>
  <c r="J4" i="115" a="1"/>
  <c r="J4" i="115" s="1"/>
  <c r="J15" i="115" a="1"/>
  <c r="J15" i="115" s="1"/>
  <c r="J20" i="115" a="1"/>
  <c r="J20" i="115" s="1"/>
  <c r="J9" i="115" a="1"/>
  <c r="J9" i="115" s="1"/>
  <c r="J14" i="115" a="1"/>
  <c r="J14" i="115" s="1"/>
  <c r="M21" i="115" a="1"/>
  <c r="M21" i="115" s="1"/>
  <c r="J21" i="115" a="1"/>
  <c r="J21" i="115" s="1"/>
  <c r="I21" i="115" a="1"/>
  <c r="I21" i="115" s="1"/>
  <c r="M10" i="115" a="1"/>
  <c r="M10" i="115" s="1"/>
  <c r="J10" i="115" a="1"/>
  <c r="J10" i="115" s="1"/>
  <c r="I10" i="115" a="1"/>
  <c r="I10" i="115" s="1"/>
  <c r="M16" i="115" a="1"/>
  <c r="M16" i="115" s="1"/>
  <c r="J16" i="115" a="1"/>
  <c r="J16" i="115" s="1"/>
  <c r="I16" i="115" a="1"/>
  <c r="I16" i="115" s="1"/>
  <c r="M11" i="115" a="1"/>
  <c r="M11" i="115" s="1"/>
  <c r="J11" i="115" a="1"/>
  <c r="J11" i="115" s="1"/>
  <c r="I11" i="115" a="1"/>
  <c r="I11" i="115" s="1"/>
  <c r="M23" i="115" a="1"/>
  <c r="M23" i="115" s="1"/>
  <c r="J23" i="115" a="1"/>
  <c r="J23" i="115" s="1"/>
  <c r="I23" i="115" a="1"/>
  <c r="I23" i="115" s="1"/>
  <c r="M6" i="115" a="1"/>
  <c r="M6" i="115" s="1"/>
  <c r="J6" i="115" a="1"/>
  <c r="J6" i="115" s="1"/>
  <c r="I6" i="115" a="1"/>
  <c r="I6" i="115" s="1"/>
  <c r="M12" i="115" a="1"/>
  <c r="M12" i="115" s="1"/>
  <c r="J12" i="115" a="1"/>
  <c r="J12" i="115" s="1"/>
  <c r="I12" i="115" a="1"/>
  <c r="I12" i="115" s="1"/>
  <c r="M18" i="115" a="1"/>
  <c r="M18" i="115" s="1"/>
  <c r="J18" i="115" a="1"/>
  <c r="J18" i="115" s="1"/>
  <c r="I18" i="115" a="1"/>
  <c r="I18" i="115" s="1"/>
  <c r="M3" i="115" a="1"/>
  <c r="M3" i="115" s="1"/>
  <c r="I3" i="115" a="1"/>
  <c r="I3" i="115" s="1"/>
  <c r="J3" i="115" a="1"/>
  <c r="J3" i="115" s="1"/>
  <c r="M7" i="115" a="1"/>
  <c r="M7" i="115" s="1"/>
  <c r="J7" i="115" a="1"/>
  <c r="J7" i="115" s="1"/>
  <c r="I7" i="115" a="1"/>
  <c r="I7" i="115" s="1"/>
  <c r="M13" i="115" a="1"/>
  <c r="M13" i="115" s="1"/>
  <c r="J13" i="115" a="1"/>
  <c r="J13" i="115" s="1"/>
  <c r="I13" i="115" a="1"/>
  <c r="I13" i="115" s="1"/>
  <c r="M19" i="115" a="1"/>
  <c r="M19" i="115" s="1"/>
  <c r="J19" i="115" a="1"/>
  <c r="J19" i="115" s="1"/>
  <c r="I19" i="115" a="1"/>
  <c r="I19" i="115" s="1"/>
  <c r="M17" i="115" a="1"/>
  <c r="M17" i="115" s="1"/>
  <c r="J17" i="115" a="1"/>
  <c r="J17" i="115" s="1"/>
  <c r="I17" i="115" a="1"/>
  <c r="I17" i="115" s="1"/>
  <c r="N17" i="111"/>
  <c r="L24" i="111"/>
  <c r="L23" i="111"/>
  <c r="L33" i="111"/>
  <c r="E22" i="122"/>
  <c r="E22" i="120"/>
  <c r="E21" i="122"/>
  <c r="E21" i="120"/>
  <c r="E17" i="122"/>
  <c r="E17" i="120"/>
  <c r="O7" i="119"/>
  <c r="E16" i="122"/>
  <c r="E16" i="120"/>
  <c r="O22" i="119"/>
  <c r="E20" i="122"/>
  <c r="E20" i="120"/>
  <c r="O17" i="119"/>
  <c r="E19" i="122"/>
  <c r="E19" i="120"/>
  <c r="E10" i="122"/>
  <c r="E10" i="120"/>
  <c r="O8" i="119"/>
  <c r="E14" i="122"/>
  <c r="E14" i="120"/>
  <c r="E13" i="122"/>
  <c r="E13" i="120"/>
  <c r="AD64" i="114"/>
  <c r="AE64" i="114" s="1"/>
  <c r="AF64" i="114" s="1"/>
  <c r="AG64" i="114" s="1"/>
  <c r="AH64" i="114" s="1"/>
  <c r="AI64" i="114" s="1"/>
  <c r="AJ64" i="114" s="1"/>
  <c r="AK64" i="114" s="1"/>
  <c r="AL64" i="114" s="1"/>
  <c r="AM64" i="114" s="1"/>
  <c r="AN64" i="114" s="1"/>
  <c r="AO64" i="114" s="1"/>
  <c r="AP64" i="114" s="1"/>
  <c r="AQ64" i="114" s="1"/>
  <c r="AR64" i="114" s="1"/>
  <c r="AS64" i="114" s="1"/>
  <c r="AT64" i="114" s="1"/>
  <c r="AU64" i="114" s="1"/>
  <c r="AV64" i="114" s="1"/>
  <c r="AW64" i="114" s="1"/>
  <c r="AX64" i="114" s="1"/>
  <c r="AY64" i="114" s="1"/>
  <c r="AZ64" i="114" s="1"/>
  <c r="BA64" i="114" s="1"/>
  <c r="BB64" i="114" s="1"/>
  <c r="BC64" i="114" s="1"/>
  <c r="BD64" i="114" s="1"/>
  <c r="BE64" i="114" s="1"/>
  <c r="BF64" i="114" s="1"/>
  <c r="BG64" i="114" s="1"/>
  <c r="BH64" i="114" s="1"/>
  <c r="BI64" i="114" s="1"/>
  <c r="BJ64" i="114" s="1"/>
  <c r="BK64" i="114" s="1"/>
  <c r="BL64" i="114" s="1"/>
  <c r="BM64" i="114" s="1"/>
  <c r="BN64" i="114" s="1"/>
  <c r="BO64" i="114" s="1"/>
  <c r="BP64" i="114" s="1"/>
  <c r="BQ64" i="114" s="1"/>
  <c r="BR64" i="114" s="1"/>
  <c r="BS64" i="114" s="1"/>
  <c r="BT64" i="114" s="1"/>
  <c r="BU64" i="114" s="1"/>
  <c r="E11" i="122"/>
  <c r="E11" i="120"/>
  <c r="E4" i="122"/>
  <c r="E4" i="120"/>
  <c r="O21" i="119"/>
  <c r="E8" i="122"/>
  <c r="E8" i="120"/>
  <c r="E7" i="122"/>
  <c r="E7" i="120"/>
  <c r="C41" i="122"/>
  <c r="E41" i="122" s="1"/>
  <c r="AE166" i="122"/>
  <c r="AE168" i="122"/>
  <c r="AE170" i="122"/>
  <c r="AE172" i="122"/>
  <c r="AE174" i="122"/>
  <c r="AE167" i="122"/>
  <c r="AE169" i="122"/>
  <c r="AE171" i="122"/>
  <c r="AE173" i="122"/>
  <c r="AE175" i="122"/>
  <c r="AE177" i="122"/>
  <c r="AE179" i="122"/>
  <c r="AE181" i="122"/>
  <c r="AE183" i="122"/>
  <c r="AE185" i="122"/>
  <c r="AE187" i="122"/>
  <c r="AE189" i="122"/>
  <c r="AE191" i="122"/>
  <c r="AE176" i="122"/>
  <c r="AE117" i="122"/>
  <c r="AE122" i="122"/>
  <c r="AE186" i="122"/>
  <c r="AE116" i="122"/>
  <c r="AE120" i="122"/>
  <c r="AE178" i="122"/>
  <c r="AE118" i="122"/>
  <c r="AE126" i="122"/>
  <c r="AE128" i="122"/>
  <c r="AE130" i="122"/>
  <c r="AE132" i="122"/>
  <c r="AE134" i="122"/>
  <c r="AE121" i="122"/>
  <c r="AE135" i="122"/>
  <c r="AE137" i="122"/>
  <c r="AE139" i="122"/>
  <c r="AE188" i="122"/>
  <c r="AE129" i="122"/>
  <c r="AE133" i="122"/>
  <c r="AE190" i="122"/>
  <c r="AE127" i="122"/>
  <c r="AE182" i="122"/>
  <c r="AE119" i="122"/>
  <c r="AE136" i="122"/>
  <c r="AE138" i="122"/>
  <c r="AE141" i="122"/>
  <c r="AE143" i="122"/>
  <c r="AE145" i="122"/>
  <c r="AE147" i="122"/>
  <c r="AE149" i="122"/>
  <c r="AE180" i="122"/>
  <c r="AE184" i="122"/>
  <c r="AE131" i="122"/>
  <c r="AE148" i="122"/>
  <c r="AE146" i="122"/>
  <c r="AE151" i="122"/>
  <c r="AE153" i="122"/>
  <c r="AE155" i="122"/>
  <c r="AE157" i="122"/>
  <c r="AE159" i="122"/>
  <c r="AE161" i="122"/>
  <c r="AE123" i="122"/>
  <c r="AE125" i="122"/>
  <c r="AE144" i="122"/>
  <c r="AE152" i="122"/>
  <c r="AE154" i="122"/>
  <c r="AE156" i="122"/>
  <c r="AE158" i="122"/>
  <c r="AE142" i="122"/>
  <c r="AE69" i="122"/>
  <c r="AE71" i="122"/>
  <c r="AE73" i="122"/>
  <c r="AE75" i="122"/>
  <c r="AE77" i="122"/>
  <c r="AE79" i="122"/>
  <c r="AE81" i="122"/>
  <c r="AE83" i="122"/>
  <c r="AE85" i="122"/>
  <c r="AE87" i="122"/>
  <c r="AE89" i="122"/>
  <c r="AE91" i="122"/>
  <c r="AE70" i="122"/>
  <c r="AE82" i="122"/>
  <c r="AE140" i="122"/>
  <c r="AE150" i="122"/>
  <c r="AE163" i="122"/>
  <c r="AE165" i="122"/>
  <c r="AE68" i="122"/>
  <c r="AE124" i="122"/>
  <c r="AE78" i="122"/>
  <c r="AE160" i="122"/>
  <c r="AE74" i="122"/>
  <c r="AE86" i="122"/>
  <c r="AE94" i="122"/>
  <c r="AE96" i="122"/>
  <c r="AE98" i="122"/>
  <c r="AE100" i="122"/>
  <c r="AE102" i="122"/>
  <c r="AE104" i="122"/>
  <c r="AE106" i="122"/>
  <c r="AE67" i="122"/>
  <c r="AE72" i="122"/>
  <c r="AE103" i="122"/>
  <c r="AE107" i="122"/>
  <c r="AE109" i="122"/>
  <c r="AE111" i="122"/>
  <c r="AE113" i="122"/>
  <c r="AE115" i="122"/>
  <c r="AE84" i="122"/>
  <c r="AE108" i="122"/>
  <c r="AE76" i="122"/>
  <c r="AE101" i="122"/>
  <c r="AE80" i="122"/>
  <c r="AE92" i="122"/>
  <c r="AE95" i="122"/>
  <c r="AE99" i="122"/>
  <c r="AE114" i="122"/>
  <c r="AE162" i="122"/>
  <c r="AE88" i="122"/>
  <c r="AE66" i="122"/>
  <c r="AE105" i="122"/>
  <c r="AE93" i="122"/>
  <c r="AE97" i="122"/>
  <c r="AE110" i="122"/>
  <c r="AE164" i="122"/>
  <c r="AE90" i="122"/>
  <c r="AE112" i="122"/>
  <c r="O4" i="119"/>
  <c r="E5" i="122"/>
  <c r="E5" i="120"/>
  <c r="E23" i="122"/>
  <c r="E23" i="120"/>
  <c r="C33" i="119"/>
  <c r="E3" i="122"/>
  <c r="C134" i="119"/>
  <c r="C137" i="119"/>
  <c r="C140" i="119"/>
  <c r="C143" i="119"/>
  <c r="C146" i="119"/>
  <c r="C149" i="119"/>
  <c r="C152" i="119"/>
  <c r="C155" i="119"/>
  <c r="C158" i="119"/>
  <c r="C161" i="119"/>
  <c r="C164" i="119"/>
  <c r="C167" i="119"/>
  <c r="C170" i="119"/>
  <c r="C173" i="119"/>
  <c r="C176" i="119"/>
  <c r="C179" i="119"/>
  <c r="C182" i="119"/>
  <c r="C185" i="119"/>
  <c r="C188" i="119"/>
  <c r="C191" i="119"/>
  <c r="C194" i="119"/>
  <c r="C197" i="119"/>
  <c r="C200" i="119"/>
  <c r="C203" i="119"/>
  <c r="C206" i="119"/>
  <c r="C209" i="119"/>
  <c r="C212" i="119"/>
  <c r="C215" i="119"/>
  <c r="C218" i="119"/>
  <c r="C221" i="119"/>
  <c r="C224" i="119"/>
  <c r="C227" i="119"/>
  <c r="C230" i="119"/>
  <c r="C85" i="119"/>
  <c r="C88" i="119"/>
  <c r="C91" i="119"/>
  <c r="C94" i="119"/>
  <c r="C97" i="119"/>
  <c r="C100" i="119"/>
  <c r="C103" i="119"/>
  <c r="C106" i="119"/>
  <c r="C109" i="119"/>
  <c r="C112" i="119"/>
  <c r="C115" i="119"/>
  <c r="C118" i="119"/>
  <c r="C121" i="119"/>
  <c r="C124" i="119"/>
  <c r="C127" i="119"/>
  <c r="C130" i="119"/>
  <c r="C63" i="119"/>
  <c r="C66" i="119"/>
  <c r="C69" i="119"/>
  <c r="C72" i="119"/>
  <c r="C75" i="119"/>
  <c r="C78" i="119"/>
  <c r="C81" i="119"/>
  <c r="C40" i="119"/>
  <c r="C43" i="119"/>
  <c r="C46" i="119"/>
  <c r="C49" i="119"/>
  <c r="C52" i="119"/>
  <c r="C55" i="119"/>
  <c r="C58" i="119"/>
  <c r="C61" i="119"/>
  <c r="C36" i="119"/>
  <c r="E3" i="120"/>
  <c r="C34" i="119"/>
  <c r="C135" i="119"/>
  <c r="C138" i="119"/>
  <c r="C141" i="119"/>
  <c r="C144" i="119"/>
  <c r="C147" i="119"/>
  <c r="C150" i="119"/>
  <c r="C153" i="119"/>
  <c r="C156" i="119"/>
  <c r="C159" i="119"/>
  <c r="C162" i="119"/>
  <c r="C165" i="119"/>
  <c r="C168" i="119"/>
  <c r="C171" i="119"/>
  <c r="C174" i="119"/>
  <c r="C177" i="119"/>
  <c r="C180" i="119"/>
  <c r="C183" i="119"/>
  <c r="C186" i="119"/>
  <c r="C189" i="119"/>
  <c r="C192" i="119"/>
  <c r="C195" i="119"/>
  <c r="C198" i="119"/>
  <c r="C201" i="119"/>
  <c r="C204" i="119"/>
  <c r="C207" i="119"/>
  <c r="C210" i="119"/>
  <c r="C213" i="119"/>
  <c r="C216" i="119"/>
  <c r="C219" i="119"/>
  <c r="C222" i="119"/>
  <c r="C225" i="119"/>
  <c r="C228" i="119"/>
  <c r="C231" i="119"/>
  <c r="C83" i="119"/>
  <c r="C86" i="119"/>
  <c r="C89" i="119"/>
  <c r="C92" i="119"/>
  <c r="C95" i="119"/>
  <c r="C98" i="119"/>
  <c r="C101" i="119"/>
  <c r="C104" i="119"/>
  <c r="C107" i="119"/>
  <c r="C110" i="119"/>
  <c r="C113" i="119"/>
  <c r="C116" i="119"/>
  <c r="C119" i="119"/>
  <c r="C122" i="119"/>
  <c r="C125" i="119"/>
  <c r="C128" i="119"/>
  <c r="C131" i="119"/>
  <c r="C64" i="119"/>
  <c r="C67" i="119"/>
  <c r="C70" i="119"/>
  <c r="C73" i="119"/>
  <c r="C76" i="119"/>
  <c r="C79" i="119"/>
  <c r="C82" i="119"/>
  <c r="C41" i="119"/>
  <c r="C44" i="119"/>
  <c r="C47" i="119"/>
  <c r="C50" i="119"/>
  <c r="C53" i="119"/>
  <c r="C56" i="119"/>
  <c r="C59" i="119"/>
  <c r="C62" i="119"/>
  <c r="C37" i="119"/>
  <c r="C133" i="119"/>
  <c r="C136" i="119"/>
  <c r="C139" i="119"/>
  <c r="C142" i="119"/>
  <c r="C151" i="119"/>
  <c r="C160" i="119"/>
  <c r="C169" i="119"/>
  <c r="C178" i="119"/>
  <c r="C187" i="119"/>
  <c r="C196" i="119"/>
  <c r="C205" i="119"/>
  <c r="C214" i="119"/>
  <c r="C223" i="119"/>
  <c r="C232" i="119"/>
  <c r="C84" i="119"/>
  <c r="C93" i="119"/>
  <c r="C102" i="119"/>
  <c r="C111" i="119"/>
  <c r="C120" i="119"/>
  <c r="C129" i="119"/>
  <c r="C68" i="119"/>
  <c r="C77" i="119"/>
  <c r="C42" i="119"/>
  <c r="C51" i="119"/>
  <c r="C60" i="119"/>
  <c r="C145" i="119"/>
  <c r="C154" i="119"/>
  <c r="C163" i="119"/>
  <c r="C172" i="119"/>
  <c r="C181" i="119"/>
  <c r="C190" i="119"/>
  <c r="C199" i="119"/>
  <c r="C208" i="119"/>
  <c r="C217" i="119"/>
  <c r="C226" i="119"/>
  <c r="C87" i="119"/>
  <c r="C96" i="119"/>
  <c r="C105" i="119"/>
  <c r="C114" i="119"/>
  <c r="C123" i="119"/>
  <c r="C132" i="119"/>
  <c r="C71" i="119"/>
  <c r="C80" i="119"/>
  <c r="C45" i="119"/>
  <c r="C54" i="119"/>
  <c r="C35" i="119"/>
  <c r="C148" i="119"/>
  <c r="C157" i="119"/>
  <c r="C166" i="119"/>
  <c r="C175" i="119"/>
  <c r="C184" i="119"/>
  <c r="C193" i="119"/>
  <c r="C202" i="119"/>
  <c r="C211" i="119"/>
  <c r="C220" i="119"/>
  <c r="C229" i="119"/>
  <c r="C90" i="119"/>
  <c r="C99" i="119"/>
  <c r="C108" i="119"/>
  <c r="C117" i="119"/>
  <c r="C126" i="119"/>
  <c r="C65" i="119"/>
  <c r="C74" i="119"/>
  <c r="C39" i="119"/>
  <c r="C48" i="119"/>
  <c r="C57" i="119"/>
  <c r="C38" i="119"/>
  <c r="E15" i="122"/>
  <c r="E15" i="120"/>
  <c r="E9" i="122"/>
  <c r="E9" i="120"/>
  <c r="BF66" i="122"/>
  <c r="D40" i="122"/>
  <c r="D12" i="120"/>
  <c r="F66" i="120" s="1"/>
  <c r="Z66" i="120" s="1"/>
  <c r="AE66" i="120" s="1"/>
  <c r="D12" i="122"/>
  <c r="B47" i="122" s="1"/>
  <c r="H66" i="122"/>
  <c r="D15" i="120"/>
  <c r="D15" i="122"/>
  <c r="B50" i="122" s="1"/>
  <c r="F13" i="120"/>
  <c r="E38" i="120" s="1"/>
  <c r="F13" i="122"/>
  <c r="D6" i="120"/>
  <c r="D6" i="122"/>
  <c r="B41" i="122" s="1"/>
  <c r="D10" i="120"/>
  <c r="D10" i="122"/>
  <c r="B45" i="122" s="1"/>
  <c r="D9" i="120"/>
  <c r="D9" i="122"/>
  <c r="B44" i="122" s="1"/>
  <c r="B66" i="122"/>
  <c r="E66" i="122"/>
  <c r="F4" i="120"/>
  <c r="E36" i="120" s="1"/>
  <c r="F4" i="122"/>
  <c r="D7" i="120"/>
  <c r="D7" i="122"/>
  <c r="B42" i="122" s="1"/>
  <c r="L66" i="122"/>
  <c r="F18" i="120"/>
  <c r="F18" i="122"/>
  <c r="D17" i="120"/>
  <c r="D17" i="122"/>
  <c r="B52" i="122" s="1"/>
  <c r="F17" i="120"/>
  <c r="F17" i="122"/>
  <c r="F21" i="120"/>
  <c r="F21" i="122"/>
  <c r="AX66" i="122"/>
  <c r="D55" i="122"/>
  <c r="J66" i="122"/>
  <c r="F9" i="120"/>
  <c r="F9" i="122"/>
  <c r="Q66" i="122"/>
  <c r="F11" i="120"/>
  <c r="E39" i="120" s="1"/>
  <c r="F11" i="122"/>
  <c r="D18" i="120"/>
  <c r="D18" i="122"/>
  <c r="B53" i="122" s="1"/>
  <c r="D11" i="120"/>
  <c r="C39" i="120" s="1"/>
  <c r="D11" i="122"/>
  <c r="B46" i="122" s="1"/>
  <c r="F15" i="120"/>
  <c r="F15" i="122"/>
  <c r="D22" i="120"/>
  <c r="D22" i="122"/>
  <c r="B57" i="122" s="1"/>
  <c r="D49" i="122"/>
  <c r="AZ66" i="122"/>
  <c r="D21" i="120"/>
  <c r="D21" i="122"/>
  <c r="B56" i="122" s="1"/>
  <c r="F7" i="120"/>
  <c r="F7" i="122"/>
  <c r="D23" i="120"/>
  <c r="D23" i="122"/>
  <c r="B58" i="122" s="1"/>
  <c r="BE66" i="122"/>
  <c r="D54" i="122"/>
  <c r="F6" i="120"/>
  <c r="F6" i="122"/>
  <c r="F10" i="120"/>
  <c r="F10" i="122"/>
  <c r="F12" i="120"/>
  <c r="P66" i="120" s="1"/>
  <c r="F12" i="122"/>
  <c r="D43" i="122"/>
  <c r="AS66" i="122"/>
  <c r="D13" i="120"/>
  <c r="C38" i="120" s="1"/>
  <c r="D13" i="122"/>
  <c r="B48" i="122" s="1"/>
  <c r="R66" i="122"/>
  <c r="F23" i="120"/>
  <c r="F23" i="122"/>
  <c r="F22" i="120"/>
  <c r="F22" i="122"/>
  <c r="D51" i="122"/>
  <c r="AV66" i="122"/>
  <c r="D4" i="120"/>
  <c r="H39" i="114"/>
  <c r="I39" i="114" s="1"/>
  <c r="N8" i="119"/>
  <c r="D14" i="120"/>
  <c r="P22" i="119"/>
  <c r="F20" i="120"/>
  <c r="N22" i="119"/>
  <c r="D20" i="120"/>
  <c r="D33" i="119"/>
  <c r="F3" i="120"/>
  <c r="D135" i="119"/>
  <c r="D138" i="119"/>
  <c r="D141" i="119"/>
  <c r="D144" i="119"/>
  <c r="D147" i="119"/>
  <c r="D150" i="119"/>
  <c r="D153" i="119"/>
  <c r="D156" i="119"/>
  <c r="D159" i="119"/>
  <c r="D162" i="119"/>
  <c r="D165" i="119"/>
  <c r="D168" i="119"/>
  <c r="D171" i="119"/>
  <c r="D174" i="119"/>
  <c r="D177" i="119"/>
  <c r="D180" i="119"/>
  <c r="D183" i="119"/>
  <c r="D186" i="119"/>
  <c r="D189" i="119"/>
  <c r="D192" i="119"/>
  <c r="D134" i="119"/>
  <c r="D137" i="119"/>
  <c r="D140" i="119"/>
  <c r="D143" i="119"/>
  <c r="D146" i="119"/>
  <c r="D149" i="119"/>
  <c r="D152" i="119"/>
  <c r="D155" i="119"/>
  <c r="D158" i="119"/>
  <c r="D161" i="119"/>
  <c r="D164" i="119"/>
  <c r="D167" i="119"/>
  <c r="D170" i="119"/>
  <c r="D173" i="119"/>
  <c r="D176" i="119"/>
  <c r="D179" i="119"/>
  <c r="D182" i="119"/>
  <c r="D185" i="119"/>
  <c r="D188" i="119"/>
  <c r="D191" i="119"/>
  <c r="D194" i="119"/>
  <c r="D197" i="119"/>
  <c r="D200" i="119"/>
  <c r="D203" i="119"/>
  <c r="D206" i="119"/>
  <c r="D209" i="119"/>
  <c r="D212" i="119"/>
  <c r="D215" i="119"/>
  <c r="D218" i="119"/>
  <c r="D221" i="119"/>
  <c r="D224" i="119"/>
  <c r="D227" i="119"/>
  <c r="D230" i="119"/>
  <c r="D133" i="119"/>
  <c r="D136" i="119"/>
  <c r="D139" i="119"/>
  <c r="D142" i="119"/>
  <c r="D145" i="119"/>
  <c r="D148" i="119"/>
  <c r="D151" i="119"/>
  <c r="D154" i="119"/>
  <c r="D157" i="119"/>
  <c r="D160" i="119"/>
  <c r="D163" i="119"/>
  <c r="D166" i="119"/>
  <c r="D169" i="119"/>
  <c r="D172" i="119"/>
  <c r="D175" i="119"/>
  <c r="D178" i="119"/>
  <c r="D181" i="119"/>
  <c r="D184" i="119"/>
  <c r="D187" i="119"/>
  <c r="D190" i="119"/>
  <c r="D193" i="119"/>
  <c r="D196" i="119"/>
  <c r="D199" i="119"/>
  <c r="D202" i="119"/>
  <c r="D205" i="119"/>
  <c r="D208" i="119"/>
  <c r="D211" i="119"/>
  <c r="D214" i="119"/>
  <c r="D217" i="119"/>
  <c r="D220" i="119"/>
  <c r="D223" i="119"/>
  <c r="D226" i="119"/>
  <c r="D229" i="119"/>
  <c r="D232" i="119"/>
  <c r="D84" i="119"/>
  <c r="D87" i="119"/>
  <c r="D201" i="119"/>
  <c r="D210" i="119"/>
  <c r="D219" i="119"/>
  <c r="D228" i="119"/>
  <c r="D88" i="119"/>
  <c r="D71" i="119"/>
  <c r="D74" i="119"/>
  <c r="D42" i="119"/>
  <c r="D57" i="119"/>
  <c r="D35" i="119"/>
  <c r="D83" i="119"/>
  <c r="D90" i="119"/>
  <c r="D93" i="119"/>
  <c r="D96" i="119"/>
  <c r="D99" i="119"/>
  <c r="D102" i="119"/>
  <c r="D105" i="119"/>
  <c r="D108" i="119"/>
  <c r="D111" i="119"/>
  <c r="D114" i="119"/>
  <c r="D117" i="119"/>
  <c r="D120" i="119"/>
  <c r="D123" i="119"/>
  <c r="D126" i="119"/>
  <c r="D129" i="119"/>
  <c r="D132" i="119"/>
  <c r="D65" i="119"/>
  <c r="D68" i="119"/>
  <c r="D77" i="119"/>
  <c r="D80" i="119"/>
  <c r="D39" i="119"/>
  <c r="D45" i="119"/>
  <c r="D51" i="119"/>
  <c r="D60" i="119"/>
  <c r="D38" i="119"/>
  <c r="D195" i="119"/>
  <c r="D204" i="119"/>
  <c r="D213" i="119"/>
  <c r="D222" i="119"/>
  <c r="D231" i="119"/>
  <c r="D85" i="119"/>
  <c r="D89" i="119"/>
  <c r="D92" i="119"/>
  <c r="D95" i="119"/>
  <c r="D98" i="119"/>
  <c r="D101" i="119"/>
  <c r="D104" i="119"/>
  <c r="D107" i="119"/>
  <c r="D110" i="119"/>
  <c r="D113" i="119"/>
  <c r="D116" i="119"/>
  <c r="D119" i="119"/>
  <c r="D122" i="119"/>
  <c r="D125" i="119"/>
  <c r="D128" i="119"/>
  <c r="D131" i="119"/>
  <c r="D64" i="119"/>
  <c r="D67" i="119"/>
  <c r="D70" i="119"/>
  <c r="D73" i="119"/>
  <c r="D76" i="119"/>
  <c r="D79" i="119"/>
  <c r="D82" i="119"/>
  <c r="D41" i="119"/>
  <c r="D44" i="119"/>
  <c r="D47" i="119"/>
  <c r="D50" i="119"/>
  <c r="D53" i="119"/>
  <c r="D56" i="119"/>
  <c r="D59" i="119"/>
  <c r="D62" i="119"/>
  <c r="D37" i="119"/>
  <c r="D198" i="119"/>
  <c r="D207" i="119"/>
  <c r="D216" i="119"/>
  <c r="D225" i="119"/>
  <c r="D86" i="119"/>
  <c r="D91" i="119"/>
  <c r="D94" i="119"/>
  <c r="D97" i="119"/>
  <c r="D100" i="119"/>
  <c r="D103" i="119"/>
  <c r="D106" i="119"/>
  <c r="D109" i="119"/>
  <c r="D112" i="119"/>
  <c r="D115" i="119"/>
  <c r="D118" i="119"/>
  <c r="D121" i="119"/>
  <c r="D124" i="119"/>
  <c r="D127" i="119"/>
  <c r="D130" i="119"/>
  <c r="D63" i="119"/>
  <c r="D66" i="119"/>
  <c r="D69" i="119"/>
  <c r="D72" i="119"/>
  <c r="D75" i="119"/>
  <c r="D78" i="119"/>
  <c r="D81" i="119"/>
  <c r="D40" i="119"/>
  <c r="D43" i="119"/>
  <c r="D46" i="119"/>
  <c r="D49" i="119"/>
  <c r="D52" i="119"/>
  <c r="D55" i="119"/>
  <c r="D58" i="119"/>
  <c r="D61" i="119"/>
  <c r="D36" i="119"/>
  <c r="D48" i="119"/>
  <c r="D54" i="119"/>
  <c r="D34" i="119"/>
  <c r="N17" i="119"/>
  <c r="D19" i="120"/>
  <c r="P8" i="119"/>
  <c r="F14" i="120"/>
  <c r="P4" i="119"/>
  <c r="F5" i="120"/>
  <c r="N7" i="119"/>
  <c r="D16" i="120"/>
  <c r="P21" i="119"/>
  <c r="F8" i="120"/>
  <c r="P17" i="119"/>
  <c r="F19" i="120"/>
  <c r="B33" i="119"/>
  <c r="D3" i="120"/>
  <c r="N21" i="119"/>
  <c r="D8" i="120"/>
  <c r="P7" i="119"/>
  <c r="F16" i="120"/>
  <c r="N4" i="119"/>
  <c r="D5" i="120"/>
  <c r="F37" i="120"/>
  <c r="P6" i="119"/>
  <c r="P18" i="119"/>
  <c r="P3" i="119"/>
  <c r="P19" i="119"/>
  <c r="O19" i="119"/>
  <c r="O6" i="119"/>
  <c r="O18" i="119"/>
  <c r="O3" i="119"/>
  <c r="O9" i="119"/>
  <c r="O16" i="119"/>
  <c r="N10" i="119"/>
  <c r="N11" i="119"/>
  <c r="N20" i="119"/>
  <c r="O13" i="119"/>
  <c r="O5" i="119"/>
  <c r="O12" i="119"/>
  <c r="N23" i="119"/>
  <c r="N14" i="119"/>
  <c r="N15" i="119"/>
  <c r="N5" i="119"/>
  <c r="N12" i="119"/>
  <c r="N13" i="119"/>
  <c r="P23" i="119"/>
  <c r="P14" i="119"/>
  <c r="P15" i="119"/>
  <c r="N6" i="119"/>
  <c r="N18" i="119"/>
  <c r="N3" i="119"/>
  <c r="E33" i="119" s="1"/>
  <c r="N19" i="119"/>
  <c r="N16" i="119"/>
  <c r="N9" i="119"/>
  <c r="P5" i="119"/>
  <c r="P12" i="119"/>
  <c r="P13" i="119"/>
  <c r="O20" i="119"/>
  <c r="O10" i="119"/>
  <c r="O11" i="119"/>
  <c r="P16" i="119"/>
  <c r="P9" i="119"/>
  <c r="P10" i="119"/>
  <c r="P11" i="119"/>
  <c r="P20" i="119"/>
  <c r="N21" i="111"/>
  <c r="N26" i="111"/>
  <c r="M39" i="111"/>
  <c r="L17" i="111"/>
  <c r="M26" i="111"/>
  <c r="L42" i="111"/>
  <c r="M30" i="111"/>
  <c r="L8" i="111"/>
  <c r="L12" i="111"/>
  <c r="N41" i="111"/>
  <c r="L29" i="111"/>
  <c r="N38" i="111"/>
  <c r="M15" i="111"/>
  <c r="L19" i="111"/>
  <c r="L25" i="111"/>
  <c r="M25" i="111"/>
  <c r="M33" i="111"/>
  <c r="M29" i="111"/>
  <c r="L21" i="111"/>
  <c r="L43" i="111"/>
  <c r="N10" i="111"/>
  <c r="N6" i="111"/>
  <c r="M8" i="111"/>
  <c r="N9" i="111"/>
  <c r="L27" i="111"/>
  <c r="N42" i="111"/>
  <c r="M41" i="111"/>
  <c r="N14" i="111"/>
  <c r="N18" i="111"/>
  <c r="L18" i="111"/>
  <c r="M18" i="111"/>
  <c r="M7" i="111"/>
  <c r="M22" i="111"/>
  <c r="L22" i="111"/>
  <c r="M21" i="111"/>
  <c r="M17" i="111"/>
  <c r="L36" i="111"/>
  <c r="N33" i="111"/>
  <c r="M42" i="111"/>
  <c r="L39" i="111"/>
  <c r="L20" i="111"/>
  <c r="M11" i="111"/>
  <c r="L35" i="111"/>
  <c r="N22" i="111"/>
  <c r="N40" i="111"/>
  <c r="N5" i="111"/>
  <c r="N34" i="111"/>
  <c r="M34" i="111"/>
  <c r="L34" i="111"/>
  <c r="N23" i="111"/>
  <c r="M19" i="111"/>
  <c r="M27" i="111"/>
  <c r="M23" i="111"/>
  <c r="L32" i="111"/>
  <c r="M32" i="111"/>
  <c r="N39" i="111"/>
  <c r="L26" i="111"/>
  <c r="L30" i="111"/>
  <c r="N12" i="111"/>
  <c r="L11" i="111"/>
  <c r="N32" i="111"/>
  <c r="N24" i="111"/>
  <c r="N30" i="111"/>
  <c r="M31" i="111"/>
  <c r="L37" i="111"/>
  <c r="L15" i="111"/>
  <c r="M37" i="111"/>
  <c r="M35" i="111"/>
  <c r="L40" i="111"/>
  <c r="M40" i="111"/>
  <c r="N15" i="111"/>
  <c r="M24" i="111"/>
  <c r="L9" i="111"/>
  <c r="N37" i="111"/>
  <c r="L41" i="111"/>
  <c r="N11" i="111"/>
  <c r="N13" i="111"/>
  <c r="M28" i="111"/>
  <c r="N36" i="111"/>
  <c r="N35" i="111"/>
  <c r="M13" i="111"/>
  <c r="L38" i="111"/>
  <c r="M38" i="111"/>
  <c r="N31" i="111"/>
  <c r="L31" i="111"/>
  <c r="L10" i="111"/>
  <c r="M10" i="111"/>
  <c r="M9" i="111"/>
  <c r="N8" i="111"/>
  <c r="L6" i="111"/>
  <c r="N29" i="111"/>
  <c r="N20" i="111"/>
  <c r="M12" i="111"/>
  <c r="N7" i="111"/>
  <c r="L28" i="111"/>
  <c r="N25" i="111"/>
  <c r="L7" i="111"/>
  <c r="M5" i="111"/>
  <c r="L13" i="111"/>
  <c r="N28" i="111"/>
  <c r="L16" i="111"/>
  <c r="M16" i="111"/>
  <c r="L14" i="111"/>
  <c r="M14" i="111"/>
  <c r="N27" i="111"/>
  <c r="N16" i="111"/>
  <c r="M20" i="111"/>
  <c r="M43" i="111"/>
  <c r="N43" i="111"/>
  <c r="N19" i="111"/>
  <c r="L5" i="111"/>
  <c r="BV64" i="114"/>
  <c r="BW64" i="114" s="1"/>
  <c r="BG202" i="114"/>
  <c r="BG187" i="114"/>
  <c r="BG189" i="114"/>
  <c r="BG192" i="114"/>
  <c r="BG193" i="114"/>
  <c r="AR200" i="114"/>
  <c r="BB200" i="114" s="1"/>
  <c r="AR197" i="114"/>
  <c r="BG195" i="114"/>
  <c r="BG196" i="114"/>
  <c r="AR203" i="114"/>
  <c r="BG198" i="114"/>
  <c r="BG199" i="114"/>
  <c r="AR194" i="114"/>
  <c r="BB194" i="114" s="1"/>
  <c r="BG186" i="114"/>
  <c r="AR191" i="114"/>
  <c r="AI182" i="114"/>
  <c r="AR182" i="114"/>
  <c r="BB182" i="114" s="1"/>
  <c r="AR184" i="114"/>
  <c r="BB184" i="114" s="1"/>
  <c r="BG201" i="114"/>
  <c r="AR188" i="114"/>
  <c r="BB188" i="114" s="1"/>
  <c r="AM187" i="114"/>
  <c r="AI187" i="114"/>
  <c r="AN187" i="114" s="1"/>
  <c r="AN185" i="114"/>
  <c r="AM186" i="114"/>
  <c r="AI194" i="114"/>
  <c r="AM190" i="114"/>
  <c r="AI203" i="114"/>
  <c r="AN203" i="114" s="1"/>
  <c r="AM195" i="114"/>
  <c r="AM193" i="114"/>
  <c r="AI197" i="114"/>
  <c r="AM189" i="114"/>
  <c r="AM192" i="114"/>
  <c r="AM202" i="114"/>
  <c r="AI188" i="114"/>
  <c r="AI191" i="114"/>
  <c r="AI200" i="114"/>
  <c r="AM196" i="114"/>
  <c r="AM199" i="114"/>
  <c r="AM198" i="114"/>
  <c r="AM201" i="114"/>
  <c r="AI184" i="114"/>
  <c r="M75" i="114"/>
  <c r="M76" i="114" s="1"/>
  <c r="M77" i="114" s="1"/>
  <c r="M78" i="114" s="1"/>
  <c r="M79" i="114" s="1"/>
  <c r="M80" i="114" s="1"/>
  <c r="M81" i="114" s="1"/>
  <c r="M82" i="114" s="1"/>
  <c r="M83" i="114" s="1"/>
  <c r="M84" i="114" s="1"/>
  <c r="Q64" i="114" s="1"/>
  <c r="Q65" i="114" s="1"/>
  <c r="Q66" i="114" s="1"/>
  <c r="Q67" i="114" s="1"/>
  <c r="Q68" i="114" s="1"/>
  <c r="Q69" i="114" s="1"/>
  <c r="Q70" i="114" s="1"/>
  <c r="Q71" i="114" s="1"/>
  <c r="Q72" i="114" s="1"/>
  <c r="Q73" i="114" s="1"/>
  <c r="Q74" i="114" s="1"/>
  <c r="Q75" i="114" s="1"/>
  <c r="Q76" i="114" s="1"/>
  <c r="Q77" i="114" s="1"/>
  <c r="Q78" i="114" s="1"/>
  <c r="Q79" i="114" s="1"/>
  <c r="Q80" i="114" s="1"/>
  <c r="Q81" i="114" s="1"/>
  <c r="Q82" i="114" s="1"/>
  <c r="I65" i="114"/>
  <c r="C37" i="120" l="1"/>
  <c r="M123" i="114"/>
  <c r="M124" i="114"/>
  <c r="M125" i="114"/>
  <c r="M126" i="114"/>
  <c r="M127" i="114"/>
  <c r="M128" i="114"/>
  <c r="M129" i="114"/>
  <c r="M130" i="114"/>
  <c r="M131" i="114"/>
  <c r="M132" i="114"/>
  <c r="M133" i="114"/>
  <c r="M134" i="114"/>
  <c r="M135" i="114"/>
  <c r="M136" i="114"/>
  <c r="M137" i="114"/>
  <c r="M138" i="114"/>
  <c r="M139" i="114"/>
  <c r="M140" i="114"/>
  <c r="M141" i="114"/>
  <c r="M122" i="114"/>
  <c r="M120" i="114"/>
  <c r="N66" i="120"/>
  <c r="E66" i="120"/>
  <c r="Y66" i="120" s="1"/>
  <c r="AD66" i="120" s="1"/>
  <c r="O67" i="120" s="1"/>
  <c r="O66" i="120"/>
  <c r="L66" i="120"/>
  <c r="D66" i="120"/>
  <c r="X66" i="120" s="1"/>
  <c r="AC66" i="120" s="1"/>
  <c r="D67" i="120" s="1"/>
  <c r="H86" i="120"/>
  <c r="H163" i="120"/>
  <c r="H107" i="120"/>
  <c r="H111" i="120"/>
  <c r="H91" i="120"/>
  <c r="H127" i="120"/>
  <c r="H95" i="120"/>
  <c r="H160" i="120"/>
  <c r="H142" i="120"/>
  <c r="H123" i="120"/>
  <c r="H94" i="120"/>
  <c r="H77" i="120"/>
  <c r="H66" i="120"/>
  <c r="H129" i="120"/>
  <c r="H146" i="120"/>
  <c r="H128" i="120"/>
  <c r="H99" i="120"/>
  <c r="H161" i="120"/>
  <c r="H106" i="120"/>
  <c r="H97" i="120"/>
  <c r="H133" i="120"/>
  <c r="H120" i="120"/>
  <c r="H84" i="120"/>
  <c r="H81" i="120"/>
  <c r="H105" i="120"/>
  <c r="H71" i="120"/>
  <c r="H155" i="120"/>
  <c r="H159" i="120"/>
  <c r="H143" i="120"/>
  <c r="H124" i="120"/>
  <c r="H100" i="120"/>
  <c r="H104" i="120"/>
  <c r="H164" i="120"/>
  <c r="H145" i="120"/>
  <c r="H96" i="120"/>
  <c r="H125" i="120"/>
  <c r="H72" i="120"/>
  <c r="H103" i="120"/>
  <c r="H75" i="120"/>
  <c r="H156" i="120"/>
  <c r="H144" i="120"/>
  <c r="H131" i="120"/>
  <c r="H148" i="120"/>
  <c r="H74" i="120"/>
  <c r="H87" i="120"/>
  <c r="H70" i="120"/>
  <c r="H68" i="120"/>
  <c r="D40" i="120"/>
  <c r="F40" i="120" s="1"/>
  <c r="H110" i="120"/>
  <c r="H117" i="120"/>
  <c r="H157" i="120"/>
  <c r="H88" i="120"/>
  <c r="H158" i="120"/>
  <c r="H139" i="120"/>
  <c r="H73" i="120"/>
  <c r="H109" i="120"/>
  <c r="H102" i="120"/>
  <c r="H137" i="120"/>
  <c r="H119" i="120"/>
  <c r="H101" i="120"/>
  <c r="H83" i="120"/>
  <c r="H116" i="120"/>
  <c r="H69" i="120"/>
  <c r="H151" i="120"/>
  <c r="H147" i="120"/>
  <c r="H165" i="120"/>
  <c r="H132" i="120"/>
  <c r="H136" i="120"/>
  <c r="H82" i="120"/>
  <c r="H140" i="120"/>
  <c r="H141" i="120"/>
  <c r="H118" i="120"/>
  <c r="H89" i="120"/>
  <c r="H79" i="120"/>
  <c r="H115" i="120"/>
  <c r="H113" i="120"/>
  <c r="H154" i="120"/>
  <c r="H130" i="120"/>
  <c r="H98" i="120"/>
  <c r="H76" i="120"/>
  <c r="H92" i="120"/>
  <c r="H152" i="120"/>
  <c r="H122" i="120"/>
  <c r="H149" i="120"/>
  <c r="H78" i="120"/>
  <c r="H153" i="120"/>
  <c r="H135" i="120"/>
  <c r="H114" i="120"/>
  <c r="H93" i="120"/>
  <c r="H134" i="120"/>
  <c r="H85" i="120"/>
  <c r="H121" i="120"/>
  <c r="H162" i="120"/>
  <c r="H150" i="120"/>
  <c r="H138" i="120"/>
  <c r="H126" i="120"/>
  <c r="H108" i="120"/>
  <c r="H90" i="120"/>
  <c r="H112" i="120"/>
  <c r="H80" i="120"/>
  <c r="H67" i="120"/>
  <c r="C46" i="122"/>
  <c r="E46" i="122" s="1"/>
  <c r="Z166" i="122"/>
  <c r="Z168" i="122"/>
  <c r="Z170" i="122"/>
  <c r="Z172" i="122"/>
  <c r="Z175" i="122"/>
  <c r="Z176" i="122"/>
  <c r="Z178" i="122"/>
  <c r="Z180" i="122"/>
  <c r="Z182" i="122"/>
  <c r="Z184" i="122"/>
  <c r="Z186" i="122"/>
  <c r="Z188" i="122"/>
  <c r="Z190" i="122"/>
  <c r="Z116" i="122"/>
  <c r="Z118" i="122"/>
  <c r="Z120" i="122"/>
  <c r="Z122" i="122"/>
  <c r="Z124" i="122"/>
  <c r="Z169" i="122"/>
  <c r="Z173" i="122"/>
  <c r="Z167" i="122"/>
  <c r="Z171" i="122"/>
  <c r="Z179" i="122"/>
  <c r="Z123" i="122"/>
  <c r="Z129" i="122"/>
  <c r="Z185" i="122"/>
  <c r="Z191" i="122"/>
  <c r="Z121" i="122"/>
  <c r="Z174" i="122"/>
  <c r="Z177" i="122"/>
  <c r="Z119" i="122"/>
  <c r="Z126" i="122"/>
  <c r="Z128" i="122"/>
  <c r="Z181" i="122"/>
  <c r="Z132" i="122"/>
  <c r="Z141" i="122"/>
  <c r="Z125" i="122"/>
  <c r="Z136" i="122"/>
  <c r="Z138" i="122"/>
  <c r="Z117" i="122"/>
  <c r="Z133" i="122"/>
  <c r="Z189" i="122"/>
  <c r="Z131" i="122"/>
  <c r="Z134" i="122"/>
  <c r="Z187" i="122"/>
  <c r="Z143" i="122"/>
  <c r="Z144" i="122"/>
  <c r="Z145" i="122"/>
  <c r="Z137" i="122"/>
  <c r="Z139" i="122"/>
  <c r="Z142" i="122"/>
  <c r="Z150" i="122"/>
  <c r="Z127" i="122"/>
  <c r="Z135" i="122"/>
  <c r="Z148" i="122"/>
  <c r="Z151" i="122"/>
  <c r="Z153" i="122"/>
  <c r="Z155" i="122"/>
  <c r="Z157" i="122"/>
  <c r="Z159" i="122"/>
  <c r="Z183" i="122"/>
  <c r="Z140" i="122"/>
  <c r="Z146" i="122"/>
  <c r="Z149" i="122"/>
  <c r="Z152" i="122"/>
  <c r="Z154" i="122"/>
  <c r="Z156" i="122"/>
  <c r="Z158" i="122"/>
  <c r="Z160" i="122"/>
  <c r="Z162" i="122"/>
  <c r="Z164" i="122"/>
  <c r="Z67" i="122"/>
  <c r="Z73" i="122"/>
  <c r="Z74" i="122"/>
  <c r="Z85" i="122"/>
  <c r="Z86" i="122"/>
  <c r="Z161" i="122"/>
  <c r="Z69" i="122"/>
  <c r="Z70" i="122"/>
  <c r="Z81" i="122"/>
  <c r="Z82" i="122"/>
  <c r="Z147" i="122"/>
  <c r="Z163" i="122"/>
  <c r="Z165" i="122"/>
  <c r="Z68" i="122"/>
  <c r="Z77" i="122"/>
  <c r="Z78" i="122"/>
  <c r="Z89" i="122"/>
  <c r="Z90" i="122"/>
  <c r="Z80" i="122"/>
  <c r="Z91" i="122"/>
  <c r="Z92" i="122"/>
  <c r="Z93" i="122"/>
  <c r="Z106" i="122"/>
  <c r="Z107" i="122"/>
  <c r="Z111" i="122"/>
  <c r="Z94" i="122"/>
  <c r="Z101" i="122"/>
  <c r="Z71" i="122"/>
  <c r="Z84" i="122"/>
  <c r="Z104" i="122"/>
  <c r="Z105" i="122"/>
  <c r="Z109" i="122"/>
  <c r="Z113" i="122"/>
  <c r="Z130" i="122"/>
  <c r="Z75" i="122"/>
  <c r="Z88" i="122"/>
  <c r="Z96" i="122"/>
  <c r="Z102" i="122"/>
  <c r="Z103" i="122"/>
  <c r="Z100" i="122"/>
  <c r="Z72" i="122"/>
  <c r="Z83" i="122"/>
  <c r="Z98" i="122"/>
  <c r="Z99" i="122"/>
  <c r="Z108" i="122"/>
  <c r="Z110" i="122"/>
  <c r="Z112" i="122"/>
  <c r="Z114" i="122"/>
  <c r="Z95" i="122"/>
  <c r="Z66" i="122"/>
  <c r="Z115" i="122"/>
  <c r="Z76" i="122"/>
  <c r="Z87" i="122"/>
  <c r="Z97" i="122"/>
  <c r="Z79" i="122"/>
  <c r="C40" i="122"/>
  <c r="AL166" i="122"/>
  <c r="AL168" i="122"/>
  <c r="AL170" i="122"/>
  <c r="AL172" i="122"/>
  <c r="AL167" i="122"/>
  <c r="AL171" i="122"/>
  <c r="AL175" i="122"/>
  <c r="AL176" i="122"/>
  <c r="AL118" i="122"/>
  <c r="AL120" i="122"/>
  <c r="AL122" i="122"/>
  <c r="AL124" i="122"/>
  <c r="AL174" i="122"/>
  <c r="AL178" i="122"/>
  <c r="AL180" i="122"/>
  <c r="AL173" i="122"/>
  <c r="AL182" i="122"/>
  <c r="AL185" i="122"/>
  <c r="AL188" i="122"/>
  <c r="AL191" i="122"/>
  <c r="AL129" i="122"/>
  <c r="AL169" i="122"/>
  <c r="AL181" i="122"/>
  <c r="AL184" i="122"/>
  <c r="AL187" i="122"/>
  <c r="AL190" i="122"/>
  <c r="AL123" i="122"/>
  <c r="AL126" i="122"/>
  <c r="AL177" i="122"/>
  <c r="AL183" i="122"/>
  <c r="AL186" i="122"/>
  <c r="AL189" i="122"/>
  <c r="AL116" i="122"/>
  <c r="AL119" i="122"/>
  <c r="AL127" i="122"/>
  <c r="AL133" i="122"/>
  <c r="AL135" i="122"/>
  <c r="AL137" i="122"/>
  <c r="AL139" i="122"/>
  <c r="AL141" i="122"/>
  <c r="AL179" i="122"/>
  <c r="AL117" i="122"/>
  <c r="AL128" i="122"/>
  <c r="AL131" i="122"/>
  <c r="AL134" i="122"/>
  <c r="AL125" i="122"/>
  <c r="AL121" i="122"/>
  <c r="AL136" i="122"/>
  <c r="AL138" i="122"/>
  <c r="AL132" i="122"/>
  <c r="AL143" i="122"/>
  <c r="AL146" i="122"/>
  <c r="AL149" i="122"/>
  <c r="AL142" i="122"/>
  <c r="AL144" i="122"/>
  <c r="AL147" i="122"/>
  <c r="AL151" i="122"/>
  <c r="AL153" i="122"/>
  <c r="AL155" i="122"/>
  <c r="AL157" i="122"/>
  <c r="AL159" i="122"/>
  <c r="AL161" i="122"/>
  <c r="AL130" i="122"/>
  <c r="AL140" i="122"/>
  <c r="AL145" i="122"/>
  <c r="AL152" i="122"/>
  <c r="AL154" i="122"/>
  <c r="AL156" i="122"/>
  <c r="AL158" i="122"/>
  <c r="AL150" i="122"/>
  <c r="AL163" i="122"/>
  <c r="AL165" i="122"/>
  <c r="AL69" i="122"/>
  <c r="AL70" i="122"/>
  <c r="AL81" i="122"/>
  <c r="AL82" i="122"/>
  <c r="AL148" i="122"/>
  <c r="AL68" i="122"/>
  <c r="AL160" i="122"/>
  <c r="AL77" i="122"/>
  <c r="AL78" i="122"/>
  <c r="AL162" i="122"/>
  <c r="AL164" i="122"/>
  <c r="AL67" i="122"/>
  <c r="AL73" i="122"/>
  <c r="AL74" i="122"/>
  <c r="AL85" i="122"/>
  <c r="AL86" i="122"/>
  <c r="AL71" i="122"/>
  <c r="AL84" i="122"/>
  <c r="AL89" i="122"/>
  <c r="AL91" i="122"/>
  <c r="AL92" i="122"/>
  <c r="AL102" i="122"/>
  <c r="AL103" i="122"/>
  <c r="AL107" i="122"/>
  <c r="AL109" i="122"/>
  <c r="AL113" i="122"/>
  <c r="AL115" i="122"/>
  <c r="AL72" i="122"/>
  <c r="AL97" i="122"/>
  <c r="AL75" i="122"/>
  <c r="AL88" i="122"/>
  <c r="AL90" i="122"/>
  <c r="AL95" i="122"/>
  <c r="AL100" i="122"/>
  <c r="AL101" i="122"/>
  <c r="AL111" i="122"/>
  <c r="AL79" i="122"/>
  <c r="AL93" i="122"/>
  <c r="AL98" i="122"/>
  <c r="AL99" i="122"/>
  <c r="AL76" i="122"/>
  <c r="AL87" i="122"/>
  <c r="AL96" i="122"/>
  <c r="AL106" i="122"/>
  <c r="AL108" i="122"/>
  <c r="AL110" i="122"/>
  <c r="AL112" i="122"/>
  <c r="AL114" i="122"/>
  <c r="AL94" i="122"/>
  <c r="AL83" i="122"/>
  <c r="AL80" i="122"/>
  <c r="AL104" i="122"/>
  <c r="AL105" i="122"/>
  <c r="AL66" i="122"/>
  <c r="C43" i="122"/>
  <c r="E43" i="122" s="1"/>
  <c r="Y166" i="122"/>
  <c r="Y168" i="122"/>
  <c r="Y170" i="122"/>
  <c r="Y172" i="122"/>
  <c r="Y174" i="122"/>
  <c r="Y167" i="122"/>
  <c r="Y169" i="122"/>
  <c r="Y171" i="122"/>
  <c r="Y173" i="122"/>
  <c r="Y175" i="122"/>
  <c r="Y177" i="122"/>
  <c r="Y179" i="122"/>
  <c r="Y181" i="122"/>
  <c r="Y182" i="122"/>
  <c r="Y185" i="122"/>
  <c r="Y188" i="122"/>
  <c r="Y191" i="122"/>
  <c r="Y121" i="122"/>
  <c r="Y178" i="122"/>
  <c r="Y180" i="122"/>
  <c r="Y119" i="122"/>
  <c r="Y124" i="122"/>
  <c r="Y184" i="122"/>
  <c r="Y187" i="122"/>
  <c r="Y190" i="122"/>
  <c r="Y117" i="122"/>
  <c r="Y122" i="122"/>
  <c r="Y130" i="122"/>
  <c r="Y132" i="122"/>
  <c r="Y134" i="122"/>
  <c r="Y183" i="122"/>
  <c r="Y186" i="122"/>
  <c r="Y189" i="122"/>
  <c r="Y116" i="122"/>
  <c r="Y118" i="122"/>
  <c r="Y125" i="122"/>
  <c r="Y127" i="122"/>
  <c r="Y176" i="122"/>
  <c r="Y136" i="122"/>
  <c r="Y138" i="122"/>
  <c r="Y123" i="122"/>
  <c r="Y126" i="122"/>
  <c r="Y137" i="122"/>
  <c r="Y139" i="122"/>
  <c r="Y131" i="122"/>
  <c r="Y129" i="122"/>
  <c r="Y141" i="122"/>
  <c r="Y143" i="122"/>
  <c r="Y145" i="122"/>
  <c r="Y147" i="122"/>
  <c r="Y149" i="122"/>
  <c r="Y151" i="122"/>
  <c r="Y120" i="122"/>
  <c r="Y142" i="122"/>
  <c r="Y150" i="122"/>
  <c r="Y135" i="122"/>
  <c r="Y148" i="122"/>
  <c r="Y153" i="122"/>
  <c r="Y155" i="122"/>
  <c r="Y157" i="122"/>
  <c r="Y159" i="122"/>
  <c r="Y140" i="122"/>
  <c r="Y146" i="122"/>
  <c r="Y152" i="122"/>
  <c r="Y154" i="122"/>
  <c r="Y156" i="122"/>
  <c r="Y158" i="122"/>
  <c r="Y160" i="122"/>
  <c r="Y133" i="122"/>
  <c r="Y69" i="122"/>
  <c r="Y71" i="122"/>
  <c r="Y73" i="122"/>
  <c r="Y75" i="122"/>
  <c r="Y77" i="122"/>
  <c r="Y79" i="122"/>
  <c r="Y81" i="122"/>
  <c r="Y83" i="122"/>
  <c r="Y85" i="122"/>
  <c r="Y87" i="122"/>
  <c r="Y89" i="122"/>
  <c r="Y91" i="122"/>
  <c r="Y93" i="122"/>
  <c r="Y161" i="122"/>
  <c r="Y72" i="122"/>
  <c r="Y84" i="122"/>
  <c r="Y162" i="122"/>
  <c r="Y164" i="122"/>
  <c r="Y67" i="122"/>
  <c r="Y70" i="122"/>
  <c r="Y128" i="122"/>
  <c r="Y80" i="122"/>
  <c r="Y163" i="122"/>
  <c r="Y165" i="122"/>
  <c r="Y68" i="122"/>
  <c r="Y76" i="122"/>
  <c r="Y88" i="122"/>
  <c r="Y94" i="122"/>
  <c r="Y96" i="122"/>
  <c r="Y98" i="122"/>
  <c r="Y100" i="122"/>
  <c r="Y102" i="122"/>
  <c r="Y104" i="122"/>
  <c r="Y106" i="122"/>
  <c r="Y78" i="122"/>
  <c r="Y90" i="122"/>
  <c r="Y105" i="122"/>
  <c r="Y107" i="122"/>
  <c r="Y109" i="122"/>
  <c r="Y111" i="122"/>
  <c r="Y113" i="122"/>
  <c r="Y115" i="122"/>
  <c r="Y82" i="122"/>
  <c r="Y103" i="122"/>
  <c r="Y99" i="122"/>
  <c r="Y144" i="122"/>
  <c r="Y86" i="122"/>
  <c r="Y101" i="122"/>
  <c r="Y108" i="122"/>
  <c r="Y110" i="122"/>
  <c r="Y95" i="122"/>
  <c r="Y97" i="122"/>
  <c r="Y66" i="122"/>
  <c r="Y112" i="122"/>
  <c r="Y74" i="122"/>
  <c r="Y92" i="122"/>
  <c r="Y114" i="122"/>
  <c r="C55" i="122"/>
  <c r="AD166" i="122"/>
  <c r="AD168" i="122"/>
  <c r="AD170" i="122"/>
  <c r="AD172" i="122"/>
  <c r="AD174" i="122"/>
  <c r="AD176" i="122"/>
  <c r="AD178" i="122"/>
  <c r="AD180" i="122"/>
  <c r="AD182" i="122"/>
  <c r="AD184" i="122"/>
  <c r="AD186" i="122"/>
  <c r="AD188" i="122"/>
  <c r="AD190" i="122"/>
  <c r="AD116" i="122"/>
  <c r="AD167" i="122"/>
  <c r="AD169" i="122"/>
  <c r="AD171" i="122"/>
  <c r="AD173" i="122"/>
  <c r="AD175" i="122"/>
  <c r="AD177" i="122"/>
  <c r="AD179" i="122"/>
  <c r="AD181" i="122"/>
  <c r="AD183" i="122"/>
  <c r="AD185" i="122"/>
  <c r="AD187" i="122"/>
  <c r="AD189" i="122"/>
  <c r="AD191" i="122"/>
  <c r="AD118" i="122"/>
  <c r="AD120" i="122"/>
  <c r="AD122" i="122"/>
  <c r="AD124" i="122"/>
  <c r="AD126" i="122"/>
  <c r="AD128" i="122"/>
  <c r="AD130" i="122"/>
  <c r="AD132" i="122"/>
  <c r="AD134" i="122"/>
  <c r="AD136" i="122"/>
  <c r="AD138" i="122"/>
  <c r="AD123" i="122"/>
  <c r="AD125" i="122"/>
  <c r="AD127" i="122"/>
  <c r="AD119" i="122"/>
  <c r="AD129" i="122"/>
  <c r="AD133" i="122"/>
  <c r="AD131" i="122"/>
  <c r="AD140" i="122"/>
  <c r="AD142" i="122"/>
  <c r="AD144" i="122"/>
  <c r="AD141" i="122"/>
  <c r="AD143" i="122"/>
  <c r="AD145" i="122"/>
  <c r="AD147" i="122"/>
  <c r="AD149" i="122"/>
  <c r="AD151" i="122"/>
  <c r="AD153" i="122"/>
  <c r="AD155" i="122"/>
  <c r="AD157" i="122"/>
  <c r="AD159" i="122"/>
  <c r="AD161" i="122"/>
  <c r="AD163" i="122"/>
  <c r="AD165" i="122"/>
  <c r="AD68" i="122"/>
  <c r="AD117" i="122"/>
  <c r="AD135" i="122"/>
  <c r="AD137" i="122"/>
  <c r="AD139" i="122"/>
  <c r="AD146" i="122"/>
  <c r="AD152" i="122"/>
  <c r="AD154" i="122"/>
  <c r="AD156" i="122"/>
  <c r="AD158" i="122"/>
  <c r="AD160" i="122"/>
  <c r="AD121" i="122"/>
  <c r="AD150" i="122"/>
  <c r="AD148" i="122"/>
  <c r="AD69" i="122"/>
  <c r="AD80" i="122"/>
  <c r="AD81" i="122"/>
  <c r="AD92" i="122"/>
  <c r="AD93" i="122"/>
  <c r="AD95" i="122"/>
  <c r="AD76" i="122"/>
  <c r="AD77" i="122"/>
  <c r="AD88" i="122"/>
  <c r="AD162" i="122"/>
  <c r="AD164" i="122"/>
  <c r="AD67" i="122"/>
  <c r="AD72" i="122"/>
  <c r="AD73" i="122"/>
  <c r="AD84" i="122"/>
  <c r="AD85" i="122"/>
  <c r="AD83" i="122"/>
  <c r="AD94" i="122"/>
  <c r="AD101" i="122"/>
  <c r="AD102" i="122"/>
  <c r="AD82" i="122"/>
  <c r="AD70" i="122"/>
  <c r="AD74" i="122"/>
  <c r="AD87" i="122"/>
  <c r="AD99" i="122"/>
  <c r="AD100" i="122"/>
  <c r="AD78" i="122"/>
  <c r="AD89" i="122"/>
  <c r="AD90" i="122"/>
  <c r="AD91" i="122"/>
  <c r="AD97" i="122"/>
  <c r="AD98" i="122"/>
  <c r="AD108" i="122"/>
  <c r="AD110" i="122"/>
  <c r="AD112" i="122"/>
  <c r="AD114" i="122"/>
  <c r="AD75" i="122"/>
  <c r="AD86" i="122"/>
  <c r="AD105" i="122"/>
  <c r="AD106" i="122"/>
  <c r="AD96" i="122"/>
  <c r="AD103" i="122"/>
  <c r="AD104" i="122"/>
  <c r="AD107" i="122"/>
  <c r="AD111" i="122"/>
  <c r="AD113" i="122"/>
  <c r="AD115" i="122"/>
  <c r="AD71" i="122"/>
  <c r="AD66" i="122"/>
  <c r="AD79" i="122"/>
  <c r="AD109" i="122"/>
  <c r="C52" i="122"/>
  <c r="E52" i="122" s="1"/>
  <c r="AH167" i="122"/>
  <c r="AH169" i="122"/>
  <c r="AH171" i="122"/>
  <c r="AH173" i="122"/>
  <c r="AH166" i="122"/>
  <c r="AH168" i="122"/>
  <c r="AH170" i="122"/>
  <c r="AH172" i="122"/>
  <c r="AH174" i="122"/>
  <c r="AH176" i="122"/>
  <c r="AH179" i="122"/>
  <c r="AH175" i="122"/>
  <c r="AH181" i="122"/>
  <c r="AH184" i="122"/>
  <c r="AH187" i="122"/>
  <c r="AH190" i="122"/>
  <c r="AH121" i="122"/>
  <c r="AH119" i="122"/>
  <c r="AH124" i="122"/>
  <c r="AH183" i="122"/>
  <c r="AH186" i="122"/>
  <c r="AH189" i="122"/>
  <c r="AH116" i="122"/>
  <c r="AH117" i="122"/>
  <c r="AH122" i="122"/>
  <c r="AH129" i="122"/>
  <c r="AH131" i="122"/>
  <c r="AH133" i="122"/>
  <c r="AH180" i="122"/>
  <c r="AH182" i="122"/>
  <c r="AH185" i="122"/>
  <c r="AH188" i="122"/>
  <c r="AH191" i="122"/>
  <c r="AH118" i="122"/>
  <c r="AH128" i="122"/>
  <c r="AH132" i="122"/>
  <c r="AH130" i="122"/>
  <c r="AH126" i="122"/>
  <c r="AH178" i="122"/>
  <c r="AH120" i="122"/>
  <c r="AH127" i="122"/>
  <c r="AH134" i="122"/>
  <c r="AH140" i="122"/>
  <c r="AH142" i="122"/>
  <c r="AH144" i="122"/>
  <c r="AH146" i="122"/>
  <c r="AH148" i="122"/>
  <c r="AH150" i="122"/>
  <c r="AH145" i="122"/>
  <c r="AH177" i="122"/>
  <c r="AH141" i="122"/>
  <c r="AH123" i="122"/>
  <c r="AH125" i="122"/>
  <c r="AH135" i="122"/>
  <c r="AH136" i="122"/>
  <c r="AH137" i="122"/>
  <c r="AH138" i="122"/>
  <c r="AH139" i="122"/>
  <c r="AH143" i="122"/>
  <c r="AH149" i="122"/>
  <c r="AH151" i="122"/>
  <c r="AH152" i="122"/>
  <c r="AH153" i="122"/>
  <c r="AH154" i="122"/>
  <c r="AH155" i="122"/>
  <c r="AH156" i="122"/>
  <c r="AH157" i="122"/>
  <c r="AH158" i="122"/>
  <c r="AH159" i="122"/>
  <c r="AH160" i="122"/>
  <c r="AH161" i="122"/>
  <c r="AH162" i="122"/>
  <c r="AH163" i="122"/>
  <c r="AH164" i="122"/>
  <c r="AH165" i="122"/>
  <c r="AH67" i="122"/>
  <c r="AH68" i="122"/>
  <c r="AH70" i="122"/>
  <c r="AH72" i="122"/>
  <c r="AH74" i="122"/>
  <c r="AH76" i="122"/>
  <c r="AH78" i="122"/>
  <c r="AH80" i="122"/>
  <c r="AH82" i="122"/>
  <c r="AH84" i="122"/>
  <c r="AH86" i="122"/>
  <c r="AH88" i="122"/>
  <c r="AH90" i="122"/>
  <c r="AH92" i="122"/>
  <c r="AH75" i="122"/>
  <c r="AH87" i="122"/>
  <c r="AH71" i="122"/>
  <c r="AH83" i="122"/>
  <c r="AH69" i="122"/>
  <c r="AH147" i="122"/>
  <c r="AH79" i="122"/>
  <c r="AH91" i="122"/>
  <c r="AH93" i="122"/>
  <c r="AH95" i="122"/>
  <c r="AH97" i="122"/>
  <c r="AH99" i="122"/>
  <c r="AH101" i="122"/>
  <c r="AH103" i="122"/>
  <c r="AH105" i="122"/>
  <c r="AH77" i="122"/>
  <c r="AH108" i="122"/>
  <c r="AH110" i="122"/>
  <c r="AH112" i="122"/>
  <c r="AH114" i="122"/>
  <c r="AH109" i="122"/>
  <c r="AH111" i="122"/>
  <c r="AH113" i="122"/>
  <c r="AH81" i="122"/>
  <c r="AH96" i="122"/>
  <c r="AH106" i="122"/>
  <c r="AH66" i="122"/>
  <c r="AH85" i="122"/>
  <c r="AH94" i="122"/>
  <c r="AH104" i="122"/>
  <c r="AH89" i="122"/>
  <c r="AH100" i="122"/>
  <c r="AH98" i="122"/>
  <c r="AH102" i="122"/>
  <c r="AH107" i="122"/>
  <c r="AH115" i="122"/>
  <c r="AH73" i="122"/>
  <c r="C44" i="122"/>
  <c r="E44" i="122" s="1"/>
  <c r="AM167" i="122"/>
  <c r="AM169" i="122"/>
  <c r="AM171" i="122"/>
  <c r="AM173" i="122"/>
  <c r="AM175" i="122"/>
  <c r="AM177" i="122"/>
  <c r="AM179" i="122"/>
  <c r="AM181" i="122"/>
  <c r="AM183" i="122"/>
  <c r="AM185" i="122"/>
  <c r="AM187" i="122"/>
  <c r="AM189" i="122"/>
  <c r="AM191" i="122"/>
  <c r="AM166" i="122"/>
  <c r="AM168" i="122"/>
  <c r="AM170" i="122"/>
  <c r="AM172" i="122"/>
  <c r="AM174" i="122"/>
  <c r="AM176" i="122"/>
  <c r="AM178" i="122"/>
  <c r="AM180" i="122"/>
  <c r="AM182" i="122"/>
  <c r="AM184" i="122"/>
  <c r="AM186" i="122"/>
  <c r="AM188" i="122"/>
  <c r="AM190" i="122"/>
  <c r="AM116" i="122"/>
  <c r="AM117" i="122"/>
  <c r="AM119" i="122"/>
  <c r="AM121" i="122"/>
  <c r="AM123" i="122"/>
  <c r="AM125" i="122"/>
  <c r="AM127" i="122"/>
  <c r="AM120" i="122"/>
  <c r="AM118" i="122"/>
  <c r="AM129" i="122"/>
  <c r="AM131" i="122"/>
  <c r="AM133" i="122"/>
  <c r="AM135" i="122"/>
  <c r="AM137" i="122"/>
  <c r="AM124" i="122"/>
  <c r="AM128" i="122"/>
  <c r="AM136" i="122"/>
  <c r="AM138" i="122"/>
  <c r="AM139" i="122"/>
  <c r="AM141" i="122"/>
  <c r="AM143" i="122"/>
  <c r="AM122" i="122"/>
  <c r="AM130" i="122"/>
  <c r="AM140" i="122"/>
  <c r="AM142" i="122"/>
  <c r="AM144" i="122"/>
  <c r="AM146" i="122"/>
  <c r="AM148" i="122"/>
  <c r="AM150" i="122"/>
  <c r="AM152" i="122"/>
  <c r="AM154" i="122"/>
  <c r="AM156" i="122"/>
  <c r="AM158" i="122"/>
  <c r="AM160" i="122"/>
  <c r="AM162" i="122"/>
  <c r="AM164" i="122"/>
  <c r="AM67" i="122"/>
  <c r="AM126" i="122"/>
  <c r="AM132" i="122"/>
  <c r="AM149" i="122"/>
  <c r="AM147" i="122"/>
  <c r="AM151" i="122"/>
  <c r="AM153" i="122"/>
  <c r="AM155" i="122"/>
  <c r="AM157" i="122"/>
  <c r="AM159" i="122"/>
  <c r="AM145" i="122"/>
  <c r="AM71" i="122"/>
  <c r="AM72" i="122"/>
  <c r="AM83" i="122"/>
  <c r="AM84" i="122"/>
  <c r="AM94" i="122"/>
  <c r="AM96" i="122"/>
  <c r="AM134" i="122"/>
  <c r="AM163" i="122"/>
  <c r="AM165" i="122"/>
  <c r="AM69" i="122"/>
  <c r="AM161" i="122"/>
  <c r="AM68" i="122"/>
  <c r="AM79" i="122"/>
  <c r="AM80" i="122"/>
  <c r="AM75" i="122"/>
  <c r="AM76" i="122"/>
  <c r="AM87" i="122"/>
  <c r="AM88" i="122"/>
  <c r="AM78" i="122"/>
  <c r="AM104" i="122"/>
  <c r="AM105" i="122"/>
  <c r="AM66" i="122"/>
  <c r="AM98" i="122"/>
  <c r="AM99" i="122"/>
  <c r="AM73" i="122"/>
  <c r="AM82" i="122"/>
  <c r="AM89" i="122"/>
  <c r="AM91" i="122"/>
  <c r="AM92" i="122"/>
  <c r="AM102" i="122"/>
  <c r="AM103" i="122"/>
  <c r="AM77" i="122"/>
  <c r="AM86" i="122"/>
  <c r="AM90" i="122"/>
  <c r="AM95" i="122"/>
  <c r="AM100" i="122"/>
  <c r="AM101" i="122"/>
  <c r="AM107" i="122"/>
  <c r="AM109" i="122"/>
  <c r="AM111" i="122"/>
  <c r="AM113" i="122"/>
  <c r="AM115" i="122"/>
  <c r="AM70" i="122"/>
  <c r="AM85" i="122"/>
  <c r="AM97" i="122"/>
  <c r="AM74" i="122"/>
  <c r="AM106" i="122"/>
  <c r="AM108" i="122"/>
  <c r="AM110" i="122"/>
  <c r="AM112" i="122"/>
  <c r="AM114" i="122"/>
  <c r="AM81" i="122"/>
  <c r="AM93" i="122"/>
  <c r="J147" i="120"/>
  <c r="J163" i="120"/>
  <c r="J100" i="120"/>
  <c r="J151" i="120"/>
  <c r="J82" i="120"/>
  <c r="J130" i="120"/>
  <c r="J90" i="120"/>
  <c r="J152" i="120"/>
  <c r="J132" i="120"/>
  <c r="J110" i="120"/>
  <c r="J79" i="120"/>
  <c r="J85" i="120"/>
  <c r="J93" i="120"/>
  <c r="J129" i="120"/>
  <c r="J150" i="120"/>
  <c r="J71" i="120"/>
  <c r="J124" i="120"/>
  <c r="J97" i="120"/>
  <c r="J140" i="120"/>
  <c r="J164" i="120"/>
  <c r="J128" i="120"/>
  <c r="J104" i="120"/>
  <c r="J158" i="120"/>
  <c r="J108" i="120"/>
  <c r="J165" i="120"/>
  <c r="J148" i="120"/>
  <c r="J146" i="120"/>
  <c r="J72" i="120"/>
  <c r="J99" i="120"/>
  <c r="J135" i="120"/>
  <c r="J131" i="120"/>
  <c r="J113" i="120"/>
  <c r="J95" i="120"/>
  <c r="J70" i="120"/>
  <c r="J73" i="120"/>
  <c r="J143" i="120"/>
  <c r="J94" i="120"/>
  <c r="J126" i="120"/>
  <c r="J160" i="120"/>
  <c r="J154" i="120"/>
  <c r="J125" i="120"/>
  <c r="J159" i="120"/>
  <c r="J142" i="120"/>
  <c r="J103" i="120"/>
  <c r="J105" i="120"/>
  <c r="J77" i="120"/>
  <c r="J156" i="120"/>
  <c r="J138" i="120"/>
  <c r="J120" i="120"/>
  <c r="J102" i="120"/>
  <c r="J84" i="120"/>
  <c r="J69" i="120"/>
  <c r="J157" i="120"/>
  <c r="J88" i="120"/>
  <c r="J119" i="120"/>
  <c r="J141" i="120"/>
  <c r="J121" i="120"/>
  <c r="J145" i="120"/>
  <c r="J101" i="120"/>
  <c r="J161" i="120"/>
  <c r="J115" i="120"/>
  <c r="J83" i="120"/>
  <c r="J122" i="120"/>
  <c r="J92" i="120"/>
  <c r="J89" i="120"/>
  <c r="J75" i="120"/>
  <c r="J111" i="120"/>
  <c r="J67" i="120"/>
  <c r="D38" i="120"/>
  <c r="F38" i="120" s="1"/>
  <c r="J114" i="120"/>
  <c r="J112" i="120"/>
  <c r="J74" i="120"/>
  <c r="J118" i="120"/>
  <c r="J96" i="120"/>
  <c r="J76" i="120"/>
  <c r="J155" i="120"/>
  <c r="J136" i="120"/>
  <c r="J78" i="120"/>
  <c r="J81" i="120"/>
  <c r="J117" i="120"/>
  <c r="J162" i="120"/>
  <c r="J144" i="120"/>
  <c r="J127" i="120"/>
  <c r="J109" i="120"/>
  <c r="J91" i="120"/>
  <c r="J68" i="120"/>
  <c r="J66" i="120"/>
  <c r="J133" i="120"/>
  <c r="J107" i="120"/>
  <c r="J137" i="120"/>
  <c r="J149" i="120"/>
  <c r="J139" i="120"/>
  <c r="J106" i="120"/>
  <c r="J153" i="120"/>
  <c r="J86" i="120"/>
  <c r="J87" i="120"/>
  <c r="J123" i="120"/>
  <c r="J134" i="120"/>
  <c r="J116" i="120"/>
  <c r="J98" i="120"/>
  <c r="J80" i="120"/>
  <c r="C45" i="122"/>
  <c r="E45" i="122" s="1"/>
  <c r="AA167" i="122"/>
  <c r="AA169" i="122"/>
  <c r="AA171" i="122"/>
  <c r="AA173" i="122"/>
  <c r="AA175" i="122"/>
  <c r="AA177" i="122"/>
  <c r="AA179" i="122"/>
  <c r="AA181" i="122"/>
  <c r="AA183" i="122"/>
  <c r="AA185" i="122"/>
  <c r="AA187" i="122"/>
  <c r="AA189" i="122"/>
  <c r="AA191" i="122"/>
  <c r="AA166" i="122"/>
  <c r="AA168" i="122"/>
  <c r="AA170" i="122"/>
  <c r="AA172" i="122"/>
  <c r="AA174" i="122"/>
  <c r="AA176" i="122"/>
  <c r="AA178" i="122"/>
  <c r="AA180" i="122"/>
  <c r="AA182" i="122"/>
  <c r="AA184" i="122"/>
  <c r="AA186" i="122"/>
  <c r="AA188" i="122"/>
  <c r="AA190" i="122"/>
  <c r="AA116" i="122"/>
  <c r="AA117" i="122"/>
  <c r="AA119" i="122"/>
  <c r="AA121" i="122"/>
  <c r="AA123" i="122"/>
  <c r="AA125" i="122"/>
  <c r="AA127" i="122"/>
  <c r="AA129" i="122"/>
  <c r="AA131" i="122"/>
  <c r="AA133" i="122"/>
  <c r="AA135" i="122"/>
  <c r="AA137" i="122"/>
  <c r="AA139" i="122"/>
  <c r="AA124" i="122"/>
  <c r="AA120" i="122"/>
  <c r="AA134" i="122"/>
  <c r="AA122" i="122"/>
  <c r="AA132" i="122"/>
  <c r="AA141" i="122"/>
  <c r="AA143" i="122"/>
  <c r="AA118" i="122"/>
  <c r="AA128" i="122"/>
  <c r="AA140" i="122"/>
  <c r="AA142" i="122"/>
  <c r="AA144" i="122"/>
  <c r="AA146" i="122"/>
  <c r="AA148" i="122"/>
  <c r="AA150" i="122"/>
  <c r="AA152" i="122"/>
  <c r="AA154" i="122"/>
  <c r="AA156" i="122"/>
  <c r="AA158" i="122"/>
  <c r="AA160" i="122"/>
  <c r="AA162" i="122"/>
  <c r="AA164" i="122"/>
  <c r="AA67" i="122"/>
  <c r="AA130" i="122"/>
  <c r="AA147" i="122"/>
  <c r="AA145" i="122"/>
  <c r="AA136" i="122"/>
  <c r="AA138" i="122"/>
  <c r="AA151" i="122"/>
  <c r="AA153" i="122"/>
  <c r="AA155" i="122"/>
  <c r="AA157" i="122"/>
  <c r="AA159" i="122"/>
  <c r="AA161" i="122"/>
  <c r="AA163" i="122"/>
  <c r="AA165" i="122"/>
  <c r="AA68" i="122"/>
  <c r="AA75" i="122"/>
  <c r="AA76" i="122"/>
  <c r="AA87" i="122"/>
  <c r="AA88" i="122"/>
  <c r="AA94" i="122"/>
  <c r="AA96" i="122"/>
  <c r="AA71" i="122"/>
  <c r="AA72" i="122"/>
  <c r="AA83" i="122"/>
  <c r="AA84" i="122"/>
  <c r="AA149" i="122"/>
  <c r="AA69" i="122"/>
  <c r="AA79" i="122"/>
  <c r="AA80" i="122"/>
  <c r="AA91" i="122"/>
  <c r="AA92" i="122"/>
  <c r="AA70" i="122"/>
  <c r="AA74" i="122"/>
  <c r="AA89" i="122"/>
  <c r="AA95" i="122"/>
  <c r="AA97" i="122"/>
  <c r="AA66" i="122"/>
  <c r="AA106" i="122"/>
  <c r="AA126" i="122"/>
  <c r="AA77" i="122"/>
  <c r="AA86" i="122"/>
  <c r="AA78" i="122"/>
  <c r="AA90" i="122"/>
  <c r="AA93" i="122"/>
  <c r="AA103" i="122"/>
  <c r="AA73" i="122"/>
  <c r="AA82" i="122"/>
  <c r="AA104" i="122"/>
  <c r="AA105" i="122"/>
  <c r="AA107" i="122"/>
  <c r="AA109" i="122"/>
  <c r="AA111" i="122"/>
  <c r="AA113" i="122"/>
  <c r="AA115" i="122"/>
  <c r="AA102" i="122"/>
  <c r="AA81" i="122"/>
  <c r="AA100" i="122"/>
  <c r="AA101" i="122"/>
  <c r="AA108" i="122"/>
  <c r="AA110" i="122"/>
  <c r="AA112" i="122"/>
  <c r="AA114" i="122"/>
  <c r="AA85" i="122"/>
  <c r="AA98" i="122"/>
  <c r="AA99" i="122"/>
  <c r="G123" i="120"/>
  <c r="G109" i="120"/>
  <c r="G78" i="120"/>
  <c r="G114" i="120"/>
  <c r="G140" i="120"/>
  <c r="G146" i="120"/>
  <c r="G152" i="120"/>
  <c r="G158" i="120"/>
  <c r="G164" i="120"/>
  <c r="G110" i="120"/>
  <c r="G88" i="120"/>
  <c r="G89" i="120"/>
  <c r="G133" i="120"/>
  <c r="G115" i="120"/>
  <c r="G97" i="120"/>
  <c r="G79" i="120"/>
  <c r="G66" i="120"/>
  <c r="G75" i="120"/>
  <c r="G134" i="120"/>
  <c r="G94" i="120"/>
  <c r="G131" i="120"/>
  <c r="G84" i="120"/>
  <c r="G120" i="120"/>
  <c r="G141" i="120"/>
  <c r="G147" i="120"/>
  <c r="G153" i="120"/>
  <c r="G159" i="120"/>
  <c r="G165" i="120"/>
  <c r="G135" i="120"/>
  <c r="G106" i="120"/>
  <c r="G85" i="120"/>
  <c r="G122" i="120"/>
  <c r="G104" i="120"/>
  <c r="G86" i="120"/>
  <c r="G76" i="120"/>
  <c r="G71" i="120"/>
  <c r="G105" i="120"/>
  <c r="G91" i="120"/>
  <c r="G113" i="120"/>
  <c r="G90" i="120"/>
  <c r="G126" i="120"/>
  <c r="G142" i="120"/>
  <c r="G148" i="120"/>
  <c r="G154" i="120"/>
  <c r="G160" i="120"/>
  <c r="G74" i="120"/>
  <c r="G128" i="120"/>
  <c r="G103" i="120"/>
  <c r="G125" i="120"/>
  <c r="G137" i="120"/>
  <c r="G119" i="120"/>
  <c r="G68" i="120"/>
  <c r="G70" i="120"/>
  <c r="G130" i="120"/>
  <c r="G116" i="120"/>
  <c r="G80" i="120"/>
  <c r="G96" i="120"/>
  <c r="G132" i="120"/>
  <c r="G143" i="120"/>
  <c r="G149" i="120"/>
  <c r="G155" i="120"/>
  <c r="G161" i="120"/>
  <c r="G124" i="120"/>
  <c r="G99" i="120"/>
  <c r="G81" i="120"/>
  <c r="G107" i="120"/>
  <c r="G129" i="120"/>
  <c r="G111" i="120"/>
  <c r="G93" i="120"/>
  <c r="G101" i="120"/>
  <c r="G69" i="120"/>
  <c r="G127" i="120"/>
  <c r="G95" i="120"/>
  <c r="G102" i="120"/>
  <c r="G138" i="120"/>
  <c r="G144" i="120"/>
  <c r="G150" i="120"/>
  <c r="G156" i="120"/>
  <c r="G162" i="120"/>
  <c r="G121" i="120"/>
  <c r="G73" i="120"/>
  <c r="G136" i="120"/>
  <c r="G118" i="120"/>
  <c r="G100" i="120"/>
  <c r="G82" i="120"/>
  <c r="G83" i="120"/>
  <c r="D36" i="120"/>
  <c r="F36" i="120" s="1"/>
  <c r="G112" i="120"/>
  <c r="G98" i="120"/>
  <c r="G87" i="120"/>
  <c r="G77" i="120"/>
  <c r="G72" i="120"/>
  <c r="G108" i="120"/>
  <c r="G139" i="120"/>
  <c r="G145" i="120"/>
  <c r="G151" i="120"/>
  <c r="G157" i="120"/>
  <c r="G163" i="120"/>
  <c r="G117" i="120"/>
  <c r="G92" i="120"/>
  <c r="G67" i="120"/>
  <c r="C48" i="122"/>
  <c r="E48" i="122" s="1"/>
  <c r="AG167" i="122"/>
  <c r="AG169" i="122"/>
  <c r="AG171" i="122"/>
  <c r="AG173" i="122"/>
  <c r="AG175" i="122"/>
  <c r="AG177" i="122"/>
  <c r="AG179" i="122"/>
  <c r="AG181" i="122"/>
  <c r="AG183" i="122"/>
  <c r="AG185" i="122"/>
  <c r="AG187" i="122"/>
  <c r="AG189" i="122"/>
  <c r="AG191" i="122"/>
  <c r="AG166" i="122"/>
  <c r="AG168" i="122"/>
  <c r="AG170" i="122"/>
  <c r="AG172" i="122"/>
  <c r="AG174" i="122"/>
  <c r="AG176" i="122"/>
  <c r="AG178" i="122"/>
  <c r="AG180" i="122"/>
  <c r="AG182" i="122"/>
  <c r="AG184" i="122"/>
  <c r="AG186" i="122"/>
  <c r="AG188" i="122"/>
  <c r="AG190" i="122"/>
  <c r="AG116" i="122"/>
  <c r="AG117" i="122"/>
  <c r="AG119" i="122"/>
  <c r="AG121" i="122"/>
  <c r="AG123" i="122"/>
  <c r="AG125" i="122"/>
  <c r="AG127" i="122"/>
  <c r="AG124" i="122"/>
  <c r="AG122" i="122"/>
  <c r="AG129" i="122"/>
  <c r="AG131" i="122"/>
  <c r="AG133" i="122"/>
  <c r="AG135" i="122"/>
  <c r="AG137" i="122"/>
  <c r="AG139" i="122"/>
  <c r="AG120" i="122"/>
  <c r="AG126" i="122"/>
  <c r="AG128" i="122"/>
  <c r="AG130" i="122"/>
  <c r="AG136" i="122"/>
  <c r="AG138" i="122"/>
  <c r="AG141" i="122"/>
  <c r="AG143" i="122"/>
  <c r="AG134" i="122"/>
  <c r="AG140" i="122"/>
  <c r="AG142" i="122"/>
  <c r="AG144" i="122"/>
  <c r="AG146" i="122"/>
  <c r="AG148" i="122"/>
  <c r="AG150" i="122"/>
  <c r="AG152" i="122"/>
  <c r="AG154" i="122"/>
  <c r="AG156" i="122"/>
  <c r="AG158" i="122"/>
  <c r="AG160" i="122"/>
  <c r="AG162" i="122"/>
  <c r="AG164" i="122"/>
  <c r="AG67" i="122"/>
  <c r="AG118" i="122"/>
  <c r="AG132" i="122"/>
  <c r="AG149" i="122"/>
  <c r="AG151" i="122"/>
  <c r="AG153" i="122"/>
  <c r="AG155" i="122"/>
  <c r="AG157" i="122"/>
  <c r="AG159" i="122"/>
  <c r="AG147" i="122"/>
  <c r="AG73" i="122"/>
  <c r="AG74" i="122"/>
  <c r="AG85" i="122"/>
  <c r="AG86" i="122"/>
  <c r="AG94" i="122"/>
  <c r="AG96" i="122"/>
  <c r="AG69" i="122"/>
  <c r="AG70" i="122"/>
  <c r="AG81" i="122"/>
  <c r="AG82" i="122"/>
  <c r="AG145" i="122"/>
  <c r="AG163" i="122"/>
  <c r="AG165" i="122"/>
  <c r="AG68" i="122"/>
  <c r="AG77" i="122"/>
  <c r="AG78" i="122"/>
  <c r="AG89" i="122"/>
  <c r="AG90" i="122"/>
  <c r="AG79" i="122"/>
  <c r="AG106" i="122"/>
  <c r="AG66" i="122"/>
  <c r="AG80" i="122"/>
  <c r="AG161" i="122"/>
  <c r="AG72" i="122"/>
  <c r="AG83" i="122"/>
  <c r="AG104" i="122"/>
  <c r="AG105" i="122"/>
  <c r="AG76" i="122"/>
  <c r="AG87" i="122"/>
  <c r="AG102" i="122"/>
  <c r="AG103" i="122"/>
  <c r="AG107" i="122"/>
  <c r="AG109" i="122"/>
  <c r="AG111" i="122"/>
  <c r="AG113" i="122"/>
  <c r="AG115" i="122"/>
  <c r="AG71" i="122"/>
  <c r="AG84" i="122"/>
  <c r="AG91" i="122"/>
  <c r="AG92" i="122"/>
  <c r="AG95" i="122"/>
  <c r="AG98" i="122"/>
  <c r="AG99" i="122"/>
  <c r="AG93" i="122"/>
  <c r="AG97" i="122"/>
  <c r="AG108" i="122"/>
  <c r="AG110" i="122"/>
  <c r="AG112" i="122"/>
  <c r="AG114" i="122"/>
  <c r="AG101" i="122"/>
  <c r="AG75" i="122"/>
  <c r="AG88" i="122"/>
  <c r="AG100" i="122"/>
  <c r="C56" i="122"/>
  <c r="E56" i="122" s="1"/>
  <c r="AO167" i="122"/>
  <c r="AO169" i="122"/>
  <c r="AO171" i="122"/>
  <c r="AO173" i="122"/>
  <c r="AO117" i="122"/>
  <c r="AO119" i="122"/>
  <c r="AO121" i="122"/>
  <c r="AO123" i="122"/>
  <c r="AO176" i="122"/>
  <c r="AO177" i="122"/>
  <c r="AO166" i="122"/>
  <c r="AO170" i="122"/>
  <c r="AO174" i="122"/>
  <c r="AO175" i="122"/>
  <c r="AO178" i="122"/>
  <c r="AO180" i="122"/>
  <c r="AO182" i="122"/>
  <c r="AO184" i="122"/>
  <c r="AO186" i="122"/>
  <c r="AO188" i="122"/>
  <c r="AO190" i="122"/>
  <c r="AO116" i="122"/>
  <c r="AO168" i="122"/>
  <c r="AO124" i="122"/>
  <c r="AO128" i="122"/>
  <c r="AO185" i="122"/>
  <c r="AO191" i="122"/>
  <c r="AO122" i="122"/>
  <c r="AO120" i="122"/>
  <c r="AO179" i="122"/>
  <c r="AO126" i="122"/>
  <c r="AO130" i="122"/>
  <c r="AO140" i="122"/>
  <c r="AO189" i="122"/>
  <c r="AO118" i="122"/>
  <c r="AO127" i="122"/>
  <c r="AO133" i="122"/>
  <c r="AO181" i="122"/>
  <c r="AO172" i="122"/>
  <c r="AO187" i="122"/>
  <c r="AO134" i="122"/>
  <c r="AO183" i="122"/>
  <c r="AO125" i="122"/>
  <c r="AO129" i="122"/>
  <c r="AO132" i="122"/>
  <c r="AO135" i="122"/>
  <c r="AO136" i="122"/>
  <c r="AO137" i="122"/>
  <c r="AO138" i="122"/>
  <c r="AO148" i="122"/>
  <c r="AO139" i="122"/>
  <c r="AO146" i="122"/>
  <c r="AO131" i="122"/>
  <c r="AO142" i="122"/>
  <c r="AO143" i="122"/>
  <c r="AO144" i="122"/>
  <c r="AO149" i="122"/>
  <c r="AO147" i="122"/>
  <c r="AO151" i="122"/>
  <c r="AO152" i="122"/>
  <c r="AO153" i="122"/>
  <c r="AO154" i="122"/>
  <c r="AO155" i="122"/>
  <c r="AO156" i="122"/>
  <c r="AO157" i="122"/>
  <c r="AO158" i="122"/>
  <c r="AO159" i="122"/>
  <c r="AO160" i="122"/>
  <c r="AO161" i="122"/>
  <c r="AO162" i="122"/>
  <c r="AO163" i="122"/>
  <c r="AO164" i="122"/>
  <c r="AO165" i="122"/>
  <c r="AO67" i="122"/>
  <c r="AO74" i="122"/>
  <c r="AO75" i="122"/>
  <c r="AO86" i="122"/>
  <c r="AO87" i="122"/>
  <c r="AO150" i="122"/>
  <c r="AO70" i="122"/>
  <c r="AO71" i="122"/>
  <c r="AO82" i="122"/>
  <c r="AO83" i="122"/>
  <c r="AO68" i="122"/>
  <c r="AO141" i="122"/>
  <c r="AO145" i="122"/>
  <c r="AO78" i="122"/>
  <c r="AO79" i="122"/>
  <c r="AO90" i="122"/>
  <c r="AO91" i="122"/>
  <c r="AO80" i="122"/>
  <c r="AO96" i="122"/>
  <c r="AO108" i="122"/>
  <c r="AO112" i="122"/>
  <c r="AO114" i="122"/>
  <c r="AO101" i="122"/>
  <c r="AO84" i="122"/>
  <c r="AO94" i="122"/>
  <c r="AO105" i="122"/>
  <c r="AO106" i="122"/>
  <c r="AO110" i="122"/>
  <c r="AO73" i="122"/>
  <c r="AO88" i="122"/>
  <c r="AO89" i="122"/>
  <c r="AO92" i="122"/>
  <c r="AO103" i="122"/>
  <c r="AO104" i="122"/>
  <c r="AO66" i="122"/>
  <c r="AO95" i="122"/>
  <c r="AO72" i="122"/>
  <c r="AO81" i="122"/>
  <c r="AO93" i="122"/>
  <c r="AO99" i="122"/>
  <c r="AO100" i="122"/>
  <c r="AO107" i="122"/>
  <c r="AO109" i="122"/>
  <c r="AO111" i="122"/>
  <c r="AO113" i="122"/>
  <c r="AO115" i="122"/>
  <c r="AO97" i="122"/>
  <c r="AO98" i="122"/>
  <c r="AO77" i="122"/>
  <c r="AO76" i="122"/>
  <c r="AO85" i="122"/>
  <c r="AO69" i="122"/>
  <c r="AO102" i="122"/>
  <c r="F33" i="119"/>
  <c r="I33" i="119" s="1"/>
  <c r="E34" i="119" s="1"/>
  <c r="F34" i="119"/>
  <c r="F134" i="119"/>
  <c r="F137" i="119"/>
  <c r="F140" i="119"/>
  <c r="F143" i="119"/>
  <c r="F146" i="119"/>
  <c r="F149" i="119"/>
  <c r="F152" i="119"/>
  <c r="F155" i="119"/>
  <c r="F158" i="119"/>
  <c r="F161" i="119"/>
  <c r="F164" i="119"/>
  <c r="F167" i="119"/>
  <c r="F170" i="119"/>
  <c r="F173" i="119"/>
  <c r="F176" i="119"/>
  <c r="F179" i="119"/>
  <c r="F182" i="119"/>
  <c r="F185" i="119"/>
  <c r="F188" i="119"/>
  <c r="F191" i="119"/>
  <c r="F194" i="119"/>
  <c r="F197" i="119"/>
  <c r="F200" i="119"/>
  <c r="F203" i="119"/>
  <c r="F206" i="119"/>
  <c r="F209" i="119"/>
  <c r="F212" i="119"/>
  <c r="F215" i="119"/>
  <c r="F218" i="119"/>
  <c r="F221" i="119"/>
  <c r="F224" i="119"/>
  <c r="F227" i="119"/>
  <c r="F230" i="119"/>
  <c r="F85" i="119"/>
  <c r="F88" i="119"/>
  <c r="F91" i="119"/>
  <c r="F94" i="119"/>
  <c r="F97" i="119"/>
  <c r="F100" i="119"/>
  <c r="F103" i="119"/>
  <c r="F106" i="119"/>
  <c r="F109" i="119"/>
  <c r="F112" i="119"/>
  <c r="F115" i="119"/>
  <c r="F118" i="119"/>
  <c r="F121" i="119"/>
  <c r="F124" i="119"/>
  <c r="F127" i="119"/>
  <c r="F130" i="119"/>
  <c r="F63" i="119"/>
  <c r="F66" i="119"/>
  <c r="F69" i="119"/>
  <c r="F72" i="119"/>
  <c r="F75" i="119"/>
  <c r="F78" i="119"/>
  <c r="F81" i="119"/>
  <c r="F40" i="119"/>
  <c r="F43" i="119"/>
  <c r="F46" i="119"/>
  <c r="F49" i="119"/>
  <c r="F52" i="119"/>
  <c r="F55" i="119"/>
  <c r="F58" i="119"/>
  <c r="F61" i="119"/>
  <c r="F36" i="119"/>
  <c r="F135" i="119"/>
  <c r="F138" i="119"/>
  <c r="F141" i="119"/>
  <c r="F144" i="119"/>
  <c r="F147" i="119"/>
  <c r="F150" i="119"/>
  <c r="F153" i="119"/>
  <c r="F156" i="119"/>
  <c r="F159" i="119"/>
  <c r="F162" i="119"/>
  <c r="F165" i="119"/>
  <c r="F168" i="119"/>
  <c r="F171" i="119"/>
  <c r="F174" i="119"/>
  <c r="F177" i="119"/>
  <c r="F180" i="119"/>
  <c r="F183" i="119"/>
  <c r="F186" i="119"/>
  <c r="F189" i="119"/>
  <c r="F192" i="119"/>
  <c r="F195" i="119"/>
  <c r="F198" i="119"/>
  <c r="F201" i="119"/>
  <c r="F204" i="119"/>
  <c r="F207" i="119"/>
  <c r="F210" i="119"/>
  <c r="F213" i="119"/>
  <c r="F216" i="119"/>
  <c r="F219" i="119"/>
  <c r="F222" i="119"/>
  <c r="F225" i="119"/>
  <c r="F228" i="119"/>
  <c r="F231" i="119"/>
  <c r="F83" i="119"/>
  <c r="F86" i="119"/>
  <c r="F89" i="119"/>
  <c r="F92" i="119"/>
  <c r="F95" i="119"/>
  <c r="F98" i="119"/>
  <c r="F101" i="119"/>
  <c r="F104" i="119"/>
  <c r="F107" i="119"/>
  <c r="F110" i="119"/>
  <c r="F113" i="119"/>
  <c r="F116" i="119"/>
  <c r="F119" i="119"/>
  <c r="F122" i="119"/>
  <c r="F125" i="119"/>
  <c r="F128" i="119"/>
  <c r="F131" i="119"/>
  <c r="F64" i="119"/>
  <c r="F67" i="119"/>
  <c r="F70" i="119"/>
  <c r="F73" i="119"/>
  <c r="F76" i="119"/>
  <c r="F79" i="119"/>
  <c r="F82" i="119"/>
  <c r="F41" i="119"/>
  <c r="F44" i="119"/>
  <c r="F47" i="119"/>
  <c r="F50" i="119"/>
  <c r="F53" i="119"/>
  <c r="F56" i="119"/>
  <c r="F59" i="119"/>
  <c r="F62" i="119"/>
  <c r="F37" i="119"/>
  <c r="F139" i="119"/>
  <c r="F148" i="119"/>
  <c r="F157" i="119"/>
  <c r="F166" i="119"/>
  <c r="F175" i="119"/>
  <c r="F184" i="119"/>
  <c r="F193" i="119"/>
  <c r="F202" i="119"/>
  <c r="F211" i="119"/>
  <c r="F220" i="119"/>
  <c r="F229" i="119"/>
  <c r="F90" i="119"/>
  <c r="F99" i="119"/>
  <c r="F108" i="119"/>
  <c r="F117" i="119"/>
  <c r="F126" i="119"/>
  <c r="F65" i="119"/>
  <c r="F74" i="119"/>
  <c r="F39" i="119"/>
  <c r="F48" i="119"/>
  <c r="F57" i="119"/>
  <c r="F38" i="119"/>
  <c r="F142" i="119"/>
  <c r="F151" i="119"/>
  <c r="F160" i="119"/>
  <c r="F169" i="119"/>
  <c r="F178" i="119"/>
  <c r="F187" i="119"/>
  <c r="F196" i="119"/>
  <c r="F205" i="119"/>
  <c r="F214" i="119"/>
  <c r="F223" i="119"/>
  <c r="F232" i="119"/>
  <c r="F84" i="119"/>
  <c r="F93" i="119"/>
  <c r="F102" i="119"/>
  <c r="F111" i="119"/>
  <c r="F120" i="119"/>
  <c r="F129" i="119"/>
  <c r="F68" i="119"/>
  <c r="F77" i="119"/>
  <c r="F42" i="119"/>
  <c r="F51" i="119"/>
  <c r="F60" i="119"/>
  <c r="F133" i="119"/>
  <c r="F145" i="119"/>
  <c r="F154" i="119"/>
  <c r="F163" i="119"/>
  <c r="F172" i="119"/>
  <c r="F181" i="119"/>
  <c r="F190" i="119"/>
  <c r="F199" i="119"/>
  <c r="F208" i="119"/>
  <c r="F217" i="119"/>
  <c r="F226" i="119"/>
  <c r="F87" i="119"/>
  <c r="F96" i="119"/>
  <c r="F105" i="119"/>
  <c r="F114" i="119"/>
  <c r="F123" i="119"/>
  <c r="F132" i="119"/>
  <c r="F71" i="119"/>
  <c r="F80" i="119"/>
  <c r="F45" i="119"/>
  <c r="F54" i="119"/>
  <c r="F35" i="119"/>
  <c r="F136" i="119"/>
  <c r="C50" i="122"/>
  <c r="E50" i="122" s="1"/>
  <c r="X166" i="122"/>
  <c r="X168" i="122"/>
  <c r="X170" i="122"/>
  <c r="X172" i="122"/>
  <c r="X174" i="122"/>
  <c r="X176" i="122"/>
  <c r="X178" i="122"/>
  <c r="X180" i="122"/>
  <c r="X182" i="122"/>
  <c r="X184" i="122"/>
  <c r="X186" i="122"/>
  <c r="X188" i="122"/>
  <c r="X190" i="122"/>
  <c r="X116" i="122"/>
  <c r="X167" i="122"/>
  <c r="X169" i="122"/>
  <c r="X171" i="122"/>
  <c r="X173" i="122"/>
  <c r="X175" i="122"/>
  <c r="X177" i="122"/>
  <c r="X179" i="122"/>
  <c r="X181" i="122"/>
  <c r="X183" i="122"/>
  <c r="X185" i="122"/>
  <c r="X187" i="122"/>
  <c r="X189" i="122"/>
  <c r="X191" i="122"/>
  <c r="X117" i="122"/>
  <c r="X118" i="122"/>
  <c r="X120" i="122"/>
  <c r="X122" i="122"/>
  <c r="X124" i="122"/>
  <c r="X126" i="122"/>
  <c r="X128" i="122"/>
  <c r="X119" i="122"/>
  <c r="X130" i="122"/>
  <c r="X132" i="122"/>
  <c r="X134" i="122"/>
  <c r="X136" i="122"/>
  <c r="X138" i="122"/>
  <c r="X123" i="122"/>
  <c r="X129" i="122"/>
  <c r="X125" i="122"/>
  <c r="X137" i="122"/>
  <c r="X139" i="122"/>
  <c r="X135" i="122"/>
  <c r="X140" i="122"/>
  <c r="X142" i="122"/>
  <c r="X144" i="122"/>
  <c r="X141" i="122"/>
  <c r="X143" i="122"/>
  <c r="X145" i="122"/>
  <c r="X147" i="122"/>
  <c r="X149" i="122"/>
  <c r="X151" i="122"/>
  <c r="X153" i="122"/>
  <c r="X155" i="122"/>
  <c r="X157" i="122"/>
  <c r="X159" i="122"/>
  <c r="X161" i="122"/>
  <c r="X163" i="122"/>
  <c r="X165" i="122"/>
  <c r="X68" i="122"/>
  <c r="X150" i="122"/>
  <c r="X148" i="122"/>
  <c r="X121" i="122"/>
  <c r="X127" i="122"/>
  <c r="X146" i="122"/>
  <c r="X152" i="122"/>
  <c r="X154" i="122"/>
  <c r="X156" i="122"/>
  <c r="X158" i="122"/>
  <c r="X133" i="122"/>
  <c r="X162" i="122"/>
  <c r="X164" i="122"/>
  <c r="X67" i="122"/>
  <c r="X70" i="122"/>
  <c r="X71" i="122"/>
  <c r="X82" i="122"/>
  <c r="X83" i="122"/>
  <c r="X95" i="122"/>
  <c r="X131" i="122"/>
  <c r="X160" i="122"/>
  <c r="X69" i="122"/>
  <c r="X78" i="122"/>
  <c r="X79" i="122"/>
  <c r="X74" i="122"/>
  <c r="X75" i="122"/>
  <c r="X86" i="122"/>
  <c r="X87" i="122"/>
  <c r="X84" i="122"/>
  <c r="X103" i="122"/>
  <c r="X104" i="122"/>
  <c r="X66" i="122"/>
  <c r="X73" i="122"/>
  <c r="X88" i="122"/>
  <c r="X96" i="122"/>
  <c r="X101" i="122"/>
  <c r="X102" i="122"/>
  <c r="X77" i="122"/>
  <c r="X94" i="122"/>
  <c r="X99" i="122"/>
  <c r="X100" i="122"/>
  <c r="X108" i="122"/>
  <c r="X110" i="122"/>
  <c r="X112" i="122"/>
  <c r="X114" i="122"/>
  <c r="X76" i="122"/>
  <c r="X85" i="122"/>
  <c r="X92" i="122"/>
  <c r="X91" i="122"/>
  <c r="X105" i="122"/>
  <c r="X106" i="122"/>
  <c r="X107" i="122"/>
  <c r="X109" i="122"/>
  <c r="X111" i="122"/>
  <c r="X113" i="122"/>
  <c r="X115" i="122"/>
  <c r="X72" i="122"/>
  <c r="X81" i="122"/>
  <c r="X97" i="122"/>
  <c r="X80" i="122"/>
  <c r="X89" i="122"/>
  <c r="X90" i="122"/>
  <c r="X93" i="122"/>
  <c r="X98" i="122"/>
  <c r="C39" i="122"/>
  <c r="E39" i="122" s="1"/>
  <c r="V167" i="122"/>
  <c r="V169" i="122"/>
  <c r="V171" i="122"/>
  <c r="V173" i="122"/>
  <c r="V166" i="122"/>
  <c r="V168" i="122"/>
  <c r="V170" i="122"/>
  <c r="V172" i="122"/>
  <c r="V174" i="122"/>
  <c r="V176" i="122"/>
  <c r="V179" i="122"/>
  <c r="V181" i="122"/>
  <c r="V183" i="122"/>
  <c r="V185" i="122"/>
  <c r="V187" i="122"/>
  <c r="V189" i="122"/>
  <c r="V191" i="122"/>
  <c r="V117" i="122"/>
  <c r="V175" i="122"/>
  <c r="V178" i="122"/>
  <c r="V180" i="122"/>
  <c r="V122" i="122"/>
  <c r="V177" i="122"/>
  <c r="V184" i="122"/>
  <c r="V190" i="122"/>
  <c r="V120" i="122"/>
  <c r="V126" i="122"/>
  <c r="V127" i="122"/>
  <c r="V128" i="122"/>
  <c r="V118" i="122"/>
  <c r="V125" i="122"/>
  <c r="V129" i="122"/>
  <c r="V131" i="122"/>
  <c r="V133" i="122"/>
  <c r="V135" i="122"/>
  <c r="V121" i="122"/>
  <c r="V188" i="122"/>
  <c r="V123" i="122"/>
  <c r="V124" i="122"/>
  <c r="V130" i="122"/>
  <c r="V182" i="122"/>
  <c r="V132" i="122"/>
  <c r="V136" i="122"/>
  <c r="V137" i="122"/>
  <c r="V138" i="122"/>
  <c r="V139" i="122"/>
  <c r="V116" i="122"/>
  <c r="V140" i="122"/>
  <c r="V142" i="122"/>
  <c r="V144" i="122"/>
  <c r="V146" i="122"/>
  <c r="V148" i="122"/>
  <c r="V150" i="122"/>
  <c r="V152" i="122"/>
  <c r="V153" i="122"/>
  <c r="V154" i="122"/>
  <c r="V155" i="122"/>
  <c r="V156" i="122"/>
  <c r="V151" i="122"/>
  <c r="V134" i="122"/>
  <c r="V149" i="122"/>
  <c r="V147" i="122"/>
  <c r="V186" i="122"/>
  <c r="V119" i="122"/>
  <c r="V141" i="122"/>
  <c r="V143" i="122"/>
  <c r="V145" i="122"/>
  <c r="V70" i="122"/>
  <c r="V72" i="122"/>
  <c r="V74" i="122"/>
  <c r="V76" i="122"/>
  <c r="V78" i="122"/>
  <c r="V80" i="122"/>
  <c r="V82" i="122"/>
  <c r="V84" i="122"/>
  <c r="V86" i="122"/>
  <c r="V88" i="122"/>
  <c r="V90" i="122"/>
  <c r="V92" i="122"/>
  <c r="V157" i="122"/>
  <c r="V158" i="122"/>
  <c r="V159" i="122"/>
  <c r="V160" i="122"/>
  <c r="V79" i="122"/>
  <c r="V91" i="122"/>
  <c r="V163" i="122"/>
  <c r="V165" i="122"/>
  <c r="V68" i="122"/>
  <c r="V75" i="122"/>
  <c r="V87" i="122"/>
  <c r="V164" i="122"/>
  <c r="V67" i="122"/>
  <c r="V71" i="122"/>
  <c r="V83" i="122"/>
  <c r="V95" i="122"/>
  <c r="V97" i="122"/>
  <c r="V99" i="122"/>
  <c r="V101" i="122"/>
  <c r="V103" i="122"/>
  <c r="V105" i="122"/>
  <c r="V161" i="122"/>
  <c r="V69" i="122"/>
  <c r="V73" i="122"/>
  <c r="V94" i="122"/>
  <c r="V100" i="122"/>
  <c r="V108" i="122"/>
  <c r="V110" i="122"/>
  <c r="V112" i="122"/>
  <c r="V114" i="122"/>
  <c r="V66" i="122"/>
  <c r="V77" i="122"/>
  <c r="V98" i="122"/>
  <c r="V109" i="122"/>
  <c r="V81" i="122"/>
  <c r="V107" i="122"/>
  <c r="V111" i="122"/>
  <c r="V89" i="122"/>
  <c r="V93" i="122"/>
  <c r="V104" i="122"/>
  <c r="V162" i="122"/>
  <c r="V106" i="122"/>
  <c r="V113" i="122"/>
  <c r="V115" i="122"/>
  <c r="V96" i="122"/>
  <c r="V102" i="122"/>
  <c r="V85" i="122"/>
  <c r="C54" i="122"/>
  <c r="E54" i="122" s="1"/>
  <c r="AK166" i="122"/>
  <c r="AK168" i="122"/>
  <c r="AK170" i="122"/>
  <c r="AK172" i="122"/>
  <c r="AK174" i="122"/>
  <c r="AK167" i="122"/>
  <c r="AK169" i="122"/>
  <c r="AK171" i="122"/>
  <c r="AK173" i="122"/>
  <c r="AK175" i="122"/>
  <c r="AK177" i="122"/>
  <c r="AK178" i="122"/>
  <c r="AK179" i="122"/>
  <c r="AK181" i="122"/>
  <c r="AK183" i="122"/>
  <c r="AK185" i="122"/>
  <c r="AK187" i="122"/>
  <c r="AK189" i="122"/>
  <c r="AK191" i="122"/>
  <c r="AK118" i="122"/>
  <c r="AK184" i="122"/>
  <c r="AK190" i="122"/>
  <c r="AK123" i="122"/>
  <c r="AK126" i="122"/>
  <c r="AK121" i="122"/>
  <c r="AK125" i="122"/>
  <c r="AK127" i="122"/>
  <c r="AK128" i="122"/>
  <c r="AK130" i="122"/>
  <c r="AK132" i="122"/>
  <c r="AK134" i="122"/>
  <c r="AK117" i="122"/>
  <c r="AK122" i="122"/>
  <c r="AK182" i="122"/>
  <c r="AK119" i="122"/>
  <c r="AK120" i="122"/>
  <c r="AK131" i="122"/>
  <c r="AK176" i="122"/>
  <c r="AK116" i="122"/>
  <c r="AK180" i="122"/>
  <c r="AK129" i="122"/>
  <c r="AK136" i="122"/>
  <c r="AK138" i="122"/>
  <c r="AK186" i="122"/>
  <c r="AK133" i="122"/>
  <c r="AK135" i="122"/>
  <c r="AK137" i="122"/>
  <c r="AK139" i="122"/>
  <c r="AK141" i="122"/>
  <c r="AK143" i="122"/>
  <c r="AK145" i="122"/>
  <c r="AK147" i="122"/>
  <c r="AK149" i="122"/>
  <c r="AK124" i="122"/>
  <c r="AK142" i="122"/>
  <c r="AK144" i="122"/>
  <c r="AK151" i="122"/>
  <c r="AK153" i="122"/>
  <c r="AK155" i="122"/>
  <c r="AK140" i="122"/>
  <c r="AK152" i="122"/>
  <c r="AK154" i="122"/>
  <c r="AK156" i="122"/>
  <c r="AK158" i="122"/>
  <c r="AK160" i="122"/>
  <c r="AK188" i="122"/>
  <c r="AK150" i="122"/>
  <c r="AK148" i="122"/>
  <c r="AK69" i="122"/>
  <c r="AK71" i="122"/>
  <c r="AK73" i="122"/>
  <c r="AK75" i="122"/>
  <c r="AK77" i="122"/>
  <c r="AK79" i="122"/>
  <c r="AK81" i="122"/>
  <c r="AK83" i="122"/>
  <c r="AK85" i="122"/>
  <c r="AK87" i="122"/>
  <c r="AK89" i="122"/>
  <c r="AK91" i="122"/>
  <c r="AK68" i="122"/>
  <c r="AK80" i="122"/>
  <c r="AK92" i="122"/>
  <c r="AK146" i="122"/>
  <c r="AK161" i="122"/>
  <c r="AK76" i="122"/>
  <c r="AK88" i="122"/>
  <c r="AK162" i="122"/>
  <c r="AK164" i="122"/>
  <c r="AK67" i="122"/>
  <c r="AK157" i="122"/>
  <c r="AK159" i="122"/>
  <c r="AK72" i="122"/>
  <c r="AK84" i="122"/>
  <c r="AK94" i="122"/>
  <c r="AK96" i="122"/>
  <c r="AK98" i="122"/>
  <c r="AK100" i="122"/>
  <c r="AK102" i="122"/>
  <c r="AK104" i="122"/>
  <c r="AK106" i="122"/>
  <c r="AK82" i="122"/>
  <c r="AK90" i="122"/>
  <c r="AK95" i="122"/>
  <c r="AK101" i="122"/>
  <c r="AK107" i="122"/>
  <c r="AK109" i="122"/>
  <c r="AK111" i="122"/>
  <c r="AK113" i="122"/>
  <c r="AK115" i="122"/>
  <c r="AK165" i="122"/>
  <c r="AK70" i="122"/>
  <c r="AK110" i="122"/>
  <c r="AK112" i="122"/>
  <c r="AK114" i="122"/>
  <c r="AK86" i="122"/>
  <c r="AK93" i="122"/>
  <c r="AK99" i="122"/>
  <c r="AK163" i="122"/>
  <c r="AK97" i="122"/>
  <c r="AK74" i="122"/>
  <c r="AK105" i="122"/>
  <c r="AK66" i="122"/>
  <c r="AK108" i="122"/>
  <c r="AK78" i="122"/>
  <c r="AK103" i="122"/>
  <c r="C51" i="122"/>
  <c r="E51" i="122" s="1"/>
  <c r="AB167" i="122"/>
  <c r="AB169" i="122"/>
  <c r="AB171" i="122"/>
  <c r="AB173" i="122"/>
  <c r="AB166" i="122"/>
  <c r="AB168" i="122"/>
  <c r="AB170" i="122"/>
  <c r="AB172" i="122"/>
  <c r="AB174" i="122"/>
  <c r="AB176" i="122"/>
  <c r="AB177" i="122"/>
  <c r="AB175" i="122"/>
  <c r="AB178" i="122"/>
  <c r="AB179" i="122"/>
  <c r="AB181" i="122"/>
  <c r="AB183" i="122"/>
  <c r="AB185" i="122"/>
  <c r="AB187" i="122"/>
  <c r="AB189" i="122"/>
  <c r="AB191" i="122"/>
  <c r="AB118" i="122"/>
  <c r="AB125" i="122"/>
  <c r="AB126" i="122"/>
  <c r="AB127" i="122"/>
  <c r="AB128" i="122"/>
  <c r="AB182" i="122"/>
  <c r="AB188" i="122"/>
  <c r="AB123" i="122"/>
  <c r="AB180" i="122"/>
  <c r="AB121" i="122"/>
  <c r="AB129" i="122"/>
  <c r="AB131" i="122"/>
  <c r="AB133" i="122"/>
  <c r="AB135" i="122"/>
  <c r="AB117" i="122"/>
  <c r="AB122" i="122"/>
  <c r="AB116" i="122"/>
  <c r="AB184" i="122"/>
  <c r="AB124" i="122"/>
  <c r="AB134" i="122"/>
  <c r="AB186" i="122"/>
  <c r="AB119" i="122"/>
  <c r="AB120" i="122"/>
  <c r="AB130" i="122"/>
  <c r="AB140" i="122"/>
  <c r="AB142" i="122"/>
  <c r="AB144" i="122"/>
  <c r="AB146" i="122"/>
  <c r="AB148" i="122"/>
  <c r="AB150" i="122"/>
  <c r="AB190" i="122"/>
  <c r="AB141" i="122"/>
  <c r="AB149" i="122"/>
  <c r="AB143" i="122"/>
  <c r="AB147" i="122"/>
  <c r="AB145" i="122"/>
  <c r="AB136" i="122"/>
  <c r="AB137" i="122"/>
  <c r="AB138" i="122"/>
  <c r="AB139" i="122"/>
  <c r="AB132" i="122"/>
  <c r="AB70" i="122"/>
  <c r="AB72" i="122"/>
  <c r="AB74" i="122"/>
  <c r="AB76" i="122"/>
  <c r="AB78" i="122"/>
  <c r="AB80" i="122"/>
  <c r="AB82" i="122"/>
  <c r="AB84" i="122"/>
  <c r="AB86" i="122"/>
  <c r="AB88" i="122"/>
  <c r="AB90" i="122"/>
  <c r="AB92" i="122"/>
  <c r="AB77" i="122"/>
  <c r="AB89" i="122"/>
  <c r="AB152" i="122"/>
  <c r="AB154" i="122"/>
  <c r="AB156" i="122"/>
  <c r="AB157" i="122"/>
  <c r="AB158" i="122"/>
  <c r="AB159" i="122"/>
  <c r="AB160" i="122"/>
  <c r="AB161" i="122"/>
  <c r="AB162" i="122"/>
  <c r="AB164" i="122"/>
  <c r="AB67" i="122"/>
  <c r="AB73" i="122"/>
  <c r="AB85" i="122"/>
  <c r="AB151" i="122"/>
  <c r="AB153" i="122"/>
  <c r="AB155" i="122"/>
  <c r="AB69" i="122"/>
  <c r="AB81" i="122"/>
  <c r="AB93" i="122"/>
  <c r="AB95" i="122"/>
  <c r="AB97" i="122"/>
  <c r="AB99" i="122"/>
  <c r="AB101" i="122"/>
  <c r="AB103" i="122"/>
  <c r="AB105" i="122"/>
  <c r="AB87" i="122"/>
  <c r="AB98" i="122"/>
  <c r="AB108" i="122"/>
  <c r="AB110" i="122"/>
  <c r="AB112" i="122"/>
  <c r="AB114" i="122"/>
  <c r="AB107" i="122"/>
  <c r="AB163" i="122"/>
  <c r="AB91" i="122"/>
  <c r="AB165" i="122"/>
  <c r="AB71" i="122"/>
  <c r="AB106" i="122"/>
  <c r="AB109" i="122"/>
  <c r="AB113" i="122"/>
  <c r="AB115" i="122"/>
  <c r="AB79" i="122"/>
  <c r="AB94" i="122"/>
  <c r="AB102" i="122"/>
  <c r="AB100" i="122"/>
  <c r="AB66" i="122"/>
  <c r="AB68" i="122"/>
  <c r="AB104" i="122"/>
  <c r="AB111" i="122"/>
  <c r="AB83" i="122"/>
  <c r="AB75" i="122"/>
  <c r="AB96" i="122"/>
  <c r="BX64" i="114"/>
  <c r="BY64" i="114" s="1"/>
  <c r="BZ64" i="114" s="1"/>
  <c r="CA64" i="114" s="1"/>
  <c r="CB64" i="114" s="1"/>
  <c r="CC64" i="114" s="1"/>
  <c r="CD64" i="114" s="1"/>
  <c r="CE64" i="114" s="1"/>
  <c r="CF64" i="114" s="1"/>
  <c r="CG64" i="114" s="1"/>
  <c r="CH64" i="114" s="1"/>
  <c r="CI64" i="114" s="1"/>
  <c r="CJ64" i="114" s="1"/>
  <c r="CK64" i="114" s="1"/>
  <c r="CL64" i="114" s="1"/>
  <c r="CM64" i="114" s="1"/>
  <c r="CN64" i="114" s="1"/>
  <c r="CO64" i="114" s="1"/>
  <c r="CP64" i="114" s="1"/>
  <c r="CQ64" i="114" s="1"/>
  <c r="CR64" i="114" s="1"/>
  <c r="CS64" i="114" s="1"/>
  <c r="CT64" i="114" s="1"/>
  <c r="CU64" i="114" s="1"/>
  <c r="CV64" i="114" s="1"/>
  <c r="CW64" i="114" s="1"/>
  <c r="CX64" i="114" s="1"/>
  <c r="CY64" i="114" s="1"/>
  <c r="CZ64" i="114" s="1"/>
  <c r="DA64" i="114" s="1"/>
  <c r="DB64" i="114" s="1"/>
  <c r="DC64" i="114" s="1"/>
  <c r="DD64" i="114" s="1"/>
  <c r="DE64" i="114" s="1"/>
  <c r="DF64" i="114" s="1"/>
  <c r="DG64" i="114" s="1"/>
  <c r="DH64" i="114" s="1"/>
  <c r="DI64" i="114" s="1"/>
  <c r="DJ64" i="114" s="1"/>
  <c r="DK64" i="114" s="1"/>
  <c r="DL64" i="114" s="1"/>
  <c r="DM64" i="114" s="1"/>
  <c r="DN64" i="114" s="1"/>
  <c r="DO64" i="114" s="1"/>
  <c r="DP64" i="114" s="1"/>
  <c r="DQ64" i="114" s="1"/>
  <c r="DR64" i="114" s="1"/>
  <c r="DS64" i="114" s="1"/>
  <c r="DT64" i="114" s="1"/>
  <c r="DU64" i="114" s="1"/>
  <c r="H66" i="114"/>
  <c r="I66" i="114" s="1"/>
  <c r="H72" i="114"/>
  <c r="I72" i="114" s="1"/>
  <c r="H78" i="114"/>
  <c r="I78" i="114" s="1"/>
  <c r="H84" i="114"/>
  <c r="H67" i="114"/>
  <c r="I67" i="114" s="1"/>
  <c r="H73" i="114"/>
  <c r="I73" i="114" s="1"/>
  <c r="H79" i="114"/>
  <c r="I79" i="114" s="1"/>
  <c r="H68" i="114"/>
  <c r="I68" i="114" s="1"/>
  <c r="H74" i="114"/>
  <c r="I74" i="114" s="1"/>
  <c r="H80" i="114"/>
  <c r="I80" i="114" s="1"/>
  <c r="H69" i="114"/>
  <c r="I69" i="114" s="1"/>
  <c r="H75" i="114"/>
  <c r="I75" i="114" s="1"/>
  <c r="H81" i="114"/>
  <c r="I81" i="114" s="1"/>
  <c r="H70" i="114"/>
  <c r="I70" i="114" s="1"/>
  <c r="H76" i="114"/>
  <c r="I76" i="114" s="1"/>
  <c r="H82" i="114"/>
  <c r="I82" i="114" s="1"/>
  <c r="H71" i="114"/>
  <c r="H77" i="114"/>
  <c r="I77" i="114" s="1"/>
  <c r="H83" i="114"/>
  <c r="I83" i="114" s="1"/>
  <c r="P67" i="120"/>
  <c r="C58" i="122"/>
  <c r="E58" i="122" s="1"/>
  <c r="AC167" i="122"/>
  <c r="AC169" i="122"/>
  <c r="AC171" i="122"/>
  <c r="AC166" i="122"/>
  <c r="AC170" i="122"/>
  <c r="AC117" i="122"/>
  <c r="AC119" i="122"/>
  <c r="AC121" i="122"/>
  <c r="AC123" i="122"/>
  <c r="AC176" i="122"/>
  <c r="AC177" i="122"/>
  <c r="AC173" i="122"/>
  <c r="AC175" i="122"/>
  <c r="AC178" i="122"/>
  <c r="AC180" i="122"/>
  <c r="AC174" i="122"/>
  <c r="AC183" i="122"/>
  <c r="AC186" i="122"/>
  <c r="AC189" i="122"/>
  <c r="AC116" i="122"/>
  <c r="AC120" i="122"/>
  <c r="AC130" i="122"/>
  <c r="AC179" i="122"/>
  <c r="AC118" i="122"/>
  <c r="AC125" i="122"/>
  <c r="AC126" i="122"/>
  <c r="AC127" i="122"/>
  <c r="AC128" i="122"/>
  <c r="AC172" i="122"/>
  <c r="AC182" i="122"/>
  <c r="AC185" i="122"/>
  <c r="AC188" i="122"/>
  <c r="AC191" i="122"/>
  <c r="AC181" i="122"/>
  <c r="AC184" i="122"/>
  <c r="AC187" i="122"/>
  <c r="AC190" i="122"/>
  <c r="AC124" i="122"/>
  <c r="AC129" i="122"/>
  <c r="AC131" i="122"/>
  <c r="AC140" i="122"/>
  <c r="AC142" i="122"/>
  <c r="AC135" i="122"/>
  <c r="AC136" i="122"/>
  <c r="AC137" i="122"/>
  <c r="AC138" i="122"/>
  <c r="AC139" i="122"/>
  <c r="AC168" i="122"/>
  <c r="AC133" i="122"/>
  <c r="AC151" i="122"/>
  <c r="AC152" i="122"/>
  <c r="AC153" i="122"/>
  <c r="AC154" i="122"/>
  <c r="AC155" i="122"/>
  <c r="AC141" i="122"/>
  <c r="AC144" i="122"/>
  <c r="AC149" i="122"/>
  <c r="AC143" i="122"/>
  <c r="AC147" i="122"/>
  <c r="AC134" i="122"/>
  <c r="AC145" i="122"/>
  <c r="AC150" i="122"/>
  <c r="AC148" i="122"/>
  <c r="AC146" i="122"/>
  <c r="AC163" i="122"/>
  <c r="AC165" i="122"/>
  <c r="AC68" i="122"/>
  <c r="AC78" i="122"/>
  <c r="AC79" i="122"/>
  <c r="AC90" i="122"/>
  <c r="AC91" i="122"/>
  <c r="AC156" i="122"/>
  <c r="AC157" i="122"/>
  <c r="AC158" i="122"/>
  <c r="AC159" i="122"/>
  <c r="AC74" i="122"/>
  <c r="AC75" i="122"/>
  <c r="AC86" i="122"/>
  <c r="AC87" i="122"/>
  <c r="AC132" i="122"/>
  <c r="AC160" i="122"/>
  <c r="AC161" i="122"/>
  <c r="AC162" i="122"/>
  <c r="AC164" i="122"/>
  <c r="AC67" i="122"/>
  <c r="AC70" i="122"/>
  <c r="AC71" i="122"/>
  <c r="AC82" i="122"/>
  <c r="AC83" i="122"/>
  <c r="AC76" i="122"/>
  <c r="AC85" i="122"/>
  <c r="AC99" i="122"/>
  <c r="AC100" i="122"/>
  <c r="AC110" i="122"/>
  <c r="AC112" i="122"/>
  <c r="AC88" i="122"/>
  <c r="AC105" i="122"/>
  <c r="AC69" i="122"/>
  <c r="AC80" i="122"/>
  <c r="AC89" i="122"/>
  <c r="AC92" i="122"/>
  <c r="AC95" i="122"/>
  <c r="AC97" i="122"/>
  <c r="AC98" i="122"/>
  <c r="AC108" i="122"/>
  <c r="AC114" i="122"/>
  <c r="AC106" i="122"/>
  <c r="AC84" i="122"/>
  <c r="AC93" i="122"/>
  <c r="AC66" i="122"/>
  <c r="AC122" i="122"/>
  <c r="AC77" i="122"/>
  <c r="AC96" i="122"/>
  <c r="AC103" i="122"/>
  <c r="AC104" i="122"/>
  <c r="AC107" i="122"/>
  <c r="AC109" i="122"/>
  <c r="AC111" i="122"/>
  <c r="AC113" i="122"/>
  <c r="AC115" i="122"/>
  <c r="AC101" i="122"/>
  <c r="AC102" i="122"/>
  <c r="AC73" i="122"/>
  <c r="AC72" i="122"/>
  <c r="AC81" i="122"/>
  <c r="AC94" i="122"/>
  <c r="C42" i="122"/>
  <c r="E42" i="122" s="1"/>
  <c r="W167" i="122"/>
  <c r="W169" i="122"/>
  <c r="W171" i="122"/>
  <c r="W173" i="122"/>
  <c r="W119" i="122"/>
  <c r="W121" i="122"/>
  <c r="W123" i="122"/>
  <c r="W125" i="122"/>
  <c r="W179" i="122"/>
  <c r="W168" i="122"/>
  <c r="W172" i="122"/>
  <c r="W174" i="122"/>
  <c r="W176" i="122"/>
  <c r="W177" i="122"/>
  <c r="W178" i="122"/>
  <c r="W180" i="122"/>
  <c r="W182" i="122"/>
  <c r="W184" i="122"/>
  <c r="W186" i="122"/>
  <c r="W188" i="122"/>
  <c r="W190" i="122"/>
  <c r="W116" i="122"/>
  <c r="W166" i="122"/>
  <c r="W124" i="122"/>
  <c r="W130" i="122"/>
  <c r="W187" i="122"/>
  <c r="W117" i="122"/>
  <c r="W122" i="122"/>
  <c r="W181" i="122"/>
  <c r="W120" i="122"/>
  <c r="W126" i="122"/>
  <c r="W127" i="122"/>
  <c r="W128" i="122"/>
  <c r="W170" i="122"/>
  <c r="W135" i="122"/>
  <c r="W140" i="122"/>
  <c r="W142" i="122"/>
  <c r="W191" i="122"/>
  <c r="W133" i="122"/>
  <c r="W183" i="122"/>
  <c r="W175" i="122"/>
  <c r="W189" i="122"/>
  <c r="W129" i="122"/>
  <c r="W134" i="122"/>
  <c r="W185" i="122"/>
  <c r="W132" i="122"/>
  <c r="W136" i="122"/>
  <c r="W137" i="122"/>
  <c r="W138" i="122"/>
  <c r="W139" i="122"/>
  <c r="W148" i="122"/>
  <c r="W146" i="122"/>
  <c r="W152" i="122"/>
  <c r="W153" i="122"/>
  <c r="W154" i="122"/>
  <c r="W155" i="122"/>
  <c r="W156" i="122"/>
  <c r="W157" i="122"/>
  <c r="W158" i="122"/>
  <c r="W159" i="122"/>
  <c r="W160" i="122"/>
  <c r="W161" i="122"/>
  <c r="W162" i="122"/>
  <c r="W118" i="122"/>
  <c r="W151" i="122"/>
  <c r="W149" i="122"/>
  <c r="W131" i="122"/>
  <c r="W144" i="122"/>
  <c r="W147" i="122"/>
  <c r="W150" i="122"/>
  <c r="W69" i="122"/>
  <c r="W80" i="122"/>
  <c r="W81" i="122"/>
  <c r="W92" i="122"/>
  <c r="W93" i="122"/>
  <c r="W143" i="122"/>
  <c r="W145" i="122"/>
  <c r="W163" i="122"/>
  <c r="W165" i="122"/>
  <c r="W68" i="122"/>
  <c r="W76" i="122"/>
  <c r="W77" i="122"/>
  <c r="W88" i="122"/>
  <c r="W89" i="122"/>
  <c r="W141" i="122"/>
  <c r="W72" i="122"/>
  <c r="W73" i="122"/>
  <c r="W84" i="122"/>
  <c r="W85" i="122"/>
  <c r="W71" i="122"/>
  <c r="W82" i="122"/>
  <c r="W96" i="122"/>
  <c r="W101" i="122"/>
  <c r="W102" i="122"/>
  <c r="W108" i="122"/>
  <c r="W112" i="122"/>
  <c r="W114" i="122"/>
  <c r="W95" i="122"/>
  <c r="W75" i="122"/>
  <c r="W86" i="122"/>
  <c r="W94" i="122"/>
  <c r="W99" i="122"/>
  <c r="W100" i="122"/>
  <c r="W110" i="122"/>
  <c r="W79" i="122"/>
  <c r="W97" i="122"/>
  <c r="W98" i="122"/>
  <c r="W66" i="122"/>
  <c r="W164" i="122"/>
  <c r="W74" i="122"/>
  <c r="W87" i="122"/>
  <c r="W90" i="122"/>
  <c r="W91" i="122"/>
  <c r="W105" i="122"/>
  <c r="W106" i="122"/>
  <c r="W107" i="122"/>
  <c r="W109" i="122"/>
  <c r="W111" i="122"/>
  <c r="W113" i="122"/>
  <c r="W115" i="122"/>
  <c r="W103" i="122"/>
  <c r="W104" i="122"/>
  <c r="W83" i="122"/>
  <c r="W67" i="122"/>
  <c r="W70" i="122"/>
  <c r="W78" i="122"/>
  <c r="I136" i="120"/>
  <c r="I126" i="120"/>
  <c r="I100" i="120"/>
  <c r="I133" i="120"/>
  <c r="I101" i="120"/>
  <c r="I165" i="120"/>
  <c r="I148" i="120"/>
  <c r="I132" i="120"/>
  <c r="I135" i="120"/>
  <c r="I75" i="120"/>
  <c r="I85" i="120"/>
  <c r="I123" i="120"/>
  <c r="I105" i="120"/>
  <c r="I87" i="120"/>
  <c r="I86" i="120"/>
  <c r="I122" i="120"/>
  <c r="I109" i="120"/>
  <c r="I77" i="120"/>
  <c r="I103" i="120"/>
  <c r="I159" i="120"/>
  <c r="I147" i="120"/>
  <c r="I125" i="120"/>
  <c r="I129" i="120"/>
  <c r="I157" i="120"/>
  <c r="I145" i="120"/>
  <c r="I106" i="120"/>
  <c r="I83" i="120"/>
  <c r="I149" i="120"/>
  <c r="I92" i="120"/>
  <c r="I128" i="120"/>
  <c r="I156" i="120"/>
  <c r="I138" i="120"/>
  <c r="I120" i="120"/>
  <c r="I91" i="120"/>
  <c r="I67" i="120"/>
  <c r="I160" i="120"/>
  <c r="I142" i="120"/>
  <c r="I119" i="120"/>
  <c r="I118" i="120"/>
  <c r="I117" i="120"/>
  <c r="I81" i="120"/>
  <c r="I78" i="120"/>
  <c r="I82" i="120"/>
  <c r="I79" i="120"/>
  <c r="I130" i="120"/>
  <c r="I112" i="120"/>
  <c r="I94" i="120"/>
  <c r="I98" i="120"/>
  <c r="I134" i="120"/>
  <c r="I102" i="120"/>
  <c r="I164" i="120"/>
  <c r="I146" i="120"/>
  <c r="I140" i="120"/>
  <c r="I121" i="120"/>
  <c r="I96" i="120"/>
  <c r="I73" i="120"/>
  <c r="I72" i="120"/>
  <c r="I155" i="120"/>
  <c r="I104" i="120"/>
  <c r="I76" i="120"/>
  <c r="I150" i="120"/>
  <c r="I131" i="120"/>
  <c r="I84" i="120"/>
  <c r="I153" i="120"/>
  <c r="I114" i="120"/>
  <c r="I137" i="120"/>
  <c r="I158" i="120"/>
  <c r="I108" i="120"/>
  <c r="I163" i="120"/>
  <c r="I151" i="120"/>
  <c r="I139" i="120"/>
  <c r="I99" i="120"/>
  <c r="I88" i="120"/>
  <c r="I93" i="120"/>
  <c r="I97" i="120"/>
  <c r="I74" i="120"/>
  <c r="I110" i="120"/>
  <c r="I113" i="120"/>
  <c r="I69" i="120"/>
  <c r="I71" i="120"/>
  <c r="I68" i="120"/>
  <c r="D39" i="120"/>
  <c r="F39" i="120" s="1"/>
  <c r="I141" i="120"/>
  <c r="I107" i="120"/>
  <c r="I111" i="120"/>
  <c r="I154" i="120"/>
  <c r="I152" i="120"/>
  <c r="I115" i="120"/>
  <c r="I124" i="120"/>
  <c r="I89" i="120"/>
  <c r="I90" i="120"/>
  <c r="I161" i="120"/>
  <c r="I143" i="120"/>
  <c r="I80" i="120"/>
  <c r="I116" i="120"/>
  <c r="I162" i="120"/>
  <c r="I144" i="120"/>
  <c r="I127" i="120"/>
  <c r="I95" i="120"/>
  <c r="I70" i="120"/>
  <c r="I66" i="120"/>
  <c r="C49" i="122"/>
  <c r="AF166" i="122"/>
  <c r="AF168" i="122"/>
  <c r="AF170" i="122"/>
  <c r="AF172" i="122"/>
  <c r="AF118" i="122"/>
  <c r="AF120" i="122"/>
  <c r="AF122" i="122"/>
  <c r="AF124" i="122"/>
  <c r="AF179" i="122"/>
  <c r="AF169" i="122"/>
  <c r="AF177" i="122"/>
  <c r="AF178" i="122"/>
  <c r="AF180" i="122"/>
  <c r="AF182" i="122"/>
  <c r="AF184" i="122"/>
  <c r="AF186" i="122"/>
  <c r="AF188" i="122"/>
  <c r="AF190" i="122"/>
  <c r="AF116" i="122"/>
  <c r="AF171" i="122"/>
  <c r="AF175" i="122"/>
  <c r="AF119" i="122"/>
  <c r="AF129" i="122"/>
  <c r="AF183" i="122"/>
  <c r="AF189" i="122"/>
  <c r="AF117" i="122"/>
  <c r="AF176" i="122"/>
  <c r="AF123" i="122"/>
  <c r="AF125" i="122"/>
  <c r="AF127" i="122"/>
  <c r="AF173" i="122"/>
  <c r="AF185" i="122"/>
  <c r="AF136" i="122"/>
  <c r="AF138" i="122"/>
  <c r="AF141" i="122"/>
  <c r="AF181" i="122"/>
  <c r="AF135" i="122"/>
  <c r="AF137" i="122"/>
  <c r="AF139" i="122"/>
  <c r="AF174" i="122"/>
  <c r="AF121" i="122"/>
  <c r="AF132" i="122"/>
  <c r="AF128" i="122"/>
  <c r="AF130" i="122"/>
  <c r="AF126" i="122"/>
  <c r="AF140" i="122"/>
  <c r="AF150" i="122"/>
  <c r="AF187" i="122"/>
  <c r="AF131" i="122"/>
  <c r="AF148" i="122"/>
  <c r="AF191" i="122"/>
  <c r="AF146" i="122"/>
  <c r="AF149" i="122"/>
  <c r="AF151" i="122"/>
  <c r="AF153" i="122"/>
  <c r="AF155" i="122"/>
  <c r="AF157" i="122"/>
  <c r="AF159" i="122"/>
  <c r="AF167" i="122"/>
  <c r="AF143" i="122"/>
  <c r="AF144" i="122"/>
  <c r="AF147" i="122"/>
  <c r="AF152" i="122"/>
  <c r="AF154" i="122"/>
  <c r="AF156" i="122"/>
  <c r="AF158" i="122"/>
  <c r="AF134" i="122"/>
  <c r="AF142" i="122"/>
  <c r="AF145" i="122"/>
  <c r="AF162" i="122"/>
  <c r="AF164" i="122"/>
  <c r="AF67" i="122"/>
  <c r="AF71" i="122"/>
  <c r="AF72" i="122"/>
  <c r="AF83" i="122"/>
  <c r="AF84" i="122"/>
  <c r="AF69" i="122"/>
  <c r="AF70" i="122"/>
  <c r="AF163" i="122"/>
  <c r="AF165" i="122"/>
  <c r="AF68" i="122"/>
  <c r="AF79" i="122"/>
  <c r="AF80" i="122"/>
  <c r="AF161" i="122"/>
  <c r="AF75" i="122"/>
  <c r="AF76" i="122"/>
  <c r="AF87" i="122"/>
  <c r="AF88" i="122"/>
  <c r="AF133" i="122"/>
  <c r="AF81" i="122"/>
  <c r="AF96" i="122"/>
  <c r="AF104" i="122"/>
  <c r="AF105" i="122"/>
  <c r="AF109" i="122"/>
  <c r="AF111" i="122"/>
  <c r="AF78" i="122"/>
  <c r="AF91" i="122"/>
  <c r="AF85" i="122"/>
  <c r="AF94" i="122"/>
  <c r="AF102" i="122"/>
  <c r="AF103" i="122"/>
  <c r="AF107" i="122"/>
  <c r="AF92" i="122"/>
  <c r="AF74" i="122"/>
  <c r="AF100" i="122"/>
  <c r="AF101" i="122"/>
  <c r="AF160" i="122"/>
  <c r="AF73" i="122"/>
  <c r="AF82" i="122"/>
  <c r="AF90" i="122"/>
  <c r="AF93" i="122"/>
  <c r="AF97" i="122"/>
  <c r="AF108" i="122"/>
  <c r="AF110" i="122"/>
  <c r="AF112" i="122"/>
  <c r="AF114" i="122"/>
  <c r="AF106" i="122"/>
  <c r="AF66" i="122"/>
  <c r="AF113" i="122"/>
  <c r="AF89" i="122"/>
  <c r="AF95" i="122"/>
  <c r="AF98" i="122"/>
  <c r="AF99" i="122"/>
  <c r="AF77" i="122"/>
  <c r="AF86" i="122"/>
  <c r="AF115" i="122"/>
  <c r="C57" i="122"/>
  <c r="E57" i="122" s="1"/>
  <c r="AN167" i="122"/>
  <c r="AN169" i="122"/>
  <c r="AN171" i="122"/>
  <c r="AN173" i="122"/>
  <c r="AN166" i="122"/>
  <c r="AN168" i="122"/>
  <c r="AN170" i="122"/>
  <c r="AN172" i="122"/>
  <c r="AN174" i="122"/>
  <c r="AN176" i="122"/>
  <c r="AN177" i="122"/>
  <c r="AN179" i="122"/>
  <c r="AN181" i="122"/>
  <c r="AN183" i="122"/>
  <c r="AN185" i="122"/>
  <c r="AN187" i="122"/>
  <c r="AN189" i="122"/>
  <c r="AN191" i="122"/>
  <c r="AN175" i="122"/>
  <c r="AN180" i="122"/>
  <c r="AN117" i="122"/>
  <c r="AN122" i="122"/>
  <c r="AN182" i="122"/>
  <c r="AN188" i="122"/>
  <c r="AN120" i="122"/>
  <c r="AN118" i="122"/>
  <c r="AN129" i="122"/>
  <c r="AN131" i="122"/>
  <c r="AN133" i="122"/>
  <c r="AN178" i="122"/>
  <c r="AN121" i="122"/>
  <c r="AN125" i="122"/>
  <c r="AN126" i="122"/>
  <c r="AN127" i="122"/>
  <c r="AN186" i="122"/>
  <c r="AN119" i="122"/>
  <c r="AN135" i="122"/>
  <c r="AN136" i="122"/>
  <c r="AN137" i="122"/>
  <c r="AN138" i="122"/>
  <c r="AN123" i="122"/>
  <c r="AN124" i="122"/>
  <c r="AN132" i="122"/>
  <c r="AN190" i="122"/>
  <c r="AN130" i="122"/>
  <c r="AN140" i="122"/>
  <c r="AN142" i="122"/>
  <c r="AN144" i="122"/>
  <c r="AN146" i="122"/>
  <c r="AN148" i="122"/>
  <c r="AN150" i="122"/>
  <c r="AN128" i="122"/>
  <c r="AN134" i="122"/>
  <c r="AN139" i="122"/>
  <c r="AN184" i="122"/>
  <c r="AN143" i="122"/>
  <c r="AN149" i="122"/>
  <c r="AN147" i="122"/>
  <c r="AN151" i="122"/>
  <c r="AN152" i="122"/>
  <c r="AN153" i="122"/>
  <c r="AN154" i="122"/>
  <c r="AN155" i="122"/>
  <c r="AN156" i="122"/>
  <c r="AN157" i="122"/>
  <c r="AN158" i="122"/>
  <c r="AN159" i="122"/>
  <c r="AN141" i="122"/>
  <c r="AN145" i="122"/>
  <c r="AN68" i="122"/>
  <c r="AN70" i="122"/>
  <c r="AN72" i="122"/>
  <c r="AN74" i="122"/>
  <c r="AN76" i="122"/>
  <c r="AN78" i="122"/>
  <c r="AN80" i="122"/>
  <c r="AN82" i="122"/>
  <c r="AN84" i="122"/>
  <c r="AN86" i="122"/>
  <c r="AN88" i="122"/>
  <c r="AN90" i="122"/>
  <c r="AN92" i="122"/>
  <c r="AN73" i="122"/>
  <c r="AN85" i="122"/>
  <c r="AN163" i="122"/>
  <c r="AN165" i="122"/>
  <c r="AN69" i="122"/>
  <c r="AN81" i="122"/>
  <c r="AN160" i="122"/>
  <c r="AN161" i="122"/>
  <c r="AN116" i="122"/>
  <c r="AN77" i="122"/>
  <c r="AN89" i="122"/>
  <c r="AN93" i="122"/>
  <c r="AN95" i="122"/>
  <c r="AN97" i="122"/>
  <c r="AN99" i="122"/>
  <c r="AN101" i="122"/>
  <c r="AN103" i="122"/>
  <c r="AN105" i="122"/>
  <c r="AN164" i="122"/>
  <c r="AN94" i="122"/>
  <c r="AN106" i="122"/>
  <c r="AN108" i="122"/>
  <c r="AN110" i="122"/>
  <c r="AN112" i="122"/>
  <c r="AN114" i="122"/>
  <c r="AN66" i="122"/>
  <c r="AN67" i="122"/>
  <c r="AN71" i="122"/>
  <c r="AN104" i="122"/>
  <c r="AN75" i="122"/>
  <c r="AN91" i="122"/>
  <c r="AN102" i="122"/>
  <c r="AN111" i="122"/>
  <c r="AN83" i="122"/>
  <c r="AN98" i="122"/>
  <c r="AN96" i="122"/>
  <c r="AN79" i="122"/>
  <c r="AN100" i="122"/>
  <c r="AN109" i="122"/>
  <c r="AN113" i="122"/>
  <c r="AN162" i="122"/>
  <c r="AN87" i="122"/>
  <c r="AN107" i="122"/>
  <c r="AN115" i="122"/>
  <c r="E37" i="120"/>
  <c r="D57" i="122"/>
  <c r="BH66" i="122"/>
  <c r="M66" i="122"/>
  <c r="D45" i="122"/>
  <c r="AU66" i="122"/>
  <c r="I66" i="122"/>
  <c r="F66" i="122"/>
  <c r="N66" i="122"/>
  <c r="C66" i="122"/>
  <c r="K66" i="122"/>
  <c r="D58" i="122"/>
  <c r="AW66" i="122"/>
  <c r="D41" i="122"/>
  <c r="AY66" i="122"/>
  <c r="D42" i="122"/>
  <c r="AQ66" i="122"/>
  <c r="T66" i="122"/>
  <c r="P66" i="122"/>
  <c r="D44" i="122"/>
  <c r="BG66" i="122"/>
  <c r="D56" i="122"/>
  <c r="BI66" i="122"/>
  <c r="D53" i="122"/>
  <c r="BD66" i="122"/>
  <c r="D39" i="122"/>
  <c r="AP66" i="122"/>
  <c r="S66" i="122"/>
  <c r="D48" i="122"/>
  <c r="BA66" i="122"/>
  <c r="O66" i="122"/>
  <c r="D47" i="122"/>
  <c r="BC66" i="122"/>
  <c r="U66" i="122"/>
  <c r="D50" i="122"/>
  <c r="AR66" i="122"/>
  <c r="AT66" i="122"/>
  <c r="D46" i="122"/>
  <c r="D52" i="122"/>
  <c r="BB66" i="122"/>
  <c r="G66" i="122"/>
  <c r="D66" i="122"/>
  <c r="F67" i="120"/>
  <c r="C36" i="120"/>
  <c r="B66" i="120"/>
  <c r="N67" i="120"/>
  <c r="G33" i="119"/>
  <c r="H33" i="119" s="1"/>
  <c r="B34" i="119" s="1"/>
  <c r="G133" i="119"/>
  <c r="G136" i="119"/>
  <c r="G139" i="119"/>
  <c r="G142" i="119"/>
  <c r="G145" i="119"/>
  <c r="G148" i="119"/>
  <c r="G151" i="119"/>
  <c r="G154" i="119"/>
  <c r="G157" i="119"/>
  <c r="G160" i="119"/>
  <c r="G163" i="119"/>
  <c r="G166" i="119"/>
  <c r="G169" i="119"/>
  <c r="G172" i="119"/>
  <c r="G175" i="119"/>
  <c r="G178" i="119"/>
  <c r="G181" i="119"/>
  <c r="G184" i="119"/>
  <c r="G187" i="119"/>
  <c r="G190" i="119"/>
  <c r="G193" i="119"/>
  <c r="G135" i="119"/>
  <c r="G138" i="119"/>
  <c r="G141" i="119"/>
  <c r="G144" i="119"/>
  <c r="G147" i="119"/>
  <c r="G150" i="119"/>
  <c r="G153" i="119"/>
  <c r="G156" i="119"/>
  <c r="G159" i="119"/>
  <c r="G162" i="119"/>
  <c r="G165" i="119"/>
  <c r="G168" i="119"/>
  <c r="G171" i="119"/>
  <c r="G174" i="119"/>
  <c r="G177" i="119"/>
  <c r="G180" i="119"/>
  <c r="G183" i="119"/>
  <c r="G186" i="119"/>
  <c r="G189" i="119"/>
  <c r="G192" i="119"/>
  <c r="G195" i="119"/>
  <c r="G198" i="119"/>
  <c r="G201" i="119"/>
  <c r="G204" i="119"/>
  <c r="G207" i="119"/>
  <c r="G210" i="119"/>
  <c r="G213" i="119"/>
  <c r="G216" i="119"/>
  <c r="G219" i="119"/>
  <c r="G222" i="119"/>
  <c r="G225" i="119"/>
  <c r="G228" i="119"/>
  <c r="G231" i="119"/>
  <c r="G134" i="119"/>
  <c r="G137" i="119"/>
  <c r="G140" i="119"/>
  <c r="G143" i="119"/>
  <c r="G146" i="119"/>
  <c r="G149" i="119"/>
  <c r="G152" i="119"/>
  <c r="G155" i="119"/>
  <c r="G158" i="119"/>
  <c r="G161" i="119"/>
  <c r="G164" i="119"/>
  <c r="G167" i="119"/>
  <c r="G170" i="119"/>
  <c r="G173" i="119"/>
  <c r="G176" i="119"/>
  <c r="G179" i="119"/>
  <c r="G182" i="119"/>
  <c r="G185" i="119"/>
  <c r="G188" i="119"/>
  <c r="G191" i="119"/>
  <c r="G194" i="119"/>
  <c r="G197" i="119"/>
  <c r="G200" i="119"/>
  <c r="G203" i="119"/>
  <c r="G206" i="119"/>
  <c r="G209" i="119"/>
  <c r="G212" i="119"/>
  <c r="G215" i="119"/>
  <c r="G218" i="119"/>
  <c r="G221" i="119"/>
  <c r="G224" i="119"/>
  <c r="G227" i="119"/>
  <c r="G230" i="119"/>
  <c r="G85" i="119"/>
  <c r="G88" i="119"/>
  <c r="G196" i="119"/>
  <c r="G205" i="119"/>
  <c r="G214" i="119"/>
  <c r="G223" i="119"/>
  <c r="G232" i="119"/>
  <c r="G84" i="119"/>
  <c r="G118" i="119"/>
  <c r="G63" i="119"/>
  <c r="G66" i="119"/>
  <c r="G69" i="119"/>
  <c r="G78" i="119"/>
  <c r="G81" i="119"/>
  <c r="G40" i="119"/>
  <c r="G46" i="119"/>
  <c r="G52" i="119"/>
  <c r="G86" i="119"/>
  <c r="G91" i="119"/>
  <c r="G94" i="119"/>
  <c r="G97" i="119"/>
  <c r="G100" i="119"/>
  <c r="G103" i="119"/>
  <c r="G106" i="119"/>
  <c r="G109" i="119"/>
  <c r="G112" i="119"/>
  <c r="G115" i="119"/>
  <c r="G121" i="119"/>
  <c r="G124" i="119"/>
  <c r="G127" i="119"/>
  <c r="G130" i="119"/>
  <c r="G72" i="119"/>
  <c r="G199" i="119"/>
  <c r="G208" i="119"/>
  <c r="G217" i="119"/>
  <c r="G226" i="119"/>
  <c r="G83" i="119"/>
  <c r="G90" i="119"/>
  <c r="G93" i="119"/>
  <c r="G96" i="119"/>
  <c r="G99" i="119"/>
  <c r="G102" i="119"/>
  <c r="G105" i="119"/>
  <c r="G108" i="119"/>
  <c r="G111" i="119"/>
  <c r="G114" i="119"/>
  <c r="G117" i="119"/>
  <c r="G120" i="119"/>
  <c r="G123" i="119"/>
  <c r="G126" i="119"/>
  <c r="G129" i="119"/>
  <c r="G132" i="119"/>
  <c r="G65" i="119"/>
  <c r="G68" i="119"/>
  <c r="G71" i="119"/>
  <c r="G74" i="119"/>
  <c r="G77" i="119"/>
  <c r="G80" i="119"/>
  <c r="G39" i="119"/>
  <c r="G42" i="119"/>
  <c r="G45" i="119"/>
  <c r="G48" i="119"/>
  <c r="G51" i="119"/>
  <c r="G54" i="119"/>
  <c r="G57" i="119"/>
  <c r="G60" i="119"/>
  <c r="G35" i="119"/>
  <c r="G38" i="119"/>
  <c r="G202" i="119"/>
  <c r="G211" i="119"/>
  <c r="G220" i="119"/>
  <c r="G229" i="119"/>
  <c r="G87" i="119"/>
  <c r="G89" i="119"/>
  <c r="G92" i="119"/>
  <c r="G95" i="119"/>
  <c r="G98" i="119"/>
  <c r="G101" i="119"/>
  <c r="G104" i="119"/>
  <c r="G107" i="119"/>
  <c r="G110" i="119"/>
  <c r="G113" i="119"/>
  <c r="G116" i="119"/>
  <c r="G119" i="119"/>
  <c r="G122" i="119"/>
  <c r="G125" i="119"/>
  <c r="G128" i="119"/>
  <c r="G131" i="119"/>
  <c r="G64" i="119"/>
  <c r="G67" i="119"/>
  <c r="G70" i="119"/>
  <c r="G73" i="119"/>
  <c r="G76" i="119"/>
  <c r="G79" i="119"/>
  <c r="G82" i="119"/>
  <c r="G41" i="119"/>
  <c r="G44" i="119"/>
  <c r="G47" i="119"/>
  <c r="G50" i="119"/>
  <c r="G53" i="119"/>
  <c r="G56" i="119"/>
  <c r="G59" i="119"/>
  <c r="G62" i="119"/>
  <c r="G37" i="119"/>
  <c r="G34" i="119"/>
  <c r="G75" i="119"/>
  <c r="G43" i="119"/>
  <c r="G49" i="119"/>
  <c r="G55" i="119"/>
  <c r="G58" i="119"/>
  <c r="G61" i="119"/>
  <c r="G36" i="119"/>
  <c r="C40" i="120"/>
  <c r="C66" i="120"/>
  <c r="W66" i="120" s="1"/>
  <c r="AB66" i="120" s="1"/>
  <c r="M66" i="120"/>
  <c r="E40" i="120"/>
  <c r="BG203" i="114"/>
  <c r="BB203" i="114"/>
  <c r="BG191" i="114"/>
  <c r="BB191" i="114"/>
  <c r="BG197" i="114"/>
  <c r="BB197" i="114"/>
  <c r="AS203" i="114"/>
  <c r="AR198" i="114"/>
  <c r="BB198" i="114" s="1"/>
  <c r="AS185" i="114"/>
  <c r="AR199" i="114"/>
  <c r="BB199" i="114" s="1"/>
  <c r="AR202" i="114"/>
  <c r="BB202" i="114" s="1"/>
  <c r="AR196" i="114"/>
  <c r="BB196" i="114" s="1"/>
  <c r="AR192" i="114"/>
  <c r="BB192" i="114" s="1"/>
  <c r="AN182" i="114"/>
  <c r="AR195" i="114"/>
  <c r="BB195" i="114" s="1"/>
  <c r="AR189" i="114"/>
  <c r="BB189" i="114" s="1"/>
  <c r="AR190" i="114"/>
  <c r="BB190" i="114" s="1"/>
  <c r="AR187" i="114"/>
  <c r="BB187" i="114" s="1"/>
  <c r="AS187" i="114"/>
  <c r="AR201" i="114"/>
  <c r="BB201" i="114" s="1"/>
  <c r="AN188" i="114"/>
  <c r="AR193" i="114"/>
  <c r="BB193" i="114" s="1"/>
  <c r="AR186" i="114"/>
  <c r="BB186" i="114" s="1"/>
  <c r="AN191" i="114"/>
  <c r="AN194" i="114"/>
  <c r="AN200" i="114"/>
  <c r="AI202" i="114"/>
  <c r="AN202" i="114" s="1"/>
  <c r="AI195" i="114"/>
  <c r="AI186" i="114"/>
  <c r="AI199" i="114"/>
  <c r="AJ203" i="114"/>
  <c r="AJ185" i="114"/>
  <c r="AJ194" i="114"/>
  <c r="AI193" i="114"/>
  <c r="AI201" i="114"/>
  <c r="AJ191" i="114"/>
  <c r="AI189" i="114"/>
  <c r="AJ187" i="114"/>
  <c r="AO187" i="114" s="1"/>
  <c r="AJ188" i="114"/>
  <c r="AI196" i="114"/>
  <c r="AI192" i="114"/>
  <c r="AI198" i="114"/>
  <c r="AN197" i="114"/>
  <c r="AI190" i="114"/>
  <c r="AN184" i="114"/>
  <c r="Q83" i="114"/>
  <c r="Q84" i="114" s="1"/>
  <c r="U64" i="114" s="1"/>
  <c r="U65" i="114" s="1"/>
  <c r="U66" i="114" s="1"/>
  <c r="U67" i="114" s="1"/>
  <c r="U68" i="114" s="1"/>
  <c r="U69" i="114" s="1"/>
  <c r="U70" i="114" s="1"/>
  <c r="U71" i="114" s="1"/>
  <c r="U72" i="114" s="1"/>
  <c r="U73" i="114" s="1"/>
  <c r="U74" i="114" s="1"/>
  <c r="U75" i="114" s="1"/>
  <c r="U76" i="114" s="1"/>
  <c r="U77" i="114" s="1"/>
  <c r="U78" i="114" s="1"/>
  <c r="U79" i="114" s="1"/>
  <c r="U80" i="114" s="1"/>
  <c r="U81" i="114" s="1"/>
  <c r="H37" i="114"/>
  <c r="I37" i="114" s="1"/>
  <c r="V128" i="114"/>
  <c r="V141" i="114"/>
  <c r="V122" i="114"/>
  <c r="V139" i="114"/>
  <c r="V127" i="114"/>
  <c r="V130" i="114"/>
  <c r="V136" i="114"/>
  <c r="V137" i="114"/>
  <c r="V125" i="114"/>
  <c r="V124" i="114"/>
  <c r="V132" i="114"/>
  <c r="V134" i="114"/>
  <c r="V135" i="114"/>
  <c r="V123" i="114"/>
  <c r="V138" i="114"/>
  <c r="V126" i="114"/>
  <c r="V133" i="114"/>
  <c r="V140" i="114"/>
  <c r="V131" i="114"/>
  <c r="I71" i="114"/>
  <c r="I84" i="114"/>
  <c r="V120" i="114"/>
  <c r="V129" i="114"/>
  <c r="E67" i="120" l="1"/>
  <c r="F53" i="122"/>
  <c r="G40" i="122"/>
  <c r="F58" i="122"/>
  <c r="F42" i="122"/>
  <c r="F44" i="122"/>
  <c r="F50" i="122"/>
  <c r="F52" i="122"/>
  <c r="F45" i="122"/>
  <c r="F47" i="122"/>
  <c r="F51" i="122"/>
  <c r="BK66" i="122"/>
  <c r="F57" i="122"/>
  <c r="E55" i="122"/>
  <c r="F55" i="122"/>
  <c r="I34" i="119"/>
  <c r="E35" i="119" s="1"/>
  <c r="I35" i="119" s="1"/>
  <c r="E36" i="119" s="1"/>
  <c r="I36" i="119" s="1"/>
  <c r="E37" i="119" s="1"/>
  <c r="I37" i="119" s="1"/>
  <c r="E38" i="119" s="1"/>
  <c r="I38" i="119" s="1"/>
  <c r="E39" i="119" s="1"/>
  <c r="I39" i="119" s="1"/>
  <c r="E40" i="119" s="1"/>
  <c r="I40" i="119" s="1"/>
  <c r="E41" i="119" s="1"/>
  <c r="I41" i="119" s="1"/>
  <c r="E42" i="119" s="1"/>
  <c r="I42" i="119" s="1"/>
  <c r="E43" i="119" s="1"/>
  <c r="I43" i="119" s="1"/>
  <c r="E44" i="119" s="1"/>
  <c r="I44" i="119" s="1"/>
  <c r="E45" i="119" s="1"/>
  <c r="I45" i="119" s="1"/>
  <c r="E46" i="119" s="1"/>
  <c r="I46" i="119" s="1"/>
  <c r="E47" i="119" s="1"/>
  <c r="I47" i="119" s="1"/>
  <c r="E48" i="119" s="1"/>
  <c r="I48" i="119" s="1"/>
  <c r="E49" i="119" s="1"/>
  <c r="I49" i="119" s="1"/>
  <c r="E50" i="119" s="1"/>
  <c r="I50" i="119" s="1"/>
  <c r="E51" i="119" s="1"/>
  <c r="I51" i="119" s="1"/>
  <c r="E52" i="119" s="1"/>
  <c r="I52" i="119" s="1"/>
  <c r="E53" i="119" s="1"/>
  <c r="I53" i="119" s="1"/>
  <c r="E54" i="119" s="1"/>
  <c r="I54" i="119" s="1"/>
  <c r="E55" i="119" s="1"/>
  <c r="I55" i="119" s="1"/>
  <c r="E56" i="119" s="1"/>
  <c r="I56" i="119" s="1"/>
  <c r="E57" i="119" s="1"/>
  <c r="I57" i="119" s="1"/>
  <c r="E58" i="119" s="1"/>
  <c r="I58" i="119" s="1"/>
  <c r="E59" i="119" s="1"/>
  <c r="I59" i="119" s="1"/>
  <c r="E60" i="119" s="1"/>
  <c r="I60" i="119" s="1"/>
  <c r="E61" i="119" s="1"/>
  <c r="I61" i="119" s="1"/>
  <c r="E62" i="119" s="1"/>
  <c r="I62" i="119" s="1"/>
  <c r="E63" i="119" s="1"/>
  <c r="I63" i="119" s="1"/>
  <c r="E64" i="119" s="1"/>
  <c r="I64" i="119" s="1"/>
  <c r="E65" i="119" s="1"/>
  <c r="I65" i="119" s="1"/>
  <c r="E66" i="119" s="1"/>
  <c r="I66" i="119" s="1"/>
  <c r="E67" i="119" s="1"/>
  <c r="I67" i="119" s="1"/>
  <c r="E68" i="119" s="1"/>
  <c r="I68" i="119" s="1"/>
  <c r="E69" i="119" s="1"/>
  <c r="I69" i="119" s="1"/>
  <c r="E70" i="119" s="1"/>
  <c r="I70" i="119" s="1"/>
  <c r="E71" i="119" s="1"/>
  <c r="I71" i="119" s="1"/>
  <c r="E72" i="119" s="1"/>
  <c r="I72" i="119" s="1"/>
  <c r="E73" i="119" s="1"/>
  <c r="I73" i="119" s="1"/>
  <c r="E74" i="119" s="1"/>
  <c r="I74" i="119" s="1"/>
  <c r="E75" i="119" s="1"/>
  <c r="I75" i="119" s="1"/>
  <c r="E76" i="119" s="1"/>
  <c r="I76" i="119" s="1"/>
  <c r="E77" i="119" s="1"/>
  <c r="I77" i="119" s="1"/>
  <c r="E78" i="119" s="1"/>
  <c r="I78" i="119" s="1"/>
  <c r="E79" i="119" s="1"/>
  <c r="I79" i="119" s="1"/>
  <c r="E80" i="119" s="1"/>
  <c r="I80" i="119" s="1"/>
  <c r="E81" i="119" s="1"/>
  <c r="I81" i="119" s="1"/>
  <c r="E82" i="119" s="1"/>
  <c r="I82" i="119" s="1"/>
  <c r="E83" i="119" s="1"/>
  <c r="I83" i="119" s="1"/>
  <c r="E84" i="119" s="1"/>
  <c r="I84" i="119" s="1"/>
  <c r="E85" i="119" s="1"/>
  <c r="I85" i="119" s="1"/>
  <c r="E86" i="119" s="1"/>
  <c r="I86" i="119" s="1"/>
  <c r="E87" i="119" s="1"/>
  <c r="I87" i="119" s="1"/>
  <c r="E88" i="119" s="1"/>
  <c r="I88" i="119" s="1"/>
  <c r="E89" i="119" s="1"/>
  <c r="I89" i="119" s="1"/>
  <c r="E90" i="119" s="1"/>
  <c r="I90" i="119" s="1"/>
  <c r="E91" i="119" s="1"/>
  <c r="I91" i="119" s="1"/>
  <c r="E92" i="119" s="1"/>
  <c r="I92" i="119" s="1"/>
  <c r="E93" i="119" s="1"/>
  <c r="I93" i="119" s="1"/>
  <c r="E94" i="119" s="1"/>
  <c r="I94" i="119" s="1"/>
  <c r="E95" i="119" s="1"/>
  <c r="I95" i="119" s="1"/>
  <c r="E96" i="119" s="1"/>
  <c r="I96" i="119" s="1"/>
  <c r="E97" i="119" s="1"/>
  <c r="I97" i="119" s="1"/>
  <c r="E98" i="119" s="1"/>
  <c r="I98" i="119" s="1"/>
  <c r="E99" i="119" s="1"/>
  <c r="I99" i="119" s="1"/>
  <c r="E100" i="119" s="1"/>
  <c r="I100" i="119" s="1"/>
  <c r="E101" i="119" s="1"/>
  <c r="I101" i="119" s="1"/>
  <c r="E102" i="119" s="1"/>
  <c r="I102" i="119" s="1"/>
  <c r="E103" i="119" s="1"/>
  <c r="I103" i="119" s="1"/>
  <c r="E104" i="119" s="1"/>
  <c r="I104" i="119" s="1"/>
  <c r="E105" i="119" s="1"/>
  <c r="I105" i="119" s="1"/>
  <c r="E106" i="119" s="1"/>
  <c r="I106" i="119" s="1"/>
  <c r="E107" i="119" s="1"/>
  <c r="I107" i="119" s="1"/>
  <c r="E108" i="119" s="1"/>
  <c r="I108" i="119" s="1"/>
  <c r="E109" i="119" s="1"/>
  <c r="I109" i="119" s="1"/>
  <c r="E110" i="119" s="1"/>
  <c r="I110" i="119" s="1"/>
  <c r="E111" i="119" s="1"/>
  <c r="I111" i="119" s="1"/>
  <c r="E112" i="119" s="1"/>
  <c r="I112" i="119" s="1"/>
  <c r="E113" i="119" s="1"/>
  <c r="I113" i="119" s="1"/>
  <c r="E114" i="119" s="1"/>
  <c r="I114" i="119" s="1"/>
  <c r="E115" i="119" s="1"/>
  <c r="I115" i="119" s="1"/>
  <c r="E116" i="119" s="1"/>
  <c r="I116" i="119" s="1"/>
  <c r="E117" i="119" s="1"/>
  <c r="I117" i="119" s="1"/>
  <c r="E118" i="119" s="1"/>
  <c r="I118" i="119" s="1"/>
  <c r="E119" i="119" s="1"/>
  <c r="I119" i="119" s="1"/>
  <c r="E120" i="119" s="1"/>
  <c r="I120" i="119" s="1"/>
  <c r="E121" i="119" s="1"/>
  <c r="I121" i="119" s="1"/>
  <c r="E122" i="119" s="1"/>
  <c r="I122" i="119" s="1"/>
  <c r="E123" i="119" s="1"/>
  <c r="I123" i="119" s="1"/>
  <c r="E124" i="119" s="1"/>
  <c r="I124" i="119" s="1"/>
  <c r="E125" i="119" s="1"/>
  <c r="I125" i="119" s="1"/>
  <c r="E126" i="119" s="1"/>
  <c r="I126" i="119" s="1"/>
  <c r="E127" i="119" s="1"/>
  <c r="I127" i="119" s="1"/>
  <c r="E128" i="119" s="1"/>
  <c r="I128" i="119" s="1"/>
  <c r="E129" i="119" s="1"/>
  <c r="I129" i="119" s="1"/>
  <c r="E130" i="119" s="1"/>
  <c r="I130" i="119" s="1"/>
  <c r="E131" i="119" s="1"/>
  <c r="I131" i="119" s="1"/>
  <c r="E132" i="119" s="1"/>
  <c r="I132" i="119" s="1"/>
  <c r="E133" i="119" s="1"/>
  <c r="I133" i="119" s="1"/>
  <c r="E134" i="119" s="1"/>
  <c r="I134" i="119" s="1"/>
  <c r="E135" i="119" s="1"/>
  <c r="I135" i="119" s="1"/>
  <c r="E136" i="119" s="1"/>
  <c r="I136" i="119" s="1"/>
  <c r="E137" i="119" s="1"/>
  <c r="I137" i="119" s="1"/>
  <c r="E138" i="119" s="1"/>
  <c r="I138" i="119" s="1"/>
  <c r="E139" i="119" s="1"/>
  <c r="I139" i="119" s="1"/>
  <c r="E140" i="119" s="1"/>
  <c r="I140" i="119" s="1"/>
  <c r="E141" i="119" s="1"/>
  <c r="I141" i="119" s="1"/>
  <c r="E142" i="119" s="1"/>
  <c r="I142" i="119" s="1"/>
  <c r="E143" i="119" s="1"/>
  <c r="I143" i="119" s="1"/>
  <c r="E144" i="119" s="1"/>
  <c r="I144" i="119" s="1"/>
  <c r="E145" i="119" s="1"/>
  <c r="I145" i="119" s="1"/>
  <c r="E146" i="119" s="1"/>
  <c r="I146" i="119" s="1"/>
  <c r="E147" i="119" s="1"/>
  <c r="I147" i="119" s="1"/>
  <c r="E148" i="119" s="1"/>
  <c r="I148" i="119" s="1"/>
  <c r="E149" i="119" s="1"/>
  <c r="I149" i="119" s="1"/>
  <c r="E150" i="119" s="1"/>
  <c r="I150" i="119" s="1"/>
  <c r="E151" i="119" s="1"/>
  <c r="I151" i="119" s="1"/>
  <c r="E152" i="119" s="1"/>
  <c r="I152" i="119" s="1"/>
  <c r="E153" i="119" s="1"/>
  <c r="I153" i="119" s="1"/>
  <c r="E154" i="119" s="1"/>
  <c r="I154" i="119" s="1"/>
  <c r="E155" i="119" s="1"/>
  <c r="I155" i="119" s="1"/>
  <c r="E156" i="119" s="1"/>
  <c r="I156" i="119" s="1"/>
  <c r="E157" i="119" s="1"/>
  <c r="I157" i="119" s="1"/>
  <c r="E158" i="119" s="1"/>
  <c r="I158" i="119" s="1"/>
  <c r="E159" i="119" s="1"/>
  <c r="I159" i="119" s="1"/>
  <c r="E160" i="119" s="1"/>
  <c r="I160" i="119" s="1"/>
  <c r="E161" i="119" s="1"/>
  <c r="I161" i="119" s="1"/>
  <c r="E162" i="119" s="1"/>
  <c r="I162" i="119" s="1"/>
  <c r="E163" i="119" s="1"/>
  <c r="I163" i="119" s="1"/>
  <c r="E164" i="119" s="1"/>
  <c r="I164" i="119" s="1"/>
  <c r="E165" i="119" s="1"/>
  <c r="I165" i="119" s="1"/>
  <c r="E166" i="119" s="1"/>
  <c r="I166" i="119" s="1"/>
  <c r="E167" i="119" s="1"/>
  <c r="I167" i="119" s="1"/>
  <c r="E168" i="119" s="1"/>
  <c r="I168" i="119" s="1"/>
  <c r="E169" i="119" s="1"/>
  <c r="I169" i="119" s="1"/>
  <c r="E170" i="119" s="1"/>
  <c r="I170" i="119" s="1"/>
  <c r="E171" i="119" s="1"/>
  <c r="I171" i="119" s="1"/>
  <c r="E172" i="119" s="1"/>
  <c r="I172" i="119" s="1"/>
  <c r="E173" i="119" s="1"/>
  <c r="I173" i="119" s="1"/>
  <c r="E174" i="119" s="1"/>
  <c r="I174" i="119" s="1"/>
  <c r="E175" i="119" s="1"/>
  <c r="I175" i="119" s="1"/>
  <c r="E176" i="119" s="1"/>
  <c r="I176" i="119" s="1"/>
  <c r="E177" i="119" s="1"/>
  <c r="I177" i="119" s="1"/>
  <c r="E178" i="119" s="1"/>
  <c r="I178" i="119" s="1"/>
  <c r="E179" i="119" s="1"/>
  <c r="I179" i="119" s="1"/>
  <c r="E180" i="119" s="1"/>
  <c r="I180" i="119" s="1"/>
  <c r="E181" i="119" s="1"/>
  <c r="I181" i="119" s="1"/>
  <c r="E182" i="119" s="1"/>
  <c r="I182" i="119" s="1"/>
  <c r="E183" i="119" s="1"/>
  <c r="I183" i="119" s="1"/>
  <c r="E184" i="119" s="1"/>
  <c r="I184" i="119" s="1"/>
  <c r="E185" i="119" s="1"/>
  <c r="I185" i="119" s="1"/>
  <c r="E186" i="119" s="1"/>
  <c r="I186" i="119" s="1"/>
  <c r="E187" i="119" s="1"/>
  <c r="I187" i="119" s="1"/>
  <c r="E188" i="119" s="1"/>
  <c r="I188" i="119" s="1"/>
  <c r="E189" i="119" s="1"/>
  <c r="I189" i="119" s="1"/>
  <c r="E190" i="119" s="1"/>
  <c r="I190" i="119" s="1"/>
  <c r="E191" i="119" s="1"/>
  <c r="I191" i="119" s="1"/>
  <c r="E192" i="119" s="1"/>
  <c r="I192" i="119" s="1"/>
  <c r="E193" i="119" s="1"/>
  <c r="I193" i="119" s="1"/>
  <c r="E194" i="119" s="1"/>
  <c r="I194" i="119" s="1"/>
  <c r="E195" i="119" s="1"/>
  <c r="I195" i="119" s="1"/>
  <c r="E196" i="119" s="1"/>
  <c r="I196" i="119" s="1"/>
  <c r="E197" i="119" s="1"/>
  <c r="I197" i="119" s="1"/>
  <c r="E198" i="119" s="1"/>
  <c r="I198" i="119" s="1"/>
  <c r="E199" i="119" s="1"/>
  <c r="I199" i="119" s="1"/>
  <c r="E200" i="119" s="1"/>
  <c r="I200" i="119" s="1"/>
  <c r="E201" i="119" s="1"/>
  <c r="I201" i="119" s="1"/>
  <c r="E202" i="119" s="1"/>
  <c r="I202" i="119" s="1"/>
  <c r="E203" i="119" s="1"/>
  <c r="I203" i="119" s="1"/>
  <c r="E204" i="119" s="1"/>
  <c r="I204" i="119" s="1"/>
  <c r="E205" i="119" s="1"/>
  <c r="I205" i="119" s="1"/>
  <c r="E206" i="119" s="1"/>
  <c r="I206" i="119" s="1"/>
  <c r="E207" i="119" s="1"/>
  <c r="I207" i="119" s="1"/>
  <c r="E208" i="119" s="1"/>
  <c r="I208" i="119" s="1"/>
  <c r="E209" i="119" s="1"/>
  <c r="I209" i="119" s="1"/>
  <c r="E210" i="119" s="1"/>
  <c r="I210" i="119" s="1"/>
  <c r="E211" i="119" s="1"/>
  <c r="I211" i="119" s="1"/>
  <c r="E212" i="119" s="1"/>
  <c r="I212" i="119" s="1"/>
  <c r="E213" i="119" s="1"/>
  <c r="I213" i="119" s="1"/>
  <c r="E214" i="119" s="1"/>
  <c r="I214" i="119" s="1"/>
  <c r="E215" i="119" s="1"/>
  <c r="I215" i="119" s="1"/>
  <c r="E216" i="119" s="1"/>
  <c r="I216" i="119" s="1"/>
  <c r="E217" i="119" s="1"/>
  <c r="I217" i="119" s="1"/>
  <c r="E218" i="119" s="1"/>
  <c r="I218" i="119" s="1"/>
  <c r="E219" i="119" s="1"/>
  <c r="I219" i="119" s="1"/>
  <c r="E220" i="119" s="1"/>
  <c r="I220" i="119" s="1"/>
  <c r="E221" i="119" s="1"/>
  <c r="I221" i="119" s="1"/>
  <c r="E222" i="119" s="1"/>
  <c r="I222" i="119" s="1"/>
  <c r="E223" i="119" s="1"/>
  <c r="I223" i="119" s="1"/>
  <c r="E224" i="119" s="1"/>
  <c r="I224" i="119" s="1"/>
  <c r="E225" i="119" s="1"/>
  <c r="I225" i="119" s="1"/>
  <c r="E226" i="119" s="1"/>
  <c r="I226" i="119" s="1"/>
  <c r="E227" i="119" s="1"/>
  <c r="I227" i="119" s="1"/>
  <c r="E228" i="119" s="1"/>
  <c r="I228" i="119" s="1"/>
  <c r="E229" i="119" s="1"/>
  <c r="I229" i="119" s="1"/>
  <c r="E230" i="119" s="1"/>
  <c r="I230" i="119" s="1"/>
  <c r="E231" i="119" s="1"/>
  <c r="I231" i="119" s="1"/>
  <c r="E232" i="119" s="1"/>
  <c r="I232" i="119" s="1"/>
  <c r="F41" i="122"/>
  <c r="F46" i="122"/>
  <c r="F48" i="122"/>
  <c r="E49" i="122"/>
  <c r="F49" i="122"/>
  <c r="E40" i="122"/>
  <c r="F40" i="122"/>
  <c r="F54" i="122"/>
  <c r="BN66" i="122"/>
  <c r="BU66" i="122" s="1"/>
  <c r="F43" i="122"/>
  <c r="F56" i="122"/>
  <c r="F39" i="122"/>
  <c r="H37" i="120"/>
  <c r="BJ66" i="122"/>
  <c r="DC66" i="122" s="1"/>
  <c r="G39" i="122"/>
  <c r="G42" i="122"/>
  <c r="G41" i="122"/>
  <c r="G45" i="122"/>
  <c r="G37" i="120"/>
  <c r="H34" i="119"/>
  <c r="M67" i="120"/>
  <c r="C67" i="120"/>
  <c r="G38" i="120"/>
  <c r="G40" i="120"/>
  <c r="G39" i="120"/>
  <c r="G36" i="120"/>
  <c r="Q66" i="120"/>
  <c r="AF66" i="120" s="1"/>
  <c r="R66" i="120"/>
  <c r="V66" i="120" s="1"/>
  <c r="AA66" i="120" s="1"/>
  <c r="AH66" i="120" s="1"/>
  <c r="H39" i="120"/>
  <c r="H38" i="120"/>
  <c r="H40" i="120"/>
  <c r="H36" i="120"/>
  <c r="U66" i="120"/>
  <c r="J33" i="119"/>
  <c r="N23" i="115"/>
  <c r="R267" i="114" s="1"/>
  <c r="Q328" i="114" s="1"/>
  <c r="G23" i="117" s="1"/>
  <c r="P267" i="114"/>
  <c r="L3" i="115"/>
  <c r="O246" i="114" s="1"/>
  <c r="O307" i="114" s="1"/>
  <c r="E3" i="117" s="1"/>
  <c r="N11" i="115"/>
  <c r="R255" i="114" s="1"/>
  <c r="Q316" i="114" s="1"/>
  <c r="G11" i="117" s="1"/>
  <c r="P255" i="114"/>
  <c r="N16" i="115"/>
  <c r="R260" i="114" s="1"/>
  <c r="Q321" i="114" s="1"/>
  <c r="G16" i="117" s="1"/>
  <c r="P260" i="114"/>
  <c r="AX185" i="114"/>
  <c r="BH185" i="114" s="1"/>
  <c r="AX187" i="114"/>
  <c r="BC187" i="114" s="1"/>
  <c r="AS182" i="114"/>
  <c r="AX182" i="114" s="1"/>
  <c r="AX203" i="114"/>
  <c r="BH203" i="114" s="1"/>
  <c r="AT187" i="114"/>
  <c r="AS184" i="114"/>
  <c r="AS188" i="114"/>
  <c r="AS197" i="114"/>
  <c r="AO185" i="114"/>
  <c r="AJ182" i="114"/>
  <c r="AS200" i="114"/>
  <c r="AS202" i="114"/>
  <c r="AS191" i="114"/>
  <c r="AN192" i="114"/>
  <c r="AS194" i="114"/>
  <c r="AN201" i="114"/>
  <c r="AN193" i="114"/>
  <c r="AN199" i="114"/>
  <c r="AN190" i="114"/>
  <c r="AN196" i="114"/>
  <c r="AN186" i="114"/>
  <c r="AK185" i="114"/>
  <c r="AJ196" i="114"/>
  <c r="AN189" i="114"/>
  <c r="AO203" i="114"/>
  <c r="AN195" i="114"/>
  <c r="AJ192" i="114"/>
  <c r="AJ202" i="114"/>
  <c r="AJ190" i="114"/>
  <c r="AJ201" i="114"/>
  <c r="AJ193" i="114"/>
  <c r="AJ199" i="114"/>
  <c r="AN198" i="114"/>
  <c r="AO188" i="114"/>
  <c r="AT188" i="114" s="1"/>
  <c r="AO191" i="114"/>
  <c r="AO194" i="114"/>
  <c r="AT194" i="114" s="1"/>
  <c r="AK187" i="114"/>
  <c r="AJ186" i="114"/>
  <c r="AJ197" i="114"/>
  <c r="AJ200" i="114"/>
  <c r="AJ184" i="114"/>
  <c r="W120" i="114"/>
  <c r="Y120" i="114"/>
  <c r="W130" i="114"/>
  <c r="Y130" i="114"/>
  <c r="Y133" i="114"/>
  <c r="W133" i="114"/>
  <c r="Y132" i="114"/>
  <c r="W132" i="114"/>
  <c r="Y127" i="114"/>
  <c r="W127" i="114"/>
  <c r="Y140" i="114"/>
  <c r="W140" i="114"/>
  <c r="Y134" i="114"/>
  <c r="W134" i="114"/>
  <c r="Y129" i="114"/>
  <c r="W129" i="114"/>
  <c r="Y126" i="114"/>
  <c r="W126" i="114"/>
  <c r="W124" i="114"/>
  <c r="Y124" i="114"/>
  <c r="Y139" i="114"/>
  <c r="W139" i="114"/>
  <c r="W122" i="114"/>
  <c r="Y122" i="114"/>
  <c r="W125" i="114"/>
  <c r="Y125" i="114"/>
  <c r="Y123" i="114"/>
  <c r="W123" i="114"/>
  <c r="W137" i="114"/>
  <c r="Y137" i="114"/>
  <c r="Y141" i="114"/>
  <c r="W141" i="114"/>
  <c r="Y138" i="114"/>
  <c r="W138" i="114"/>
  <c r="W131" i="114"/>
  <c r="Y131" i="114"/>
  <c r="Y135" i="114"/>
  <c r="W135" i="114"/>
  <c r="W136" i="114"/>
  <c r="Y136" i="114"/>
  <c r="Y128" i="114"/>
  <c r="W128" i="114"/>
  <c r="J34" i="119" l="1"/>
  <c r="I40" i="122"/>
  <c r="I41" i="122"/>
  <c r="I42" i="122"/>
  <c r="BW66" i="122"/>
  <c r="CQ66" i="122" s="1"/>
  <c r="AX67" i="122" s="1"/>
  <c r="BC203" i="114"/>
  <c r="I39" i="122"/>
  <c r="CA66" i="122"/>
  <c r="N67" i="122" s="1"/>
  <c r="BT66" i="122"/>
  <c r="CN66" i="122" s="1"/>
  <c r="AU67" i="122" s="1"/>
  <c r="BP66" i="122"/>
  <c r="CJ66" i="122" s="1"/>
  <c r="AQ67" i="122" s="1"/>
  <c r="CB66" i="122"/>
  <c r="O67" i="122" s="1"/>
  <c r="BR66" i="122"/>
  <c r="CL66" i="122" s="1"/>
  <c r="AS67" i="122" s="1"/>
  <c r="CC66" i="122"/>
  <c r="CW66" i="122" s="1"/>
  <c r="BD67" i="122" s="1"/>
  <c r="BZ66" i="122"/>
  <c r="M67" i="122" s="1"/>
  <c r="BO66" i="122"/>
  <c r="B67" i="122" s="1"/>
  <c r="CH66" i="122"/>
  <c r="U67" i="122" s="1"/>
  <c r="CD66" i="122"/>
  <c r="CX66" i="122" s="1"/>
  <c r="BE67" i="122" s="1"/>
  <c r="CF66" i="122"/>
  <c r="S67" i="122" s="1"/>
  <c r="BY66" i="122"/>
  <c r="L67" i="122" s="1"/>
  <c r="X131" i="114"/>
  <c r="Z131" i="114" s="1"/>
  <c r="X129" i="114"/>
  <c r="Z129" i="114" s="1"/>
  <c r="I45" i="122"/>
  <c r="X137" i="114"/>
  <c r="Z137" i="114" s="1"/>
  <c r="AA137" i="114" s="1"/>
  <c r="AD137" i="114" s="1"/>
  <c r="L263" i="114" s="1"/>
  <c r="D19" i="115" s="1"/>
  <c r="K19" i="115" s="1"/>
  <c r="O19" i="115" s="1" a="1"/>
  <c r="O19" i="115" s="1"/>
  <c r="S263" i="114" s="1"/>
  <c r="X122" i="114"/>
  <c r="Z122" i="114" s="1"/>
  <c r="X139" i="114"/>
  <c r="Z139" i="114" s="1"/>
  <c r="AB139" i="114" s="1"/>
  <c r="AC139" i="114" s="1"/>
  <c r="H139" i="114" s="1"/>
  <c r="X135" i="114"/>
  <c r="Z135" i="114" s="1"/>
  <c r="X141" i="114"/>
  <c r="Z141" i="114" s="1"/>
  <c r="X134" i="114"/>
  <c r="Z134" i="114" s="1"/>
  <c r="X132" i="114"/>
  <c r="Z132" i="114" s="1"/>
  <c r="BX66" i="122"/>
  <c r="CR66" i="122" s="1"/>
  <c r="AY67" i="122" s="1"/>
  <c r="BQ66" i="122"/>
  <c r="D67" i="122" s="1"/>
  <c r="BS66" i="122"/>
  <c r="F67" i="122" s="1"/>
  <c r="CE66" i="122"/>
  <c r="CY66" i="122" s="1"/>
  <c r="BF67" i="122" s="1"/>
  <c r="X138" i="114"/>
  <c r="Z138" i="114" s="1"/>
  <c r="AB138" i="114" s="1"/>
  <c r="AC138" i="114" s="1"/>
  <c r="H138" i="114" s="1"/>
  <c r="X127" i="114"/>
  <c r="Z127" i="114" s="1"/>
  <c r="AB127" i="114" s="1"/>
  <c r="AC127" i="114" s="1"/>
  <c r="H127" i="114" s="1"/>
  <c r="X130" i="114"/>
  <c r="Z130" i="114" s="1"/>
  <c r="X125" i="114"/>
  <c r="Z125" i="114" s="1"/>
  <c r="X123" i="114"/>
  <c r="Z123" i="114" s="1"/>
  <c r="AB123" i="114" s="1"/>
  <c r="AC123" i="114" s="1"/>
  <c r="H123" i="114" s="1"/>
  <c r="X136" i="114"/>
  <c r="Z136" i="114" s="1"/>
  <c r="X124" i="114"/>
  <c r="Z124" i="114" s="1"/>
  <c r="X120" i="114"/>
  <c r="Z120" i="114" s="1"/>
  <c r="X128" i="114"/>
  <c r="Z128" i="114" s="1"/>
  <c r="AA128" i="114" s="1"/>
  <c r="AD128" i="114" s="1"/>
  <c r="L254" i="114" s="1"/>
  <c r="D10" i="115" s="1"/>
  <c r="K10" i="115" s="1"/>
  <c r="O10" i="115" s="1" a="1"/>
  <c r="O10" i="115" s="1"/>
  <c r="S254" i="114" s="1"/>
  <c r="X126" i="114"/>
  <c r="Z126" i="114" s="1"/>
  <c r="X140" i="114"/>
  <c r="Z140" i="114" s="1"/>
  <c r="X133" i="114"/>
  <c r="Z133" i="114" s="1"/>
  <c r="BV66" i="122"/>
  <c r="CP66" i="122" s="1"/>
  <c r="AW67" i="122" s="1"/>
  <c r="CG66" i="122"/>
  <c r="DA66" i="122" s="1"/>
  <c r="BH67" i="122" s="1"/>
  <c r="J37" i="120"/>
  <c r="B35" i="119"/>
  <c r="H35" i="119" s="1"/>
  <c r="J35" i="119" s="1"/>
  <c r="CM66" i="122"/>
  <c r="AT67" i="122" s="1"/>
  <c r="BL67" i="122"/>
  <c r="DD66" i="122"/>
  <c r="CO66" i="122"/>
  <c r="AV67" i="122" s="1"/>
  <c r="H67" i="122"/>
  <c r="J40" i="120"/>
  <c r="J36" i="120"/>
  <c r="J39" i="120"/>
  <c r="J38" i="120"/>
  <c r="B67" i="120"/>
  <c r="U67" i="120" s="1"/>
  <c r="Z67" i="120" s="1"/>
  <c r="AE67" i="120" s="1"/>
  <c r="L67" i="120"/>
  <c r="S67" i="120"/>
  <c r="AG66" i="120"/>
  <c r="N17" i="115"/>
  <c r="R261" i="114" s="1"/>
  <c r="Q322" i="114" s="1"/>
  <c r="G17" i="117" s="1"/>
  <c r="S29" i="117" s="1"/>
  <c r="P2" i="117" s="1"/>
  <c r="P261" i="114"/>
  <c r="N9" i="115"/>
  <c r="R253" i="114" s="1"/>
  <c r="Q314" i="114" s="1"/>
  <c r="G9" i="117" s="1"/>
  <c r="P253" i="114"/>
  <c r="N18" i="115"/>
  <c r="R262" i="114" s="1"/>
  <c r="Q323" i="114" s="1"/>
  <c r="G18" i="117" s="1"/>
  <c r="P262" i="114"/>
  <c r="N6" i="115"/>
  <c r="R250" i="114" s="1"/>
  <c r="Q311" i="114" s="1"/>
  <c r="G6" i="117" s="1"/>
  <c r="P250" i="114"/>
  <c r="N10" i="115"/>
  <c r="R254" i="114" s="1"/>
  <c r="Q315" i="114" s="1"/>
  <c r="G10" i="117" s="1"/>
  <c r="P254" i="114"/>
  <c r="P256" i="114"/>
  <c r="N12" i="115"/>
  <c r="R256" i="114" s="1"/>
  <c r="Q317" i="114" s="1"/>
  <c r="G12" i="117" s="1"/>
  <c r="P249" i="114"/>
  <c r="N5" i="115"/>
  <c r="R249" i="114" s="1"/>
  <c r="Q310" i="114" s="1"/>
  <c r="G5" i="117" s="1"/>
  <c r="P251" i="114"/>
  <c r="N7" i="115"/>
  <c r="R251" i="114" s="1"/>
  <c r="Q312" i="114" s="1"/>
  <c r="G7" i="117" s="1"/>
  <c r="P265" i="114"/>
  <c r="N21" i="115"/>
  <c r="R265" i="114" s="1"/>
  <c r="Q326" i="114" s="1"/>
  <c r="G21" i="117" s="1"/>
  <c r="P263" i="114"/>
  <c r="N19" i="115"/>
  <c r="R263" i="114" s="1"/>
  <c r="Q324" i="114" s="1"/>
  <c r="G19" i="117" s="1"/>
  <c r="P246" i="114"/>
  <c r="N3" i="115"/>
  <c r="R246" i="114" s="1"/>
  <c r="Q307" i="114" s="1"/>
  <c r="G3" i="117" s="1"/>
  <c r="N4" i="115"/>
  <c r="R248" i="114" s="1"/>
  <c r="Q309" i="114" s="1"/>
  <c r="G4" i="117" s="1"/>
  <c r="P248" i="114"/>
  <c r="N22" i="115"/>
  <c r="R266" i="114" s="1"/>
  <c r="Q327" i="114" s="1"/>
  <c r="G22" i="117" s="1"/>
  <c r="P266" i="114"/>
  <c r="N14" i="115"/>
  <c r="R258" i="114" s="1"/>
  <c r="Q319" i="114" s="1"/>
  <c r="G14" i="117" s="1"/>
  <c r="P258" i="114"/>
  <c r="N8" i="115"/>
  <c r="R252" i="114" s="1"/>
  <c r="Q313" i="114" s="1"/>
  <c r="G8" i="117" s="1"/>
  <c r="P252" i="114"/>
  <c r="N20" i="115"/>
  <c r="R264" i="114" s="1"/>
  <c r="Q325" i="114" s="1"/>
  <c r="G20" i="117" s="1"/>
  <c r="P264" i="114"/>
  <c r="P257" i="114"/>
  <c r="N13" i="115"/>
  <c r="R257" i="114" s="1"/>
  <c r="Q318" i="114" s="1"/>
  <c r="G13" i="117" s="1"/>
  <c r="P259" i="114"/>
  <c r="N15" i="115"/>
  <c r="R259" i="114" s="1"/>
  <c r="Q320" i="114" s="1"/>
  <c r="G15" i="117" s="1"/>
  <c r="AY203" i="114"/>
  <c r="AX191" i="114"/>
  <c r="AY191" i="114" s="1"/>
  <c r="AX197" i="114"/>
  <c r="BH197" i="114" s="1"/>
  <c r="AX202" i="114"/>
  <c r="BH202" i="114" s="1"/>
  <c r="AX188" i="114"/>
  <c r="BH188" i="114" s="1"/>
  <c r="AX200" i="114"/>
  <c r="BH200" i="114" s="1"/>
  <c r="AX184" i="114"/>
  <c r="BH184" i="114" s="1"/>
  <c r="BC185" i="114"/>
  <c r="AX194" i="114"/>
  <c r="BC194" i="114" s="1"/>
  <c r="BH187" i="114"/>
  <c r="AY185" i="114"/>
  <c r="AY187" i="114"/>
  <c r="BH182" i="114"/>
  <c r="BM182" i="114" s="1"/>
  <c r="BC182" i="114"/>
  <c r="AT185" i="114"/>
  <c r="AS195" i="114"/>
  <c r="AS196" i="114"/>
  <c r="AT203" i="114"/>
  <c r="AS190" i="114"/>
  <c r="AS186" i="114"/>
  <c r="AS189" i="114"/>
  <c r="AS199" i="114"/>
  <c r="AT191" i="114"/>
  <c r="AO190" i="114"/>
  <c r="AS193" i="114"/>
  <c r="AO182" i="114"/>
  <c r="AS198" i="114"/>
  <c r="AS201" i="114"/>
  <c r="AS192" i="114"/>
  <c r="AO200" i="114"/>
  <c r="AO196" i="114"/>
  <c r="AT196" i="114" s="1"/>
  <c r="AO199" i="114"/>
  <c r="AO184" i="114"/>
  <c r="AK203" i="114"/>
  <c r="AK191" i="114"/>
  <c r="AO193" i="114"/>
  <c r="AO202" i="114"/>
  <c r="AK196" i="114"/>
  <c r="AP196" i="114" s="1"/>
  <c r="AK199" i="114"/>
  <c r="AK188" i="114"/>
  <c r="AO186" i="114"/>
  <c r="AJ198" i="114"/>
  <c r="AO201" i="114"/>
  <c r="AO192" i="114"/>
  <c r="AK200" i="114"/>
  <c r="AK190" i="114"/>
  <c r="AP190" i="114" s="1"/>
  <c r="AK194" i="114"/>
  <c r="AJ189" i="114"/>
  <c r="AO197" i="114"/>
  <c r="AP187" i="114"/>
  <c r="AJ195" i="114"/>
  <c r="AP185" i="114"/>
  <c r="AU185" i="114" s="1"/>
  <c r="AK184" i="114"/>
  <c r="AB126" i="114"/>
  <c r="AC126" i="114" s="1"/>
  <c r="H126" i="114" s="1"/>
  <c r="AA126" i="114"/>
  <c r="AD126" i="114" s="1"/>
  <c r="L252" i="114" s="1"/>
  <c r="D8" i="115" s="1"/>
  <c r="K8" i="115" s="1"/>
  <c r="O8" i="115" s="1" a="1"/>
  <c r="O8" i="115" s="1"/>
  <c r="S252" i="114" s="1"/>
  <c r="AB133" i="114"/>
  <c r="AC133" i="114" s="1"/>
  <c r="H133" i="114" s="1"/>
  <c r="AA133" i="114"/>
  <c r="AD133" i="114" s="1"/>
  <c r="L259" i="114" s="1"/>
  <c r="D15" i="115" s="1"/>
  <c r="K15" i="115" s="1"/>
  <c r="O15" i="115" s="1" a="1"/>
  <c r="O15" i="115" s="1"/>
  <c r="S259" i="114" s="1"/>
  <c r="AB136" i="114"/>
  <c r="AC136" i="114" s="1"/>
  <c r="H136" i="114" s="1"/>
  <c r="AA136" i="114"/>
  <c r="AD136" i="114" s="1"/>
  <c r="L262" i="114" s="1"/>
  <c r="D18" i="115" s="1"/>
  <c r="K18" i="115" s="1"/>
  <c r="O18" i="115" s="1" a="1"/>
  <c r="O18" i="115" s="1"/>
  <c r="S262" i="114" s="1"/>
  <c r="AB122" i="114"/>
  <c r="AC122" i="114" s="1"/>
  <c r="H122" i="114" s="1"/>
  <c r="AA122" i="114"/>
  <c r="AD122" i="114" s="1"/>
  <c r="L248" i="114" s="1"/>
  <c r="D4" i="115" s="1"/>
  <c r="K4" i="115" s="1"/>
  <c r="O4" i="115" s="1" a="1"/>
  <c r="O4" i="115" s="1"/>
  <c r="S248" i="114" s="1"/>
  <c r="AB131" i="114"/>
  <c r="AC131" i="114" s="1"/>
  <c r="H131" i="114" s="1"/>
  <c r="AA131" i="114"/>
  <c r="AD131" i="114" s="1"/>
  <c r="L257" i="114" s="1"/>
  <c r="D13" i="115" s="1"/>
  <c r="K13" i="115" s="1"/>
  <c r="O13" i="115" s="1" a="1"/>
  <c r="O13" i="115" s="1"/>
  <c r="S257" i="114" s="1"/>
  <c r="AB125" i="114"/>
  <c r="AC125" i="114" s="1"/>
  <c r="H125" i="114" s="1"/>
  <c r="AA125" i="114"/>
  <c r="AD125" i="114" s="1"/>
  <c r="L251" i="114" s="1"/>
  <c r="D7" i="115" s="1"/>
  <c r="K7" i="115" s="1"/>
  <c r="O7" i="115" s="1" a="1"/>
  <c r="O7" i="115" s="1"/>
  <c r="S251" i="114" s="1"/>
  <c r="AB129" i="114"/>
  <c r="AC129" i="114" s="1"/>
  <c r="H129" i="114" s="1"/>
  <c r="AA129" i="114"/>
  <c r="AD129" i="114" s="1"/>
  <c r="L255" i="114" s="1"/>
  <c r="D11" i="115" s="1"/>
  <c r="K11" i="115" s="1"/>
  <c r="O11" i="115" s="1" a="1"/>
  <c r="O11" i="115" s="1"/>
  <c r="S255" i="114" s="1"/>
  <c r="AA138" i="114"/>
  <c r="AD138" i="114" s="1"/>
  <c r="L264" i="114" s="1"/>
  <c r="D20" i="115" s="1"/>
  <c r="K20" i="115" s="1"/>
  <c r="O20" i="115" s="1" a="1"/>
  <c r="O20" i="115" s="1"/>
  <c r="S264" i="114" s="1"/>
  <c r="AB124" i="114"/>
  <c r="AC124" i="114" s="1"/>
  <c r="H124" i="114" s="1"/>
  <c r="AA124" i="114"/>
  <c r="AD124" i="114" s="1"/>
  <c r="L250" i="114" s="1"/>
  <c r="D6" i="115" s="1"/>
  <c r="K6" i="115" s="1"/>
  <c r="O6" i="115" s="1" a="1"/>
  <c r="O6" i="115" s="1"/>
  <c r="S250" i="114" s="1"/>
  <c r="AB130" i="114"/>
  <c r="AC130" i="114" s="1"/>
  <c r="H130" i="114" s="1"/>
  <c r="AA130" i="114"/>
  <c r="AD130" i="114" s="1"/>
  <c r="L256" i="114" s="1"/>
  <c r="D12" i="115" s="1"/>
  <c r="K12" i="115" s="1"/>
  <c r="O12" i="115" s="1" a="1"/>
  <c r="O12" i="115" s="1"/>
  <c r="S256" i="114" s="1"/>
  <c r="AB132" i="114"/>
  <c r="AC132" i="114" s="1"/>
  <c r="H132" i="114" s="1"/>
  <c r="AA132" i="114"/>
  <c r="AD132" i="114" s="1"/>
  <c r="L258" i="114" s="1"/>
  <c r="D14" i="115" s="1"/>
  <c r="K14" i="115" s="1"/>
  <c r="O14" i="115" s="1" a="1"/>
  <c r="O14" i="115" s="1"/>
  <c r="S258" i="114" s="1"/>
  <c r="AB135" i="114"/>
  <c r="AC135" i="114" s="1"/>
  <c r="H135" i="114" s="1"/>
  <c r="AA135" i="114"/>
  <c r="AD135" i="114" s="1"/>
  <c r="L261" i="114" s="1"/>
  <c r="D17" i="115" s="1"/>
  <c r="K17" i="115" s="1"/>
  <c r="O17" i="115" s="1" a="1"/>
  <c r="O17" i="115" s="1"/>
  <c r="S261" i="114" s="1"/>
  <c r="AA134" i="114"/>
  <c r="AD134" i="114" s="1"/>
  <c r="L260" i="114" s="1"/>
  <c r="D16" i="115" s="1"/>
  <c r="K16" i="115" s="1"/>
  <c r="O16" i="115" s="1" a="1"/>
  <c r="O16" i="115" s="1"/>
  <c r="S260" i="114" s="1"/>
  <c r="AB134" i="114"/>
  <c r="AC134" i="114" s="1"/>
  <c r="H134" i="114" s="1"/>
  <c r="AB141" i="114"/>
  <c r="AC141" i="114" s="1"/>
  <c r="H141" i="114" s="1"/>
  <c r="AA141" i="114"/>
  <c r="AD141" i="114" s="1"/>
  <c r="L267" i="114" s="1"/>
  <c r="D23" i="115" s="1"/>
  <c r="K23" i="115" s="1"/>
  <c r="O23" i="115" s="1" a="1"/>
  <c r="O23" i="115" s="1"/>
  <c r="S267" i="114" s="1"/>
  <c r="AA139" i="114"/>
  <c r="AD139" i="114" s="1"/>
  <c r="L265" i="114" s="1"/>
  <c r="D21" i="115" s="1"/>
  <c r="K21" i="115" s="1"/>
  <c r="O21" i="115" s="1" a="1"/>
  <c r="O21" i="115" s="1"/>
  <c r="S265" i="114" s="1"/>
  <c r="AA140" i="114"/>
  <c r="AD140" i="114" s="1"/>
  <c r="L266" i="114" s="1"/>
  <c r="D22" i="115" s="1"/>
  <c r="K22" i="115" s="1"/>
  <c r="O22" i="115" s="1" a="1"/>
  <c r="O22" i="115" s="1"/>
  <c r="S266" i="114" s="1"/>
  <c r="AB140" i="114"/>
  <c r="AC140" i="114" s="1"/>
  <c r="H140" i="114" s="1"/>
  <c r="AB120" i="114"/>
  <c r="AC120" i="114" s="1"/>
  <c r="AA120" i="114"/>
  <c r="AD120" i="114" s="1"/>
  <c r="L246" i="114" s="1"/>
  <c r="D3" i="115" s="1"/>
  <c r="K3" i="115" s="1"/>
  <c r="O3" i="115" s="1" a="1"/>
  <c r="O3" i="115" s="1"/>
  <c r="S246" i="114" s="1"/>
  <c r="N267" i="114" l="1"/>
  <c r="H267" i="114" s="1"/>
  <c r="I267" i="114" s="1"/>
  <c r="N246" i="114"/>
  <c r="H246" i="114" s="1"/>
  <c r="I246" i="114" s="1"/>
  <c r="CT66" i="122"/>
  <c r="BA67" i="122" s="1"/>
  <c r="CU66" i="122"/>
  <c r="BB67" i="122" s="1"/>
  <c r="G67" i="122"/>
  <c r="CV66" i="122"/>
  <c r="BC67" i="122" s="1"/>
  <c r="J67" i="122"/>
  <c r="B36" i="119"/>
  <c r="H36" i="119" s="1"/>
  <c r="J36" i="119" s="1"/>
  <c r="P67" i="122"/>
  <c r="Q67" i="122"/>
  <c r="CS66" i="122"/>
  <c r="AZ67" i="122" s="1"/>
  <c r="AY188" i="114"/>
  <c r="BD188" i="114" s="1"/>
  <c r="CI66" i="122"/>
  <c r="AP67" i="122" s="1"/>
  <c r="R67" i="122"/>
  <c r="CZ66" i="122"/>
  <c r="BG67" i="122" s="1"/>
  <c r="E67" i="122"/>
  <c r="CK66" i="122"/>
  <c r="AR67" i="122" s="1"/>
  <c r="N261" i="114"/>
  <c r="H261" i="114" s="1"/>
  <c r="I261" i="114" s="1"/>
  <c r="AB128" i="114"/>
  <c r="AC128" i="114" s="1"/>
  <c r="H128" i="114" s="1"/>
  <c r="BC184" i="114"/>
  <c r="DB66" i="122"/>
  <c r="BI67" i="122" s="1"/>
  <c r="C67" i="122"/>
  <c r="AA123" i="114"/>
  <c r="AD123" i="114" s="1"/>
  <c r="L249" i="114" s="1"/>
  <c r="D5" i="115" s="1"/>
  <c r="K5" i="115" s="1"/>
  <c r="O5" i="115" s="1" a="1"/>
  <c r="O5" i="115" s="1"/>
  <c r="S249" i="114" s="1"/>
  <c r="BH191" i="114"/>
  <c r="T67" i="122"/>
  <c r="N265" i="114"/>
  <c r="N251" i="114"/>
  <c r="N252" i="114"/>
  <c r="H252" i="114" s="1"/>
  <c r="I252" i="114" s="1"/>
  <c r="N262" i="114"/>
  <c r="N323" i="114" s="1"/>
  <c r="D18" i="117" s="1"/>
  <c r="N254" i="114"/>
  <c r="N256" i="114"/>
  <c r="N266" i="114"/>
  <c r="N250" i="114"/>
  <c r="N257" i="114"/>
  <c r="N249" i="114"/>
  <c r="N258" i="114"/>
  <c r="N264" i="114"/>
  <c r="N307" i="114"/>
  <c r="D3" i="117" s="1"/>
  <c r="H3" i="117"/>
  <c r="N260" i="114"/>
  <c r="N263" i="114"/>
  <c r="H263" i="114" s="1"/>
  <c r="I263" i="114" s="1"/>
  <c r="N255" i="114"/>
  <c r="N248" i="114"/>
  <c r="N259" i="114"/>
  <c r="H259" i="114" s="1"/>
  <c r="I259" i="114" s="1"/>
  <c r="AB137" i="114"/>
  <c r="AC137" i="114" s="1"/>
  <c r="H137" i="114" s="1"/>
  <c r="BI188" i="114"/>
  <c r="BC197" i="114"/>
  <c r="BH194" i="114"/>
  <c r="BC200" i="114"/>
  <c r="AA127" i="114"/>
  <c r="AD127" i="114" s="1"/>
  <c r="L253" i="114" s="1"/>
  <c r="D9" i="115" s="1"/>
  <c r="K9" i="115" s="1"/>
  <c r="O9" i="115" s="1" a="1"/>
  <c r="O9" i="115" s="1"/>
  <c r="S253" i="114" s="1"/>
  <c r="BC188" i="114"/>
  <c r="K67" i="122"/>
  <c r="I67" i="122"/>
  <c r="G48" i="122"/>
  <c r="I48" i="122" s="1"/>
  <c r="K39" i="120"/>
  <c r="K38" i="120"/>
  <c r="K37" i="120"/>
  <c r="K36" i="120"/>
  <c r="Q67" i="120"/>
  <c r="AF67" i="120" s="1"/>
  <c r="R67" i="120"/>
  <c r="X67" i="120"/>
  <c r="AC67" i="120" s="1"/>
  <c r="D68" i="120" s="1"/>
  <c r="Y67" i="120"/>
  <c r="AD67" i="120" s="1"/>
  <c r="O68" i="120" s="1"/>
  <c r="K40" i="120"/>
  <c r="P68" i="120"/>
  <c r="F68" i="120"/>
  <c r="H8" i="117"/>
  <c r="H12" i="117"/>
  <c r="H23" i="117"/>
  <c r="AY184" i="114"/>
  <c r="AY182" i="114"/>
  <c r="BI182" i="114" s="1"/>
  <c r="AX189" i="114"/>
  <c r="BC189" i="114" s="1"/>
  <c r="BI185" i="114"/>
  <c r="BD185" i="114"/>
  <c r="AZ187" i="114"/>
  <c r="BD187" i="114"/>
  <c r="AY197" i="114"/>
  <c r="AY202" i="114"/>
  <c r="AX186" i="114"/>
  <c r="BH186" i="114" s="1"/>
  <c r="BI187" i="114"/>
  <c r="AY200" i="114"/>
  <c r="AX193" i="114"/>
  <c r="BC193" i="114" s="1"/>
  <c r="AX190" i="114"/>
  <c r="BC202" i="114"/>
  <c r="AX192" i="114"/>
  <c r="AY192" i="114" s="1"/>
  <c r="BI203" i="114"/>
  <c r="BD203" i="114"/>
  <c r="AY194" i="114"/>
  <c r="BI194" i="114" s="1"/>
  <c r="AX201" i="114"/>
  <c r="BC201" i="114" s="1"/>
  <c r="BI191" i="114"/>
  <c r="BD191" i="114"/>
  <c r="AX196" i="114"/>
  <c r="BH196" i="114" s="1"/>
  <c r="AZ185" i="114"/>
  <c r="BE185" i="114" s="1"/>
  <c r="BC191" i="114"/>
  <c r="AX198" i="114"/>
  <c r="BC198" i="114" s="1"/>
  <c r="AX199" i="114"/>
  <c r="AY199" i="114" s="1"/>
  <c r="AX195" i="114"/>
  <c r="BC195" i="114" s="1"/>
  <c r="AU190" i="114"/>
  <c r="I136" i="114"/>
  <c r="L198" i="114"/>
  <c r="BL198" i="114" s="1"/>
  <c r="AT193" i="114"/>
  <c r="I140" i="114"/>
  <c r="L202" i="114"/>
  <c r="AP191" i="114"/>
  <c r="AZ191" i="114" s="1"/>
  <c r="AT192" i="114"/>
  <c r="AT199" i="114"/>
  <c r="AU196" i="114"/>
  <c r="I133" i="114"/>
  <c r="L195" i="114"/>
  <c r="BL195" i="114" s="1"/>
  <c r="AT201" i="114"/>
  <c r="AT190" i="114"/>
  <c r="I130" i="114"/>
  <c r="L192" i="114"/>
  <c r="BL192" i="114" s="1"/>
  <c r="I123" i="114"/>
  <c r="L185" i="114"/>
  <c r="I129" i="114"/>
  <c r="L191" i="114"/>
  <c r="AU187" i="114"/>
  <c r="I128" i="114"/>
  <c r="L190" i="114"/>
  <c r="BL190" i="114" s="1"/>
  <c r="AT197" i="114"/>
  <c r="AT184" i="114"/>
  <c r="AT186" i="114"/>
  <c r="I135" i="114"/>
  <c r="L197" i="114"/>
  <c r="I127" i="114"/>
  <c r="L189" i="114"/>
  <c r="BL189" i="114" s="1"/>
  <c r="I132" i="114"/>
  <c r="L194" i="114"/>
  <c r="I122" i="114"/>
  <c r="L184" i="114"/>
  <c r="I137" i="114"/>
  <c r="L199" i="114"/>
  <c r="BL199" i="114" s="1"/>
  <c r="I126" i="114"/>
  <c r="L188" i="114"/>
  <c r="AK182" i="114"/>
  <c r="AT182" i="114"/>
  <c r="I141" i="114"/>
  <c r="L203" i="114"/>
  <c r="BN203" i="114" s="1"/>
  <c r="I131" i="114"/>
  <c r="L193" i="114"/>
  <c r="BL193" i="114" s="1"/>
  <c r="AT200" i="114"/>
  <c r="I124" i="114"/>
  <c r="L186" i="114"/>
  <c r="BL186" i="114" s="1"/>
  <c r="AP200" i="114"/>
  <c r="AU200" i="114" s="1"/>
  <c r="I134" i="114"/>
  <c r="L196" i="114"/>
  <c r="BL196" i="114" s="1"/>
  <c r="I139" i="114"/>
  <c r="L201" i="114"/>
  <c r="BL201" i="114" s="1"/>
  <c r="I138" i="114"/>
  <c r="L200" i="114"/>
  <c r="I125" i="114"/>
  <c r="L187" i="114"/>
  <c r="AT202" i="114"/>
  <c r="BI202" i="114" s="1"/>
  <c r="AO189" i="114"/>
  <c r="AY189" i="114" s="1"/>
  <c r="AK202" i="114"/>
  <c r="AP202" i="114" s="1"/>
  <c r="AO195" i="114"/>
  <c r="AP194" i="114"/>
  <c r="AK201" i="114"/>
  <c r="AP199" i="114"/>
  <c r="AK189" i="114"/>
  <c r="AK192" i="114"/>
  <c r="AL191" i="114"/>
  <c r="AL200" i="114"/>
  <c r="AK193" i="114"/>
  <c r="AP193" i="114" s="1"/>
  <c r="AL187" i="114"/>
  <c r="AQ187" i="114" s="1"/>
  <c r="AV187" i="114" s="1"/>
  <c r="AL190" i="114"/>
  <c r="AK197" i="114"/>
  <c r="AO198" i="114"/>
  <c r="AL196" i="114"/>
  <c r="AL185" i="114"/>
  <c r="AP188" i="114"/>
  <c r="AK186" i="114"/>
  <c r="AP203" i="114"/>
  <c r="AP184" i="114"/>
  <c r="AU184" i="114" s="1"/>
  <c r="N322" i="114" l="1"/>
  <c r="D17" i="117" s="1"/>
  <c r="P33" i="117" s="1"/>
  <c r="N328" i="114"/>
  <c r="D23" i="117" s="1"/>
  <c r="N324" i="114"/>
  <c r="D19" i="117" s="1"/>
  <c r="N313" i="114"/>
  <c r="D8" i="117" s="1"/>
  <c r="N320" i="114"/>
  <c r="D15" i="117" s="1"/>
  <c r="N316" i="114"/>
  <c r="D11" i="117" s="1"/>
  <c r="H255" i="114"/>
  <c r="I255" i="114" s="1"/>
  <c r="N321" i="114"/>
  <c r="D16" i="117" s="1"/>
  <c r="H260" i="114"/>
  <c r="I260" i="114" s="1"/>
  <c r="N325" i="114"/>
  <c r="D20" i="117" s="1"/>
  <c r="H264" i="114"/>
  <c r="I264" i="114" s="1"/>
  <c r="N319" i="114"/>
  <c r="D14" i="117" s="1"/>
  <c r="H258" i="114"/>
  <c r="I258" i="114" s="1"/>
  <c r="H5" i="117"/>
  <c r="H249" i="114"/>
  <c r="I249" i="114" s="1"/>
  <c r="N318" i="114"/>
  <c r="D13" i="117" s="1"/>
  <c r="H257" i="114"/>
  <c r="I257" i="114" s="1"/>
  <c r="N311" i="114"/>
  <c r="D6" i="117" s="1"/>
  <c r="H250" i="114"/>
  <c r="I250" i="114" s="1"/>
  <c r="N327" i="114"/>
  <c r="D22" i="117" s="1"/>
  <c r="H266" i="114"/>
  <c r="I266" i="114" s="1"/>
  <c r="N317" i="114"/>
  <c r="D12" i="117" s="1"/>
  <c r="H256" i="114"/>
  <c r="I256" i="114" s="1"/>
  <c r="N315" i="114"/>
  <c r="D10" i="117" s="1"/>
  <c r="H254" i="114"/>
  <c r="I254" i="114" s="1"/>
  <c r="H262" i="114"/>
  <c r="I262" i="114" s="1"/>
  <c r="N312" i="114"/>
  <c r="D7" i="117" s="1"/>
  <c r="H251" i="114"/>
  <c r="I251" i="114" s="1"/>
  <c r="N326" i="114"/>
  <c r="D21" i="117" s="1"/>
  <c r="H265" i="114"/>
  <c r="I265" i="114" s="1"/>
  <c r="H4" i="117"/>
  <c r="H248" i="114"/>
  <c r="I248" i="114" s="1"/>
  <c r="V67" i="120"/>
  <c r="AA67" i="120" s="1"/>
  <c r="W67" i="120"/>
  <c r="AB67" i="120" s="1"/>
  <c r="C68" i="120" s="1"/>
  <c r="BK67" i="122"/>
  <c r="R326" i="114"/>
  <c r="R307" i="114"/>
  <c r="H11" i="117"/>
  <c r="N310" i="114"/>
  <c r="D5" i="117" s="1"/>
  <c r="B37" i="119"/>
  <c r="H37" i="119" s="1"/>
  <c r="B38" i="119" s="1"/>
  <c r="H38" i="119" s="1"/>
  <c r="N309" i="114"/>
  <c r="D4" i="117" s="1"/>
  <c r="AY193" i="114"/>
  <c r="AZ202" i="114"/>
  <c r="BH193" i="114"/>
  <c r="DE66" i="122"/>
  <c r="BJ67" i="122"/>
  <c r="DC67" i="122" s="1"/>
  <c r="DD67" i="122" s="1"/>
  <c r="BN185" i="114"/>
  <c r="R319" i="114"/>
  <c r="R321" i="114"/>
  <c r="R312" i="114"/>
  <c r="BH198" i="114"/>
  <c r="BM198" i="114" s="1"/>
  <c r="R315" i="114"/>
  <c r="BN67" i="122"/>
  <c r="CB67" i="122" s="1"/>
  <c r="CV67" i="122" s="1"/>
  <c r="BC68" i="122" s="1"/>
  <c r="BH195" i="114"/>
  <c r="AZ199" i="114"/>
  <c r="BJ185" i="114"/>
  <c r="H20" i="117"/>
  <c r="BH199" i="114"/>
  <c r="BM199" i="114" s="1"/>
  <c r="BC196" i="114"/>
  <c r="H13" i="117"/>
  <c r="BD182" i="114"/>
  <c r="BI193" i="114"/>
  <c r="N253" i="114"/>
  <c r="H253" i="114" s="1"/>
  <c r="I253" i="114" s="1"/>
  <c r="R320" i="114"/>
  <c r="H15" i="117"/>
  <c r="R322" i="114"/>
  <c r="H17" i="117"/>
  <c r="R33" i="117" s="1"/>
  <c r="S33" i="117" s="1"/>
  <c r="R323" i="114"/>
  <c r="H18" i="117"/>
  <c r="R324" i="114"/>
  <c r="H19" i="117"/>
  <c r="R327" i="114"/>
  <c r="H22" i="117"/>
  <c r="R311" i="114"/>
  <c r="H6" i="117"/>
  <c r="M68" i="120"/>
  <c r="E68" i="120"/>
  <c r="N68" i="120"/>
  <c r="L68" i="120"/>
  <c r="S68" i="120"/>
  <c r="AG67" i="120"/>
  <c r="N38" i="120"/>
  <c r="U35" i="120" s="1"/>
  <c r="O38" i="120"/>
  <c r="V35" i="120" s="1"/>
  <c r="P38" i="120"/>
  <c r="W35" i="120" s="1"/>
  <c r="Q38" i="120"/>
  <c r="X35" i="120" s="1"/>
  <c r="R38" i="120"/>
  <c r="Y35" i="120" s="1"/>
  <c r="R309" i="114"/>
  <c r="R317" i="114"/>
  <c r="R313" i="114"/>
  <c r="R328" i="114"/>
  <c r="R310" i="114"/>
  <c r="BI192" i="114"/>
  <c r="BD192" i="114"/>
  <c r="BD194" i="114"/>
  <c r="BI184" i="114"/>
  <c r="BN184" i="114" s="1"/>
  <c r="BD184" i="114"/>
  <c r="BH201" i="114"/>
  <c r="BM201" i="114" s="1"/>
  <c r="BD202" i="114"/>
  <c r="BA187" i="114"/>
  <c r="BF187" i="114" s="1"/>
  <c r="AU199" i="114"/>
  <c r="BI200" i="114"/>
  <c r="BN200" i="114" s="1"/>
  <c r="BD200" i="114"/>
  <c r="BI197" i="114"/>
  <c r="BN197" i="114" s="1"/>
  <c r="BD197" i="114"/>
  <c r="BC192" i="114"/>
  <c r="BC190" i="114"/>
  <c r="AZ193" i="114"/>
  <c r="AZ184" i="114"/>
  <c r="BE184" i="114" s="1"/>
  <c r="AY201" i="114"/>
  <c r="AZ194" i="114"/>
  <c r="BD199" i="114"/>
  <c r="AZ203" i="114"/>
  <c r="BH192" i="114"/>
  <c r="BH190" i="114"/>
  <c r="BM190" i="114" s="1"/>
  <c r="AZ200" i="114"/>
  <c r="BE200" i="114" s="1"/>
  <c r="AY186" i="114"/>
  <c r="BD186" i="114" s="1"/>
  <c r="BH189" i="114"/>
  <c r="BM189" i="114" s="1"/>
  <c r="AZ188" i="114"/>
  <c r="AY198" i="114"/>
  <c r="AY195" i="114"/>
  <c r="BJ187" i="114"/>
  <c r="BO187" i="114" s="1"/>
  <c r="BE187" i="114"/>
  <c r="BI199" i="114"/>
  <c r="BC199" i="114"/>
  <c r="AY196" i="114"/>
  <c r="BI196" i="114" s="1"/>
  <c r="BN196" i="114" s="1"/>
  <c r="BD193" i="114"/>
  <c r="AY190" i="114"/>
  <c r="AZ190" i="114" s="1"/>
  <c r="BJ190" i="114" s="1"/>
  <c r="BC186" i="114"/>
  <c r="BM195" i="114"/>
  <c r="BM196" i="114"/>
  <c r="BN193" i="114"/>
  <c r="AU202" i="114"/>
  <c r="BL187" i="114"/>
  <c r="BM187" i="114"/>
  <c r="BN187" i="114"/>
  <c r="BM193" i="114"/>
  <c r="AU193" i="114"/>
  <c r="AU203" i="114"/>
  <c r="BL184" i="114"/>
  <c r="BM184" i="114"/>
  <c r="BL191" i="114"/>
  <c r="BM191" i="114"/>
  <c r="BN182" i="114"/>
  <c r="BN202" i="114"/>
  <c r="AP182" i="114"/>
  <c r="AZ182" i="114" s="1"/>
  <c r="BL197" i="114"/>
  <c r="BM197" i="114"/>
  <c r="AT195" i="114"/>
  <c r="BL200" i="114"/>
  <c r="BM200" i="114"/>
  <c r="BM186" i="114"/>
  <c r="BL188" i="114"/>
  <c r="BN188" i="114"/>
  <c r="BM188" i="114"/>
  <c r="BL202" i="114"/>
  <c r="BM202" i="114"/>
  <c r="AT189" i="114"/>
  <c r="BM203" i="114"/>
  <c r="BL203" i="114"/>
  <c r="AT198" i="114"/>
  <c r="AU194" i="114"/>
  <c r="AU188" i="114"/>
  <c r="AP192" i="114"/>
  <c r="BL194" i="114"/>
  <c r="BN194" i="114"/>
  <c r="BM194" i="114"/>
  <c r="BL185" i="114"/>
  <c r="BM185" i="114"/>
  <c r="BO185" i="114"/>
  <c r="BN191" i="114"/>
  <c r="AU191" i="114"/>
  <c r="AP189" i="114"/>
  <c r="AU189" i="114" s="1"/>
  <c r="AQ191" i="114"/>
  <c r="AV191" i="114" s="1"/>
  <c r="AP201" i="114"/>
  <c r="AL188" i="114"/>
  <c r="AP197" i="114"/>
  <c r="AZ197" i="114" s="1"/>
  <c r="AL194" i="114"/>
  <c r="AL193" i="114"/>
  <c r="AK195" i="114"/>
  <c r="AP195" i="114" s="1"/>
  <c r="AU195" i="114" s="1"/>
  <c r="AQ185" i="114"/>
  <c r="AL203" i="114"/>
  <c r="AQ190" i="114"/>
  <c r="AQ200" i="114"/>
  <c r="AV200" i="114" s="1"/>
  <c r="AL202" i="114"/>
  <c r="AK198" i="114"/>
  <c r="AL201" i="114"/>
  <c r="AL192" i="114"/>
  <c r="AL189" i="114"/>
  <c r="AP186" i="114"/>
  <c r="AQ196" i="114"/>
  <c r="AL199" i="114"/>
  <c r="AL184" i="114"/>
  <c r="AQ184" i="114" s="1"/>
  <c r="AV184" i="114" s="1"/>
  <c r="AH67" i="120" l="1"/>
  <c r="B68" i="120"/>
  <c r="H21" i="117"/>
  <c r="R316" i="114"/>
  <c r="H7" i="117"/>
  <c r="J37" i="119"/>
  <c r="R318" i="114"/>
  <c r="H14" i="117"/>
  <c r="BU67" i="122"/>
  <c r="CO67" i="122" s="1"/>
  <c r="AV68" i="122" s="1"/>
  <c r="H16" i="117"/>
  <c r="R325" i="114"/>
  <c r="BI186" i="114"/>
  <c r="BN186" i="114" s="1"/>
  <c r="CD67" i="122"/>
  <c r="Q68" i="122" s="1"/>
  <c r="BR67" i="122"/>
  <c r="CL67" i="122" s="1"/>
  <c r="AS68" i="122" s="1"/>
  <c r="BS67" i="122"/>
  <c r="CM67" i="122" s="1"/>
  <c r="AT68" i="122" s="1"/>
  <c r="BX67" i="122"/>
  <c r="CR67" i="122" s="1"/>
  <c r="AY68" i="122" s="1"/>
  <c r="BZ67" i="122"/>
  <c r="M68" i="122" s="1"/>
  <c r="BO67" i="122"/>
  <c r="B68" i="122" s="1"/>
  <c r="CF67" i="122"/>
  <c r="S68" i="122" s="1"/>
  <c r="BP67" i="122"/>
  <c r="C68" i="122" s="1"/>
  <c r="O68" i="122"/>
  <c r="BW67" i="122"/>
  <c r="CQ67" i="122" s="1"/>
  <c r="AX68" i="122" s="1"/>
  <c r="CE67" i="122"/>
  <c r="R68" i="122" s="1"/>
  <c r="BL68" i="122"/>
  <c r="CA67" i="122"/>
  <c r="CU67" i="122" s="1"/>
  <c r="BB68" i="122" s="1"/>
  <c r="CH67" i="122"/>
  <c r="DB67" i="122" s="1"/>
  <c r="BI68" i="122" s="1"/>
  <c r="CG67" i="122"/>
  <c r="T68" i="122" s="1"/>
  <c r="BQ67" i="122"/>
  <c r="CK67" i="122" s="1"/>
  <c r="AR68" i="122" s="1"/>
  <c r="BY67" i="122"/>
  <c r="L68" i="122" s="1"/>
  <c r="CC67" i="122"/>
  <c r="CW67" i="122" s="1"/>
  <c r="BD68" i="122" s="1"/>
  <c r="BV67" i="122"/>
  <c r="CP67" i="122" s="1"/>
  <c r="AW68" i="122" s="1"/>
  <c r="BT67" i="122"/>
  <c r="CN67" i="122" s="1"/>
  <c r="AU68" i="122" s="1"/>
  <c r="BN199" i="114"/>
  <c r="H10" i="117"/>
  <c r="BK187" i="114"/>
  <c r="BP187" i="114" s="1"/>
  <c r="BJ200" i="114"/>
  <c r="BO200" i="114" s="1"/>
  <c r="N314" i="114"/>
  <c r="D9" i="117" s="1"/>
  <c r="BJ184" i="114"/>
  <c r="BO184" i="114" s="1"/>
  <c r="BN192" i="114"/>
  <c r="U68" i="120"/>
  <c r="Z68" i="120" s="1"/>
  <c r="AE68" i="120" s="1"/>
  <c r="F69" i="120" s="1"/>
  <c r="R68" i="120"/>
  <c r="Q68" i="120"/>
  <c r="AF68" i="120" s="1"/>
  <c r="AG68" i="120" s="1"/>
  <c r="J38" i="119"/>
  <c r="B39" i="119"/>
  <c r="H39" i="119" s="1"/>
  <c r="T33" i="117"/>
  <c r="V33" i="117" s="1" a="1"/>
  <c r="V33" i="117" s="1"/>
  <c r="BJ188" i="114"/>
  <c r="BE188" i="114"/>
  <c r="BI195" i="114"/>
  <c r="BD195" i="114"/>
  <c r="BM192" i="114"/>
  <c r="BJ193" i="114"/>
  <c r="BO193" i="114" s="1"/>
  <c r="BQ193" i="114" s="1"/>
  <c r="BR193" i="114" s="1"/>
  <c r="H193" i="114" s="1"/>
  <c r="M257" i="114" s="1"/>
  <c r="E13" i="115" s="1"/>
  <c r="L13" i="115" s="1"/>
  <c r="O257" i="114" s="1"/>
  <c r="O318" i="114" s="1"/>
  <c r="E13" i="117" s="1"/>
  <c r="BE193" i="114"/>
  <c r="BJ202" i="114"/>
  <c r="BO202" i="114" s="1"/>
  <c r="BE202" i="114"/>
  <c r="BA184" i="114"/>
  <c r="BF184" i="114" s="1"/>
  <c r="BD196" i="114"/>
  <c r="BJ194" i="114"/>
  <c r="BO194" i="114" s="1"/>
  <c r="BE194" i="114"/>
  <c r="BA200" i="114"/>
  <c r="BF200" i="114" s="1"/>
  <c r="BJ199" i="114"/>
  <c r="BO199" i="114" s="1"/>
  <c r="BE199" i="114"/>
  <c r="BE190" i="114"/>
  <c r="AV196" i="114"/>
  <c r="AZ186" i="114"/>
  <c r="BJ191" i="114"/>
  <c r="BO191" i="114" s="1"/>
  <c r="BQ191" i="114" s="1"/>
  <c r="BR191" i="114" s="1"/>
  <c r="H191" i="114" s="1"/>
  <c r="M255" i="114" s="1"/>
  <c r="E11" i="115" s="1"/>
  <c r="L11" i="115" s="1"/>
  <c r="O255" i="114" s="1"/>
  <c r="O316" i="114" s="1"/>
  <c r="E11" i="117" s="1"/>
  <c r="BE191" i="114"/>
  <c r="BI198" i="114"/>
  <c r="BD198" i="114"/>
  <c r="BD190" i="114"/>
  <c r="AZ189" i="114"/>
  <c r="BI190" i="114"/>
  <c r="AV190" i="114"/>
  <c r="BA190" i="114"/>
  <c r="AZ201" i="114"/>
  <c r="BA191" i="114"/>
  <c r="BF191" i="114" s="1"/>
  <c r="AZ192" i="114"/>
  <c r="BJ203" i="114"/>
  <c r="BO203" i="114" s="1"/>
  <c r="BQ203" i="114" s="1"/>
  <c r="BR203" i="114" s="1"/>
  <c r="H203" i="114" s="1"/>
  <c r="M267" i="114" s="1"/>
  <c r="E23" i="115" s="1"/>
  <c r="L23" i="115" s="1"/>
  <c r="O267" i="114" s="1"/>
  <c r="O328" i="114" s="1"/>
  <c r="E23" i="117" s="1"/>
  <c r="BE203" i="114"/>
  <c r="AZ195" i="114"/>
  <c r="BE195" i="114" s="1"/>
  <c r="BD201" i="114"/>
  <c r="AV185" i="114"/>
  <c r="BA185" i="114"/>
  <c r="BI189" i="114"/>
  <c r="BN189" i="114" s="1"/>
  <c r="BQ189" i="114" s="1"/>
  <c r="BR189" i="114" s="1"/>
  <c r="H189" i="114" s="1"/>
  <c r="M253" i="114" s="1"/>
  <c r="E9" i="115" s="1"/>
  <c r="L9" i="115" s="1"/>
  <c r="O253" i="114" s="1"/>
  <c r="O314" i="114" s="1"/>
  <c r="E9" i="117" s="1"/>
  <c r="BD189" i="114"/>
  <c r="AZ196" i="114"/>
  <c r="BJ196" i="114" s="1"/>
  <c r="BO196" i="114" s="1"/>
  <c r="BI201" i="114"/>
  <c r="BN201" i="114" s="1"/>
  <c r="BQ185" i="114"/>
  <c r="BR185" i="114" s="1"/>
  <c r="H185" i="114" s="1"/>
  <c r="M249" i="114" s="1"/>
  <c r="E5" i="115" s="1"/>
  <c r="L5" i="115" s="1"/>
  <c r="O249" i="114" s="1"/>
  <c r="O310" i="114" s="1"/>
  <c r="E5" i="117" s="1"/>
  <c r="BQ196" i="114"/>
  <c r="BR196" i="114" s="1"/>
  <c r="H196" i="114" s="1"/>
  <c r="M260" i="114" s="1"/>
  <c r="E16" i="115" s="1"/>
  <c r="L16" i="115" s="1"/>
  <c r="O260" i="114" s="1"/>
  <c r="O321" i="114" s="1"/>
  <c r="E16" i="117" s="1"/>
  <c r="AU197" i="114"/>
  <c r="BN195" i="114"/>
  <c r="AL182" i="114"/>
  <c r="AU182" i="114"/>
  <c r="BE182" i="114" s="1"/>
  <c r="BJ182" i="114"/>
  <c r="BK184" i="114"/>
  <c r="BP184" i="114" s="1"/>
  <c r="BQ184" i="114" s="1"/>
  <c r="BR184" i="114" s="1"/>
  <c r="BQ194" i="114"/>
  <c r="BR194" i="114" s="1"/>
  <c r="H194" i="114" s="1"/>
  <c r="M258" i="114" s="1"/>
  <c r="E14" i="115" s="1"/>
  <c r="L14" i="115" s="1"/>
  <c r="O258" i="114" s="1"/>
  <c r="O319" i="114" s="1"/>
  <c r="E14" i="117" s="1"/>
  <c r="BQ187" i="114"/>
  <c r="BR187" i="114" s="1"/>
  <c r="H187" i="114" s="1"/>
  <c r="M251" i="114" s="1"/>
  <c r="E7" i="115" s="1"/>
  <c r="L7" i="115" s="1"/>
  <c r="O251" i="114" s="1"/>
  <c r="O312" i="114" s="1"/>
  <c r="E7" i="117" s="1"/>
  <c r="AU192" i="114"/>
  <c r="AU201" i="114"/>
  <c r="BO188" i="114"/>
  <c r="BQ188" i="114" s="1"/>
  <c r="BR188" i="114" s="1"/>
  <c r="H188" i="114" s="1"/>
  <c r="M252" i="114" s="1"/>
  <c r="E8" i="115" s="1"/>
  <c r="L8" i="115" s="1"/>
  <c r="O252" i="114" s="1"/>
  <c r="O313" i="114" s="1"/>
  <c r="E8" i="117" s="1"/>
  <c r="AU186" i="114"/>
  <c r="BN198" i="114"/>
  <c r="AQ193" i="114"/>
  <c r="AP198" i="114"/>
  <c r="AQ194" i="114"/>
  <c r="AQ202" i="114"/>
  <c r="AQ203" i="114"/>
  <c r="AQ199" i="114"/>
  <c r="AL195" i="114"/>
  <c r="AQ189" i="114"/>
  <c r="AV189" i="114" s="1"/>
  <c r="AQ192" i="114"/>
  <c r="AV192" i="114" s="1"/>
  <c r="AL197" i="114"/>
  <c r="AL186" i="114"/>
  <c r="AQ201" i="114"/>
  <c r="AV201" i="114" s="1"/>
  <c r="AQ188" i="114"/>
  <c r="CT67" i="122" l="1"/>
  <c r="BA68" i="122" s="1"/>
  <c r="X33" i="117"/>
  <c r="U33" i="117" a="1"/>
  <c r="U33" i="117" s="1"/>
  <c r="AH33" i="117" s="1"/>
  <c r="H68" i="122"/>
  <c r="F68" i="122"/>
  <c r="E68" i="122"/>
  <c r="BF185" i="114"/>
  <c r="P68" i="122"/>
  <c r="CI67" i="122"/>
  <c r="N68" i="122"/>
  <c r="CZ67" i="122"/>
  <c r="BG68" i="122" s="1"/>
  <c r="CX67" i="122"/>
  <c r="BE68" i="122" s="1"/>
  <c r="I68" i="122"/>
  <c r="DA67" i="122"/>
  <c r="BH68" i="122" s="1"/>
  <c r="CJ67" i="122"/>
  <c r="AQ68" i="122" s="1"/>
  <c r="J68" i="122"/>
  <c r="K68" i="122"/>
  <c r="CS67" i="122"/>
  <c r="AZ68" i="122" s="1"/>
  <c r="BK190" i="114"/>
  <c r="BP190" i="114" s="1"/>
  <c r="CY67" i="122"/>
  <c r="BF68" i="122" s="1"/>
  <c r="D68" i="122"/>
  <c r="G68" i="122"/>
  <c r="U68" i="122"/>
  <c r="R314" i="114"/>
  <c r="H9" i="117"/>
  <c r="BJ195" i="114"/>
  <c r="AP68" i="122"/>
  <c r="W68" i="120"/>
  <c r="AB68" i="120" s="1"/>
  <c r="M69" i="120" s="1"/>
  <c r="P69" i="120"/>
  <c r="X68" i="120"/>
  <c r="AC68" i="120" s="1"/>
  <c r="N69" i="120" s="1"/>
  <c r="Y68" i="120"/>
  <c r="AD68" i="120" s="1"/>
  <c r="E69" i="120" s="1"/>
  <c r="V68" i="120"/>
  <c r="AA68" i="120" s="1"/>
  <c r="S69" i="120"/>
  <c r="B40" i="119"/>
  <c r="H40" i="119" s="1"/>
  <c r="J39" i="119"/>
  <c r="W33" i="117"/>
  <c r="Z33" i="117"/>
  <c r="Y33" i="117"/>
  <c r="AA33" i="117"/>
  <c r="AB33" i="117" s="1"/>
  <c r="AE33" i="117" s="1"/>
  <c r="BJ192" i="114"/>
  <c r="BO192" i="114" s="1"/>
  <c r="BQ192" i="114" s="1"/>
  <c r="BR192" i="114" s="1"/>
  <c r="H192" i="114" s="1"/>
  <c r="M256" i="114" s="1"/>
  <c r="E12" i="115" s="1"/>
  <c r="L12" i="115" s="1"/>
  <c r="O256" i="114" s="1"/>
  <c r="O317" i="114" s="1"/>
  <c r="E12" i="117" s="1"/>
  <c r="BE192" i="114"/>
  <c r="I189" i="114"/>
  <c r="I196" i="114"/>
  <c r="BA192" i="114"/>
  <c r="BF192" i="114" s="1"/>
  <c r="AV203" i="114"/>
  <c r="BA203" i="114"/>
  <c r="BJ186" i="114"/>
  <c r="BO186" i="114" s="1"/>
  <c r="BQ186" i="114" s="1"/>
  <c r="BR186" i="114" s="1"/>
  <c r="H186" i="114" s="1"/>
  <c r="M250" i="114" s="1"/>
  <c r="E6" i="115" s="1"/>
  <c r="L6" i="115" s="1"/>
  <c r="O250" i="114" s="1"/>
  <c r="O311" i="114" s="1"/>
  <c r="E6" i="117" s="1"/>
  <c r="BE186" i="114"/>
  <c r="I193" i="114"/>
  <c r="I185" i="114"/>
  <c r="BK185" i="114"/>
  <c r="BP185" i="114" s="1"/>
  <c r="BN190" i="114"/>
  <c r="BQ190" i="114" s="1"/>
  <c r="BR190" i="114" s="1"/>
  <c r="H190" i="114" s="1"/>
  <c r="M254" i="114" s="1"/>
  <c r="E10" i="115" s="1"/>
  <c r="L10" i="115" s="1"/>
  <c r="O254" i="114" s="1"/>
  <c r="O315" i="114" s="1"/>
  <c r="E10" i="117" s="1"/>
  <c r="BO190" i="114"/>
  <c r="BA196" i="114"/>
  <c r="BF196" i="114" s="1"/>
  <c r="I188" i="114"/>
  <c r="AV199" i="114"/>
  <c r="BA199" i="114"/>
  <c r="AV202" i="114"/>
  <c r="BA202" i="114"/>
  <c r="I203" i="114"/>
  <c r="I187" i="114"/>
  <c r="BA189" i="114"/>
  <c r="BF189" i="114" s="1"/>
  <c r="BK196" i="114"/>
  <c r="BP196" i="114" s="1"/>
  <c r="I194" i="114"/>
  <c r="BJ197" i="114"/>
  <c r="BE197" i="114"/>
  <c r="BE189" i="114"/>
  <c r="I191" i="114"/>
  <c r="BE196" i="114"/>
  <c r="BK200" i="114"/>
  <c r="BP200" i="114" s="1"/>
  <c r="BQ200" i="114" s="1"/>
  <c r="BR200" i="114" s="1"/>
  <c r="H200" i="114" s="1"/>
  <c r="M264" i="114" s="1"/>
  <c r="E20" i="115" s="1"/>
  <c r="L20" i="115" s="1"/>
  <c r="O264" i="114" s="1"/>
  <c r="O325" i="114" s="1"/>
  <c r="E20" i="117" s="1"/>
  <c r="BJ189" i="114"/>
  <c r="BO189" i="114" s="1"/>
  <c r="AV194" i="114"/>
  <c r="BA194" i="114"/>
  <c r="AZ198" i="114"/>
  <c r="BJ201" i="114"/>
  <c r="BO201" i="114" s="1"/>
  <c r="BE201" i="114"/>
  <c r="AV188" i="114"/>
  <c r="BA188" i="114"/>
  <c r="AV193" i="114"/>
  <c r="BA193" i="114"/>
  <c r="BF190" i="114"/>
  <c r="BK191" i="114"/>
  <c r="BP191" i="114" s="1"/>
  <c r="BA201" i="114"/>
  <c r="BK201" i="114" s="1"/>
  <c r="H184" i="114"/>
  <c r="M248" i="114" s="1"/>
  <c r="E4" i="115" s="1"/>
  <c r="L4" i="115" s="1"/>
  <c r="O248" i="114" s="1"/>
  <c r="O309" i="114" s="1"/>
  <c r="E4" i="117" s="1"/>
  <c r="BQ202" i="114"/>
  <c r="BR202" i="114" s="1"/>
  <c r="H202" i="114" s="1"/>
  <c r="M266" i="114" s="1"/>
  <c r="E22" i="115" s="1"/>
  <c r="L22" i="115" s="1"/>
  <c r="O266" i="114" s="1"/>
  <c r="O327" i="114" s="1"/>
  <c r="E22" i="117" s="1"/>
  <c r="AU198" i="114"/>
  <c r="AQ182" i="114"/>
  <c r="BA182" i="114" s="1"/>
  <c r="BO197" i="114"/>
  <c r="AQ186" i="114"/>
  <c r="BO182" i="114"/>
  <c r="BO195" i="114"/>
  <c r="BQ195" i="114" s="1"/>
  <c r="BR195" i="114" s="1"/>
  <c r="H195" i="114" s="1"/>
  <c r="M259" i="114" s="1"/>
  <c r="E15" i="115" s="1"/>
  <c r="L15" i="115" s="1"/>
  <c r="O259" i="114" s="1"/>
  <c r="O320" i="114" s="1"/>
  <c r="E15" i="117" s="1"/>
  <c r="AQ195" i="114"/>
  <c r="AQ197" i="114"/>
  <c r="AL198" i="114"/>
  <c r="BK68" i="122" l="1"/>
  <c r="BN68" i="122"/>
  <c r="CB68" i="122" s="1"/>
  <c r="CV68" i="122" s="1"/>
  <c r="BC69" i="122" s="1"/>
  <c r="BP201" i="114"/>
  <c r="DE67" i="122"/>
  <c r="BJ68" i="122"/>
  <c r="DC68" i="122" s="1"/>
  <c r="DD68" i="122" s="1"/>
  <c r="BK189" i="114"/>
  <c r="BK192" i="114"/>
  <c r="BP192" i="114" s="1"/>
  <c r="BF193" i="114"/>
  <c r="B69" i="120"/>
  <c r="AH68" i="120"/>
  <c r="C69" i="120"/>
  <c r="O69" i="120"/>
  <c r="D69" i="120"/>
  <c r="L69" i="120"/>
  <c r="B41" i="119"/>
  <c r="H41" i="119" s="1"/>
  <c r="J40" i="119"/>
  <c r="AC33" i="117"/>
  <c r="AF33" i="117" s="1" a="1"/>
  <c r="AF33" i="117" s="1"/>
  <c r="AG33" i="117"/>
  <c r="AD34" i="117"/>
  <c r="P34" i="117"/>
  <c r="AJ33" i="117"/>
  <c r="BK194" i="114"/>
  <c r="BP194" i="114" s="1"/>
  <c r="BF194" i="114"/>
  <c r="BK199" i="114"/>
  <c r="BP199" i="114" s="1"/>
  <c r="BQ199" i="114" s="1"/>
  <c r="BR199" i="114" s="1"/>
  <c r="H199" i="114" s="1"/>
  <c r="M263" i="114" s="1"/>
  <c r="E19" i="115" s="1"/>
  <c r="L19" i="115" s="1"/>
  <c r="O263" i="114" s="1"/>
  <c r="O324" i="114" s="1"/>
  <c r="E19" i="117" s="1"/>
  <c r="BF199" i="114"/>
  <c r="BJ198" i="114"/>
  <c r="BO198" i="114" s="1"/>
  <c r="BE198" i="114"/>
  <c r="AV195" i="114"/>
  <c r="BA195" i="114"/>
  <c r="AV186" i="114"/>
  <c r="BA186" i="114"/>
  <c r="I186" i="114"/>
  <c r="I195" i="114"/>
  <c r="BK203" i="114"/>
  <c r="BP203" i="114" s="1"/>
  <c r="BF203" i="114"/>
  <c r="I192" i="114"/>
  <c r="BP189" i="114"/>
  <c r="I200" i="114"/>
  <c r="BK202" i="114"/>
  <c r="BP202" i="114" s="1"/>
  <c r="BF202" i="114"/>
  <c r="BF201" i="114"/>
  <c r="AV197" i="114"/>
  <c r="BA197" i="114"/>
  <c r="BK193" i="114"/>
  <c r="BP193" i="114" s="1"/>
  <c r="I184" i="114"/>
  <c r="I190" i="114"/>
  <c r="I202" i="114"/>
  <c r="BK188" i="114"/>
  <c r="BP188" i="114" s="1"/>
  <c r="BF188" i="114"/>
  <c r="BQ201" i="114"/>
  <c r="BR201" i="114" s="1"/>
  <c r="H201" i="114" s="1"/>
  <c r="M265" i="114" s="1"/>
  <c r="E21" i="115" s="1"/>
  <c r="L21" i="115" s="1"/>
  <c r="O265" i="114" s="1"/>
  <c r="O326" i="114" s="1"/>
  <c r="E21" i="117" s="1"/>
  <c r="BQ197" i="114"/>
  <c r="BR197" i="114" s="1"/>
  <c r="H197" i="114" s="1"/>
  <c r="M261" i="114" s="1"/>
  <c r="E17" i="115" s="1"/>
  <c r="L17" i="115" s="1"/>
  <c r="O261" i="114" s="1"/>
  <c r="O322" i="114" s="1"/>
  <c r="E17" i="117" s="1"/>
  <c r="Q33" i="117" s="1"/>
  <c r="BK182" i="114"/>
  <c r="BP182" i="114" s="1"/>
  <c r="BQ182" i="114" s="1"/>
  <c r="BR182" i="114" s="1"/>
  <c r="AV182" i="114"/>
  <c r="BF182" i="114" s="1"/>
  <c r="AQ198" i="114"/>
  <c r="R34" i="117" l="1"/>
  <c r="S34" i="117" s="1"/>
  <c r="T34" i="117" s="1"/>
  <c r="V34" i="117" s="1"/>
  <c r="BP68" i="122"/>
  <c r="C69" i="122" s="1"/>
  <c r="BT68" i="122"/>
  <c r="CN68" i="122" s="1"/>
  <c r="AU69" i="122" s="1"/>
  <c r="CA68" i="122"/>
  <c r="N69" i="122" s="1"/>
  <c r="CC68" i="122"/>
  <c r="CW68" i="122" s="1"/>
  <c r="BD69" i="122" s="1"/>
  <c r="BW68" i="122"/>
  <c r="CQ68" i="122" s="1"/>
  <c r="AX69" i="122" s="1"/>
  <c r="BS68" i="122"/>
  <c r="F69" i="122" s="1"/>
  <c r="BU68" i="122"/>
  <c r="CO68" i="122" s="1"/>
  <c r="AV69" i="122" s="1"/>
  <c r="BV68" i="122"/>
  <c r="I69" i="122" s="1"/>
  <c r="CG68" i="122"/>
  <c r="T69" i="122" s="1"/>
  <c r="O69" i="122"/>
  <c r="BY68" i="122"/>
  <c r="CS68" i="122" s="1"/>
  <c r="AZ69" i="122" s="1"/>
  <c r="BZ68" i="122"/>
  <c r="M69" i="122" s="1"/>
  <c r="BR68" i="122"/>
  <c r="E69" i="122" s="1"/>
  <c r="BX68" i="122"/>
  <c r="CR68" i="122" s="1"/>
  <c r="AY69" i="122" s="1"/>
  <c r="BL69" i="122"/>
  <c r="BQ68" i="122"/>
  <c r="D69" i="122" s="1"/>
  <c r="BO68" i="122"/>
  <c r="B69" i="122" s="1"/>
  <c r="CF68" i="122"/>
  <c r="S69" i="122" s="1"/>
  <c r="CE68" i="122"/>
  <c r="R69" i="122" s="1"/>
  <c r="CD68" i="122"/>
  <c r="CX68" i="122" s="1"/>
  <c r="BE69" i="122" s="1"/>
  <c r="CH68" i="122"/>
  <c r="U69" i="122" s="1"/>
  <c r="BF197" i="114"/>
  <c r="AI33" i="117"/>
  <c r="Q34" i="117" s="1"/>
  <c r="H69" i="122"/>
  <c r="U69" i="120"/>
  <c r="R69" i="120"/>
  <c r="Q69" i="120"/>
  <c r="AF69" i="120" s="1"/>
  <c r="S70" i="120" s="1"/>
  <c r="J41" i="119"/>
  <c r="B42" i="119"/>
  <c r="H42" i="119" s="1"/>
  <c r="BK197" i="114"/>
  <c r="BP197" i="114" s="1"/>
  <c r="I201" i="114"/>
  <c r="AV198" i="114"/>
  <c r="BA198" i="114"/>
  <c r="I199" i="114"/>
  <c r="BK186" i="114"/>
  <c r="BP186" i="114" s="1"/>
  <c r="BF186" i="114"/>
  <c r="I197" i="114"/>
  <c r="BK195" i="114"/>
  <c r="BP195" i="114" s="1"/>
  <c r="BF195" i="114"/>
  <c r="CP68" i="122" l="1"/>
  <c r="AW69" i="122" s="1"/>
  <c r="U34" i="117" a="1"/>
  <c r="U34" i="117" s="1"/>
  <c r="AH34" i="117" s="1"/>
  <c r="G69" i="122"/>
  <c r="CJ68" i="122"/>
  <c r="AQ69" i="122" s="1"/>
  <c r="K69" i="122"/>
  <c r="CK68" i="122"/>
  <c r="AR69" i="122" s="1"/>
  <c r="J69" i="122"/>
  <c r="P69" i="122"/>
  <c r="CU68" i="122"/>
  <c r="BB69" i="122" s="1"/>
  <c r="CL68" i="122"/>
  <c r="AS69" i="122" s="1"/>
  <c r="CI68" i="122"/>
  <c r="AP69" i="122" s="1"/>
  <c r="DA68" i="122"/>
  <c r="BH69" i="122" s="1"/>
  <c r="DB68" i="122"/>
  <c r="BI69" i="122" s="1"/>
  <c r="CT68" i="122"/>
  <c r="BA69" i="122" s="1"/>
  <c r="CM68" i="122"/>
  <c r="AT69" i="122" s="1"/>
  <c r="CY68" i="122"/>
  <c r="BF69" i="122" s="1"/>
  <c r="CZ68" i="122"/>
  <c r="BG69" i="122" s="1"/>
  <c r="L69" i="122"/>
  <c r="Q69" i="122"/>
  <c r="AK33" i="117"/>
  <c r="W69" i="120"/>
  <c r="AB69" i="120" s="1"/>
  <c r="M70" i="120" s="1"/>
  <c r="Z69" i="120"/>
  <c r="AE69" i="120" s="1"/>
  <c r="P70" i="120" s="1"/>
  <c r="X69" i="120"/>
  <c r="AC69" i="120" s="1"/>
  <c r="N70" i="120" s="1"/>
  <c r="Y69" i="120"/>
  <c r="AD69" i="120" s="1"/>
  <c r="O70" i="120" s="1"/>
  <c r="V69" i="120"/>
  <c r="AA69" i="120" s="1"/>
  <c r="AG69" i="120"/>
  <c r="B43" i="119"/>
  <c r="H43" i="119" s="1"/>
  <c r="J42" i="119"/>
  <c r="AA34" i="117"/>
  <c r="AB34" i="117" s="1"/>
  <c r="Z34" i="117"/>
  <c r="W34" i="117"/>
  <c r="X34" i="117"/>
  <c r="Y34" i="117"/>
  <c r="BK198" i="114"/>
  <c r="BP198" i="114" s="1"/>
  <c r="BQ198" i="114" s="1"/>
  <c r="BR198" i="114" s="1"/>
  <c r="H198" i="114" s="1"/>
  <c r="M262" i="114" s="1"/>
  <c r="E18" i="115" s="1"/>
  <c r="L18" i="115" s="1"/>
  <c r="O262" i="114" s="1"/>
  <c r="O323" i="114" s="1"/>
  <c r="E18" i="117" s="1"/>
  <c r="BF198" i="114"/>
  <c r="BJ69" i="122" l="1"/>
  <c r="DC69" i="122" s="1"/>
  <c r="BL70" i="122" s="1"/>
  <c r="BK69" i="122"/>
  <c r="BN69" i="122"/>
  <c r="BW69" i="122" s="1"/>
  <c r="J70" i="122" s="1"/>
  <c r="DE68" i="122"/>
  <c r="L70" i="120"/>
  <c r="R70" i="120" s="1"/>
  <c r="AH69" i="120"/>
  <c r="C70" i="120"/>
  <c r="F70" i="120"/>
  <c r="E70" i="120"/>
  <c r="B70" i="120"/>
  <c r="D70" i="120"/>
  <c r="J43" i="119"/>
  <c r="B44" i="119"/>
  <c r="H44" i="119" s="1"/>
  <c r="AJ34" i="117"/>
  <c r="P35" i="117"/>
  <c r="AC34" i="117"/>
  <c r="AF34" i="117" s="1" a="1"/>
  <c r="AF34" i="117" s="1"/>
  <c r="AE34" i="117"/>
  <c r="AD35" i="117" s="1"/>
  <c r="AG34" i="117"/>
  <c r="AI34" i="117" s="1"/>
  <c r="I198" i="114"/>
  <c r="R35" i="117" l="1"/>
  <c r="S35" i="117" s="1"/>
  <c r="T35" i="117" s="1"/>
  <c r="X35" i="117" s="1"/>
  <c r="DD69" i="122"/>
  <c r="BQ69" i="122"/>
  <c r="CK69" i="122" s="1"/>
  <c r="AR70" i="122" s="1"/>
  <c r="CD69" i="122"/>
  <c r="CX69" i="122" s="1"/>
  <c r="BE70" i="122" s="1"/>
  <c r="BR69" i="122"/>
  <c r="CL69" i="122" s="1"/>
  <c r="AS70" i="122" s="1"/>
  <c r="BS69" i="122"/>
  <c r="F70" i="122" s="1"/>
  <c r="BX69" i="122"/>
  <c r="CR69" i="122" s="1"/>
  <c r="AY70" i="122" s="1"/>
  <c r="BV69" i="122"/>
  <c r="I70" i="122" s="1"/>
  <c r="CA69" i="122"/>
  <c r="CU69" i="122" s="1"/>
  <c r="BB70" i="122" s="1"/>
  <c r="BO69" i="122"/>
  <c r="CI69" i="122" s="1"/>
  <c r="BP69" i="122"/>
  <c r="CJ69" i="122" s="1"/>
  <c r="AQ70" i="122" s="1"/>
  <c r="CE69" i="122"/>
  <c r="R70" i="122" s="1"/>
  <c r="BU69" i="122"/>
  <c r="H70" i="122" s="1"/>
  <c r="BY69" i="122"/>
  <c r="L70" i="122" s="1"/>
  <c r="BZ69" i="122"/>
  <c r="M70" i="122" s="1"/>
  <c r="CQ69" i="122"/>
  <c r="AX70" i="122" s="1"/>
  <c r="BT69" i="122"/>
  <c r="CC69" i="122"/>
  <c r="P70" i="122" s="1"/>
  <c r="CB69" i="122"/>
  <c r="CV69" i="122" s="1"/>
  <c r="BC70" i="122" s="1"/>
  <c r="CH69" i="122"/>
  <c r="U70" i="122" s="1"/>
  <c r="CF69" i="122"/>
  <c r="CZ69" i="122" s="1"/>
  <c r="BG70" i="122" s="1"/>
  <c r="CG69" i="122"/>
  <c r="DA69" i="122" s="1"/>
  <c r="BH70" i="122" s="1"/>
  <c r="CS69" i="122"/>
  <c r="AZ70" i="122" s="1"/>
  <c r="D70" i="122"/>
  <c r="Q70" i="120"/>
  <c r="AF70" i="120" s="1"/>
  <c r="S71" i="120" s="1"/>
  <c r="U70" i="120"/>
  <c r="V70" i="120" s="1"/>
  <c r="AA70" i="120" s="1"/>
  <c r="B45" i="119"/>
  <c r="H45" i="119" s="1"/>
  <c r="J44" i="119"/>
  <c r="AK34" i="117"/>
  <c r="Q35" i="117"/>
  <c r="B3" i="115"/>
  <c r="U35" i="117" l="1" a="1"/>
  <c r="U35" i="117" s="1"/>
  <c r="AH35" i="117" s="1"/>
  <c r="CM69" i="122"/>
  <c r="AT70" i="122" s="1"/>
  <c r="Q70" i="122"/>
  <c r="DB69" i="122"/>
  <c r="BI70" i="122" s="1"/>
  <c r="K70" i="122"/>
  <c r="O70" i="122"/>
  <c r="CO69" i="122"/>
  <c r="AV70" i="122" s="1"/>
  <c r="N70" i="122"/>
  <c r="E70" i="122"/>
  <c r="B70" i="122"/>
  <c r="CY69" i="122"/>
  <c r="BF70" i="122" s="1"/>
  <c r="CW69" i="122"/>
  <c r="BD70" i="122" s="1"/>
  <c r="C70" i="122"/>
  <c r="CP69" i="122"/>
  <c r="AW70" i="122" s="1"/>
  <c r="S70" i="122"/>
  <c r="CT69" i="122"/>
  <c r="BA70" i="122" s="1"/>
  <c r="T70" i="122"/>
  <c r="CN69" i="122"/>
  <c r="AU70" i="122" s="1"/>
  <c r="G70" i="122"/>
  <c r="AP70" i="122"/>
  <c r="AG70" i="120"/>
  <c r="L71" i="120"/>
  <c r="X70" i="120"/>
  <c r="AC70" i="120" s="1"/>
  <c r="N71" i="120" s="1"/>
  <c r="W70" i="120"/>
  <c r="AB70" i="120" s="1"/>
  <c r="C71" i="120" s="1"/>
  <c r="Z70" i="120"/>
  <c r="AE70" i="120" s="1"/>
  <c r="P71" i="120" s="1"/>
  <c r="B71" i="120"/>
  <c r="Y70" i="120"/>
  <c r="AD70" i="120" s="1"/>
  <c r="E71" i="120" s="1"/>
  <c r="J45" i="119"/>
  <c r="B46" i="119"/>
  <c r="H46" i="119" s="1"/>
  <c r="W35" i="117"/>
  <c r="Y35" i="117"/>
  <c r="Z35" i="117"/>
  <c r="AA35" i="117"/>
  <c r="AB35" i="117" s="1"/>
  <c r="V35" i="117"/>
  <c r="BK70" i="122" l="1"/>
  <c r="BJ70" i="122"/>
  <c r="DC70" i="122" s="1"/>
  <c r="BL71" i="122" s="1"/>
  <c r="BN70" i="122"/>
  <c r="CG70" i="122" s="1"/>
  <c r="DE69" i="122"/>
  <c r="AH70" i="120"/>
  <c r="F71" i="120"/>
  <c r="D71" i="120"/>
  <c r="M71" i="120"/>
  <c r="O71" i="120"/>
  <c r="B47" i="119"/>
  <c r="H47" i="119" s="1"/>
  <c r="J46" i="119"/>
  <c r="AC35" i="117"/>
  <c r="AG35" i="117"/>
  <c r="AI35" i="117" s="1"/>
  <c r="P36" i="117"/>
  <c r="AJ35" i="117"/>
  <c r="AE35" i="117" l="1"/>
  <c r="AD36" i="117" s="1"/>
  <c r="AF35" i="117" a="1"/>
  <c r="AF35" i="117" s="1"/>
  <c r="R36" i="117"/>
  <c r="S36" i="117" s="1"/>
  <c r="DD70" i="122"/>
  <c r="BX70" i="122"/>
  <c r="CR70" i="122" s="1"/>
  <c r="AY71" i="122" s="1"/>
  <c r="CE70" i="122"/>
  <c r="CY70" i="122" s="1"/>
  <c r="BF71" i="122" s="1"/>
  <c r="CB70" i="122"/>
  <c r="O71" i="122" s="1"/>
  <c r="CD70" i="122"/>
  <c r="Q71" i="122" s="1"/>
  <c r="BS70" i="122"/>
  <c r="CM70" i="122" s="1"/>
  <c r="AT71" i="122" s="1"/>
  <c r="BO70" i="122"/>
  <c r="CI70" i="122" s="1"/>
  <c r="BP70" i="122"/>
  <c r="CJ70" i="122" s="1"/>
  <c r="AQ71" i="122" s="1"/>
  <c r="BU70" i="122"/>
  <c r="H71" i="122" s="1"/>
  <c r="BR70" i="122"/>
  <c r="CL70" i="122" s="1"/>
  <c r="AS71" i="122" s="1"/>
  <c r="BY70" i="122"/>
  <c r="CS70" i="122" s="1"/>
  <c r="AZ71" i="122" s="1"/>
  <c r="BV70" i="122"/>
  <c r="CP70" i="122" s="1"/>
  <c r="AW71" i="122" s="1"/>
  <c r="CA70" i="122"/>
  <c r="N71" i="122" s="1"/>
  <c r="BZ70" i="122"/>
  <c r="CT70" i="122" s="1"/>
  <c r="BA71" i="122" s="1"/>
  <c r="BW70" i="122"/>
  <c r="CQ70" i="122" s="1"/>
  <c r="AX71" i="122" s="1"/>
  <c r="CC70" i="122"/>
  <c r="P71" i="122" s="1"/>
  <c r="BT70" i="122"/>
  <c r="G71" i="122" s="1"/>
  <c r="CF70" i="122"/>
  <c r="CZ70" i="122" s="1"/>
  <c r="BG71" i="122" s="1"/>
  <c r="CH70" i="122"/>
  <c r="DB70" i="122" s="1"/>
  <c r="BI71" i="122" s="1"/>
  <c r="BQ70" i="122"/>
  <c r="CK70" i="122" s="1"/>
  <c r="AR71" i="122" s="1"/>
  <c r="T71" i="122"/>
  <c r="DA70" i="122"/>
  <c r="BH71" i="122" s="1"/>
  <c r="U71" i="120"/>
  <c r="Y71" i="120" s="1"/>
  <c r="AD71" i="120" s="1"/>
  <c r="Q71" i="120"/>
  <c r="AF71" i="120" s="1"/>
  <c r="AG71" i="120" s="1"/>
  <c r="R71" i="120"/>
  <c r="J47" i="119"/>
  <c r="B48" i="119"/>
  <c r="H48" i="119" s="1"/>
  <c r="AK35" i="117"/>
  <c r="Q36" i="117"/>
  <c r="K71" i="122" l="1"/>
  <c r="J71" i="122"/>
  <c r="CO70" i="122"/>
  <c r="AV71" i="122" s="1"/>
  <c r="R71" i="122"/>
  <c r="T36" i="117"/>
  <c r="U36" i="117" s="1" a="1"/>
  <c r="U36" i="117" s="1"/>
  <c r="AH36" i="117" s="1"/>
  <c r="D71" i="122"/>
  <c r="C71" i="122"/>
  <c r="CU70" i="122"/>
  <c r="BB71" i="122" s="1"/>
  <c r="E71" i="122"/>
  <c r="B71" i="122"/>
  <c r="U71" i="122"/>
  <c r="CW70" i="122"/>
  <c r="BD71" i="122" s="1"/>
  <c r="S71" i="122"/>
  <c r="CV70" i="122"/>
  <c r="BC71" i="122" s="1"/>
  <c r="I71" i="122"/>
  <c r="M71" i="122"/>
  <c r="L71" i="122"/>
  <c r="CX70" i="122"/>
  <c r="BE71" i="122" s="1"/>
  <c r="F71" i="122"/>
  <c r="CN70" i="122"/>
  <c r="AU71" i="122" s="1"/>
  <c r="AP71" i="122"/>
  <c r="G53" i="122"/>
  <c r="I53" i="122" s="1"/>
  <c r="W71" i="120"/>
  <c r="AB71" i="120" s="1"/>
  <c r="M72" i="120" s="1"/>
  <c r="V71" i="120"/>
  <c r="AA71" i="120" s="1"/>
  <c r="Z71" i="120"/>
  <c r="AE71" i="120" s="1"/>
  <c r="P72" i="120" s="1"/>
  <c r="X71" i="120"/>
  <c r="AC71" i="120" s="1"/>
  <c r="D72" i="120" s="1"/>
  <c r="S72" i="120"/>
  <c r="O72" i="120"/>
  <c r="E72" i="120"/>
  <c r="B49" i="119"/>
  <c r="H49" i="119" s="1"/>
  <c r="J48" i="119"/>
  <c r="Y36" i="117" l="1"/>
  <c r="W36" i="117"/>
  <c r="V36" i="117"/>
  <c r="X36" i="117"/>
  <c r="Z36" i="117"/>
  <c r="AA36" i="117"/>
  <c r="AB36" i="117" s="1"/>
  <c r="BN71" i="122"/>
  <c r="BR71" i="122" s="1"/>
  <c r="CL71" i="122" s="1"/>
  <c r="AS72" i="122" s="1"/>
  <c r="BJ71" i="122"/>
  <c r="DC71" i="122" s="1"/>
  <c r="DD71" i="122" s="1"/>
  <c r="BK71" i="122"/>
  <c r="DE70" i="122"/>
  <c r="B72" i="120"/>
  <c r="AH71" i="120"/>
  <c r="N72" i="120"/>
  <c r="F72" i="120"/>
  <c r="C72" i="120"/>
  <c r="L72" i="120"/>
  <c r="J49" i="119"/>
  <c r="B50" i="119"/>
  <c r="H50" i="119" s="1"/>
  <c r="AJ36" i="117"/>
  <c r="P37" i="117"/>
  <c r="BO71" i="122" l="1"/>
  <c r="AE36" i="117"/>
  <c r="AD37" i="117" s="1"/>
  <c r="AG36" i="117"/>
  <c r="AI36" i="117" s="1"/>
  <c r="AC36" i="117"/>
  <c r="AF36" i="117" s="1" a="1"/>
  <c r="AF36" i="117" s="1"/>
  <c r="BT71" i="122"/>
  <c r="G72" i="122" s="1"/>
  <c r="CG71" i="122"/>
  <c r="T72" i="122" s="1"/>
  <c r="BZ71" i="122"/>
  <c r="CB71" i="122"/>
  <c r="BU71" i="122"/>
  <c r="CO71" i="122" s="1"/>
  <c r="AV72" i="122" s="1"/>
  <c r="CC71" i="122"/>
  <c r="CW71" i="122" s="1"/>
  <c r="BD72" i="122" s="1"/>
  <c r="E72" i="122"/>
  <c r="CA71" i="122"/>
  <c r="CU71" i="122" s="1"/>
  <c r="BB72" i="122" s="1"/>
  <c r="BQ71" i="122"/>
  <c r="D72" i="122" s="1"/>
  <c r="CF71" i="122"/>
  <c r="S72" i="122" s="1"/>
  <c r="CD71" i="122"/>
  <c r="Q72" i="122" s="1"/>
  <c r="BV71" i="122"/>
  <c r="CP71" i="122" s="1"/>
  <c r="AW72" i="122" s="1"/>
  <c r="BL72" i="122"/>
  <c r="BW71" i="122"/>
  <c r="CQ71" i="122" s="1"/>
  <c r="AX72" i="122" s="1"/>
  <c r="BS71" i="122"/>
  <c r="CM71" i="122" s="1"/>
  <c r="AT72" i="122" s="1"/>
  <c r="BY71" i="122"/>
  <c r="CS71" i="122" s="1"/>
  <c r="AZ72" i="122" s="1"/>
  <c r="BX71" i="122"/>
  <c r="K72" i="122" s="1"/>
  <c r="CE71" i="122"/>
  <c r="CY71" i="122" s="1"/>
  <c r="BF72" i="122" s="1"/>
  <c r="BP71" i="122"/>
  <c r="C72" i="122" s="1"/>
  <c r="CH71" i="122"/>
  <c r="DB71" i="122" s="1"/>
  <c r="BI72" i="122" s="1"/>
  <c r="CK71" i="122"/>
  <c r="AR72" i="122" s="1"/>
  <c r="M72" i="122"/>
  <c r="CT71" i="122"/>
  <c r="BA72" i="122" s="1"/>
  <c r="F72" i="122"/>
  <c r="CI71" i="122"/>
  <c r="B72" i="122"/>
  <c r="DA71" i="122"/>
  <c r="BH72" i="122" s="1"/>
  <c r="CV71" i="122"/>
  <c r="BC72" i="122" s="1"/>
  <c r="O72" i="122"/>
  <c r="CN71" i="122"/>
  <c r="AU72" i="122" s="1"/>
  <c r="R72" i="120"/>
  <c r="U72" i="120"/>
  <c r="X72" i="120" s="1"/>
  <c r="AC72" i="120" s="1"/>
  <c r="D73" i="120" s="1"/>
  <c r="Q72" i="120"/>
  <c r="AF72" i="120" s="1"/>
  <c r="S73" i="120" s="1"/>
  <c r="B51" i="119"/>
  <c r="H51" i="119" s="1"/>
  <c r="J50" i="119"/>
  <c r="R37" i="117"/>
  <c r="S37" i="117" s="1"/>
  <c r="CJ71" i="122" l="1"/>
  <c r="AQ72" i="122" s="1"/>
  <c r="H72" i="122"/>
  <c r="J72" i="122"/>
  <c r="N72" i="122"/>
  <c r="T37" i="117"/>
  <c r="AA37" i="117" s="1"/>
  <c r="AB37" i="117" s="1"/>
  <c r="AE37" i="117" s="1"/>
  <c r="AK36" i="117"/>
  <c r="Q37" i="117"/>
  <c r="P72" i="122"/>
  <c r="U72" i="122"/>
  <c r="CZ71" i="122"/>
  <c r="BG72" i="122" s="1"/>
  <c r="CR71" i="122"/>
  <c r="AY72" i="122" s="1"/>
  <c r="L72" i="122"/>
  <c r="CX71" i="122"/>
  <c r="BE72" i="122" s="1"/>
  <c r="BK72" i="122" s="1"/>
  <c r="R72" i="122"/>
  <c r="I72" i="122"/>
  <c r="AP72" i="122"/>
  <c r="BJ72" i="122" s="1"/>
  <c r="DC72" i="122" s="1"/>
  <c r="Y72" i="120"/>
  <c r="AD72" i="120" s="1"/>
  <c r="E73" i="120" s="1"/>
  <c r="N73" i="120"/>
  <c r="V72" i="120"/>
  <c r="AA72" i="120" s="1"/>
  <c r="W72" i="120"/>
  <c r="AB72" i="120" s="1"/>
  <c r="M73" i="120" s="1"/>
  <c r="Z72" i="120"/>
  <c r="AE72" i="120" s="1"/>
  <c r="P73" i="120" s="1"/>
  <c r="AG72" i="120"/>
  <c r="J51" i="119"/>
  <c r="B52" i="119"/>
  <c r="H52" i="119" s="1"/>
  <c r="W37" i="117" l="1"/>
  <c r="V37" i="117"/>
  <c r="Z37" i="117"/>
  <c r="X37" i="117"/>
  <c r="Y37" i="117"/>
  <c r="U37" i="117" a="1"/>
  <c r="U37" i="117" s="1"/>
  <c r="AH37" i="117" s="1"/>
  <c r="AC37" i="117"/>
  <c r="AF37" i="117" s="1" a="1"/>
  <c r="AF37" i="117" s="1"/>
  <c r="AG37" i="117"/>
  <c r="BN72" i="122"/>
  <c r="CC72" i="122" s="1"/>
  <c r="P73" i="122" s="1"/>
  <c r="DE71" i="122"/>
  <c r="DD72" i="122"/>
  <c r="BL73" i="122"/>
  <c r="BY72" i="122"/>
  <c r="L73" i="120"/>
  <c r="AH72" i="120"/>
  <c r="O73" i="120"/>
  <c r="F73" i="120"/>
  <c r="B73" i="120"/>
  <c r="C73" i="120"/>
  <c r="B53" i="119"/>
  <c r="H53" i="119" s="1"/>
  <c r="J52" i="119"/>
  <c r="AD38" i="117"/>
  <c r="BO72" i="122" l="1"/>
  <c r="B73" i="122" s="1"/>
  <c r="BW72" i="122"/>
  <c r="CQ72" i="122" s="1"/>
  <c r="AX73" i="122" s="1"/>
  <c r="BR72" i="122"/>
  <c r="CH72" i="122"/>
  <c r="CF72" i="122"/>
  <c r="BU72" i="122"/>
  <c r="BQ72" i="122"/>
  <c r="D73" i="122" s="1"/>
  <c r="BZ72" i="122"/>
  <c r="CT72" i="122" s="1"/>
  <c r="BA73" i="122" s="1"/>
  <c r="BX72" i="122"/>
  <c r="CB72" i="122"/>
  <c r="CV72" i="122" s="1"/>
  <c r="BC73" i="122" s="1"/>
  <c r="CD72" i="122"/>
  <c r="CX72" i="122" s="1"/>
  <c r="BE73" i="122" s="1"/>
  <c r="CA72" i="122"/>
  <c r="N73" i="122" s="1"/>
  <c r="CE72" i="122"/>
  <c r="CY72" i="122" s="1"/>
  <c r="BF73" i="122" s="1"/>
  <c r="BS72" i="122"/>
  <c r="F73" i="122" s="1"/>
  <c r="CG72" i="122"/>
  <c r="BV72" i="122"/>
  <c r="I73" i="122" s="1"/>
  <c r="CW72" i="122"/>
  <c r="BD73" i="122" s="1"/>
  <c r="BT72" i="122"/>
  <c r="CN72" i="122" s="1"/>
  <c r="AU73" i="122" s="1"/>
  <c r="BP72" i="122"/>
  <c r="C73" i="122" s="1"/>
  <c r="AI37" i="117"/>
  <c r="AK37" i="117" s="1"/>
  <c r="CM72" i="122"/>
  <c r="AT73" i="122" s="1"/>
  <c r="K73" i="122"/>
  <c r="CR72" i="122"/>
  <c r="AY73" i="122" s="1"/>
  <c r="O73" i="122"/>
  <c r="T73" i="122"/>
  <c r="DA72" i="122"/>
  <c r="BH73" i="122" s="1"/>
  <c r="CL72" i="122"/>
  <c r="AS73" i="122" s="1"/>
  <c r="E73" i="122"/>
  <c r="CP72" i="122"/>
  <c r="AW73" i="122" s="1"/>
  <c r="DB72" i="122"/>
  <c r="BI73" i="122" s="1"/>
  <c r="U73" i="122"/>
  <c r="S73" i="122"/>
  <c r="CZ72" i="122"/>
  <c r="BG73" i="122" s="1"/>
  <c r="G73" i="122"/>
  <c r="L73" i="122"/>
  <c r="CS72" i="122"/>
  <c r="AZ73" i="122" s="1"/>
  <c r="H73" i="122"/>
  <c r="CO72" i="122"/>
  <c r="AV73" i="122" s="1"/>
  <c r="R73" i="120"/>
  <c r="Q73" i="120"/>
  <c r="AF73" i="120" s="1"/>
  <c r="S74" i="120" s="1"/>
  <c r="U73" i="120"/>
  <c r="V73" i="120" s="1"/>
  <c r="AA73" i="120" s="1"/>
  <c r="J53" i="119"/>
  <c r="B54" i="119"/>
  <c r="H54" i="119" s="1"/>
  <c r="AJ37" i="117"/>
  <c r="P38" i="117"/>
  <c r="CI72" i="122" l="1"/>
  <c r="R73" i="122"/>
  <c r="Q38" i="117"/>
  <c r="CK72" i="122"/>
  <c r="AR73" i="122" s="1"/>
  <c r="CJ72" i="122"/>
  <c r="AQ73" i="122" s="1"/>
  <c r="J73" i="122"/>
  <c r="BN73" i="122" s="1"/>
  <c r="BT73" i="122" s="1"/>
  <c r="Q73" i="122"/>
  <c r="M73" i="122"/>
  <c r="CU72" i="122"/>
  <c r="BB73" i="122" s="1"/>
  <c r="BK73" i="122"/>
  <c r="AP73" i="122"/>
  <c r="BJ73" i="122" s="1"/>
  <c r="DC73" i="122" s="1"/>
  <c r="DE72" i="122"/>
  <c r="AG73" i="120"/>
  <c r="W73" i="120"/>
  <c r="AB73" i="120" s="1"/>
  <c r="M74" i="120" s="1"/>
  <c r="Y73" i="120"/>
  <c r="AD73" i="120" s="1"/>
  <c r="E74" i="120" s="1"/>
  <c r="Z73" i="120"/>
  <c r="AE73" i="120" s="1"/>
  <c r="P74" i="120" s="1"/>
  <c r="X73" i="120"/>
  <c r="AC73" i="120" s="1"/>
  <c r="D74" i="120" s="1"/>
  <c r="L74" i="120"/>
  <c r="B74" i="120"/>
  <c r="B55" i="119"/>
  <c r="H55" i="119" s="1"/>
  <c r="J54" i="119"/>
  <c r="R38" i="117"/>
  <c r="S38" i="117" s="1"/>
  <c r="CE73" i="122" l="1"/>
  <c r="R74" i="122" s="1"/>
  <c r="BP73" i="122"/>
  <c r="C74" i="122" s="1"/>
  <c r="BW73" i="122"/>
  <c r="CQ73" i="122" s="1"/>
  <c r="AX74" i="122" s="1"/>
  <c r="CH73" i="122"/>
  <c r="U74" i="122" s="1"/>
  <c r="BQ73" i="122"/>
  <c r="D74" i="122" s="1"/>
  <c r="BU73" i="122"/>
  <c r="CO73" i="122" s="1"/>
  <c r="AV74" i="122" s="1"/>
  <c r="CN73" i="122"/>
  <c r="AU74" i="122" s="1"/>
  <c r="G74" i="122"/>
  <c r="CA73" i="122"/>
  <c r="BS73" i="122"/>
  <c r="BL74" i="122"/>
  <c r="DD73" i="122"/>
  <c r="CB73" i="122"/>
  <c r="BZ73" i="122"/>
  <c r="BX73" i="122"/>
  <c r="BR73" i="122"/>
  <c r="CG73" i="122"/>
  <c r="CD73" i="122"/>
  <c r="BO73" i="122"/>
  <c r="BY73" i="122"/>
  <c r="CF73" i="122"/>
  <c r="CC73" i="122"/>
  <c r="BV73" i="122"/>
  <c r="AH73" i="120"/>
  <c r="C74" i="120"/>
  <c r="N74" i="120"/>
  <c r="F74" i="120"/>
  <c r="O74" i="120"/>
  <c r="J55" i="119"/>
  <c r="B56" i="119"/>
  <c r="H56" i="119" s="1"/>
  <c r="T38" i="117"/>
  <c r="V38" i="117" l="1"/>
  <c r="U38" i="117" a="1"/>
  <c r="U38" i="117" s="1"/>
  <c r="AH38" i="117" s="1"/>
  <c r="AJ38" i="117" s="1"/>
  <c r="J74" i="122"/>
  <c r="CJ73" i="122"/>
  <c r="AQ74" i="122" s="1"/>
  <c r="CK73" i="122"/>
  <c r="AR74" i="122" s="1"/>
  <c r="CY73" i="122"/>
  <c r="BF74" i="122" s="1"/>
  <c r="DB73" i="122"/>
  <c r="BI74" i="122" s="1"/>
  <c r="H74" i="122"/>
  <c r="CL73" i="122"/>
  <c r="AS74" i="122" s="1"/>
  <c r="E74" i="122"/>
  <c r="CP73" i="122"/>
  <c r="AW74" i="122" s="1"/>
  <c r="I74" i="122"/>
  <c r="CR73" i="122"/>
  <c r="AY74" i="122" s="1"/>
  <c r="K74" i="122"/>
  <c r="CW73" i="122"/>
  <c r="BD74" i="122" s="1"/>
  <c r="P74" i="122"/>
  <c r="CS73" i="122"/>
  <c r="AZ74" i="122" s="1"/>
  <c r="L74" i="122"/>
  <c r="CT73" i="122"/>
  <c r="BA74" i="122" s="1"/>
  <c r="M74" i="122"/>
  <c r="F74" i="122"/>
  <c r="CM73" i="122"/>
  <c r="AT74" i="122" s="1"/>
  <c r="S74" i="122"/>
  <c r="CZ73" i="122"/>
  <c r="BG74" i="122" s="1"/>
  <c r="CI73" i="122"/>
  <c r="B74" i="122"/>
  <c r="G56" i="122"/>
  <c r="I56" i="122" s="1"/>
  <c r="CU73" i="122"/>
  <c r="BB74" i="122" s="1"/>
  <c r="N74" i="122"/>
  <c r="CX73" i="122"/>
  <c r="BE74" i="122" s="1"/>
  <c r="Q74" i="122"/>
  <c r="T74" i="122"/>
  <c r="DA73" i="122"/>
  <c r="BH74" i="122" s="1"/>
  <c r="CV73" i="122"/>
  <c r="BC74" i="122" s="1"/>
  <c r="O74" i="122"/>
  <c r="U74" i="120"/>
  <c r="V74" i="120" s="1"/>
  <c r="AA74" i="120" s="1"/>
  <c r="Q74" i="120"/>
  <c r="AF74" i="120" s="1"/>
  <c r="AG74" i="120" s="1"/>
  <c r="R74" i="120"/>
  <c r="B57" i="119"/>
  <c r="H57" i="119" s="1"/>
  <c r="J56" i="119"/>
  <c r="W38" i="117"/>
  <c r="AA38" i="117"/>
  <c r="AB38" i="117" s="1"/>
  <c r="Y38" i="117"/>
  <c r="Z38" i="117"/>
  <c r="X38" i="117"/>
  <c r="R39" i="117" l="1"/>
  <c r="BK74" i="122"/>
  <c r="BN74" i="122"/>
  <c r="CC74" i="122" s="1"/>
  <c r="AP74" i="122"/>
  <c r="BJ74" i="122" s="1"/>
  <c r="DC74" i="122" s="1"/>
  <c r="DE73" i="122"/>
  <c r="B75" i="120"/>
  <c r="Y74" i="120"/>
  <c r="AD74" i="120" s="1"/>
  <c r="E75" i="120" s="1"/>
  <c r="X74" i="120"/>
  <c r="AC74" i="120" s="1"/>
  <c r="D75" i="120" s="1"/>
  <c r="L75" i="120"/>
  <c r="Z74" i="120"/>
  <c r="AE74" i="120" s="1"/>
  <c r="P75" i="120" s="1"/>
  <c r="W74" i="120"/>
  <c r="AB74" i="120" s="1"/>
  <c r="C75" i="120" s="1"/>
  <c r="S75" i="120"/>
  <c r="J57" i="119"/>
  <c r="B58" i="119"/>
  <c r="H58" i="119" s="1"/>
  <c r="AE38" i="117"/>
  <c r="AD39" i="117" s="1"/>
  <c r="AG38" i="117"/>
  <c r="AI38" i="117" s="1"/>
  <c r="AC38" i="117"/>
  <c r="AF38" i="117" s="1" a="1"/>
  <c r="AF38" i="117" s="1"/>
  <c r="P39" i="117"/>
  <c r="S39" i="117"/>
  <c r="P75" i="122" l="1"/>
  <c r="CW74" i="122"/>
  <c r="BD75" i="122" s="1"/>
  <c r="CD74" i="122"/>
  <c r="BR74" i="122"/>
  <c r="DD74" i="122"/>
  <c r="BL75" i="122"/>
  <c r="BX74" i="122"/>
  <c r="BZ74" i="122"/>
  <c r="BV74" i="122"/>
  <c r="CB74" i="122"/>
  <c r="BO74" i="122"/>
  <c r="BY74" i="122"/>
  <c r="CH74" i="122"/>
  <c r="CE74" i="122"/>
  <c r="BQ74" i="122"/>
  <c r="BU74" i="122"/>
  <c r="BP74" i="122"/>
  <c r="BT74" i="122"/>
  <c r="BW74" i="122"/>
  <c r="CF74" i="122"/>
  <c r="CG74" i="122"/>
  <c r="BS74" i="122"/>
  <c r="CA74" i="122"/>
  <c r="AH74" i="120"/>
  <c r="N75" i="120"/>
  <c r="F75" i="120"/>
  <c r="U75" i="120" s="1"/>
  <c r="M75" i="120"/>
  <c r="O75" i="120"/>
  <c r="B59" i="119"/>
  <c r="H59" i="119" s="1"/>
  <c r="J58" i="119"/>
  <c r="AK38" i="117"/>
  <c r="Q39" i="117"/>
  <c r="T39" i="117"/>
  <c r="X39" i="117" l="1"/>
  <c r="U39" i="117" a="1"/>
  <c r="U39" i="117" s="1"/>
  <c r="N75" i="122"/>
  <c r="CU74" i="122"/>
  <c r="BB75" i="122" s="1"/>
  <c r="CJ74" i="122"/>
  <c r="AQ75" i="122" s="1"/>
  <c r="C75" i="122"/>
  <c r="B75" i="122"/>
  <c r="CI74" i="122"/>
  <c r="CN74" i="122"/>
  <c r="AU75" i="122" s="1"/>
  <c r="G75" i="122"/>
  <c r="CS74" i="122"/>
  <c r="AZ75" i="122" s="1"/>
  <c r="L75" i="122"/>
  <c r="CM74" i="122"/>
  <c r="AT75" i="122" s="1"/>
  <c r="F75" i="122"/>
  <c r="CO74" i="122"/>
  <c r="AV75" i="122" s="1"/>
  <c r="H75" i="122"/>
  <c r="CV74" i="122"/>
  <c r="BC75" i="122" s="1"/>
  <c r="O75" i="122"/>
  <c r="CL74" i="122"/>
  <c r="AS75" i="122" s="1"/>
  <c r="E75" i="122"/>
  <c r="T75" i="122"/>
  <c r="DA74" i="122"/>
  <c r="BH75" i="122" s="1"/>
  <c r="CK74" i="122"/>
  <c r="AR75" i="122" s="1"/>
  <c r="D75" i="122"/>
  <c r="CP74" i="122"/>
  <c r="AW75" i="122" s="1"/>
  <c r="I75" i="122"/>
  <c r="CX74" i="122"/>
  <c r="BE75" i="122" s="1"/>
  <c r="Q75" i="122"/>
  <c r="CZ74" i="122"/>
  <c r="BG75" i="122" s="1"/>
  <c r="S75" i="122"/>
  <c r="CY74" i="122"/>
  <c r="BF75" i="122" s="1"/>
  <c r="R75" i="122"/>
  <c r="CT74" i="122"/>
  <c r="BA75" i="122" s="1"/>
  <c r="M75" i="122"/>
  <c r="CQ74" i="122"/>
  <c r="AX75" i="122" s="1"/>
  <c r="J75" i="122"/>
  <c r="DB74" i="122"/>
  <c r="BI75" i="122" s="1"/>
  <c r="U75" i="122"/>
  <c r="CR74" i="122"/>
  <c r="AY75" i="122" s="1"/>
  <c r="K75" i="122"/>
  <c r="Q75" i="120"/>
  <c r="AF75" i="120" s="1"/>
  <c r="AG75" i="120" s="1"/>
  <c r="R75" i="120"/>
  <c r="X75" i="120" s="1"/>
  <c r="AC75" i="120" s="1"/>
  <c r="D76" i="120" s="1"/>
  <c r="V75" i="120"/>
  <c r="AA75" i="120" s="1"/>
  <c r="Z75" i="120"/>
  <c r="AE75" i="120" s="1"/>
  <c r="P76" i="120" s="1"/>
  <c r="J59" i="119"/>
  <c r="B60" i="119"/>
  <c r="H60" i="119" s="1"/>
  <c r="Z39" i="117"/>
  <c r="W39" i="117"/>
  <c r="V39" i="117"/>
  <c r="AA39" i="117"/>
  <c r="AB39" i="117" s="1"/>
  <c r="AG39" i="117" s="1"/>
  <c r="Y39" i="117"/>
  <c r="DE74" i="122" l="1"/>
  <c r="AP75" i="122"/>
  <c r="BJ75" i="122" s="1"/>
  <c r="DC75" i="122" s="1"/>
  <c r="BN75" i="122"/>
  <c r="CH75" i="122" s="1"/>
  <c r="BK75" i="122"/>
  <c r="L76" i="120"/>
  <c r="W75" i="120"/>
  <c r="AB75" i="120" s="1"/>
  <c r="M76" i="120" s="1"/>
  <c r="Y75" i="120"/>
  <c r="AD75" i="120" s="1"/>
  <c r="S76" i="120"/>
  <c r="N76" i="120"/>
  <c r="F76" i="120"/>
  <c r="B76" i="120"/>
  <c r="B61" i="119"/>
  <c r="H61" i="119" s="1"/>
  <c r="J60" i="119"/>
  <c r="AI39" i="117"/>
  <c r="AC39" i="117"/>
  <c r="AH39" i="117"/>
  <c r="AE39" i="117" l="1"/>
  <c r="AD40" i="117" s="1"/>
  <c r="AF39" i="117" a="1"/>
  <c r="AF39" i="117" s="1"/>
  <c r="U76" i="122"/>
  <c r="DB75" i="122"/>
  <c r="BI76" i="122" s="1"/>
  <c r="CD75" i="122"/>
  <c r="CF75" i="122"/>
  <c r="BW75" i="122"/>
  <c r="BR75" i="122"/>
  <c r="CA75" i="122"/>
  <c r="BP75" i="122"/>
  <c r="BS75" i="122"/>
  <c r="BV75" i="122"/>
  <c r="CG75" i="122"/>
  <c r="BY75" i="122"/>
  <c r="BO75" i="122"/>
  <c r="CE75" i="122"/>
  <c r="CC75" i="122"/>
  <c r="BU75" i="122"/>
  <c r="BX75" i="122"/>
  <c r="CB75" i="122"/>
  <c r="BT75" i="122"/>
  <c r="BQ75" i="122"/>
  <c r="DD75" i="122"/>
  <c r="BL76" i="122"/>
  <c r="BZ75" i="122"/>
  <c r="AH75" i="120"/>
  <c r="C76" i="120"/>
  <c r="E76" i="120"/>
  <c r="O76" i="120"/>
  <c r="R76" i="120" s="1"/>
  <c r="J61" i="119"/>
  <c r="B62" i="119"/>
  <c r="H62" i="119" s="1"/>
  <c r="AK39" i="117"/>
  <c r="AJ39" i="117"/>
  <c r="P40" i="117"/>
  <c r="R40" i="117" l="1"/>
  <c r="CT75" i="122"/>
  <c r="BA76" i="122" s="1"/>
  <c r="M76" i="122"/>
  <c r="CR75" i="122"/>
  <c r="AY76" i="122" s="1"/>
  <c r="K76" i="122"/>
  <c r="DA75" i="122"/>
  <c r="BH76" i="122" s="1"/>
  <c r="T76" i="122"/>
  <c r="J76" i="122"/>
  <c r="CQ75" i="122"/>
  <c r="AX76" i="122" s="1"/>
  <c r="O76" i="122"/>
  <c r="CV75" i="122"/>
  <c r="BC76" i="122" s="1"/>
  <c r="L76" i="122"/>
  <c r="CS75" i="122"/>
  <c r="AZ76" i="122" s="1"/>
  <c r="CL75" i="122"/>
  <c r="AS76" i="122" s="1"/>
  <c r="E76" i="122"/>
  <c r="H76" i="122"/>
  <c r="CO75" i="122"/>
  <c r="AV76" i="122" s="1"/>
  <c r="CP75" i="122"/>
  <c r="AW76" i="122" s="1"/>
  <c r="I76" i="122"/>
  <c r="CZ75" i="122"/>
  <c r="BG76" i="122" s="1"/>
  <c r="S76" i="122"/>
  <c r="CM75" i="122"/>
  <c r="AT76" i="122" s="1"/>
  <c r="F76" i="122"/>
  <c r="CX75" i="122"/>
  <c r="BE76" i="122" s="1"/>
  <c r="Q76" i="122"/>
  <c r="CK75" i="122"/>
  <c r="AR76" i="122" s="1"/>
  <c r="D76" i="122"/>
  <c r="CY75" i="122"/>
  <c r="BF76" i="122" s="1"/>
  <c r="R76" i="122"/>
  <c r="CJ75" i="122"/>
  <c r="AQ76" i="122" s="1"/>
  <c r="C76" i="122"/>
  <c r="CW75" i="122"/>
  <c r="BD76" i="122" s="1"/>
  <c r="P76" i="122"/>
  <c r="CN75" i="122"/>
  <c r="AU76" i="122" s="1"/>
  <c r="G76" i="122"/>
  <c r="B76" i="122"/>
  <c r="CI75" i="122"/>
  <c r="CU75" i="122"/>
  <c r="BB76" i="122" s="1"/>
  <c r="N76" i="122"/>
  <c r="U76" i="120"/>
  <c r="Y76" i="120" s="1"/>
  <c r="AD76" i="120" s="1"/>
  <c r="E77" i="120" s="1"/>
  <c r="Q76" i="120"/>
  <c r="AF76" i="120" s="1"/>
  <c r="S77" i="120" s="1"/>
  <c r="J62" i="119"/>
  <c r="B63" i="119"/>
  <c r="H63" i="119" s="1"/>
  <c r="Q40" i="117"/>
  <c r="S40" i="117"/>
  <c r="T40" i="117" l="1"/>
  <c r="AA40" i="117" s="1"/>
  <c r="AB40" i="117" s="1"/>
  <c r="AG40" i="117" s="1"/>
  <c r="BN76" i="122"/>
  <c r="CH76" i="122" s="1"/>
  <c r="AP76" i="122"/>
  <c r="BJ76" i="122" s="1"/>
  <c r="DC76" i="122" s="1"/>
  <c r="DE75" i="122"/>
  <c r="BK76" i="122"/>
  <c r="W76" i="120"/>
  <c r="AB76" i="120" s="1"/>
  <c r="C77" i="120" s="1"/>
  <c r="V76" i="120"/>
  <c r="AA76" i="120" s="1"/>
  <c r="Z76" i="120"/>
  <c r="AE76" i="120" s="1"/>
  <c r="P77" i="120" s="1"/>
  <c r="X76" i="120"/>
  <c r="AC76" i="120" s="1"/>
  <c r="N77" i="120" s="1"/>
  <c r="O77" i="120"/>
  <c r="AG76" i="120"/>
  <c r="B64" i="119"/>
  <c r="H64" i="119" s="1"/>
  <c r="J63" i="119"/>
  <c r="Y40" i="117" l="1"/>
  <c r="X40" i="117"/>
  <c r="Z40" i="117"/>
  <c r="W40" i="117"/>
  <c r="AE40" i="117"/>
  <c r="AD41" i="117" s="1"/>
  <c r="V40" i="117"/>
  <c r="U40" i="117" a="1"/>
  <c r="U40" i="117" s="1"/>
  <c r="AH40" i="117" s="1"/>
  <c r="AJ40" i="117" s="1"/>
  <c r="AC40" i="117"/>
  <c r="AF40" i="117" s="1" a="1"/>
  <c r="AF40" i="117" s="1"/>
  <c r="CC76" i="122"/>
  <c r="P77" i="122" s="1"/>
  <c r="BQ76" i="122"/>
  <c r="CK76" i="122" s="1"/>
  <c r="AR77" i="122" s="1"/>
  <c r="BS76" i="122"/>
  <c r="F77" i="122" s="1"/>
  <c r="CD76" i="122"/>
  <c r="Q77" i="122" s="1"/>
  <c r="BP76" i="122"/>
  <c r="CJ76" i="122" s="1"/>
  <c r="AQ77" i="122" s="1"/>
  <c r="BW76" i="122"/>
  <c r="CA76" i="122"/>
  <c r="CE76" i="122"/>
  <c r="BZ76" i="122"/>
  <c r="CB76" i="122"/>
  <c r="BT76" i="122"/>
  <c r="BL77" i="122"/>
  <c r="DD76" i="122"/>
  <c r="BR76" i="122"/>
  <c r="BU76" i="122"/>
  <c r="CG76" i="122"/>
  <c r="BY76" i="122"/>
  <c r="CF76" i="122"/>
  <c r="BX76" i="122"/>
  <c r="BV76" i="122"/>
  <c r="BO76" i="122"/>
  <c r="DB76" i="122"/>
  <c r="BI77" i="122" s="1"/>
  <c r="U77" i="122"/>
  <c r="B77" i="120"/>
  <c r="AH76" i="120"/>
  <c r="L77" i="120"/>
  <c r="F77" i="120"/>
  <c r="M77" i="120"/>
  <c r="D77" i="120"/>
  <c r="B65" i="119"/>
  <c r="H65" i="119" s="1"/>
  <c r="J64" i="119"/>
  <c r="P41" i="117" l="1"/>
  <c r="AI40" i="117"/>
  <c r="Q41" i="117" s="1"/>
  <c r="R41" i="117"/>
  <c r="S41" i="117" s="1"/>
  <c r="CW76" i="122"/>
  <c r="BD77" i="122" s="1"/>
  <c r="D77" i="122"/>
  <c r="CX76" i="122"/>
  <c r="BE77" i="122" s="1"/>
  <c r="C77" i="122"/>
  <c r="CM76" i="122"/>
  <c r="AT77" i="122" s="1"/>
  <c r="CN76" i="122"/>
  <c r="AU77" i="122" s="1"/>
  <c r="G77" i="122"/>
  <c r="CP76" i="122"/>
  <c r="AW77" i="122" s="1"/>
  <c r="I77" i="122"/>
  <c r="O77" i="122"/>
  <c r="CV76" i="122"/>
  <c r="BC77" i="122" s="1"/>
  <c r="R77" i="122"/>
  <c r="CY76" i="122"/>
  <c r="BF77" i="122" s="1"/>
  <c r="CI76" i="122"/>
  <c r="B77" i="122"/>
  <c r="CS76" i="122"/>
  <c r="AZ77" i="122" s="1"/>
  <c r="L77" i="122"/>
  <c r="T77" i="122"/>
  <c r="DA76" i="122"/>
  <c r="BH77" i="122" s="1"/>
  <c r="K77" i="122"/>
  <c r="CR76" i="122"/>
  <c r="AY77" i="122" s="1"/>
  <c r="CO76" i="122"/>
  <c r="AV77" i="122" s="1"/>
  <c r="H77" i="122"/>
  <c r="M77" i="122"/>
  <c r="CT76" i="122"/>
  <c r="BA77" i="122" s="1"/>
  <c r="N77" i="122"/>
  <c r="CU76" i="122"/>
  <c r="BB77" i="122" s="1"/>
  <c r="S77" i="122"/>
  <c r="CZ76" i="122"/>
  <c r="BG77" i="122" s="1"/>
  <c r="E77" i="122"/>
  <c r="CL76" i="122"/>
  <c r="AS77" i="122" s="1"/>
  <c r="J77" i="122"/>
  <c r="CQ76" i="122"/>
  <c r="AX77" i="122" s="1"/>
  <c r="U77" i="120"/>
  <c r="V77" i="120" s="1"/>
  <c r="AA77" i="120" s="1"/>
  <c r="Q77" i="120"/>
  <c r="AF77" i="120" s="1"/>
  <c r="AG77" i="120" s="1"/>
  <c r="R77" i="120"/>
  <c r="J65" i="119"/>
  <c r="B66" i="119"/>
  <c r="H66" i="119" s="1"/>
  <c r="AK40" i="117" l="1"/>
  <c r="BK77" i="122"/>
  <c r="BN77" i="122"/>
  <c r="AP77" i="122"/>
  <c r="BJ77" i="122" s="1"/>
  <c r="DC77" i="122" s="1"/>
  <c r="DE76" i="122"/>
  <c r="L78" i="120"/>
  <c r="X77" i="120"/>
  <c r="AC77" i="120" s="1"/>
  <c r="N78" i="120" s="1"/>
  <c r="Y77" i="120"/>
  <c r="AD77" i="120" s="1"/>
  <c r="O78" i="120" s="1"/>
  <c r="W77" i="120"/>
  <c r="AB77" i="120" s="1"/>
  <c r="M78" i="120" s="1"/>
  <c r="Z77" i="120"/>
  <c r="AE77" i="120" s="1"/>
  <c r="F78" i="120" s="1"/>
  <c r="B78" i="120"/>
  <c r="S78" i="120"/>
  <c r="B67" i="119"/>
  <c r="H67" i="119" s="1"/>
  <c r="J66" i="119"/>
  <c r="T41" i="117"/>
  <c r="Y41" i="117" l="1"/>
  <c r="U41" i="117" a="1"/>
  <c r="U41" i="117" s="1"/>
  <c r="BT77" i="122"/>
  <c r="BQ77" i="122"/>
  <c r="CD77" i="122"/>
  <c r="CC77" i="122"/>
  <c r="BP77" i="122"/>
  <c r="CH77" i="122"/>
  <c r="BS77" i="122"/>
  <c r="BL78" i="122"/>
  <c r="DD77" i="122"/>
  <c r="CB77" i="122"/>
  <c r="CE77" i="122"/>
  <c r="BZ77" i="122"/>
  <c r="BX77" i="122"/>
  <c r="CF77" i="122"/>
  <c r="BR77" i="122"/>
  <c r="CA77" i="122"/>
  <c r="CG77" i="122"/>
  <c r="BV77" i="122"/>
  <c r="BW77" i="122"/>
  <c r="BU77" i="122"/>
  <c r="BO77" i="122"/>
  <c r="BY77" i="122"/>
  <c r="AH77" i="120"/>
  <c r="D78" i="120"/>
  <c r="E78" i="120"/>
  <c r="P78" i="120"/>
  <c r="R78" i="120" s="1"/>
  <c r="C78" i="120"/>
  <c r="J67" i="119"/>
  <c r="B68" i="119"/>
  <c r="H68" i="119" s="1"/>
  <c r="W41" i="117"/>
  <c r="X41" i="117"/>
  <c r="V41" i="117"/>
  <c r="Z41" i="117"/>
  <c r="AA41" i="117"/>
  <c r="AB41" i="117" s="1"/>
  <c r="I78" i="122" l="1"/>
  <c r="CP77" i="122"/>
  <c r="AW78" i="122" s="1"/>
  <c r="CT77" i="122"/>
  <c r="BA78" i="122" s="1"/>
  <c r="M78" i="122"/>
  <c r="DB77" i="122"/>
  <c r="BI78" i="122" s="1"/>
  <c r="U78" i="122"/>
  <c r="DA77" i="122"/>
  <c r="BH78" i="122" s="1"/>
  <c r="T78" i="122"/>
  <c r="CY77" i="122"/>
  <c r="BF78" i="122" s="1"/>
  <c r="R78" i="122"/>
  <c r="CJ77" i="122"/>
  <c r="AQ78" i="122" s="1"/>
  <c r="C78" i="122"/>
  <c r="L78" i="122"/>
  <c r="CS77" i="122"/>
  <c r="AZ78" i="122" s="1"/>
  <c r="CU77" i="122"/>
  <c r="BB78" i="122" s="1"/>
  <c r="N78" i="122"/>
  <c r="CV77" i="122"/>
  <c r="BC78" i="122" s="1"/>
  <c r="O78" i="122"/>
  <c r="CW77" i="122"/>
  <c r="BD78" i="122" s="1"/>
  <c r="P78" i="122"/>
  <c r="CI77" i="122"/>
  <c r="B78" i="122"/>
  <c r="CL77" i="122"/>
  <c r="AS78" i="122" s="1"/>
  <c r="E78" i="122"/>
  <c r="CX77" i="122"/>
  <c r="BE78" i="122" s="1"/>
  <c r="Q78" i="122"/>
  <c r="CO77" i="122"/>
  <c r="AV78" i="122" s="1"/>
  <c r="H78" i="122"/>
  <c r="S78" i="122"/>
  <c r="CZ77" i="122"/>
  <c r="BG78" i="122" s="1"/>
  <c r="CK77" i="122"/>
  <c r="AR78" i="122" s="1"/>
  <c r="D78" i="122"/>
  <c r="J78" i="122"/>
  <c r="CQ77" i="122"/>
  <c r="AX78" i="122" s="1"/>
  <c r="K78" i="122"/>
  <c r="CR77" i="122"/>
  <c r="AY78" i="122" s="1"/>
  <c r="F78" i="122"/>
  <c r="CM77" i="122"/>
  <c r="AT78" i="122" s="1"/>
  <c r="G78" i="122"/>
  <c r="CN77" i="122"/>
  <c r="AU78" i="122" s="1"/>
  <c r="U78" i="120"/>
  <c r="Z78" i="120" s="1"/>
  <c r="AE78" i="120" s="1"/>
  <c r="F79" i="120" s="1"/>
  <c r="Q78" i="120"/>
  <c r="AF78" i="120" s="1"/>
  <c r="S79" i="120" s="1"/>
  <c r="B69" i="119"/>
  <c r="H69" i="119" s="1"/>
  <c r="J68" i="119"/>
  <c r="AE41" i="117"/>
  <c r="AD42" i="117" s="1"/>
  <c r="AG41" i="117"/>
  <c r="AI41" i="117" s="1"/>
  <c r="AC41" i="117"/>
  <c r="AF41" i="117" s="1" a="1"/>
  <c r="AF41" i="117" s="1"/>
  <c r="AH41" i="117"/>
  <c r="BK78" i="122" l="1"/>
  <c r="BN78" i="122"/>
  <c r="BP78" i="122" s="1"/>
  <c r="AP78" i="122"/>
  <c r="BJ78" i="122" s="1"/>
  <c r="DC78" i="122" s="1"/>
  <c r="DE77" i="122"/>
  <c r="X78" i="120"/>
  <c r="AC78" i="120" s="1"/>
  <c r="N79" i="120" s="1"/>
  <c r="W78" i="120"/>
  <c r="AB78" i="120" s="1"/>
  <c r="M79" i="120" s="1"/>
  <c r="V78" i="120"/>
  <c r="AA78" i="120" s="1"/>
  <c r="L79" i="120" s="1"/>
  <c r="Y78" i="120"/>
  <c r="AD78" i="120" s="1"/>
  <c r="O79" i="120" s="1"/>
  <c r="P79" i="120"/>
  <c r="AG78" i="120"/>
  <c r="B70" i="119"/>
  <c r="H70" i="119" s="1"/>
  <c r="J69" i="119"/>
  <c r="AJ41" i="117"/>
  <c r="P42" i="117"/>
  <c r="AK41" i="117"/>
  <c r="Q42" i="117"/>
  <c r="R42" i="117" l="1"/>
  <c r="S42" i="117" s="1"/>
  <c r="BY78" i="122"/>
  <c r="CS78" i="122" s="1"/>
  <c r="AZ79" i="122" s="1"/>
  <c r="BT78" i="122"/>
  <c r="CN78" i="122" s="1"/>
  <c r="AU79" i="122" s="1"/>
  <c r="CB78" i="122"/>
  <c r="O79" i="122" s="1"/>
  <c r="CC78" i="122"/>
  <c r="CW78" i="122" s="1"/>
  <c r="BD79" i="122" s="1"/>
  <c r="CD78" i="122"/>
  <c r="Q79" i="122" s="1"/>
  <c r="BU78" i="122"/>
  <c r="CO78" i="122" s="1"/>
  <c r="AV79" i="122" s="1"/>
  <c r="BV78" i="122"/>
  <c r="BQ78" i="122"/>
  <c r="BZ78" i="122"/>
  <c r="CH78" i="122"/>
  <c r="CE78" i="122"/>
  <c r="BS78" i="122"/>
  <c r="BL79" i="122"/>
  <c r="DD78" i="122"/>
  <c r="CA78" i="122"/>
  <c r="CF78" i="122"/>
  <c r="CG78" i="122"/>
  <c r="BW78" i="122"/>
  <c r="BO78" i="122"/>
  <c r="BX78" i="122"/>
  <c r="CJ78" i="122"/>
  <c r="AQ79" i="122" s="1"/>
  <c r="C79" i="122"/>
  <c r="BR78" i="122"/>
  <c r="B79" i="120"/>
  <c r="AH78" i="120"/>
  <c r="C79" i="120"/>
  <c r="R79" i="120"/>
  <c r="D79" i="120"/>
  <c r="E79" i="120"/>
  <c r="Q79" i="120"/>
  <c r="AF79" i="120" s="1"/>
  <c r="S80" i="120" s="1"/>
  <c r="J70" i="119"/>
  <c r="B71" i="119"/>
  <c r="H71" i="119" s="1"/>
  <c r="T42" i="117" l="1"/>
  <c r="W42" i="117" s="1"/>
  <c r="G79" i="122"/>
  <c r="L79" i="122"/>
  <c r="P79" i="122"/>
  <c r="CX78" i="122"/>
  <c r="BE79" i="122" s="1"/>
  <c r="CV78" i="122"/>
  <c r="BC79" i="122" s="1"/>
  <c r="H79" i="122"/>
  <c r="E79" i="122"/>
  <c r="CL78" i="122"/>
  <c r="AS79" i="122" s="1"/>
  <c r="CT78" i="122"/>
  <c r="BA79" i="122" s="1"/>
  <c r="M79" i="122"/>
  <c r="U79" i="122"/>
  <c r="DB78" i="122"/>
  <c r="BI79" i="122" s="1"/>
  <c r="CR78" i="122"/>
  <c r="AY79" i="122" s="1"/>
  <c r="K79" i="122"/>
  <c r="CZ78" i="122"/>
  <c r="BG79" i="122" s="1"/>
  <c r="S79" i="122"/>
  <c r="CK78" i="122"/>
  <c r="AR79" i="122" s="1"/>
  <c r="D79" i="122"/>
  <c r="B79" i="122"/>
  <c r="CI78" i="122"/>
  <c r="CU78" i="122"/>
  <c r="BB79" i="122" s="1"/>
  <c r="N79" i="122"/>
  <c r="CY78" i="122"/>
  <c r="BF79" i="122" s="1"/>
  <c r="R79" i="122"/>
  <c r="CP78" i="122"/>
  <c r="AW79" i="122" s="1"/>
  <c r="I79" i="122"/>
  <c r="F79" i="122"/>
  <c r="CM78" i="122"/>
  <c r="AT79" i="122" s="1"/>
  <c r="CQ78" i="122"/>
  <c r="AX79" i="122" s="1"/>
  <c r="J79" i="122"/>
  <c r="T79" i="122"/>
  <c r="DA78" i="122"/>
  <c r="BH79" i="122" s="1"/>
  <c r="U79" i="120"/>
  <c r="W79" i="120" s="1"/>
  <c r="AB79" i="120" s="1"/>
  <c r="M80" i="120" s="1"/>
  <c r="AG79" i="120"/>
  <c r="J71" i="119"/>
  <c r="B72" i="119"/>
  <c r="H72" i="119" s="1"/>
  <c r="V42" i="117" l="1"/>
  <c r="Z42" i="117"/>
  <c r="Y42" i="117"/>
  <c r="X42" i="117"/>
  <c r="AA42" i="117"/>
  <c r="AB42" i="117" s="1"/>
  <c r="AC42" i="117" s="1"/>
  <c r="U42" i="117" a="1"/>
  <c r="U42" i="117" s="1"/>
  <c r="AH42" i="117" s="1"/>
  <c r="AJ42" i="117" s="1"/>
  <c r="BK79" i="122"/>
  <c r="AP79" i="122"/>
  <c r="DE78" i="122"/>
  <c r="BN79" i="122"/>
  <c r="BS79" i="122" s="1"/>
  <c r="BJ79" i="122"/>
  <c r="DC79" i="122" s="1"/>
  <c r="V79" i="120"/>
  <c r="AA79" i="120" s="1"/>
  <c r="B80" i="120" s="1"/>
  <c r="X79" i="120"/>
  <c r="AC79" i="120" s="1"/>
  <c r="D80" i="120" s="1"/>
  <c r="Y79" i="120"/>
  <c r="AD79" i="120" s="1"/>
  <c r="O80" i="120" s="1"/>
  <c r="C80" i="120"/>
  <c r="Z79" i="120"/>
  <c r="AE79" i="120" s="1"/>
  <c r="P80" i="120" s="1"/>
  <c r="B73" i="119"/>
  <c r="H73" i="119" s="1"/>
  <c r="J72" i="119"/>
  <c r="P43" i="117" l="1"/>
  <c r="AE42" i="117"/>
  <c r="AD43" i="117" s="1"/>
  <c r="AF42" i="117" a="1"/>
  <c r="AF42" i="117" s="1"/>
  <c r="R43" i="117"/>
  <c r="S43" i="117" s="1"/>
  <c r="T43" i="117" s="1"/>
  <c r="AA43" i="117" s="1"/>
  <c r="AB43" i="117" s="1"/>
  <c r="F80" i="122"/>
  <c r="CM79" i="122"/>
  <c r="AT80" i="122" s="1"/>
  <c r="BL80" i="122"/>
  <c r="DD79" i="122"/>
  <c r="BW79" i="122"/>
  <c r="CG79" i="122"/>
  <c r="BR79" i="122"/>
  <c r="BQ79" i="122"/>
  <c r="BZ79" i="122"/>
  <c r="CF79" i="122"/>
  <c r="CE79" i="122"/>
  <c r="CH79" i="122"/>
  <c r="CB79" i="122"/>
  <c r="BY79" i="122"/>
  <c r="BU79" i="122"/>
  <c r="CC79" i="122"/>
  <c r="BP79" i="122"/>
  <c r="BT79" i="122"/>
  <c r="CD79" i="122"/>
  <c r="BX79" i="122"/>
  <c r="CA79" i="122"/>
  <c r="BO79" i="122"/>
  <c r="BV79" i="122"/>
  <c r="N80" i="120"/>
  <c r="AH79" i="120"/>
  <c r="F80" i="120"/>
  <c r="L80" i="120"/>
  <c r="E80" i="120"/>
  <c r="J73" i="119"/>
  <c r="B74" i="119"/>
  <c r="H74" i="119" s="1"/>
  <c r="AG42" i="117"/>
  <c r="AI42" i="117" s="1"/>
  <c r="AK42" i="117" s="1"/>
  <c r="U43" i="117" l="1" a="1"/>
  <c r="U43" i="117" s="1"/>
  <c r="G80" i="122"/>
  <c r="CN79" i="122"/>
  <c r="AU80" i="122" s="1"/>
  <c r="CP79" i="122"/>
  <c r="AW80" i="122" s="1"/>
  <c r="I80" i="122"/>
  <c r="C80" i="122"/>
  <c r="CJ79" i="122"/>
  <c r="AQ80" i="122" s="1"/>
  <c r="R80" i="122"/>
  <c r="CY79" i="122"/>
  <c r="BF80" i="122" s="1"/>
  <c r="CQ79" i="122"/>
  <c r="AX80" i="122" s="1"/>
  <c r="J80" i="122"/>
  <c r="DB79" i="122"/>
  <c r="BI80" i="122" s="1"/>
  <c r="U80" i="122"/>
  <c r="CI79" i="122"/>
  <c r="B80" i="122"/>
  <c r="CW79" i="122"/>
  <c r="BD80" i="122" s="1"/>
  <c r="P80" i="122"/>
  <c r="S80" i="122"/>
  <c r="CZ79" i="122"/>
  <c r="BG80" i="122" s="1"/>
  <c r="T80" i="122"/>
  <c r="DA79" i="122"/>
  <c r="BH80" i="122" s="1"/>
  <c r="CU79" i="122"/>
  <c r="BB80" i="122" s="1"/>
  <c r="N80" i="122"/>
  <c r="CO79" i="122"/>
  <c r="AV80" i="122" s="1"/>
  <c r="H80" i="122"/>
  <c r="CT79" i="122"/>
  <c r="BA80" i="122" s="1"/>
  <c r="M80" i="122"/>
  <c r="CR79" i="122"/>
  <c r="AY80" i="122" s="1"/>
  <c r="K80" i="122"/>
  <c r="L80" i="122"/>
  <c r="CS79" i="122"/>
  <c r="AZ80" i="122" s="1"/>
  <c r="D80" i="122"/>
  <c r="CK79" i="122"/>
  <c r="AR80" i="122" s="1"/>
  <c r="Q80" i="122"/>
  <c r="CX79" i="122"/>
  <c r="BE80" i="122" s="1"/>
  <c r="O80" i="122"/>
  <c r="CV79" i="122"/>
  <c r="BC80" i="122" s="1"/>
  <c r="CL79" i="122"/>
  <c r="AS80" i="122" s="1"/>
  <c r="E80" i="122"/>
  <c r="R80" i="120"/>
  <c r="U80" i="120"/>
  <c r="X80" i="120" s="1"/>
  <c r="AC80" i="120" s="1"/>
  <c r="D81" i="120" s="1"/>
  <c r="Q80" i="120"/>
  <c r="AF80" i="120" s="1"/>
  <c r="S81" i="120" s="1"/>
  <c r="B75" i="119"/>
  <c r="H75" i="119" s="1"/>
  <c r="J74" i="119"/>
  <c r="Q43" i="117"/>
  <c r="AE43" i="117"/>
  <c r="AD44" i="117" s="1"/>
  <c r="AG43" i="117"/>
  <c r="AC43" i="117"/>
  <c r="AF43" i="117" s="1" a="1"/>
  <c r="AF43" i="117" s="1"/>
  <c r="V43" i="117"/>
  <c r="X43" i="117"/>
  <c r="W43" i="117"/>
  <c r="Z43" i="117"/>
  <c r="Y43" i="117"/>
  <c r="BK80" i="122" l="1"/>
  <c r="BN80" i="122"/>
  <c r="CF80" i="122" s="1"/>
  <c r="AP80" i="122"/>
  <c r="BJ80" i="122" s="1"/>
  <c r="DC80" i="122" s="1"/>
  <c r="DE79" i="122"/>
  <c r="V80" i="120"/>
  <c r="AA80" i="120" s="1"/>
  <c r="L81" i="120" s="1"/>
  <c r="Y80" i="120"/>
  <c r="AD80" i="120" s="1"/>
  <c r="E81" i="120" s="1"/>
  <c r="Z80" i="120"/>
  <c r="AE80" i="120" s="1"/>
  <c r="P81" i="120" s="1"/>
  <c r="W80" i="120"/>
  <c r="AB80" i="120" s="1"/>
  <c r="M81" i="120" s="1"/>
  <c r="AG80" i="120"/>
  <c r="N81" i="120"/>
  <c r="J75" i="119"/>
  <c r="B76" i="119"/>
  <c r="H76" i="119" s="1"/>
  <c r="AI43" i="117"/>
  <c r="AK43" i="117" s="1"/>
  <c r="AH43" i="117"/>
  <c r="S81" i="122" l="1"/>
  <c r="CZ80" i="122"/>
  <c r="BG81" i="122" s="1"/>
  <c r="BL81" i="122"/>
  <c r="DD80" i="122"/>
  <c r="BZ80" i="122"/>
  <c r="CC80" i="122"/>
  <c r="CG80" i="122"/>
  <c r="BR80" i="122"/>
  <c r="CA80" i="122"/>
  <c r="BQ80" i="122"/>
  <c r="CH80" i="122"/>
  <c r="BX80" i="122"/>
  <c r="BT80" i="122"/>
  <c r="BU80" i="122"/>
  <c r="CD80" i="122"/>
  <c r="BP80" i="122"/>
  <c r="CE80" i="122"/>
  <c r="BO80" i="122"/>
  <c r="BV80" i="122"/>
  <c r="BY80" i="122"/>
  <c r="BS80" i="122"/>
  <c r="BW80" i="122"/>
  <c r="CB80" i="122"/>
  <c r="F81" i="120"/>
  <c r="B81" i="120"/>
  <c r="O81" i="120"/>
  <c r="R81" i="120" s="1"/>
  <c r="C81" i="120"/>
  <c r="AH80" i="120"/>
  <c r="B77" i="119"/>
  <c r="H77" i="119" s="1"/>
  <c r="J76" i="119"/>
  <c r="Q44" i="117"/>
  <c r="AJ43" i="117"/>
  <c r="P44" i="117"/>
  <c r="R44" i="117" l="1"/>
  <c r="S44" i="117" s="1"/>
  <c r="T44" i="117" s="1"/>
  <c r="W44" i="117" s="1"/>
  <c r="CI80" i="122"/>
  <c r="B81" i="122"/>
  <c r="K81" i="122"/>
  <c r="CR80" i="122"/>
  <c r="AY81" i="122" s="1"/>
  <c r="P81" i="122"/>
  <c r="CW80" i="122"/>
  <c r="BD81" i="122" s="1"/>
  <c r="CV80" i="122"/>
  <c r="BC81" i="122" s="1"/>
  <c r="O81" i="122"/>
  <c r="R81" i="122"/>
  <c r="CY80" i="122"/>
  <c r="BF81" i="122" s="1"/>
  <c r="DB80" i="122"/>
  <c r="BI81" i="122" s="1"/>
  <c r="U81" i="122"/>
  <c r="M81" i="122"/>
  <c r="CT80" i="122"/>
  <c r="BA81" i="122" s="1"/>
  <c r="J81" i="122"/>
  <c r="CQ80" i="122"/>
  <c r="AX81" i="122" s="1"/>
  <c r="CJ80" i="122"/>
  <c r="AQ81" i="122" s="1"/>
  <c r="C81" i="122"/>
  <c r="CK80" i="122"/>
  <c r="AR81" i="122" s="1"/>
  <c r="D81" i="122"/>
  <c r="CM80" i="122"/>
  <c r="AT81" i="122" s="1"/>
  <c r="F81" i="122"/>
  <c r="CX80" i="122"/>
  <c r="BE81" i="122" s="1"/>
  <c r="Q81" i="122"/>
  <c r="CU80" i="122"/>
  <c r="BB81" i="122" s="1"/>
  <c r="N81" i="122"/>
  <c r="L81" i="122"/>
  <c r="CS80" i="122"/>
  <c r="AZ81" i="122" s="1"/>
  <c r="H81" i="122"/>
  <c r="CO80" i="122"/>
  <c r="AV81" i="122" s="1"/>
  <c r="CL80" i="122"/>
  <c r="AS81" i="122" s="1"/>
  <c r="E81" i="122"/>
  <c r="I81" i="122"/>
  <c r="CP80" i="122"/>
  <c r="AW81" i="122" s="1"/>
  <c r="CN80" i="122"/>
  <c r="AU81" i="122" s="1"/>
  <c r="G81" i="122"/>
  <c r="T81" i="122"/>
  <c r="DA80" i="122"/>
  <c r="BH81" i="122" s="1"/>
  <c r="Q81" i="120"/>
  <c r="AF81" i="120" s="1"/>
  <c r="S82" i="120" s="1"/>
  <c r="U81" i="120"/>
  <c r="X81" i="120" s="1"/>
  <c r="AC81" i="120" s="1"/>
  <c r="D82" i="120" s="1"/>
  <c r="J77" i="119"/>
  <c r="B78" i="119"/>
  <c r="H78" i="119" s="1"/>
  <c r="U44" i="117" l="1" a="1"/>
  <c r="U44" i="117" s="1"/>
  <c r="BN81" i="122"/>
  <c r="CC81" i="122" s="1"/>
  <c r="BK81" i="122"/>
  <c r="AP81" i="122"/>
  <c r="BJ81" i="122" s="1"/>
  <c r="DC81" i="122" s="1"/>
  <c r="DE80" i="122"/>
  <c r="AG81" i="120"/>
  <c r="W81" i="120"/>
  <c r="AB81" i="120" s="1"/>
  <c r="M82" i="120" s="1"/>
  <c r="V81" i="120"/>
  <c r="AA81" i="120" s="1"/>
  <c r="B82" i="120" s="1"/>
  <c r="N82" i="120"/>
  <c r="Z81" i="120"/>
  <c r="AE81" i="120" s="1"/>
  <c r="F82" i="120" s="1"/>
  <c r="Y81" i="120"/>
  <c r="AD81" i="120" s="1"/>
  <c r="E82" i="120" s="1"/>
  <c r="J78" i="119"/>
  <c r="B79" i="119"/>
  <c r="H79" i="119" s="1"/>
  <c r="Z44" i="117"/>
  <c r="AA44" i="117"/>
  <c r="AB44" i="117" s="1"/>
  <c r="V44" i="117"/>
  <c r="X44" i="117"/>
  <c r="Y44" i="117"/>
  <c r="CG81" i="122" l="1"/>
  <c r="T82" i="122" s="1"/>
  <c r="BR81" i="122"/>
  <c r="CL81" i="122" s="1"/>
  <c r="AS82" i="122" s="1"/>
  <c r="BX81" i="122"/>
  <c r="CR81" i="122" s="1"/>
  <c r="AY82" i="122" s="1"/>
  <c r="BS81" i="122"/>
  <c r="CM81" i="122" s="1"/>
  <c r="AT82" i="122" s="1"/>
  <c r="BZ81" i="122"/>
  <c r="CT81" i="122" s="1"/>
  <c r="BA82" i="122" s="1"/>
  <c r="CW81" i="122"/>
  <c r="BD82" i="122" s="1"/>
  <c r="P82" i="122"/>
  <c r="BO81" i="122"/>
  <c r="CF81" i="122"/>
  <c r="CE81" i="122"/>
  <c r="BU81" i="122"/>
  <c r="CB81" i="122"/>
  <c r="BW81" i="122"/>
  <c r="CH81" i="122"/>
  <c r="DD81" i="122"/>
  <c r="BL82" i="122"/>
  <c r="BQ81" i="122"/>
  <c r="BY81" i="122"/>
  <c r="BP81" i="122"/>
  <c r="CA81" i="122"/>
  <c r="BV81" i="122"/>
  <c r="CD81" i="122"/>
  <c r="BT81" i="122"/>
  <c r="P82" i="120"/>
  <c r="L82" i="120"/>
  <c r="AH81" i="120"/>
  <c r="O82" i="120"/>
  <c r="C82" i="120"/>
  <c r="U82" i="120" s="1"/>
  <c r="W82" i="120" s="1"/>
  <c r="AB82" i="120" s="1"/>
  <c r="C83" i="120" s="1"/>
  <c r="J79" i="119"/>
  <c r="B80" i="119"/>
  <c r="H80" i="119" s="1"/>
  <c r="AE44" i="117"/>
  <c r="AD45" i="117" s="1"/>
  <c r="AG44" i="117"/>
  <c r="AI44" i="117" s="1"/>
  <c r="AC44" i="117"/>
  <c r="AF44" i="117" s="1" a="1"/>
  <c r="AF44" i="117" s="1"/>
  <c r="AH44" i="117"/>
  <c r="DA81" i="122" l="1"/>
  <c r="BH82" i="122" s="1"/>
  <c r="E82" i="122"/>
  <c r="M82" i="122"/>
  <c r="K82" i="122"/>
  <c r="F82" i="122"/>
  <c r="C82" i="122"/>
  <c r="CJ81" i="122"/>
  <c r="AQ82" i="122" s="1"/>
  <c r="J82" i="122"/>
  <c r="CQ81" i="122"/>
  <c r="AX82" i="122" s="1"/>
  <c r="CS81" i="122"/>
  <c r="AZ82" i="122" s="1"/>
  <c r="L82" i="122"/>
  <c r="O82" i="122"/>
  <c r="CV81" i="122"/>
  <c r="BC82" i="122" s="1"/>
  <c r="G82" i="122"/>
  <c r="CN81" i="122"/>
  <c r="AU82" i="122" s="1"/>
  <c r="CK81" i="122"/>
  <c r="AR82" i="122" s="1"/>
  <c r="D82" i="122"/>
  <c r="CO81" i="122"/>
  <c r="AV82" i="122" s="1"/>
  <c r="H82" i="122"/>
  <c r="Q82" i="122"/>
  <c r="CX81" i="122"/>
  <c r="BE82" i="122" s="1"/>
  <c r="CY81" i="122"/>
  <c r="BF82" i="122" s="1"/>
  <c r="R82" i="122"/>
  <c r="I82" i="122"/>
  <c r="CP81" i="122"/>
  <c r="AW82" i="122" s="1"/>
  <c r="S82" i="122"/>
  <c r="CZ81" i="122"/>
  <c r="BG82" i="122" s="1"/>
  <c r="CU81" i="122"/>
  <c r="BB82" i="122" s="1"/>
  <c r="N82" i="122"/>
  <c r="U82" i="122"/>
  <c r="DB81" i="122"/>
  <c r="BI82" i="122" s="1"/>
  <c r="CI81" i="122"/>
  <c r="B82" i="122"/>
  <c r="R82" i="120"/>
  <c r="Z82" i="120" s="1"/>
  <c r="AE82" i="120" s="1"/>
  <c r="F83" i="120" s="1"/>
  <c r="Q82" i="120"/>
  <c r="AF82" i="120" s="1"/>
  <c r="AG82" i="120" s="1"/>
  <c r="M83" i="120"/>
  <c r="V82" i="120"/>
  <c r="AA82" i="120" s="1"/>
  <c r="Y82" i="120"/>
  <c r="AD82" i="120" s="1"/>
  <c r="E83" i="120" s="1"/>
  <c r="X82" i="120"/>
  <c r="AC82" i="120" s="1"/>
  <c r="N83" i="120" s="1"/>
  <c r="J80" i="119"/>
  <c r="B81" i="119"/>
  <c r="H81" i="119" s="1"/>
  <c r="AK44" i="117"/>
  <c r="Q45" i="117"/>
  <c r="AJ44" i="117"/>
  <c r="P45" i="117"/>
  <c r="R45" i="117" l="1"/>
  <c r="S45" i="117" s="1"/>
  <c r="T45" i="117" s="1"/>
  <c r="AA45" i="117" s="1"/>
  <c r="AB45" i="117" s="1"/>
  <c r="BK82" i="122"/>
  <c r="BN82" i="122"/>
  <c r="BV82" i="122" s="1"/>
  <c r="AP82" i="122"/>
  <c r="BJ82" i="122" s="1"/>
  <c r="DC82" i="122" s="1"/>
  <c r="DE81" i="122"/>
  <c r="S83" i="120"/>
  <c r="L83" i="120"/>
  <c r="AH82" i="120"/>
  <c r="O83" i="120"/>
  <c r="B83" i="120"/>
  <c r="P83" i="120"/>
  <c r="D83" i="120"/>
  <c r="J81" i="119"/>
  <c r="B82" i="119"/>
  <c r="H82" i="119" s="1"/>
  <c r="U45" i="117" l="1" a="1"/>
  <c r="U45" i="117" s="1"/>
  <c r="BP82" i="122"/>
  <c r="CJ82" i="122" s="1"/>
  <c r="AQ83" i="122" s="1"/>
  <c r="BQ82" i="122"/>
  <c r="CK82" i="122" s="1"/>
  <c r="AR83" i="122" s="1"/>
  <c r="CD82" i="122"/>
  <c r="Q83" i="122" s="1"/>
  <c r="BU82" i="122"/>
  <c r="H83" i="122" s="1"/>
  <c r="I83" i="122"/>
  <c r="CP82" i="122"/>
  <c r="AW83" i="122" s="1"/>
  <c r="BL83" i="122"/>
  <c r="DD82" i="122"/>
  <c r="CF82" i="122"/>
  <c r="BW82" i="122"/>
  <c r="CE82" i="122"/>
  <c r="CB82" i="122"/>
  <c r="BT82" i="122"/>
  <c r="BY82" i="122"/>
  <c r="BO82" i="122"/>
  <c r="CG82" i="122"/>
  <c r="BR82" i="122"/>
  <c r="CC82" i="122"/>
  <c r="BX82" i="122"/>
  <c r="BZ82" i="122"/>
  <c r="BS82" i="122"/>
  <c r="CA82" i="122"/>
  <c r="CH82" i="122"/>
  <c r="U83" i="120"/>
  <c r="V83" i="120" s="1"/>
  <c r="AA83" i="120" s="1"/>
  <c r="L84" i="120" s="1"/>
  <c r="R83" i="120"/>
  <c r="Q83" i="120"/>
  <c r="AF83" i="120" s="1"/>
  <c r="S84" i="120" s="1"/>
  <c r="J82" i="119"/>
  <c r="B83" i="119"/>
  <c r="H83" i="119" s="1"/>
  <c r="AE45" i="117"/>
  <c r="AD46" i="117" s="1"/>
  <c r="AG45" i="117"/>
  <c r="AC45" i="117"/>
  <c r="AF45" i="117" s="1" a="1"/>
  <c r="AF45" i="117" s="1"/>
  <c r="W45" i="117"/>
  <c r="Z45" i="117"/>
  <c r="V45" i="117"/>
  <c r="X45" i="117"/>
  <c r="Y45" i="117"/>
  <c r="C83" i="122" l="1"/>
  <c r="CO82" i="122"/>
  <c r="AV83" i="122" s="1"/>
  <c r="D83" i="122"/>
  <c r="CX82" i="122"/>
  <c r="BE83" i="122" s="1"/>
  <c r="O83" i="122"/>
  <c r="CV82" i="122"/>
  <c r="BC83" i="122" s="1"/>
  <c r="F83" i="122"/>
  <c r="CM82" i="122"/>
  <c r="AT83" i="122" s="1"/>
  <c r="CU82" i="122"/>
  <c r="BB83" i="122" s="1"/>
  <c r="N83" i="122"/>
  <c r="DA82" i="122"/>
  <c r="BH83" i="122" s="1"/>
  <c r="T83" i="122"/>
  <c r="M83" i="122"/>
  <c r="CT82" i="122"/>
  <c r="BA83" i="122" s="1"/>
  <c r="U83" i="122"/>
  <c r="DB82" i="122"/>
  <c r="BI83" i="122" s="1"/>
  <c r="K83" i="122"/>
  <c r="CR82" i="122"/>
  <c r="AY83" i="122" s="1"/>
  <c r="CI82" i="122"/>
  <c r="B83" i="122"/>
  <c r="R83" i="122"/>
  <c r="CY82" i="122"/>
  <c r="BF83" i="122" s="1"/>
  <c r="CW82" i="122"/>
  <c r="BD83" i="122" s="1"/>
  <c r="P83" i="122"/>
  <c r="L83" i="122"/>
  <c r="CS82" i="122"/>
  <c r="AZ83" i="122" s="1"/>
  <c r="CQ82" i="122"/>
  <c r="AX83" i="122" s="1"/>
  <c r="J83" i="122"/>
  <c r="E83" i="122"/>
  <c r="CL82" i="122"/>
  <c r="AS83" i="122" s="1"/>
  <c r="G83" i="122"/>
  <c r="CN82" i="122"/>
  <c r="AU83" i="122" s="1"/>
  <c r="S83" i="122"/>
  <c r="CZ82" i="122"/>
  <c r="BG83" i="122" s="1"/>
  <c r="X83" i="120"/>
  <c r="AC83" i="120" s="1"/>
  <c r="N84" i="120" s="1"/>
  <c r="B84" i="120"/>
  <c r="W83" i="120"/>
  <c r="AB83" i="120" s="1"/>
  <c r="C84" i="120" s="1"/>
  <c r="Y83" i="120"/>
  <c r="AD83" i="120" s="1"/>
  <c r="O84" i="120" s="1"/>
  <c r="Z83" i="120"/>
  <c r="AE83" i="120" s="1"/>
  <c r="P84" i="120" s="1"/>
  <c r="AG83" i="120"/>
  <c r="B84" i="119"/>
  <c r="H84" i="119" s="1"/>
  <c r="J83" i="119"/>
  <c r="AI45" i="117"/>
  <c r="AH45" i="117"/>
  <c r="AP83" i="122" l="1"/>
  <c r="BJ83" i="122" s="1"/>
  <c r="DC83" i="122" s="1"/>
  <c r="DE82" i="122"/>
  <c r="BK83" i="122"/>
  <c r="BN83" i="122"/>
  <c r="CC83" i="122" s="1"/>
  <c r="D84" i="120"/>
  <c r="E84" i="120"/>
  <c r="M84" i="120"/>
  <c r="Q84" i="120" s="1"/>
  <c r="AF84" i="120" s="1"/>
  <c r="S85" i="120" s="1"/>
  <c r="AH83" i="120"/>
  <c r="F84" i="120"/>
  <c r="B85" i="119"/>
  <c r="H85" i="119" s="1"/>
  <c r="J84" i="119"/>
  <c r="AJ45" i="117"/>
  <c r="P46" i="117"/>
  <c r="AK45" i="117"/>
  <c r="Q46" i="117"/>
  <c r="R46" i="117" l="1"/>
  <c r="S46" i="117" s="1"/>
  <c r="CF83" i="122"/>
  <c r="S84" i="122" s="1"/>
  <c r="CB83" i="122"/>
  <c r="O84" i="122" s="1"/>
  <c r="CG83" i="122"/>
  <c r="T84" i="122" s="1"/>
  <c r="BW83" i="122"/>
  <c r="CQ83" i="122" s="1"/>
  <c r="AX84" i="122" s="1"/>
  <c r="CA83" i="122"/>
  <c r="N84" i="122" s="1"/>
  <c r="BT83" i="122"/>
  <c r="G84" i="122" s="1"/>
  <c r="P84" i="122"/>
  <c r="CW83" i="122"/>
  <c r="BD84" i="122" s="1"/>
  <c r="BO83" i="122"/>
  <c r="CH83" i="122"/>
  <c r="BX83" i="122"/>
  <c r="CD83" i="122"/>
  <c r="BP83" i="122"/>
  <c r="BU83" i="122"/>
  <c r="BQ83" i="122"/>
  <c r="BV83" i="122"/>
  <c r="CE83" i="122"/>
  <c r="BZ83" i="122"/>
  <c r="BY83" i="122"/>
  <c r="BS83" i="122"/>
  <c r="BR83" i="122"/>
  <c r="BL84" i="122"/>
  <c r="DD83" i="122"/>
  <c r="R84" i="120"/>
  <c r="U84" i="120"/>
  <c r="V84" i="120" s="1"/>
  <c r="AA84" i="120" s="1"/>
  <c r="B85" i="120" s="1"/>
  <c r="AG84" i="120"/>
  <c r="J85" i="119"/>
  <c r="B86" i="119"/>
  <c r="H86" i="119" s="1"/>
  <c r="T46" i="117" l="1"/>
  <c r="U46" i="117" s="1" a="1"/>
  <c r="U46" i="117" s="1"/>
  <c r="DA83" i="122"/>
  <c r="BH84" i="122" s="1"/>
  <c r="CZ83" i="122"/>
  <c r="BG84" i="122" s="1"/>
  <c r="CV83" i="122"/>
  <c r="BC84" i="122" s="1"/>
  <c r="CU83" i="122"/>
  <c r="BB84" i="122" s="1"/>
  <c r="J84" i="122"/>
  <c r="CN83" i="122"/>
  <c r="AU84" i="122" s="1"/>
  <c r="CS83" i="122"/>
  <c r="AZ84" i="122" s="1"/>
  <c r="L84" i="122"/>
  <c r="C84" i="122"/>
  <c r="CJ83" i="122"/>
  <c r="AQ84" i="122" s="1"/>
  <c r="H84" i="122"/>
  <c r="CO83" i="122"/>
  <c r="AV84" i="122" s="1"/>
  <c r="M84" i="122"/>
  <c r="CT83" i="122"/>
  <c r="BA84" i="122" s="1"/>
  <c r="CX83" i="122"/>
  <c r="BE84" i="122" s="1"/>
  <c r="Q84" i="122"/>
  <c r="CM83" i="122"/>
  <c r="AT84" i="122" s="1"/>
  <c r="F84" i="122"/>
  <c r="CY83" i="122"/>
  <c r="BF84" i="122" s="1"/>
  <c r="R84" i="122"/>
  <c r="CR83" i="122"/>
  <c r="AY84" i="122" s="1"/>
  <c r="K84" i="122"/>
  <c r="CP83" i="122"/>
  <c r="AW84" i="122" s="1"/>
  <c r="I84" i="122"/>
  <c r="DB83" i="122"/>
  <c r="BI84" i="122" s="1"/>
  <c r="U84" i="122"/>
  <c r="E84" i="122"/>
  <c r="CL83" i="122"/>
  <c r="AS84" i="122" s="1"/>
  <c r="CK83" i="122"/>
  <c r="AR84" i="122" s="1"/>
  <c r="D84" i="122"/>
  <c r="CI83" i="122"/>
  <c r="B84" i="122"/>
  <c r="W84" i="120"/>
  <c r="AB84" i="120" s="1"/>
  <c r="C85" i="120" s="1"/>
  <c r="Y84" i="120"/>
  <c r="AD84" i="120" s="1"/>
  <c r="O85" i="120" s="1"/>
  <c r="X84" i="120"/>
  <c r="AC84" i="120" s="1"/>
  <c r="N85" i="120" s="1"/>
  <c r="L85" i="120"/>
  <c r="Z84" i="120"/>
  <c r="AE84" i="120" s="1"/>
  <c r="P85" i="120" s="1"/>
  <c r="B87" i="119"/>
  <c r="H87" i="119" s="1"/>
  <c r="J86" i="119"/>
  <c r="Y46" i="117"/>
  <c r="V46" i="117"/>
  <c r="X46" i="117" l="1"/>
  <c r="AA46" i="117"/>
  <c r="AB46" i="117" s="1"/>
  <c r="AE46" i="117" s="1"/>
  <c r="AD47" i="117" s="1"/>
  <c r="W46" i="117"/>
  <c r="Z46" i="117"/>
  <c r="BK84" i="122"/>
  <c r="AP84" i="122"/>
  <c r="BJ84" i="122" s="1"/>
  <c r="DC84" i="122" s="1"/>
  <c r="DE83" i="122"/>
  <c r="BN84" i="122"/>
  <c r="CD84" i="122" s="1"/>
  <c r="E85" i="120"/>
  <c r="AH84" i="120"/>
  <c r="D85" i="120"/>
  <c r="M85" i="120"/>
  <c r="Q85" i="120" s="1"/>
  <c r="AF85" i="120" s="1"/>
  <c r="S86" i="120" s="1"/>
  <c r="F85" i="120"/>
  <c r="B88" i="119"/>
  <c r="H88" i="119" s="1"/>
  <c r="J87" i="119"/>
  <c r="AH46" i="117"/>
  <c r="AC46" i="117" l="1"/>
  <c r="AF46" i="117" s="1" a="1"/>
  <c r="AF46" i="117" s="1"/>
  <c r="AG46" i="117"/>
  <c r="AI46" i="117" s="1"/>
  <c r="AK46" i="117" s="1"/>
  <c r="Q85" i="122"/>
  <c r="CX84" i="122"/>
  <c r="BE85" i="122" s="1"/>
  <c r="BS84" i="122"/>
  <c r="DD84" i="122"/>
  <c r="BL85" i="122"/>
  <c r="BZ84" i="122"/>
  <c r="BX84" i="122"/>
  <c r="BR84" i="122"/>
  <c r="BU84" i="122"/>
  <c r="BO84" i="122"/>
  <c r="BP84" i="122"/>
  <c r="BT84" i="122"/>
  <c r="BW84" i="122"/>
  <c r="CG84" i="122"/>
  <c r="CB84" i="122"/>
  <c r="CA84" i="122"/>
  <c r="CF84" i="122"/>
  <c r="CC84" i="122"/>
  <c r="BV84" i="122"/>
  <c r="CE84" i="122"/>
  <c r="BY84" i="122"/>
  <c r="CH84" i="122"/>
  <c r="BQ84" i="122"/>
  <c r="U85" i="120"/>
  <c r="V85" i="120" s="1"/>
  <c r="AA85" i="120" s="1"/>
  <c r="B86" i="120" s="1"/>
  <c r="AG85" i="120"/>
  <c r="R85" i="120"/>
  <c r="B89" i="119"/>
  <c r="H89" i="119" s="1"/>
  <c r="J88" i="119"/>
  <c r="AJ46" i="117"/>
  <c r="P47" i="117"/>
  <c r="Q47" i="117" l="1"/>
  <c r="R47" i="117"/>
  <c r="S47" i="117" s="1"/>
  <c r="CW84" i="122"/>
  <c r="BD85" i="122" s="1"/>
  <c r="P85" i="122"/>
  <c r="CK84" i="122"/>
  <c r="AR85" i="122" s="1"/>
  <c r="D85" i="122"/>
  <c r="CZ84" i="122"/>
  <c r="BG85" i="122" s="1"/>
  <c r="S85" i="122"/>
  <c r="C85" i="122"/>
  <c r="CJ84" i="122"/>
  <c r="AQ85" i="122" s="1"/>
  <c r="DB84" i="122"/>
  <c r="BI85" i="122" s="1"/>
  <c r="U85" i="122"/>
  <c r="CU84" i="122"/>
  <c r="BB85" i="122" s="1"/>
  <c r="N85" i="122"/>
  <c r="CI84" i="122"/>
  <c r="B85" i="122"/>
  <c r="CT84" i="122"/>
  <c r="BA85" i="122" s="1"/>
  <c r="M85" i="122"/>
  <c r="CS84" i="122"/>
  <c r="AZ85" i="122" s="1"/>
  <c r="L85" i="122"/>
  <c r="CV84" i="122"/>
  <c r="BC85" i="122" s="1"/>
  <c r="O85" i="122"/>
  <c r="CO84" i="122"/>
  <c r="AV85" i="122" s="1"/>
  <c r="H85" i="122"/>
  <c r="CM84" i="122"/>
  <c r="AT85" i="122" s="1"/>
  <c r="F85" i="122"/>
  <c r="G85" i="122"/>
  <c r="CN84" i="122"/>
  <c r="AU85" i="122" s="1"/>
  <c r="CY84" i="122"/>
  <c r="BF85" i="122" s="1"/>
  <c r="R85" i="122"/>
  <c r="T85" i="122"/>
  <c r="DA84" i="122"/>
  <c r="BH85" i="122" s="1"/>
  <c r="CL84" i="122"/>
  <c r="AS85" i="122" s="1"/>
  <c r="E85" i="122"/>
  <c r="I85" i="122"/>
  <c r="CP84" i="122"/>
  <c r="AW85" i="122" s="1"/>
  <c r="CQ84" i="122"/>
  <c r="AX85" i="122" s="1"/>
  <c r="J85" i="122"/>
  <c r="K85" i="122"/>
  <c r="CR84" i="122"/>
  <c r="AY85" i="122" s="1"/>
  <c r="Y85" i="120"/>
  <c r="AD85" i="120" s="1"/>
  <c r="O86" i="120" s="1"/>
  <c r="W85" i="120"/>
  <c r="AB85" i="120" s="1"/>
  <c r="C86" i="120" s="1"/>
  <c r="X85" i="120"/>
  <c r="AC85" i="120" s="1"/>
  <c r="D86" i="120" s="1"/>
  <c r="L86" i="120"/>
  <c r="Z85" i="120"/>
  <c r="AE85" i="120" s="1"/>
  <c r="F86" i="120" s="1"/>
  <c r="B90" i="119"/>
  <c r="H90" i="119" s="1"/>
  <c r="J89" i="119"/>
  <c r="T47" i="117" l="1"/>
  <c r="AA47" i="117" s="1"/>
  <c r="AB47" i="117" s="1"/>
  <c r="AG47" i="117" s="1"/>
  <c r="BK85" i="122"/>
  <c r="BN85" i="122"/>
  <c r="CA85" i="122" s="1"/>
  <c r="AP85" i="122"/>
  <c r="BJ85" i="122" s="1"/>
  <c r="DC85" i="122" s="1"/>
  <c r="DE84" i="122"/>
  <c r="E86" i="120"/>
  <c r="U86" i="120" s="1"/>
  <c r="V86" i="120" s="1"/>
  <c r="AA86" i="120" s="1"/>
  <c r="B87" i="120" s="1"/>
  <c r="M86" i="120"/>
  <c r="AH85" i="120"/>
  <c r="P86" i="120"/>
  <c r="N86" i="120"/>
  <c r="B91" i="119"/>
  <c r="H91" i="119" s="1"/>
  <c r="J90" i="119"/>
  <c r="Z47" i="117" l="1"/>
  <c r="W47" i="117"/>
  <c r="X47" i="117"/>
  <c r="Y47" i="117"/>
  <c r="V47" i="117"/>
  <c r="U47" i="117" a="1"/>
  <c r="U47" i="117" s="1"/>
  <c r="AH47" i="117" s="1"/>
  <c r="BX85" i="122"/>
  <c r="K86" i="122" s="1"/>
  <c r="BQ85" i="122"/>
  <c r="CK85" i="122" s="1"/>
  <c r="AR86" i="122" s="1"/>
  <c r="CF85" i="122"/>
  <c r="CZ85" i="122" s="1"/>
  <c r="BG86" i="122" s="1"/>
  <c r="DD85" i="122"/>
  <c r="BL86" i="122"/>
  <c r="N86" i="122"/>
  <c r="CU85" i="122"/>
  <c r="BB86" i="122" s="1"/>
  <c r="CR85" i="122"/>
  <c r="AY86" i="122" s="1"/>
  <c r="BV85" i="122"/>
  <c r="CH85" i="122"/>
  <c r="BY85" i="122"/>
  <c r="BP85" i="122"/>
  <c r="CC85" i="122"/>
  <c r="BZ85" i="122"/>
  <c r="BO85" i="122"/>
  <c r="BU85" i="122"/>
  <c r="CB85" i="122"/>
  <c r="CD85" i="122"/>
  <c r="CE85" i="122"/>
  <c r="BS85" i="122"/>
  <c r="BT85" i="122"/>
  <c r="BR85" i="122"/>
  <c r="CG85" i="122"/>
  <c r="BW85" i="122"/>
  <c r="Q86" i="120"/>
  <c r="AF86" i="120" s="1"/>
  <c r="S87" i="120" s="1"/>
  <c r="W86" i="120"/>
  <c r="AB86" i="120" s="1"/>
  <c r="M87" i="120" s="1"/>
  <c r="X86" i="120"/>
  <c r="AC86" i="120" s="1"/>
  <c r="D87" i="120" s="1"/>
  <c r="L87" i="120"/>
  <c r="Y86" i="120"/>
  <c r="AD86" i="120" s="1"/>
  <c r="E87" i="120" s="1"/>
  <c r="R86" i="120"/>
  <c r="Z86" i="120" s="1"/>
  <c r="AE86" i="120" s="1"/>
  <c r="P87" i="120" s="1"/>
  <c r="B92" i="119"/>
  <c r="H92" i="119" s="1"/>
  <c r="J91" i="119"/>
  <c r="AC47" i="117"/>
  <c r="AI47" i="117" l="1"/>
  <c r="AK47" i="117" s="1"/>
  <c r="AE47" i="117"/>
  <c r="AD48" i="117" s="1"/>
  <c r="AF47" i="117" a="1"/>
  <c r="AF47" i="117" s="1"/>
  <c r="D86" i="122"/>
  <c r="S86" i="122"/>
  <c r="CN85" i="122"/>
  <c r="AU86" i="122" s="1"/>
  <c r="G86" i="122"/>
  <c r="CI85" i="122"/>
  <c r="B86" i="122"/>
  <c r="CS85" i="122"/>
  <c r="AZ86" i="122" s="1"/>
  <c r="L86" i="122"/>
  <c r="CO85" i="122"/>
  <c r="AV86" i="122" s="1"/>
  <c r="H86" i="122"/>
  <c r="F86" i="122"/>
  <c r="CM85" i="122"/>
  <c r="AT86" i="122" s="1"/>
  <c r="CT85" i="122"/>
  <c r="BA86" i="122" s="1"/>
  <c r="M86" i="122"/>
  <c r="DB85" i="122"/>
  <c r="BI86" i="122" s="1"/>
  <c r="U86" i="122"/>
  <c r="E86" i="122"/>
  <c r="CL85" i="122"/>
  <c r="AS86" i="122" s="1"/>
  <c r="CY85" i="122"/>
  <c r="BF86" i="122" s="1"/>
  <c r="R86" i="122"/>
  <c r="CP85" i="122"/>
  <c r="AW86" i="122" s="1"/>
  <c r="I86" i="122"/>
  <c r="J86" i="122"/>
  <c r="CQ85" i="122"/>
  <c r="AX86" i="122" s="1"/>
  <c r="CX85" i="122"/>
  <c r="BE86" i="122" s="1"/>
  <c r="Q86" i="122"/>
  <c r="C86" i="122"/>
  <c r="CJ85" i="122"/>
  <c r="AQ86" i="122" s="1"/>
  <c r="P86" i="122"/>
  <c r="CW85" i="122"/>
  <c r="BD86" i="122" s="1"/>
  <c r="DA85" i="122"/>
  <c r="BH86" i="122" s="1"/>
  <c r="T86" i="122"/>
  <c r="O86" i="122"/>
  <c r="CV85" i="122"/>
  <c r="BC86" i="122" s="1"/>
  <c r="AG86" i="120"/>
  <c r="O87" i="120"/>
  <c r="C87" i="120"/>
  <c r="N87" i="120"/>
  <c r="Q87" i="120" s="1"/>
  <c r="AF87" i="120" s="1"/>
  <c r="AG87" i="120" s="1"/>
  <c r="F87" i="120"/>
  <c r="AH86" i="120"/>
  <c r="R87" i="120"/>
  <c r="B93" i="119"/>
  <c r="H93" i="119" s="1"/>
  <c r="J92" i="119"/>
  <c r="AJ47" i="117"/>
  <c r="P48" i="117"/>
  <c r="R48" i="117" l="1"/>
  <c r="S48" i="117" s="1"/>
  <c r="AP86" i="122"/>
  <c r="BJ86" i="122" s="1"/>
  <c r="DC86" i="122" s="1"/>
  <c r="DE85" i="122"/>
  <c r="BN86" i="122"/>
  <c r="BR86" i="122" s="1"/>
  <c r="BK86" i="122"/>
  <c r="U87" i="120"/>
  <c r="V87" i="120" s="1"/>
  <c r="AA87" i="120" s="1"/>
  <c r="B88" i="120" s="1"/>
  <c r="S88" i="120"/>
  <c r="B94" i="119"/>
  <c r="H94" i="119" s="1"/>
  <c r="J93" i="119"/>
  <c r="Q48" i="117"/>
  <c r="CC86" i="122" l="1"/>
  <c r="P87" i="122" s="1"/>
  <c r="BP86" i="122"/>
  <c r="CJ86" i="122" s="1"/>
  <c r="AQ87" i="122" s="1"/>
  <c r="CE86" i="122"/>
  <c r="CY86" i="122" s="1"/>
  <c r="BF87" i="122" s="1"/>
  <c r="BW86" i="122"/>
  <c r="J87" i="122" s="1"/>
  <c r="BU86" i="122"/>
  <c r="H87" i="122" s="1"/>
  <c r="BY86" i="122"/>
  <c r="CS86" i="122" s="1"/>
  <c r="AZ87" i="122" s="1"/>
  <c r="BT86" i="122"/>
  <c r="G87" i="122" s="1"/>
  <c r="CL86" i="122"/>
  <c r="AS87" i="122" s="1"/>
  <c r="E87" i="122"/>
  <c r="BZ86" i="122"/>
  <c r="CH86" i="122"/>
  <c r="DD86" i="122"/>
  <c r="BL87" i="122"/>
  <c r="CD86" i="122"/>
  <c r="CG86" i="122"/>
  <c r="BS86" i="122"/>
  <c r="BO86" i="122"/>
  <c r="BV86" i="122"/>
  <c r="BQ86" i="122"/>
  <c r="BX86" i="122"/>
  <c r="CA86" i="122"/>
  <c r="CF86" i="122"/>
  <c r="CB86" i="122"/>
  <c r="Y87" i="120"/>
  <c r="AD87" i="120" s="1"/>
  <c r="E88" i="120" s="1"/>
  <c r="W87" i="120"/>
  <c r="AB87" i="120" s="1"/>
  <c r="M88" i="120" s="1"/>
  <c r="X87" i="120"/>
  <c r="AC87" i="120" s="1"/>
  <c r="N88" i="120" s="1"/>
  <c r="L88" i="120"/>
  <c r="Q88" i="120" s="1"/>
  <c r="AF88" i="120" s="1"/>
  <c r="S89" i="120" s="1"/>
  <c r="Z87" i="120"/>
  <c r="AE87" i="120" s="1"/>
  <c r="F88" i="120" s="1"/>
  <c r="B95" i="119"/>
  <c r="H95" i="119" s="1"/>
  <c r="J94" i="119"/>
  <c r="T48" i="117"/>
  <c r="X48" i="117" l="1"/>
  <c r="U48" i="117" a="1"/>
  <c r="U48" i="117" s="1"/>
  <c r="AH48" i="117" s="1"/>
  <c r="CW86" i="122"/>
  <c r="BD87" i="122" s="1"/>
  <c r="CN86" i="122"/>
  <c r="AU87" i="122" s="1"/>
  <c r="R87" i="122"/>
  <c r="CO86" i="122"/>
  <c r="AV87" i="122" s="1"/>
  <c r="C87" i="122"/>
  <c r="L87" i="122"/>
  <c r="CQ86" i="122"/>
  <c r="AX87" i="122" s="1"/>
  <c r="CZ86" i="122"/>
  <c r="BG87" i="122" s="1"/>
  <c r="S87" i="122"/>
  <c r="CX86" i="122"/>
  <c r="BE87" i="122" s="1"/>
  <c r="Q87" i="122"/>
  <c r="N87" i="122"/>
  <c r="CU86" i="122"/>
  <c r="BB87" i="122" s="1"/>
  <c r="U87" i="122"/>
  <c r="DB86" i="122"/>
  <c r="BI87" i="122" s="1"/>
  <c r="CV86" i="122"/>
  <c r="BC87" i="122" s="1"/>
  <c r="O87" i="122"/>
  <c r="T87" i="122"/>
  <c r="DA86" i="122"/>
  <c r="BH87" i="122" s="1"/>
  <c r="CR86" i="122"/>
  <c r="AY87" i="122" s="1"/>
  <c r="K87" i="122"/>
  <c r="CT86" i="122"/>
  <c r="BA87" i="122" s="1"/>
  <c r="M87" i="122"/>
  <c r="CK86" i="122"/>
  <c r="AR87" i="122" s="1"/>
  <c r="D87" i="122"/>
  <c r="CI86" i="122"/>
  <c r="B87" i="122"/>
  <c r="CP86" i="122"/>
  <c r="AW87" i="122" s="1"/>
  <c r="I87" i="122"/>
  <c r="F87" i="122"/>
  <c r="CM86" i="122"/>
  <c r="AT87" i="122" s="1"/>
  <c r="C88" i="120"/>
  <c r="AH87" i="120"/>
  <c r="O88" i="120"/>
  <c r="D88" i="120"/>
  <c r="P88" i="120"/>
  <c r="R88" i="120"/>
  <c r="AG88" i="120"/>
  <c r="B96" i="119"/>
  <c r="H96" i="119" s="1"/>
  <c r="J95" i="119"/>
  <c r="AA48" i="117"/>
  <c r="AB48" i="117" s="1"/>
  <c r="Y48" i="117"/>
  <c r="V48" i="117"/>
  <c r="Z48" i="117"/>
  <c r="W48" i="117"/>
  <c r="BN87" i="122" l="1"/>
  <c r="CD87" i="122" s="1"/>
  <c r="AP87" i="122"/>
  <c r="BJ87" i="122" s="1"/>
  <c r="DC87" i="122" s="1"/>
  <c r="DE86" i="122"/>
  <c r="BK87" i="122"/>
  <c r="U88" i="120"/>
  <c r="V88" i="120" s="1"/>
  <c r="AA88" i="120" s="1"/>
  <c r="B89" i="120" s="1"/>
  <c r="B97" i="119"/>
  <c r="H97" i="119" s="1"/>
  <c r="J96" i="119"/>
  <c r="AC48" i="117"/>
  <c r="AJ48" i="117"/>
  <c r="P49" i="117"/>
  <c r="AF48" i="117" l="1" a="1"/>
  <c r="AF48" i="117" s="1"/>
  <c r="AE48" i="117" s="1"/>
  <c r="AD49" i="117" s="1"/>
  <c r="R49" i="117"/>
  <c r="S49" i="117" s="1"/>
  <c r="CH87" i="122"/>
  <c r="U88" i="122" s="1"/>
  <c r="CB87" i="122"/>
  <c r="CV87" i="122" s="1"/>
  <c r="BC88" i="122" s="1"/>
  <c r="Q88" i="122"/>
  <c r="CX87" i="122"/>
  <c r="BE88" i="122" s="1"/>
  <c r="CF87" i="122"/>
  <c r="BZ87" i="122"/>
  <c r="CA87" i="122"/>
  <c r="BO87" i="122"/>
  <c r="BV87" i="122"/>
  <c r="BQ87" i="122"/>
  <c r="BR87" i="122"/>
  <c r="CC87" i="122"/>
  <c r="BW87" i="122"/>
  <c r="BP87" i="122"/>
  <c r="BT87" i="122"/>
  <c r="CE87" i="122"/>
  <c r="BU87" i="122"/>
  <c r="BY87" i="122"/>
  <c r="BS87" i="122"/>
  <c r="BL88" i="122"/>
  <c r="DD87" i="122"/>
  <c r="CG87" i="122"/>
  <c r="BX87" i="122"/>
  <c r="L89" i="120"/>
  <c r="W88" i="120"/>
  <c r="AB88" i="120" s="1"/>
  <c r="C89" i="120" s="1"/>
  <c r="X88" i="120"/>
  <c r="AC88" i="120" s="1"/>
  <c r="D89" i="120" s="1"/>
  <c r="Y88" i="120"/>
  <c r="AD88" i="120" s="1"/>
  <c r="E89" i="120" s="1"/>
  <c r="Z88" i="120"/>
  <c r="AE88" i="120" s="1"/>
  <c r="P89" i="120" s="1"/>
  <c r="B98" i="119"/>
  <c r="H98" i="119" s="1"/>
  <c r="J97" i="119"/>
  <c r="AG48" i="117"/>
  <c r="AI48" i="117" s="1"/>
  <c r="AK48" i="117" s="1"/>
  <c r="T49" i="117"/>
  <c r="AA49" i="117" s="1"/>
  <c r="AB49" i="117" s="1"/>
  <c r="U49" i="117" l="1" a="1"/>
  <c r="U49" i="117" s="1"/>
  <c r="DB87" i="122"/>
  <c r="BI88" i="122" s="1"/>
  <c r="O88" i="122"/>
  <c r="DA87" i="122"/>
  <c r="BH88" i="122" s="1"/>
  <c r="T88" i="122"/>
  <c r="R88" i="122"/>
  <c r="CY87" i="122"/>
  <c r="BF88" i="122" s="1"/>
  <c r="CK87" i="122"/>
  <c r="AR88" i="122" s="1"/>
  <c r="D88" i="122"/>
  <c r="M88" i="122"/>
  <c r="CT87" i="122"/>
  <c r="BA88" i="122" s="1"/>
  <c r="CZ87" i="122"/>
  <c r="BG88" i="122" s="1"/>
  <c r="S88" i="122"/>
  <c r="CN87" i="122"/>
  <c r="AU88" i="122" s="1"/>
  <c r="G88" i="122"/>
  <c r="C88" i="122"/>
  <c r="CJ87" i="122"/>
  <c r="AQ88" i="122" s="1"/>
  <c r="F88" i="122"/>
  <c r="CM87" i="122"/>
  <c r="AT88" i="122" s="1"/>
  <c r="CQ87" i="122"/>
  <c r="AX88" i="122" s="1"/>
  <c r="J88" i="122"/>
  <c r="I88" i="122"/>
  <c r="CP87" i="122"/>
  <c r="AW88" i="122" s="1"/>
  <c r="B88" i="122"/>
  <c r="CI87" i="122"/>
  <c r="CS87" i="122"/>
  <c r="AZ88" i="122" s="1"/>
  <c r="L88" i="122"/>
  <c r="P88" i="122"/>
  <c r="CW87" i="122"/>
  <c r="BD88" i="122" s="1"/>
  <c r="CR87" i="122"/>
  <c r="AY88" i="122" s="1"/>
  <c r="K88" i="122"/>
  <c r="H88" i="122"/>
  <c r="CO87" i="122"/>
  <c r="AV88" i="122" s="1"/>
  <c r="CL87" i="122"/>
  <c r="AS88" i="122" s="1"/>
  <c r="E88" i="122"/>
  <c r="CU87" i="122"/>
  <c r="BB88" i="122" s="1"/>
  <c r="N88" i="122"/>
  <c r="N89" i="120"/>
  <c r="F89" i="120"/>
  <c r="U89" i="120" s="1"/>
  <c r="V89" i="120" s="1"/>
  <c r="AA89" i="120" s="1"/>
  <c r="B90" i="120" s="1"/>
  <c r="AH88" i="120"/>
  <c r="M89" i="120"/>
  <c r="O89" i="120"/>
  <c r="Q89" i="120"/>
  <c r="AF89" i="120" s="1"/>
  <c r="R89" i="120"/>
  <c r="B99" i="119"/>
  <c r="H99" i="119" s="1"/>
  <c r="J98" i="119"/>
  <c r="Q49" i="117"/>
  <c r="AE49" i="117"/>
  <c r="AD50" i="117" s="1"/>
  <c r="AG49" i="117"/>
  <c r="AC49" i="117"/>
  <c r="AF49" i="117" s="1" a="1"/>
  <c r="AF49" i="117" s="1"/>
  <c r="Y49" i="117"/>
  <c r="Z49" i="117"/>
  <c r="V49" i="117"/>
  <c r="X49" i="117"/>
  <c r="W49" i="117"/>
  <c r="BK88" i="122" l="1"/>
  <c r="BN88" i="122"/>
  <c r="BO88" i="122" s="1"/>
  <c r="AP88" i="122"/>
  <c r="BJ88" i="122" s="1"/>
  <c r="DC88" i="122" s="1"/>
  <c r="DE87" i="122"/>
  <c r="Y89" i="120"/>
  <c r="AD89" i="120" s="1"/>
  <c r="O90" i="120" s="1"/>
  <c r="X89" i="120"/>
  <c r="AC89" i="120" s="1"/>
  <c r="N90" i="120" s="1"/>
  <c r="L90" i="120"/>
  <c r="Q90" i="120" s="1"/>
  <c r="Z89" i="120"/>
  <c r="AE89" i="120" s="1"/>
  <c r="P90" i="120" s="1"/>
  <c r="S90" i="120"/>
  <c r="AG89" i="120"/>
  <c r="W89" i="120"/>
  <c r="AB89" i="120" s="1"/>
  <c r="M90" i="120" s="1"/>
  <c r="J99" i="119"/>
  <c r="B100" i="119"/>
  <c r="H100" i="119" s="1"/>
  <c r="AI49" i="117"/>
  <c r="AK49" i="117" s="1"/>
  <c r="AH49" i="117"/>
  <c r="BW88" i="122" l="1"/>
  <c r="CF88" i="122"/>
  <c r="S89" i="122" s="1"/>
  <c r="BZ88" i="122"/>
  <c r="CT88" i="122" s="1"/>
  <c r="BA89" i="122" s="1"/>
  <c r="CC88" i="122"/>
  <c r="P89" i="122" s="1"/>
  <c r="BP88" i="122"/>
  <c r="C89" i="122" s="1"/>
  <c r="BR88" i="122"/>
  <c r="CL88" i="122" s="1"/>
  <c r="AS89" i="122" s="1"/>
  <c r="B89" i="122"/>
  <c r="CI88" i="122"/>
  <c r="BU88" i="122"/>
  <c r="BS88" i="122"/>
  <c r="DD88" i="122"/>
  <c r="BL89" i="122"/>
  <c r="CE88" i="122"/>
  <c r="BQ88" i="122"/>
  <c r="BX88" i="122"/>
  <c r="BV88" i="122"/>
  <c r="BT88" i="122"/>
  <c r="CG88" i="122"/>
  <c r="BY88" i="122"/>
  <c r="J89" i="122"/>
  <c r="CQ88" i="122"/>
  <c r="AX89" i="122" s="1"/>
  <c r="CA88" i="122"/>
  <c r="CD88" i="122"/>
  <c r="CB88" i="122"/>
  <c r="CH88" i="122"/>
  <c r="D90" i="120"/>
  <c r="E90" i="120"/>
  <c r="C90" i="120"/>
  <c r="R90" i="120"/>
  <c r="F90" i="120"/>
  <c r="AH89" i="120"/>
  <c r="AF90" i="120"/>
  <c r="B101" i="119"/>
  <c r="H101" i="119" s="1"/>
  <c r="J100" i="119"/>
  <c r="Q50" i="117"/>
  <c r="AJ49" i="117"/>
  <c r="P50" i="117"/>
  <c r="R50" i="117" l="1"/>
  <c r="S50" i="117" s="1"/>
  <c r="T50" i="117" s="1"/>
  <c r="AA50" i="117" s="1"/>
  <c r="AB50" i="117" s="1"/>
  <c r="AG50" i="117" s="1"/>
  <c r="M89" i="122"/>
  <c r="CZ88" i="122"/>
  <c r="BG89" i="122" s="1"/>
  <c r="CJ88" i="122"/>
  <c r="AQ89" i="122" s="1"/>
  <c r="CW88" i="122"/>
  <c r="BD89" i="122" s="1"/>
  <c r="E89" i="122"/>
  <c r="T89" i="122"/>
  <c r="DA88" i="122"/>
  <c r="BH89" i="122" s="1"/>
  <c r="CM88" i="122"/>
  <c r="AT89" i="122" s="1"/>
  <c r="F89" i="122"/>
  <c r="DB88" i="122"/>
  <c r="BI89" i="122" s="1"/>
  <c r="U89" i="122"/>
  <c r="CN88" i="122"/>
  <c r="AU89" i="122" s="1"/>
  <c r="G89" i="122"/>
  <c r="CO88" i="122"/>
  <c r="AV89" i="122" s="1"/>
  <c r="H89" i="122"/>
  <c r="O89" i="122"/>
  <c r="CV88" i="122"/>
  <c r="BC89" i="122" s="1"/>
  <c r="I89" i="122"/>
  <c r="CP88" i="122"/>
  <c r="AW89" i="122" s="1"/>
  <c r="CX88" i="122"/>
  <c r="BE89" i="122" s="1"/>
  <c r="Q89" i="122"/>
  <c r="CR88" i="122"/>
  <c r="AY89" i="122" s="1"/>
  <c r="K89" i="122"/>
  <c r="CU88" i="122"/>
  <c r="BB89" i="122" s="1"/>
  <c r="N89" i="122"/>
  <c r="CK88" i="122"/>
  <c r="AR89" i="122" s="1"/>
  <c r="D89" i="122"/>
  <c r="AP89" i="122"/>
  <c r="CS88" i="122"/>
  <c r="AZ89" i="122" s="1"/>
  <c r="L89" i="122"/>
  <c r="R89" i="122"/>
  <c r="CY88" i="122"/>
  <c r="BF89" i="122" s="1"/>
  <c r="U90" i="120"/>
  <c r="W90" i="120" s="1"/>
  <c r="AB90" i="120" s="1"/>
  <c r="M91" i="120" s="1"/>
  <c r="S91" i="120"/>
  <c r="AG90" i="120"/>
  <c r="B102" i="119"/>
  <c r="H102" i="119" s="1"/>
  <c r="J101" i="119"/>
  <c r="U50" i="117" l="1" a="1"/>
  <c r="U50" i="117" s="1"/>
  <c r="DE88" i="122"/>
  <c r="BN89" i="122"/>
  <c r="BO89" i="122" s="1"/>
  <c r="B90" i="122" s="1"/>
  <c r="BJ89" i="122"/>
  <c r="DC89" i="122" s="1"/>
  <c r="BK89" i="122"/>
  <c r="X90" i="120"/>
  <c r="AC90" i="120" s="1"/>
  <c r="D91" i="120" s="1"/>
  <c r="Z90" i="120"/>
  <c r="AE90" i="120" s="1"/>
  <c r="F91" i="120" s="1"/>
  <c r="C91" i="120"/>
  <c r="V90" i="120"/>
  <c r="AA90" i="120" s="1"/>
  <c r="L91" i="120" s="1"/>
  <c r="R91" i="120" s="1"/>
  <c r="Y90" i="120"/>
  <c r="AD90" i="120" s="1"/>
  <c r="E91" i="120" s="1"/>
  <c r="B103" i="119"/>
  <c r="H103" i="119" s="1"/>
  <c r="J102" i="119"/>
  <c r="W50" i="117"/>
  <c r="Y50" i="117"/>
  <c r="V50" i="117"/>
  <c r="Z50" i="117"/>
  <c r="X50" i="117"/>
  <c r="CC89" i="122" l="1"/>
  <c r="P90" i="122" s="1"/>
  <c r="CH89" i="122"/>
  <c r="U90" i="122" s="1"/>
  <c r="CG89" i="122"/>
  <c r="T90" i="122" s="1"/>
  <c r="CD89" i="122"/>
  <c r="CX89" i="122" s="1"/>
  <c r="BE90" i="122" s="1"/>
  <c r="BY89" i="122"/>
  <c r="L90" i="122" s="1"/>
  <c r="BP89" i="122"/>
  <c r="CJ89" i="122" s="1"/>
  <c r="AQ90" i="122" s="1"/>
  <c r="BT89" i="122"/>
  <c r="CN89" i="122" s="1"/>
  <c r="AU90" i="122" s="1"/>
  <c r="CI89" i="122"/>
  <c r="AP90" i="122" s="1"/>
  <c r="CE89" i="122"/>
  <c r="CY89" i="122" s="1"/>
  <c r="BF90" i="122" s="1"/>
  <c r="BS89" i="122"/>
  <c r="CM89" i="122" s="1"/>
  <c r="AT90" i="122" s="1"/>
  <c r="BW89" i="122"/>
  <c r="J90" i="122" s="1"/>
  <c r="BV89" i="122"/>
  <c r="CP89" i="122" s="1"/>
  <c r="AW90" i="122" s="1"/>
  <c r="BU89" i="122"/>
  <c r="H90" i="122" s="1"/>
  <c r="BZ89" i="122"/>
  <c r="M90" i="122" s="1"/>
  <c r="BR89" i="122"/>
  <c r="E90" i="122" s="1"/>
  <c r="BQ89" i="122"/>
  <c r="CK89" i="122" s="1"/>
  <c r="AR90" i="122" s="1"/>
  <c r="BX89" i="122"/>
  <c r="CR89" i="122" s="1"/>
  <c r="AY90" i="122" s="1"/>
  <c r="CA89" i="122"/>
  <c r="CU89" i="122" s="1"/>
  <c r="BB90" i="122" s="1"/>
  <c r="CF89" i="122"/>
  <c r="S90" i="122" s="1"/>
  <c r="CB89" i="122"/>
  <c r="O90" i="122" s="1"/>
  <c r="DB89" i="122"/>
  <c r="BI90" i="122" s="1"/>
  <c r="DD89" i="122"/>
  <c r="BL90" i="122"/>
  <c r="P91" i="120"/>
  <c r="O91" i="120"/>
  <c r="AH90" i="120"/>
  <c r="B91" i="120"/>
  <c r="U91" i="120" s="1"/>
  <c r="V91" i="120" s="1"/>
  <c r="AA91" i="120" s="1"/>
  <c r="L92" i="120" s="1"/>
  <c r="Q92" i="120" s="1"/>
  <c r="N91" i="120"/>
  <c r="Q91" i="120"/>
  <c r="AF91" i="120" s="1"/>
  <c r="S92" i="120" s="1"/>
  <c r="J103" i="119"/>
  <c r="B104" i="119"/>
  <c r="H104" i="119" s="1"/>
  <c r="AI50" i="117"/>
  <c r="AC50" i="117"/>
  <c r="AH50" i="117"/>
  <c r="AE50" i="117" l="1"/>
  <c r="AD51" i="117" s="1"/>
  <c r="AF50" i="117" a="1"/>
  <c r="AF50" i="117" s="1"/>
  <c r="CT89" i="122"/>
  <c r="BA90" i="122" s="1"/>
  <c r="CV89" i="122"/>
  <c r="BC90" i="122" s="1"/>
  <c r="Q90" i="122"/>
  <c r="DA89" i="122"/>
  <c r="BH90" i="122" s="1"/>
  <c r="R90" i="122"/>
  <c r="CW89" i="122"/>
  <c r="BD90" i="122" s="1"/>
  <c r="CO89" i="122"/>
  <c r="AV90" i="122" s="1"/>
  <c r="F90" i="122"/>
  <c r="CQ89" i="122"/>
  <c r="AX90" i="122" s="1"/>
  <c r="G90" i="122"/>
  <c r="CS89" i="122"/>
  <c r="AZ90" i="122" s="1"/>
  <c r="C90" i="122"/>
  <c r="CL89" i="122"/>
  <c r="AS90" i="122" s="1"/>
  <c r="CZ89" i="122"/>
  <c r="BG90" i="122" s="1"/>
  <c r="BK90" i="122" s="1"/>
  <c r="K90" i="122"/>
  <c r="D90" i="122"/>
  <c r="N90" i="122"/>
  <c r="I90" i="122"/>
  <c r="B92" i="120"/>
  <c r="W91" i="120"/>
  <c r="AB91" i="120" s="1"/>
  <c r="C92" i="120" s="1"/>
  <c r="Y91" i="120"/>
  <c r="AD91" i="120" s="1"/>
  <c r="E92" i="120" s="1"/>
  <c r="X91" i="120"/>
  <c r="AC91" i="120" s="1"/>
  <c r="D92" i="120" s="1"/>
  <c r="Z91" i="120"/>
  <c r="AE91" i="120" s="1"/>
  <c r="F92" i="120" s="1"/>
  <c r="R92" i="120"/>
  <c r="AF92" i="120"/>
  <c r="S93" i="120" s="1"/>
  <c r="AG91" i="120"/>
  <c r="J104" i="119"/>
  <c r="B105" i="119"/>
  <c r="H105" i="119" s="1"/>
  <c r="AK50" i="117"/>
  <c r="AJ50" i="117"/>
  <c r="P51" i="117"/>
  <c r="R51" i="117" l="1"/>
  <c r="S51" i="117" s="1"/>
  <c r="T51" i="117" s="1"/>
  <c r="W51" i="117" s="1"/>
  <c r="BJ90" i="122"/>
  <c r="DC90" i="122" s="1"/>
  <c r="DD90" i="122" s="1"/>
  <c r="BN90" i="122"/>
  <c r="BZ90" i="122" s="1"/>
  <c r="M91" i="122" s="1"/>
  <c r="DE89" i="122"/>
  <c r="M92" i="120"/>
  <c r="U92" i="120"/>
  <c r="V92" i="120" s="1"/>
  <c r="AA92" i="120" s="1"/>
  <c r="B93" i="120" s="1"/>
  <c r="N92" i="120"/>
  <c r="O92" i="120"/>
  <c r="AH91" i="120"/>
  <c r="P92" i="120"/>
  <c r="AG92" i="120"/>
  <c r="J105" i="119"/>
  <c r="B106" i="119"/>
  <c r="H106" i="119" s="1"/>
  <c r="Q51" i="117"/>
  <c r="U51" i="117" l="1" a="1"/>
  <c r="U51" i="117" s="1"/>
  <c r="BL91" i="122"/>
  <c r="CG90" i="122"/>
  <c r="T91" i="122" s="1"/>
  <c r="CT90" i="122"/>
  <c r="BA91" i="122" s="1"/>
  <c r="BY90" i="122"/>
  <c r="CS90" i="122" s="1"/>
  <c r="AZ91" i="122" s="1"/>
  <c r="CC90" i="122"/>
  <c r="P91" i="122" s="1"/>
  <c r="BQ90" i="122"/>
  <c r="D91" i="122" s="1"/>
  <c r="BU90" i="122"/>
  <c r="CD90" i="122"/>
  <c r="Q91" i="122" s="1"/>
  <c r="CA90" i="122"/>
  <c r="N91" i="122" s="1"/>
  <c r="BP90" i="122"/>
  <c r="C91" i="122" s="1"/>
  <c r="BT90" i="122"/>
  <c r="BW90" i="122"/>
  <c r="CQ90" i="122" s="1"/>
  <c r="AX91" i="122" s="1"/>
  <c r="BX90" i="122"/>
  <c r="K91" i="122" s="1"/>
  <c r="BO90" i="122"/>
  <c r="B91" i="122" s="1"/>
  <c r="BS90" i="122"/>
  <c r="F91" i="122" s="1"/>
  <c r="BR90" i="122"/>
  <c r="CB90" i="122"/>
  <c r="O91" i="122" s="1"/>
  <c r="CE90" i="122"/>
  <c r="R91" i="122" s="1"/>
  <c r="CH90" i="122"/>
  <c r="CF90" i="122"/>
  <c r="S91" i="122" s="1"/>
  <c r="BV90" i="122"/>
  <c r="CK90" i="122"/>
  <c r="AR91" i="122" s="1"/>
  <c r="Y92" i="120"/>
  <c r="AD92" i="120" s="1"/>
  <c r="E93" i="120" s="1"/>
  <c r="L93" i="120"/>
  <c r="Q93" i="120" s="1"/>
  <c r="AF93" i="120" s="1"/>
  <c r="S94" i="120" s="1"/>
  <c r="X92" i="120"/>
  <c r="AC92" i="120" s="1"/>
  <c r="D93" i="120" s="1"/>
  <c r="Z92" i="120"/>
  <c r="AE92" i="120" s="1"/>
  <c r="P93" i="120" s="1"/>
  <c r="W92" i="120"/>
  <c r="AB92" i="120" s="1"/>
  <c r="M93" i="120" s="1"/>
  <c r="J106" i="119"/>
  <c r="B107" i="119"/>
  <c r="H107" i="119" s="1"/>
  <c r="V51" i="117"/>
  <c r="Y51" i="117"/>
  <c r="X51" i="117"/>
  <c r="AA51" i="117"/>
  <c r="AB51" i="117" s="1"/>
  <c r="Z51" i="117"/>
  <c r="CX90" i="122" l="1"/>
  <c r="BE91" i="122" s="1"/>
  <c r="J91" i="122"/>
  <c r="CW90" i="122"/>
  <c r="BD91" i="122" s="1"/>
  <c r="DA90" i="122"/>
  <c r="BH91" i="122" s="1"/>
  <c r="CY90" i="122"/>
  <c r="BF91" i="122" s="1"/>
  <c r="L91" i="122"/>
  <c r="CO90" i="122"/>
  <c r="AV91" i="122" s="1"/>
  <c r="H91" i="122"/>
  <c r="CU90" i="122"/>
  <c r="BB91" i="122" s="1"/>
  <c r="CM90" i="122"/>
  <c r="AT91" i="122" s="1"/>
  <c r="CJ90" i="122"/>
  <c r="AQ91" i="122" s="1"/>
  <c r="CI90" i="122"/>
  <c r="AP91" i="122" s="1"/>
  <c r="CR90" i="122"/>
  <c r="AY91" i="122" s="1"/>
  <c r="CN90" i="122"/>
  <c r="AU91" i="122" s="1"/>
  <c r="G91" i="122"/>
  <c r="CZ90" i="122"/>
  <c r="BG91" i="122" s="1"/>
  <c r="E91" i="122"/>
  <c r="CL90" i="122"/>
  <c r="AS91" i="122" s="1"/>
  <c r="CV90" i="122"/>
  <c r="BC91" i="122" s="1"/>
  <c r="DB90" i="122"/>
  <c r="BI91" i="122" s="1"/>
  <c r="U91" i="122"/>
  <c r="CP90" i="122"/>
  <c r="AW91" i="122" s="1"/>
  <c r="I91" i="122"/>
  <c r="O93" i="120"/>
  <c r="R93" i="120"/>
  <c r="N93" i="120"/>
  <c r="F93" i="120"/>
  <c r="C93" i="120"/>
  <c r="AH92" i="120"/>
  <c r="AG93" i="120"/>
  <c r="B108" i="119"/>
  <c r="H108" i="119" s="1"/>
  <c r="J107" i="119"/>
  <c r="AE51" i="117"/>
  <c r="AD52" i="117" s="1"/>
  <c r="AG51" i="117"/>
  <c r="AI51" i="117" s="1"/>
  <c r="AC51" i="117"/>
  <c r="AF51" i="117" s="1" a="1"/>
  <c r="AF51" i="117" s="1"/>
  <c r="AH51" i="117"/>
  <c r="BK91" i="122" l="1"/>
  <c r="BJ91" i="122"/>
  <c r="DC91" i="122" s="1"/>
  <c r="DD91" i="122" s="1"/>
  <c r="BN91" i="122"/>
  <c r="BV91" i="122" s="1"/>
  <c r="I92" i="122" s="1"/>
  <c r="DE90" i="122"/>
  <c r="U93" i="120"/>
  <c r="V93" i="120" s="1"/>
  <c r="AA93" i="120" s="1"/>
  <c r="L94" i="120" s="1"/>
  <c r="J108" i="119"/>
  <c r="B109" i="119"/>
  <c r="H109" i="119" s="1"/>
  <c r="AK51" i="117"/>
  <c r="Q52" i="117"/>
  <c r="AJ51" i="117"/>
  <c r="P52" i="117"/>
  <c r="R52" i="117" l="1"/>
  <c r="S52" i="117" s="1"/>
  <c r="CG91" i="122"/>
  <c r="T92" i="122" s="1"/>
  <c r="BZ91" i="122"/>
  <c r="CT91" i="122" s="1"/>
  <c r="BA92" i="122" s="1"/>
  <c r="BL92" i="122"/>
  <c r="CC91" i="122"/>
  <c r="CW91" i="122" s="1"/>
  <c r="BD92" i="122" s="1"/>
  <c r="BQ91" i="122"/>
  <c r="CK91" i="122" s="1"/>
  <c r="AR92" i="122" s="1"/>
  <c r="CH91" i="122"/>
  <c r="DB91" i="122" s="1"/>
  <c r="BI92" i="122" s="1"/>
  <c r="BX91" i="122"/>
  <c r="CR91" i="122" s="1"/>
  <c r="AY92" i="122" s="1"/>
  <c r="CB91" i="122"/>
  <c r="BP91" i="122"/>
  <c r="CJ91" i="122" s="1"/>
  <c r="AQ92" i="122" s="1"/>
  <c r="BO91" i="122"/>
  <c r="M92" i="122"/>
  <c r="BY91" i="122"/>
  <c r="CS91" i="122" s="1"/>
  <c r="AZ92" i="122" s="1"/>
  <c r="BU91" i="122"/>
  <c r="CD91" i="122"/>
  <c r="CA91" i="122"/>
  <c r="P92" i="122"/>
  <c r="BS91" i="122"/>
  <c r="CE91" i="122"/>
  <c r="BR91" i="122"/>
  <c r="BT91" i="122"/>
  <c r="CF91" i="122"/>
  <c r="S92" i="122" s="1"/>
  <c r="BW91" i="122"/>
  <c r="CP91" i="122"/>
  <c r="AW92" i="122" s="1"/>
  <c r="Z93" i="120"/>
  <c r="AE93" i="120" s="1"/>
  <c r="F94" i="120" s="1"/>
  <c r="Y93" i="120"/>
  <c r="AD93" i="120" s="1"/>
  <c r="O94" i="120" s="1"/>
  <c r="X93" i="120"/>
  <c r="AC93" i="120" s="1"/>
  <c r="D94" i="120" s="1"/>
  <c r="B94" i="120"/>
  <c r="W93" i="120"/>
  <c r="AB93" i="120" s="1"/>
  <c r="M94" i="120" s="1"/>
  <c r="Q94" i="120"/>
  <c r="AF94" i="120" s="1"/>
  <c r="R94" i="120"/>
  <c r="B110" i="119"/>
  <c r="H110" i="119" s="1"/>
  <c r="J109" i="119"/>
  <c r="T52" i="117" l="1"/>
  <c r="AA52" i="117" s="1"/>
  <c r="AB52" i="117" s="1"/>
  <c r="AE52" i="117" s="1"/>
  <c r="AD53" i="117" s="1"/>
  <c r="C92" i="122"/>
  <c r="DA91" i="122"/>
  <c r="BH92" i="122" s="1"/>
  <c r="U92" i="122"/>
  <c r="D92" i="122"/>
  <c r="O92" i="122"/>
  <c r="CV91" i="122"/>
  <c r="BC92" i="122" s="1"/>
  <c r="L92" i="122"/>
  <c r="K92" i="122"/>
  <c r="B92" i="122"/>
  <c r="CI91" i="122"/>
  <c r="AP92" i="122" s="1"/>
  <c r="G92" i="122"/>
  <c r="CN91" i="122"/>
  <c r="AU92" i="122" s="1"/>
  <c r="N92" i="122"/>
  <c r="CU91" i="122"/>
  <c r="BB92" i="122" s="1"/>
  <c r="CY91" i="122"/>
  <c r="BF92" i="122" s="1"/>
  <c r="R92" i="122"/>
  <c r="CO91" i="122"/>
  <c r="AV92" i="122" s="1"/>
  <c r="H92" i="122"/>
  <c r="CL91" i="122"/>
  <c r="AS92" i="122" s="1"/>
  <c r="E92" i="122"/>
  <c r="Q92" i="122"/>
  <c r="CX91" i="122"/>
  <c r="BE92" i="122" s="1"/>
  <c r="CZ91" i="122"/>
  <c r="BG92" i="122" s="1"/>
  <c r="CM91" i="122"/>
  <c r="AT92" i="122" s="1"/>
  <c r="F92" i="122"/>
  <c r="J92" i="122"/>
  <c r="CQ91" i="122"/>
  <c r="AX92" i="122" s="1"/>
  <c r="E94" i="120"/>
  <c r="P94" i="120"/>
  <c r="N94" i="120"/>
  <c r="AH93" i="120"/>
  <c r="C94" i="120"/>
  <c r="S95" i="120"/>
  <c r="AG94" i="120"/>
  <c r="B111" i="119"/>
  <c r="H111" i="119" s="1"/>
  <c r="J110" i="119"/>
  <c r="Y52" i="117"/>
  <c r="X52" i="117"/>
  <c r="Z52" i="117"/>
  <c r="V52" i="117"/>
  <c r="AC52" i="117" l="1"/>
  <c r="AF52" i="117" s="1" a="1"/>
  <c r="AF52" i="117" s="1"/>
  <c r="AG52" i="117"/>
  <c r="W52" i="117"/>
  <c r="U52" i="117" a="1"/>
  <c r="U52" i="117" s="1"/>
  <c r="AH52" i="117" s="1"/>
  <c r="AJ52" i="117" s="1"/>
  <c r="BN92" i="122"/>
  <c r="CE92" i="122" s="1"/>
  <c r="R93" i="122" s="1"/>
  <c r="BJ92" i="122"/>
  <c r="DC92" i="122" s="1"/>
  <c r="DD92" i="122" s="1"/>
  <c r="DE91" i="122"/>
  <c r="BK92" i="122"/>
  <c r="U94" i="120"/>
  <c r="V94" i="120" s="1"/>
  <c r="AA94" i="120" s="1"/>
  <c r="L95" i="120" s="1"/>
  <c r="R95" i="120" s="1"/>
  <c r="B112" i="119"/>
  <c r="H112" i="119" s="1"/>
  <c r="J111" i="119"/>
  <c r="AI52" i="117"/>
  <c r="P53" i="117" l="1"/>
  <c r="R53" i="117"/>
  <c r="S53" i="117" s="1"/>
  <c r="BP92" i="122"/>
  <c r="CJ92" i="122" s="1"/>
  <c r="AQ93" i="122" s="1"/>
  <c r="BY92" i="122"/>
  <c r="CS92" i="122" s="1"/>
  <c r="AZ93" i="122" s="1"/>
  <c r="CC92" i="122"/>
  <c r="CW92" i="122" s="1"/>
  <c r="BD93" i="122" s="1"/>
  <c r="BO92" i="122"/>
  <c r="B93" i="122" s="1"/>
  <c r="BL93" i="122"/>
  <c r="BX92" i="122"/>
  <c r="K93" i="122" s="1"/>
  <c r="BS92" i="122"/>
  <c r="F93" i="122" s="1"/>
  <c r="CH92" i="122"/>
  <c r="DB92" i="122" s="1"/>
  <c r="BI93" i="122" s="1"/>
  <c r="BU92" i="122"/>
  <c r="H93" i="122" s="1"/>
  <c r="BQ92" i="122"/>
  <c r="CA92" i="122"/>
  <c r="N93" i="122" s="1"/>
  <c r="BT92" i="122"/>
  <c r="CB92" i="122"/>
  <c r="CG92" i="122"/>
  <c r="T93" i="122" s="1"/>
  <c r="CO92" i="122"/>
  <c r="AV93" i="122" s="1"/>
  <c r="BR92" i="122"/>
  <c r="CD92" i="122"/>
  <c r="BW92" i="122"/>
  <c r="CF92" i="122"/>
  <c r="BV92" i="122"/>
  <c r="BZ92" i="122"/>
  <c r="CY92" i="122"/>
  <c r="BF93" i="122" s="1"/>
  <c r="C93" i="122"/>
  <c r="W94" i="120"/>
  <c r="AB94" i="120" s="1"/>
  <c r="M95" i="120" s="1"/>
  <c r="Y94" i="120"/>
  <c r="AD94" i="120" s="1"/>
  <c r="O95" i="120" s="1"/>
  <c r="B95" i="120"/>
  <c r="X94" i="120"/>
  <c r="AC94" i="120" s="1"/>
  <c r="D95" i="120" s="1"/>
  <c r="Z94" i="120"/>
  <c r="AE94" i="120" s="1"/>
  <c r="P95" i="120" s="1"/>
  <c r="Q95" i="120"/>
  <c r="AF95" i="120" s="1"/>
  <c r="AG95" i="120" s="1"/>
  <c r="J112" i="119"/>
  <c r="B113" i="119"/>
  <c r="H113" i="119" s="1"/>
  <c r="AK52" i="117"/>
  <c r="Q53" i="117"/>
  <c r="CI92" i="122" l="1"/>
  <c r="AP93" i="122" s="1"/>
  <c r="CM92" i="122"/>
  <c r="AT93" i="122" s="1"/>
  <c r="P93" i="122"/>
  <c r="CR92" i="122"/>
  <c r="AY93" i="122" s="1"/>
  <c r="DA92" i="122"/>
  <c r="BH93" i="122" s="1"/>
  <c r="L93" i="122"/>
  <c r="U93" i="122"/>
  <c r="CK92" i="122"/>
  <c r="AR93" i="122" s="1"/>
  <c r="D93" i="122"/>
  <c r="CU92" i="122"/>
  <c r="BB93" i="122" s="1"/>
  <c r="CT92" i="122"/>
  <c r="BA93" i="122" s="1"/>
  <c r="M93" i="122"/>
  <c r="E93" i="122"/>
  <c r="CL92" i="122"/>
  <c r="AS93" i="122" s="1"/>
  <c r="Q93" i="122"/>
  <c r="CX92" i="122"/>
  <c r="BE93" i="122" s="1"/>
  <c r="I93" i="122"/>
  <c r="CP92" i="122"/>
  <c r="AW93" i="122" s="1"/>
  <c r="S93" i="122"/>
  <c r="CZ92" i="122"/>
  <c r="BG93" i="122" s="1"/>
  <c r="CV92" i="122"/>
  <c r="BC93" i="122" s="1"/>
  <c r="O93" i="122"/>
  <c r="J93" i="122"/>
  <c r="CQ92" i="122"/>
  <c r="AX93" i="122" s="1"/>
  <c r="G93" i="122"/>
  <c r="CN92" i="122"/>
  <c r="AU93" i="122" s="1"/>
  <c r="C95" i="120"/>
  <c r="E95" i="120"/>
  <c r="N95" i="120"/>
  <c r="F95" i="120"/>
  <c r="AH94" i="120"/>
  <c r="S96" i="120"/>
  <c r="J113" i="119"/>
  <c r="B114" i="119"/>
  <c r="H114" i="119" s="1"/>
  <c r="T53" i="117"/>
  <c r="Y53" i="117" l="1"/>
  <c r="U53" i="117" a="1"/>
  <c r="U53" i="117" s="1"/>
  <c r="BK93" i="122"/>
  <c r="BN93" i="122"/>
  <c r="BO93" i="122" s="1"/>
  <c r="BJ93" i="122"/>
  <c r="DC93" i="122" s="1"/>
  <c r="BL94" i="122" s="1"/>
  <c r="DE92" i="122"/>
  <c r="U95" i="120"/>
  <c r="V95" i="120" s="1"/>
  <c r="AA95" i="120" s="1"/>
  <c r="B96" i="120" s="1"/>
  <c r="B115" i="119"/>
  <c r="H115" i="119" s="1"/>
  <c r="J114" i="119"/>
  <c r="Z53" i="117"/>
  <c r="V53" i="117"/>
  <c r="AA53" i="117"/>
  <c r="AB53" i="117" s="1"/>
  <c r="W53" i="117"/>
  <c r="X53" i="117"/>
  <c r="CC93" i="122" l="1"/>
  <c r="P94" i="122" s="1"/>
  <c r="BY93" i="122"/>
  <c r="CS93" i="122" s="1"/>
  <c r="AZ94" i="122" s="1"/>
  <c r="CW93" i="122"/>
  <c r="BD94" i="122" s="1"/>
  <c r="BU93" i="122"/>
  <c r="CO93" i="122" s="1"/>
  <c r="AV94" i="122" s="1"/>
  <c r="BT93" i="122"/>
  <c r="BS93" i="122"/>
  <c r="F94" i="122" s="1"/>
  <c r="BW93" i="122"/>
  <c r="CG93" i="122"/>
  <c r="DA93" i="122" s="1"/>
  <c r="BH94" i="122" s="1"/>
  <c r="CH93" i="122"/>
  <c r="BZ93" i="122"/>
  <c r="BV93" i="122"/>
  <c r="CP93" i="122" s="1"/>
  <c r="AW94" i="122" s="1"/>
  <c r="BX93" i="122"/>
  <c r="K94" i="122" s="1"/>
  <c r="CE93" i="122"/>
  <c r="R94" i="122" s="1"/>
  <c r="BR93" i="122"/>
  <c r="CL93" i="122" s="1"/>
  <c r="AS94" i="122" s="1"/>
  <c r="BQ93" i="122"/>
  <c r="CK93" i="122" s="1"/>
  <c r="AR94" i="122" s="1"/>
  <c r="BP93" i="122"/>
  <c r="CJ93" i="122" s="1"/>
  <c r="AQ94" i="122" s="1"/>
  <c r="CD93" i="122"/>
  <c r="T94" i="122"/>
  <c r="CB93" i="122"/>
  <c r="CF93" i="122"/>
  <c r="CA93" i="122"/>
  <c r="C94" i="122"/>
  <c r="DD93" i="122"/>
  <c r="I94" i="122"/>
  <c r="CV93" i="122"/>
  <c r="BC94" i="122" s="1"/>
  <c r="O94" i="122"/>
  <c r="CI93" i="122"/>
  <c r="AP94" i="122" s="1"/>
  <c r="B94" i="122"/>
  <c r="U94" i="122"/>
  <c r="DB93" i="122"/>
  <c r="BI94" i="122" s="1"/>
  <c r="L94" i="122"/>
  <c r="X95" i="120"/>
  <c r="AC95" i="120" s="1"/>
  <c r="N96" i="120" s="1"/>
  <c r="W95" i="120"/>
  <c r="AB95" i="120" s="1"/>
  <c r="C96" i="120" s="1"/>
  <c r="Z95" i="120"/>
  <c r="AE95" i="120" s="1"/>
  <c r="P96" i="120" s="1"/>
  <c r="L96" i="120"/>
  <c r="Q96" i="120" s="1"/>
  <c r="AF96" i="120" s="1"/>
  <c r="S97" i="120" s="1"/>
  <c r="Y95" i="120"/>
  <c r="AD95" i="120" s="1"/>
  <c r="E96" i="120" s="1"/>
  <c r="B116" i="119"/>
  <c r="H116" i="119" s="1"/>
  <c r="J115" i="119"/>
  <c r="AC53" i="117"/>
  <c r="AH53" i="117"/>
  <c r="AF53" i="117" l="1" a="1"/>
  <c r="AF53" i="117" s="1"/>
  <c r="AE53" i="117" s="1"/>
  <c r="AD54" i="117" s="1"/>
  <c r="H94" i="122"/>
  <c r="CR93" i="122"/>
  <c r="AY94" i="122" s="1"/>
  <c r="J94" i="122"/>
  <c r="CQ93" i="122"/>
  <c r="AX94" i="122" s="1"/>
  <c r="G94" i="122"/>
  <c r="CN93" i="122"/>
  <c r="AU94" i="122" s="1"/>
  <c r="CT93" i="122"/>
  <c r="BA94" i="122" s="1"/>
  <c r="M94" i="122"/>
  <c r="CM93" i="122"/>
  <c r="AT94" i="122" s="1"/>
  <c r="S94" i="122"/>
  <c r="CZ93" i="122"/>
  <c r="BG94" i="122" s="1"/>
  <c r="D94" i="122"/>
  <c r="CU93" i="122"/>
  <c r="BB94" i="122" s="1"/>
  <c r="N94" i="122"/>
  <c r="CY93" i="122"/>
  <c r="BF94" i="122" s="1"/>
  <c r="CX93" i="122"/>
  <c r="BE94" i="122" s="1"/>
  <c r="Q94" i="122"/>
  <c r="E94" i="122"/>
  <c r="D96" i="120"/>
  <c r="AG96" i="120"/>
  <c r="M96" i="120"/>
  <c r="AH95" i="120"/>
  <c r="O96" i="120"/>
  <c r="F96" i="120"/>
  <c r="R96" i="120"/>
  <c r="J116" i="119"/>
  <c r="B117" i="119"/>
  <c r="H117" i="119" s="1"/>
  <c r="AG53" i="117"/>
  <c r="AI53" i="117" s="1"/>
  <c r="AK53" i="117" s="1"/>
  <c r="AJ53" i="117"/>
  <c r="P54" i="117"/>
  <c r="R54" i="117" l="1"/>
  <c r="S54" i="117" s="1"/>
  <c r="BK94" i="122"/>
  <c r="BJ94" i="122"/>
  <c r="DC94" i="122" s="1"/>
  <c r="DD94" i="122" s="1"/>
  <c r="DE93" i="122"/>
  <c r="BN94" i="122"/>
  <c r="U96" i="120"/>
  <c r="V96" i="120" s="1"/>
  <c r="AA96" i="120" s="1"/>
  <c r="B97" i="120" s="1"/>
  <c r="J117" i="119"/>
  <c r="B118" i="119"/>
  <c r="H118" i="119" s="1"/>
  <c r="Q54" i="117"/>
  <c r="BL95" i="122" l="1"/>
  <c r="BO94" i="122"/>
  <c r="BT94" i="122"/>
  <c r="CC94" i="122"/>
  <c r="CG94" i="122"/>
  <c r="BV94" i="122"/>
  <c r="BX94" i="122"/>
  <c r="CE94" i="122"/>
  <c r="BZ94" i="122"/>
  <c r="CB94" i="122"/>
  <c r="BP94" i="122"/>
  <c r="CF94" i="122"/>
  <c r="CA94" i="122"/>
  <c r="CH94" i="122"/>
  <c r="BU94" i="122"/>
  <c r="BS94" i="122"/>
  <c r="BW94" i="122"/>
  <c r="CD94" i="122"/>
  <c r="BY94" i="122"/>
  <c r="BQ94" i="122"/>
  <c r="BR94" i="122"/>
  <c r="L97" i="120"/>
  <c r="Q97" i="120" s="1"/>
  <c r="AF97" i="120" s="1"/>
  <c r="S98" i="120" s="1"/>
  <c r="X96" i="120"/>
  <c r="AC96" i="120" s="1"/>
  <c r="D97" i="120" s="1"/>
  <c r="Z96" i="120"/>
  <c r="AE96" i="120" s="1"/>
  <c r="F97" i="120" s="1"/>
  <c r="W96" i="120"/>
  <c r="AB96" i="120" s="1"/>
  <c r="M97" i="120" s="1"/>
  <c r="Y96" i="120"/>
  <c r="AD96" i="120" s="1"/>
  <c r="E97" i="120" s="1"/>
  <c r="B119" i="119"/>
  <c r="H119" i="119" s="1"/>
  <c r="J118" i="119"/>
  <c r="T54" i="117"/>
  <c r="U54" i="117" l="1" a="1"/>
  <c r="U54" i="117" s="1"/>
  <c r="AH54" i="117" s="1"/>
  <c r="AJ54" i="117" s="1"/>
  <c r="CS94" i="122"/>
  <c r="AZ95" i="122" s="1"/>
  <c r="L95" i="122"/>
  <c r="CU94" i="122"/>
  <c r="BB95" i="122" s="1"/>
  <c r="N95" i="122"/>
  <c r="CR94" i="122"/>
  <c r="AY95" i="122" s="1"/>
  <c r="K95" i="122"/>
  <c r="CX94" i="122"/>
  <c r="BE95" i="122" s="1"/>
  <c r="Q95" i="122"/>
  <c r="S95" i="122"/>
  <c r="CZ94" i="122"/>
  <c r="BG95" i="122" s="1"/>
  <c r="CP94" i="122"/>
  <c r="AW95" i="122" s="1"/>
  <c r="I95" i="122"/>
  <c r="CQ94" i="122"/>
  <c r="AX95" i="122" s="1"/>
  <c r="J95" i="122"/>
  <c r="C95" i="122"/>
  <c r="CJ94" i="122"/>
  <c r="AQ95" i="122" s="1"/>
  <c r="DA94" i="122"/>
  <c r="BH95" i="122" s="1"/>
  <c r="T95" i="122"/>
  <c r="CM94" i="122"/>
  <c r="AT95" i="122" s="1"/>
  <c r="F95" i="122"/>
  <c r="O95" i="122"/>
  <c r="CV94" i="122"/>
  <c r="BC95" i="122" s="1"/>
  <c r="CW94" i="122"/>
  <c r="BD95" i="122" s="1"/>
  <c r="P95" i="122"/>
  <c r="E95" i="122"/>
  <c r="CL94" i="122"/>
  <c r="AS95" i="122" s="1"/>
  <c r="CO94" i="122"/>
  <c r="AV95" i="122" s="1"/>
  <c r="H95" i="122"/>
  <c r="M95" i="122"/>
  <c r="CT94" i="122"/>
  <c r="BA95" i="122" s="1"/>
  <c r="CN94" i="122"/>
  <c r="AU95" i="122" s="1"/>
  <c r="G95" i="122"/>
  <c r="CK94" i="122"/>
  <c r="AR95" i="122" s="1"/>
  <c r="D95" i="122"/>
  <c r="U95" i="122"/>
  <c r="DB94" i="122"/>
  <c r="BI95" i="122" s="1"/>
  <c r="CY94" i="122"/>
  <c r="BF95" i="122" s="1"/>
  <c r="R95" i="122"/>
  <c r="CI94" i="122"/>
  <c r="B95" i="122"/>
  <c r="N97" i="120"/>
  <c r="P97" i="120"/>
  <c r="R97" i="120"/>
  <c r="C97" i="120"/>
  <c r="U97" i="120" s="1"/>
  <c r="V97" i="120" s="1"/>
  <c r="AA97" i="120" s="1"/>
  <c r="B98" i="120" s="1"/>
  <c r="AG97" i="120"/>
  <c r="AH96" i="120"/>
  <c r="O97" i="120"/>
  <c r="J119" i="119"/>
  <c r="B120" i="119"/>
  <c r="H120" i="119" s="1"/>
  <c r="Z54" i="117"/>
  <c r="Y54" i="117"/>
  <c r="X54" i="117"/>
  <c r="V54" i="117"/>
  <c r="W54" i="117"/>
  <c r="AA54" i="117"/>
  <c r="AB54" i="117" s="1"/>
  <c r="P55" i="117" l="1"/>
  <c r="R55" i="117"/>
  <c r="BK95" i="122"/>
  <c r="BN95" i="122"/>
  <c r="CG95" i="122" s="1"/>
  <c r="AP95" i="122"/>
  <c r="BJ95" i="122" s="1"/>
  <c r="DC95" i="122" s="1"/>
  <c r="DE94" i="122"/>
  <c r="W97" i="120"/>
  <c r="AB97" i="120" s="1"/>
  <c r="M98" i="120" s="1"/>
  <c r="X97" i="120"/>
  <c r="AC97" i="120" s="1"/>
  <c r="D98" i="120" s="1"/>
  <c r="Y97" i="120"/>
  <c r="AD97" i="120" s="1"/>
  <c r="O98" i="120" s="1"/>
  <c r="L98" i="120"/>
  <c r="Q98" i="120" s="1"/>
  <c r="AF98" i="120" s="1"/>
  <c r="S99" i="120" s="1"/>
  <c r="Z97" i="120"/>
  <c r="AE97" i="120" s="1"/>
  <c r="P98" i="120" s="1"/>
  <c r="B121" i="119"/>
  <c r="H121" i="119" s="1"/>
  <c r="J120" i="119"/>
  <c r="AE54" i="117"/>
  <c r="AD55" i="117" s="1"/>
  <c r="AG54" i="117"/>
  <c r="AI54" i="117" s="1"/>
  <c r="AC54" i="117"/>
  <c r="AF54" i="117" s="1" a="1"/>
  <c r="AF54" i="117" s="1"/>
  <c r="S55" i="117"/>
  <c r="CH95" i="122" l="1"/>
  <c r="U96" i="122" s="1"/>
  <c r="DA95" i="122"/>
  <c r="BH96" i="122" s="1"/>
  <c r="T96" i="122"/>
  <c r="BU95" i="122"/>
  <c r="DD95" i="122"/>
  <c r="BL96" i="122"/>
  <c r="BO95" i="122"/>
  <c r="CF95" i="122"/>
  <c r="BZ95" i="122"/>
  <c r="BS95" i="122"/>
  <c r="BW95" i="122"/>
  <c r="BQ95" i="122"/>
  <c r="CA95" i="122"/>
  <c r="CE95" i="122"/>
  <c r="BR95" i="122"/>
  <c r="BP95" i="122"/>
  <c r="CD95" i="122"/>
  <c r="BY95" i="122"/>
  <c r="BT95" i="122"/>
  <c r="BV95" i="122"/>
  <c r="BX95" i="122"/>
  <c r="DB95" i="122"/>
  <c r="BI96" i="122" s="1"/>
  <c r="CB95" i="122"/>
  <c r="CC95" i="122"/>
  <c r="R98" i="120"/>
  <c r="N98" i="120"/>
  <c r="E98" i="120"/>
  <c r="AG98" i="120"/>
  <c r="F98" i="120"/>
  <c r="C98" i="120"/>
  <c r="AH97" i="120"/>
  <c r="J121" i="119"/>
  <c r="B122" i="119"/>
  <c r="H122" i="119" s="1"/>
  <c r="Q55" i="117"/>
  <c r="AK54" i="117"/>
  <c r="T55" i="117"/>
  <c r="Z55" i="117" l="1"/>
  <c r="U55" i="117" a="1"/>
  <c r="U55" i="117" s="1"/>
  <c r="G96" i="122"/>
  <c r="CN95" i="122"/>
  <c r="AU96" i="122" s="1"/>
  <c r="N96" i="122"/>
  <c r="CU95" i="122"/>
  <c r="BB96" i="122" s="1"/>
  <c r="CI95" i="122"/>
  <c r="B96" i="122"/>
  <c r="P96" i="122"/>
  <c r="CW95" i="122"/>
  <c r="BD96" i="122" s="1"/>
  <c r="CS95" i="122"/>
  <c r="AZ96" i="122" s="1"/>
  <c r="L96" i="122"/>
  <c r="CK95" i="122"/>
  <c r="AR96" i="122" s="1"/>
  <c r="D96" i="122"/>
  <c r="CV95" i="122"/>
  <c r="BC96" i="122" s="1"/>
  <c r="O96" i="122"/>
  <c r="CX95" i="122"/>
  <c r="BE96" i="122" s="1"/>
  <c r="Q96" i="122"/>
  <c r="J96" i="122"/>
  <c r="CQ95" i="122"/>
  <c r="AX96" i="122" s="1"/>
  <c r="CM95" i="122"/>
  <c r="AT96" i="122" s="1"/>
  <c r="F96" i="122"/>
  <c r="CO95" i="122"/>
  <c r="AV96" i="122" s="1"/>
  <c r="H96" i="122"/>
  <c r="K96" i="122"/>
  <c r="CR95" i="122"/>
  <c r="AY96" i="122" s="1"/>
  <c r="CL95" i="122"/>
  <c r="AS96" i="122" s="1"/>
  <c r="E96" i="122"/>
  <c r="CT95" i="122"/>
  <c r="BA96" i="122" s="1"/>
  <c r="M96" i="122"/>
  <c r="C96" i="122"/>
  <c r="CJ95" i="122"/>
  <c r="AQ96" i="122" s="1"/>
  <c r="I96" i="122"/>
  <c r="CP95" i="122"/>
  <c r="AW96" i="122" s="1"/>
  <c r="CY95" i="122"/>
  <c r="BF96" i="122" s="1"/>
  <c r="R96" i="122"/>
  <c r="CZ95" i="122"/>
  <c r="BG96" i="122" s="1"/>
  <c r="S96" i="122"/>
  <c r="U98" i="120"/>
  <c r="V98" i="120" s="1"/>
  <c r="AA98" i="120" s="1"/>
  <c r="B99" i="120" s="1"/>
  <c r="J122" i="119"/>
  <c r="B123" i="119"/>
  <c r="H123" i="119" s="1"/>
  <c r="V55" i="117"/>
  <c r="X55" i="117"/>
  <c r="AA55" i="117"/>
  <c r="AB55" i="117" s="1"/>
  <c r="W55" i="117"/>
  <c r="Y55" i="117"/>
  <c r="BN96" i="122" l="1"/>
  <c r="AP96" i="122"/>
  <c r="BJ96" i="122" s="1"/>
  <c r="DC96" i="122" s="1"/>
  <c r="DE95" i="122"/>
  <c r="BK96" i="122"/>
  <c r="Z98" i="120"/>
  <c r="AE98" i="120" s="1"/>
  <c r="F99" i="120" s="1"/>
  <c r="Y98" i="120"/>
  <c r="AD98" i="120" s="1"/>
  <c r="E99" i="120" s="1"/>
  <c r="X98" i="120"/>
  <c r="AC98" i="120" s="1"/>
  <c r="D99" i="120" s="1"/>
  <c r="L99" i="120"/>
  <c r="R99" i="120" s="1"/>
  <c r="W98" i="120"/>
  <c r="AB98" i="120" s="1"/>
  <c r="M99" i="120" s="1"/>
  <c r="J123" i="119"/>
  <c r="B124" i="119"/>
  <c r="H124" i="119" s="1"/>
  <c r="AE55" i="117"/>
  <c r="AD56" i="117" s="1"/>
  <c r="AG55" i="117"/>
  <c r="AI55" i="117" s="1"/>
  <c r="AC55" i="117"/>
  <c r="AF55" i="117" s="1" a="1"/>
  <c r="AF55" i="117" s="1"/>
  <c r="AH55" i="117"/>
  <c r="DD96" i="122" l="1"/>
  <c r="BL97" i="122"/>
  <c r="CG96" i="122"/>
  <c r="CH96" i="122"/>
  <c r="CE96" i="122"/>
  <c r="CA96" i="122"/>
  <c r="BT96" i="122"/>
  <c r="BS96" i="122"/>
  <c r="CB96" i="122"/>
  <c r="CD96" i="122"/>
  <c r="BY96" i="122"/>
  <c r="BR96" i="122"/>
  <c r="BX96" i="122"/>
  <c r="BV96" i="122"/>
  <c r="CC96" i="122"/>
  <c r="BP96" i="122"/>
  <c r="BU96" i="122"/>
  <c r="BZ96" i="122"/>
  <c r="CF96" i="122"/>
  <c r="BO96" i="122"/>
  <c r="BW96" i="122"/>
  <c r="BQ96" i="122"/>
  <c r="P99" i="120"/>
  <c r="Q99" i="120"/>
  <c r="AF99" i="120" s="1"/>
  <c r="AG99" i="120" s="1"/>
  <c r="O99" i="120"/>
  <c r="N99" i="120"/>
  <c r="AH98" i="120"/>
  <c r="C99" i="120"/>
  <c r="U99" i="120" s="1"/>
  <c r="V99" i="120" s="1"/>
  <c r="AA99" i="120" s="1"/>
  <c r="J124" i="119"/>
  <c r="B125" i="119"/>
  <c r="H125" i="119" s="1"/>
  <c r="AK55" i="117"/>
  <c r="Q56" i="117"/>
  <c r="AJ55" i="117"/>
  <c r="P56" i="117"/>
  <c r="R56" i="117" l="1"/>
  <c r="S56" i="117" s="1"/>
  <c r="T56" i="117" s="1"/>
  <c r="M97" i="122"/>
  <c r="CT96" i="122"/>
  <c r="BA97" i="122" s="1"/>
  <c r="E97" i="122"/>
  <c r="CL96" i="122"/>
  <c r="AS97" i="122" s="1"/>
  <c r="CU96" i="122"/>
  <c r="BB97" i="122" s="1"/>
  <c r="N97" i="122"/>
  <c r="H97" i="122"/>
  <c r="CO96" i="122"/>
  <c r="AV97" i="122" s="1"/>
  <c r="L97" i="122"/>
  <c r="CS96" i="122"/>
  <c r="AZ97" i="122" s="1"/>
  <c r="R97" i="122"/>
  <c r="CY96" i="122"/>
  <c r="BF97" i="122" s="1"/>
  <c r="CK96" i="122"/>
  <c r="AR97" i="122" s="1"/>
  <c r="D97" i="122"/>
  <c r="C97" i="122"/>
  <c r="CJ96" i="122"/>
  <c r="AQ97" i="122" s="1"/>
  <c r="Q97" i="122"/>
  <c r="CX96" i="122"/>
  <c r="BE97" i="122" s="1"/>
  <c r="DB96" i="122"/>
  <c r="BI97" i="122" s="1"/>
  <c r="U97" i="122"/>
  <c r="CQ96" i="122"/>
  <c r="AX97" i="122" s="1"/>
  <c r="J97" i="122"/>
  <c r="CW96" i="122"/>
  <c r="BD97" i="122" s="1"/>
  <c r="P97" i="122"/>
  <c r="O97" i="122"/>
  <c r="CV96" i="122"/>
  <c r="BC97" i="122" s="1"/>
  <c r="T97" i="122"/>
  <c r="DA96" i="122"/>
  <c r="BH97" i="122" s="1"/>
  <c r="CI96" i="122"/>
  <c r="B97" i="122"/>
  <c r="CP96" i="122"/>
  <c r="AW97" i="122" s="1"/>
  <c r="I97" i="122"/>
  <c r="F97" i="122"/>
  <c r="CM96" i="122"/>
  <c r="AT97" i="122" s="1"/>
  <c r="S97" i="122"/>
  <c r="CZ96" i="122"/>
  <c r="BG97" i="122" s="1"/>
  <c r="K97" i="122"/>
  <c r="CR96" i="122"/>
  <c r="AY97" i="122" s="1"/>
  <c r="CN96" i="122"/>
  <c r="AU97" i="122" s="1"/>
  <c r="G97" i="122"/>
  <c r="S100" i="120"/>
  <c r="Z99" i="120"/>
  <c r="AE99" i="120" s="1"/>
  <c r="P100" i="120" s="1"/>
  <c r="X99" i="120"/>
  <c r="AC99" i="120" s="1"/>
  <c r="D100" i="120" s="1"/>
  <c r="W99" i="120"/>
  <c r="AB99" i="120" s="1"/>
  <c r="M100" i="120" s="1"/>
  <c r="Y99" i="120"/>
  <c r="AD99" i="120" s="1"/>
  <c r="E100" i="120" s="1"/>
  <c r="B100" i="120"/>
  <c r="L100" i="120"/>
  <c r="J125" i="119"/>
  <c r="B126" i="119"/>
  <c r="H126" i="119" s="1"/>
  <c r="U56" i="117" l="1" a="1"/>
  <c r="U56" i="117" s="1"/>
  <c r="AH56" i="117" s="1"/>
  <c r="BN97" i="122"/>
  <c r="DE96" i="122"/>
  <c r="AP97" i="122"/>
  <c r="BJ97" i="122" s="1"/>
  <c r="DC97" i="122" s="1"/>
  <c r="BK97" i="122"/>
  <c r="AH99" i="120"/>
  <c r="F100" i="120"/>
  <c r="O100" i="120"/>
  <c r="C100" i="120"/>
  <c r="N100" i="120"/>
  <c r="R100" i="120"/>
  <c r="Q100" i="120"/>
  <c r="AF100" i="120" s="1"/>
  <c r="B127" i="119"/>
  <c r="H127" i="119" s="1"/>
  <c r="J126" i="119"/>
  <c r="Z56" i="117"/>
  <c r="W56" i="117"/>
  <c r="Y56" i="117"/>
  <c r="X56" i="117"/>
  <c r="AA56" i="117"/>
  <c r="AB56" i="117" s="1"/>
  <c r="V56" i="117"/>
  <c r="CG97" i="122" l="1"/>
  <c r="CD97" i="122"/>
  <c r="CA97" i="122"/>
  <c r="CH97" i="122"/>
  <c r="BS97" i="122"/>
  <c r="BQ97" i="122"/>
  <c r="CE97" i="122"/>
  <c r="BO97" i="122"/>
  <c r="BR97" i="122"/>
  <c r="CF97" i="122"/>
  <c r="BP97" i="122"/>
  <c r="BY97" i="122"/>
  <c r="BW97" i="122"/>
  <c r="BT97" i="122"/>
  <c r="CC97" i="122"/>
  <c r="BZ97" i="122"/>
  <c r="BU97" i="122"/>
  <c r="CB97" i="122"/>
  <c r="BL98" i="122"/>
  <c r="DD97" i="122"/>
  <c r="BX97" i="122"/>
  <c r="BV97" i="122"/>
  <c r="U100" i="120"/>
  <c r="V100" i="120" s="1"/>
  <c r="AA100" i="120" s="1"/>
  <c r="S101" i="120"/>
  <c r="AG100" i="120"/>
  <c r="J127" i="119"/>
  <c r="B128" i="119"/>
  <c r="H128" i="119" s="1"/>
  <c r="AC56" i="117"/>
  <c r="AJ56" i="117"/>
  <c r="P57" i="117"/>
  <c r="AE56" i="117" l="1"/>
  <c r="AD57" i="117" s="1"/>
  <c r="AF56" i="117" a="1"/>
  <c r="AF56" i="117" s="1"/>
  <c r="R57" i="117"/>
  <c r="CS97" i="122"/>
  <c r="AZ98" i="122" s="1"/>
  <c r="L98" i="122"/>
  <c r="CO97" i="122"/>
  <c r="AV98" i="122" s="1"/>
  <c r="H98" i="122"/>
  <c r="C98" i="122"/>
  <c r="CJ97" i="122"/>
  <c r="AQ98" i="122" s="1"/>
  <c r="F98" i="122"/>
  <c r="CM97" i="122"/>
  <c r="AT98" i="122" s="1"/>
  <c r="CK97" i="122"/>
  <c r="AR98" i="122" s="1"/>
  <c r="D98" i="122"/>
  <c r="CP97" i="122"/>
  <c r="AW98" i="122" s="1"/>
  <c r="I98" i="122"/>
  <c r="M98" i="122"/>
  <c r="CT97" i="122"/>
  <c r="BA98" i="122" s="1"/>
  <c r="S98" i="122"/>
  <c r="CZ97" i="122"/>
  <c r="BG98" i="122" s="1"/>
  <c r="U98" i="122"/>
  <c r="DB97" i="122"/>
  <c r="BI98" i="122" s="1"/>
  <c r="K98" i="122"/>
  <c r="CR97" i="122"/>
  <c r="AY98" i="122" s="1"/>
  <c r="P98" i="122"/>
  <c r="CW97" i="122"/>
  <c r="BD98" i="122" s="1"/>
  <c r="CL97" i="122"/>
  <c r="AS98" i="122" s="1"/>
  <c r="E98" i="122"/>
  <c r="N98" i="122"/>
  <c r="CU97" i="122"/>
  <c r="BB98" i="122" s="1"/>
  <c r="O98" i="122"/>
  <c r="CV97" i="122"/>
  <c r="BC98" i="122" s="1"/>
  <c r="G98" i="122"/>
  <c r="CN97" i="122"/>
  <c r="AU98" i="122" s="1"/>
  <c r="CI97" i="122"/>
  <c r="B98" i="122"/>
  <c r="CX97" i="122"/>
  <c r="BE98" i="122" s="1"/>
  <c r="Q98" i="122"/>
  <c r="J98" i="122"/>
  <c r="CQ97" i="122"/>
  <c r="AX98" i="122" s="1"/>
  <c r="CY97" i="122"/>
  <c r="BF98" i="122" s="1"/>
  <c r="R98" i="122"/>
  <c r="T98" i="122"/>
  <c r="DA97" i="122"/>
  <c r="BH98" i="122" s="1"/>
  <c r="L101" i="120"/>
  <c r="Q101" i="120" s="1"/>
  <c r="AF101" i="120" s="1"/>
  <c r="AG101" i="120" s="1"/>
  <c r="W100" i="120"/>
  <c r="AB100" i="120" s="1"/>
  <c r="C101" i="120" s="1"/>
  <c r="X100" i="120"/>
  <c r="AC100" i="120" s="1"/>
  <c r="N101" i="120" s="1"/>
  <c r="Y100" i="120"/>
  <c r="AD100" i="120" s="1"/>
  <c r="E101" i="120" s="1"/>
  <c r="B101" i="120"/>
  <c r="Z100" i="120"/>
  <c r="AE100" i="120" s="1"/>
  <c r="F101" i="120" s="1"/>
  <c r="J128" i="119"/>
  <c r="B129" i="119"/>
  <c r="H129" i="119" s="1"/>
  <c r="AG56" i="117"/>
  <c r="AI56" i="117" s="1"/>
  <c r="Q57" i="117" s="1"/>
  <c r="S57" i="117"/>
  <c r="BK98" i="122" l="1"/>
  <c r="BN98" i="122"/>
  <c r="DE97" i="122"/>
  <c r="AP98" i="122"/>
  <c r="BJ98" i="122" s="1"/>
  <c r="DC98" i="122" s="1"/>
  <c r="R101" i="120"/>
  <c r="AH100" i="120"/>
  <c r="D101" i="120"/>
  <c r="U101" i="120" s="1"/>
  <c r="V101" i="120" s="1"/>
  <c r="AA101" i="120" s="1"/>
  <c r="O101" i="120"/>
  <c r="M101" i="120"/>
  <c r="P101" i="120"/>
  <c r="S102" i="120"/>
  <c r="B130" i="119"/>
  <c r="H130" i="119" s="1"/>
  <c r="J129" i="119"/>
  <c r="AK56" i="117"/>
  <c r="T57" i="117"/>
  <c r="W57" i="117" l="1"/>
  <c r="U57" i="117" a="1"/>
  <c r="U57" i="117" s="1"/>
  <c r="AH57" i="117" s="1"/>
  <c r="BW98" i="122"/>
  <c r="BS98" i="122"/>
  <c r="CA98" i="122"/>
  <c r="BU98" i="122"/>
  <c r="BQ98" i="122"/>
  <c r="CH98" i="122"/>
  <c r="CG98" i="122"/>
  <c r="BX98" i="122"/>
  <c r="CE98" i="122"/>
  <c r="BP98" i="122"/>
  <c r="CC98" i="122"/>
  <c r="BO98" i="122"/>
  <c r="BT98" i="122"/>
  <c r="BY98" i="122"/>
  <c r="CF98" i="122"/>
  <c r="BZ98" i="122"/>
  <c r="CB98" i="122"/>
  <c r="CD98" i="122"/>
  <c r="BV98" i="122"/>
  <c r="DD98" i="122"/>
  <c r="BL99" i="122"/>
  <c r="BR98" i="122"/>
  <c r="B102" i="120"/>
  <c r="L102" i="120"/>
  <c r="Q102" i="120" s="1"/>
  <c r="AF102" i="120" s="1"/>
  <c r="S103" i="120" s="1"/>
  <c r="Y101" i="120"/>
  <c r="AD101" i="120" s="1"/>
  <c r="O102" i="120" s="1"/>
  <c r="X101" i="120"/>
  <c r="AC101" i="120" s="1"/>
  <c r="N102" i="120" s="1"/>
  <c r="W101" i="120"/>
  <c r="AB101" i="120" s="1"/>
  <c r="M102" i="120" s="1"/>
  <c r="Z101" i="120"/>
  <c r="AE101" i="120" s="1"/>
  <c r="F102" i="120" s="1"/>
  <c r="J130" i="119"/>
  <c r="B131" i="119"/>
  <c r="H131" i="119" s="1"/>
  <c r="Z57" i="117"/>
  <c r="Y57" i="117"/>
  <c r="AA57" i="117"/>
  <c r="AB57" i="117" s="1"/>
  <c r="X57" i="117"/>
  <c r="V57" i="117"/>
  <c r="U99" i="122" l="1"/>
  <c r="DB98" i="122"/>
  <c r="BI99" i="122" s="1"/>
  <c r="O99" i="122"/>
  <c r="CV98" i="122"/>
  <c r="BC99" i="122" s="1"/>
  <c r="CW98" i="122"/>
  <c r="BD99" i="122" s="1"/>
  <c r="P99" i="122"/>
  <c r="CK98" i="122"/>
  <c r="AR99" i="122" s="1"/>
  <c r="D99" i="122"/>
  <c r="E99" i="122"/>
  <c r="CL98" i="122"/>
  <c r="AS99" i="122" s="1"/>
  <c r="CT98" i="122"/>
  <c r="BA99" i="122" s="1"/>
  <c r="M99" i="122"/>
  <c r="CJ98" i="122"/>
  <c r="AQ99" i="122" s="1"/>
  <c r="C99" i="122"/>
  <c r="CO98" i="122"/>
  <c r="AV99" i="122" s="1"/>
  <c r="H99" i="122"/>
  <c r="S99" i="122"/>
  <c r="CZ98" i="122"/>
  <c r="BG99" i="122" s="1"/>
  <c r="CY98" i="122"/>
  <c r="BF99" i="122" s="1"/>
  <c r="R99" i="122"/>
  <c r="CU98" i="122"/>
  <c r="BB99" i="122" s="1"/>
  <c r="N99" i="122"/>
  <c r="B99" i="122"/>
  <c r="CI98" i="122"/>
  <c r="L99" i="122"/>
  <c r="CS98" i="122"/>
  <c r="AZ99" i="122" s="1"/>
  <c r="K99" i="122"/>
  <c r="CR98" i="122"/>
  <c r="AY99" i="122" s="1"/>
  <c r="F99" i="122"/>
  <c r="CM98" i="122"/>
  <c r="AT99" i="122" s="1"/>
  <c r="CX98" i="122"/>
  <c r="BE99" i="122" s="1"/>
  <c r="Q99" i="122"/>
  <c r="I99" i="122"/>
  <c r="CP98" i="122"/>
  <c r="AW99" i="122" s="1"/>
  <c r="G99" i="122"/>
  <c r="CN98" i="122"/>
  <c r="AU99" i="122" s="1"/>
  <c r="DA98" i="122"/>
  <c r="BH99" i="122" s="1"/>
  <c r="T99" i="122"/>
  <c r="J99" i="122"/>
  <c r="CQ98" i="122"/>
  <c r="AX99" i="122" s="1"/>
  <c r="AH101" i="120"/>
  <c r="R102" i="120"/>
  <c r="E102" i="120"/>
  <c r="D102" i="120"/>
  <c r="AG102" i="120"/>
  <c r="C102" i="120"/>
  <c r="P102" i="120"/>
  <c r="B132" i="119"/>
  <c r="H132" i="119" s="1"/>
  <c r="J131" i="119"/>
  <c r="AE57" i="117"/>
  <c r="AD58" i="117" s="1"/>
  <c r="AG57" i="117"/>
  <c r="AI57" i="117" s="1"/>
  <c r="AC57" i="117"/>
  <c r="AF57" i="117" s="1" a="1"/>
  <c r="AF57" i="117" s="1"/>
  <c r="AJ57" i="117"/>
  <c r="P58" i="117"/>
  <c r="R58" i="117" l="1"/>
  <c r="S58" i="117" s="1"/>
  <c r="DE98" i="122"/>
  <c r="AP99" i="122"/>
  <c r="BJ99" i="122" s="1"/>
  <c r="DC99" i="122" s="1"/>
  <c r="BN99" i="122"/>
  <c r="CC99" i="122" s="1"/>
  <c r="BK99" i="122"/>
  <c r="U102" i="120"/>
  <c r="V102" i="120" s="1"/>
  <c r="AA102" i="120" s="1"/>
  <c r="J132" i="119"/>
  <c r="B133" i="119"/>
  <c r="H133" i="119" s="1"/>
  <c r="AK57" i="117"/>
  <c r="Q58" i="117"/>
  <c r="CW99" i="122" l="1"/>
  <c r="BD100" i="122" s="1"/>
  <c r="P100" i="122"/>
  <c r="BL100" i="122"/>
  <c r="DD99" i="122"/>
  <c r="CA99" i="122"/>
  <c r="BZ99" i="122"/>
  <c r="CF99" i="122"/>
  <c r="CD99" i="122"/>
  <c r="BR99" i="122"/>
  <c r="BW99" i="122"/>
  <c r="CH99" i="122"/>
  <c r="BY99" i="122"/>
  <c r="BX99" i="122"/>
  <c r="BQ99" i="122"/>
  <c r="BU99" i="122"/>
  <c r="BV99" i="122"/>
  <c r="BO99" i="122"/>
  <c r="CB99" i="122"/>
  <c r="BT99" i="122"/>
  <c r="CG99" i="122"/>
  <c r="BP99" i="122"/>
  <c r="CE99" i="122"/>
  <c r="BS99" i="122"/>
  <c r="L103" i="120"/>
  <c r="Q103" i="120" s="1"/>
  <c r="AF103" i="120" s="1"/>
  <c r="S104" i="120" s="1"/>
  <c r="Y102" i="120"/>
  <c r="AD102" i="120" s="1"/>
  <c r="E103" i="120" s="1"/>
  <c r="W102" i="120"/>
  <c r="AB102" i="120" s="1"/>
  <c r="C103" i="120" s="1"/>
  <c r="B103" i="120"/>
  <c r="X102" i="120"/>
  <c r="AC102" i="120" s="1"/>
  <c r="D103" i="120" s="1"/>
  <c r="Z102" i="120"/>
  <c r="AE102" i="120" s="1"/>
  <c r="P103" i="120" s="1"/>
  <c r="J133" i="119"/>
  <c r="B134" i="119"/>
  <c r="H134" i="119" s="1"/>
  <c r="T58" i="117"/>
  <c r="X58" i="117" l="1"/>
  <c r="U58" i="117" a="1"/>
  <c r="U58" i="117" s="1"/>
  <c r="CV99" i="122"/>
  <c r="BC100" i="122" s="1"/>
  <c r="O100" i="122"/>
  <c r="F100" i="122"/>
  <c r="CM99" i="122"/>
  <c r="AT100" i="122" s="1"/>
  <c r="CU99" i="122"/>
  <c r="BB100" i="122" s="1"/>
  <c r="N100" i="122"/>
  <c r="CY99" i="122"/>
  <c r="BF100" i="122" s="1"/>
  <c r="R100" i="122"/>
  <c r="CP99" i="122"/>
  <c r="AW100" i="122" s="1"/>
  <c r="I100" i="122"/>
  <c r="CQ99" i="122"/>
  <c r="AX100" i="122" s="1"/>
  <c r="J100" i="122"/>
  <c r="U100" i="122"/>
  <c r="DB99" i="122"/>
  <c r="BI100" i="122" s="1"/>
  <c r="C100" i="122"/>
  <c r="CJ99" i="122"/>
  <c r="AQ100" i="122" s="1"/>
  <c r="CO99" i="122"/>
  <c r="AV100" i="122" s="1"/>
  <c r="H100" i="122"/>
  <c r="CL99" i="122"/>
  <c r="AS100" i="122" s="1"/>
  <c r="E100" i="122"/>
  <c r="CS99" i="122"/>
  <c r="AZ100" i="122" s="1"/>
  <c r="L100" i="122"/>
  <c r="CI99" i="122"/>
  <c r="B100" i="122"/>
  <c r="DA99" i="122"/>
  <c r="BH100" i="122" s="1"/>
  <c r="T100" i="122"/>
  <c r="CK99" i="122"/>
  <c r="AR100" i="122" s="1"/>
  <c r="D100" i="122"/>
  <c r="CX99" i="122"/>
  <c r="BE100" i="122" s="1"/>
  <c r="Q100" i="122"/>
  <c r="M100" i="122"/>
  <c r="CT99" i="122"/>
  <c r="BA100" i="122" s="1"/>
  <c r="CN99" i="122"/>
  <c r="AU100" i="122" s="1"/>
  <c r="G100" i="122"/>
  <c r="K100" i="122"/>
  <c r="CR99" i="122"/>
  <c r="AY100" i="122" s="1"/>
  <c r="CZ99" i="122"/>
  <c r="BG100" i="122" s="1"/>
  <c r="S100" i="122"/>
  <c r="R103" i="120"/>
  <c r="AG103" i="120"/>
  <c r="AH102" i="120"/>
  <c r="M103" i="120"/>
  <c r="N103" i="120"/>
  <c r="O103" i="120"/>
  <c r="F103" i="120"/>
  <c r="U103" i="120" s="1"/>
  <c r="V103" i="120" s="1"/>
  <c r="AA103" i="120" s="1"/>
  <c r="B135" i="119"/>
  <c r="H135" i="119" s="1"/>
  <c r="J134" i="119"/>
  <c r="Z58" i="117"/>
  <c r="Y58" i="117"/>
  <c r="AA58" i="117"/>
  <c r="AB58" i="117" s="1"/>
  <c r="W58" i="117"/>
  <c r="V58" i="117"/>
  <c r="DE99" i="122" l="1"/>
  <c r="AP100" i="122"/>
  <c r="BJ100" i="122" s="1"/>
  <c r="DC100" i="122" s="1"/>
  <c r="BN100" i="122"/>
  <c r="BW100" i="122" s="1"/>
  <c r="BK100" i="122"/>
  <c r="L104" i="120"/>
  <c r="R104" i="120" s="1"/>
  <c r="B104" i="120"/>
  <c r="Y103" i="120"/>
  <c r="AD103" i="120" s="1"/>
  <c r="E104" i="120" s="1"/>
  <c r="X103" i="120"/>
  <c r="AC103" i="120" s="1"/>
  <c r="N104" i="120" s="1"/>
  <c r="Z103" i="120"/>
  <c r="AE103" i="120" s="1"/>
  <c r="F104" i="120" s="1"/>
  <c r="W103" i="120"/>
  <c r="AB103" i="120" s="1"/>
  <c r="M104" i="120" s="1"/>
  <c r="B136" i="119"/>
  <c r="H136" i="119" s="1"/>
  <c r="J135" i="119"/>
  <c r="AE58" i="117"/>
  <c r="AD59" i="117" s="1"/>
  <c r="AG58" i="117"/>
  <c r="AI58" i="117" s="1"/>
  <c r="AC58" i="117"/>
  <c r="AF58" i="117" s="1" a="1"/>
  <c r="AF58" i="117" s="1"/>
  <c r="AH58" i="117"/>
  <c r="J101" i="122" l="1"/>
  <c r="CQ100" i="122"/>
  <c r="AX101" i="122" s="1"/>
  <c r="CA100" i="122"/>
  <c r="DD100" i="122"/>
  <c r="BL101" i="122"/>
  <c r="BX100" i="122"/>
  <c r="BS100" i="122"/>
  <c r="BZ100" i="122"/>
  <c r="BR100" i="122"/>
  <c r="CE100" i="122"/>
  <c r="CC100" i="122"/>
  <c r="CF100" i="122"/>
  <c r="BY100" i="122"/>
  <c r="BT100" i="122"/>
  <c r="CG100" i="122"/>
  <c r="BU100" i="122"/>
  <c r="BP100" i="122"/>
  <c r="BQ100" i="122"/>
  <c r="BV100" i="122"/>
  <c r="CH100" i="122"/>
  <c r="CB100" i="122"/>
  <c r="CD100" i="122"/>
  <c r="BO100" i="122"/>
  <c r="Q104" i="120"/>
  <c r="AF104" i="120" s="1"/>
  <c r="S105" i="120" s="1"/>
  <c r="AH103" i="120"/>
  <c r="O104" i="120"/>
  <c r="P104" i="120"/>
  <c r="D104" i="120"/>
  <c r="C104" i="120"/>
  <c r="B137" i="119"/>
  <c r="H137" i="119" s="1"/>
  <c r="J136" i="119"/>
  <c r="AK58" i="117"/>
  <c r="Q59" i="117"/>
  <c r="AJ58" i="117"/>
  <c r="P59" i="117"/>
  <c r="R59" i="117" l="1"/>
  <c r="S59" i="117" s="1"/>
  <c r="T59" i="117" s="1"/>
  <c r="W59" i="117" s="1"/>
  <c r="CI100" i="122"/>
  <c r="B101" i="122"/>
  <c r="CX100" i="122"/>
  <c r="BE101" i="122" s="1"/>
  <c r="Q101" i="122"/>
  <c r="H101" i="122"/>
  <c r="CO100" i="122"/>
  <c r="AV101" i="122" s="1"/>
  <c r="R101" i="122"/>
  <c r="CY100" i="122"/>
  <c r="BF101" i="122" s="1"/>
  <c r="CK100" i="122"/>
  <c r="AR101" i="122" s="1"/>
  <c r="D101" i="122"/>
  <c r="CV100" i="122"/>
  <c r="BC101" i="122" s="1"/>
  <c r="O101" i="122"/>
  <c r="T101" i="122"/>
  <c r="DA100" i="122"/>
  <c r="BH101" i="122" s="1"/>
  <c r="CL100" i="122"/>
  <c r="AS101" i="122" s="1"/>
  <c r="E101" i="122"/>
  <c r="CU100" i="122"/>
  <c r="BB101" i="122" s="1"/>
  <c r="N101" i="122"/>
  <c r="S101" i="122"/>
  <c r="CZ100" i="122"/>
  <c r="BG101" i="122" s="1"/>
  <c r="CJ100" i="122"/>
  <c r="AQ101" i="122" s="1"/>
  <c r="C101" i="122"/>
  <c r="DB100" i="122"/>
  <c r="BI101" i="122" s="1"/>
  <c r="U101" i="122"/>
  <c r="G101" i="122"/>
  <c r="CN100" i="122"/>
  <c r="AU101" i="122" s="1"/>
  <c r="M101" i="122"/>
  <c r="CT100" i="122"/>
  <c r="BA101" i="122" s="1"/>
  <c r="CR100" i="122"/>
  <c r="AY101" i="122" s="1"/>
  <c r="K101" i="122"/>
  <c r="CW100" i="122"/>
  <c r="BD101" i="122" s="1"/>
  <c r="P101" i="122"/>
  <c r="I101" i="122"/>
  <c r="CP100" i="122"/>
  <c r="AW101" i="122" s="1"/>
  <c r="CS100" i="122"/>
  <c r="AZ101" i="122" s="1"/>
  <c r="L101" i="122"/>
  <c r="F101" i="122"/>
  <c r="CM100" i="122"/>
  <c r="AT101" i="122" s="1"/>
  <c r="U104" i="120"/>
  <c r="Y104" i="120" s="1"/>
  <c r="AD104" i="120" s="1"/>
  <c r="E105" i="120" s="1"/>
  <c r="AG104" i="120"/>
  <c r="B138" i="119"/>
  <c r="H138" i="119" s="1"/>
  <c r="J137" i="119"/>
  <c r="U59" i="117" l="1" a="1"/>
  <c r="U59" i="117" s="1"/>
  <c r="BK101" i="122"/>
  <c r="BN101" i="122"/>
  <c r="BU101" i="122" s="1"/>
  <c r="DE100" i="122"/>
  <c r="AP101" i="122"/>
  <c r="BJ101" i="122" s="1"/>
  <c r="DC101" i="122" s="1"/>
  <c r="X104" i="120"/>
  <c r="AC104" i="120" s="1"/>
  <c r="D105" i="120" s="1"/>
  <c r="W104" i="120"/>
  <c r="AB104" i="120" s="1"/>
  <c r="C105" i="120" s="1"/>
  <c r="O105" i="120"/>
  <c r="V104" i="120"/>
  <c r="AA104" i="120" s="1"/>
  <c r="L105" i="120" s="1"/>
  <c r="Z104" i="120"/>
  <c r="AE104" i="120" s="1"/>
  <c r="P105" i="120" s="1"/>
  <c r="J138" i="119"/>
  <c r="B139" i="119"/>
  <c r="H139" i="119" s="1"/>
  <c r="AA59" i="117"/>
  <c r="AB59" i="117" s="1"/>
  <c r="V59" i="117"/>
  <c r="X59" i="117"/>
  <c r="Z59" i="117"/>
  <c r="Y59" i="117"/>
  <c r="CA101" i="122" l="1"/>
  <c r="CU101" i="122" s="1"/>
  <c r="BB102" i="122" s="1"/>
  <c r="CB101" i="122"/>
  <c r="CV101" i="122" s="1"/>
  <c r="BC102" i="122" s="1"/>
  <c r="CO101" i="122"/>
  <c r="AV102" i="122" s="1"/>
  <c r="H102" i="122"/>
  <c r="N102" i="122"/>
  <c r="DD101" i="122"/>
  <c r="BL102" i="122"/>
  <c r="BX101" i="122"/>
  <c r="O102" i="122"/>
  <c r="BR101" i="122"/>
  <c r="BT101" i="122"/>
  <c r="CF101" i="122"/>
  <c r="BP101" i="122"/>
  <c r="CG101" i="122"/>
  <c r="BV101" i="122"/>
  <c r="CE101" i="122"/>
  <c r="BW101" i="122"/>
  <c r="BO101" i="122"/>
  <c r="BS101" i="122"/>
  <c r="BQ101" i="122"/>
  <c r="CD101" i="122"/>
  <c r="BZ101" i="122"/>
  <c r="CH101" i="122"/>
  <c r="CC101" i="122"/>
  <c r="BY101" i="122"/>
  <c r="M105" i="120"/>
  <c r="B105" i="120"/>
  <c r="AH104" i="120"/>
  <c r="F105" i="120"/>
  <c r="N105" i="120"/>
  <c r="R105" i="120"/>
  <c r="Q105" i="120"/>
  <c r="AF105" i="120" s="1"/>
  <c r="J139" i="119"/>
  <c r="B140" i="119"/>
  <c r="H140" i="119" s="1"/>
  <c r="AC59" i="117"/>
  <c r="AH59" i="117"/>
  <c r="AE59" i="117" l="1"/>
  <c r="AD60" i="117" s="1"/>
  <c r="AF59" i="117" a="1"/>
  <c r="AF59" i="117" s="1"/>
  <c r="CS101" i="122"/>
  <c r="AZ102" i="122" s="1"/>
  <c r="L102" i="122"/>
  <c r="F102" i="122"/>
  <c r="CM101" i="122"/>
  <c r="AT102" i="122" s="1"/>
  <c r="CJ101" i="122"/>
  <c r="AQ102" i="122" s="1"/>
  <c r="C102" i="122"/>
  <c r="CW101" i="122"/>
  <c r="BD102" i="122" s="1"/>
  <c r="P102" i="122"/>
  <c r="B102" i="122"/>
  <c r="CI101" i="122"/>
  <c r="S102" i="122"/>
  <c r="CZ101" i="122"/>
  <c r="BG102" i="122" s="1"/>
  <c r="DB101" i="122"/>
  <c r="BI102" i="122" s="1"/>
  <c r="U102" i="122"/>
  <c r="J102" i="122"/>
  <c r="CQ101" i="122"/>
  <c r="AX102" i="122" s="1"/>
  <c r="G102" i="122"/>
  <c r="CN101" i="122"/>
  <c r="AU102" i="122" s="1"/>
  <c r="DA101" i="122"/>
  <c r="BH102" i="122" s="1"/>
  <c r="T102" i="122"/>
  <c r="CT101" i="122"/>
  <c r="BA102" i="122" s="1"/>
  <c r="M102" i="122"/>
  <c r="R102" i="122"/>
  <c r="CY101" i="122"/>
  <c r="BF102" i="122" s="1"/>
  <c r="CL101" i="122"/>
  <c r="AS102" i="122" s="1"/>
  <c r="E102" i="122"/>
  <c r="D102" i="122"/>
  <c r="CK101" i="122"/>
  <c r="AR102" i="122" s="1"/>
  <c r="K102" i="122"/>
  <c r="CR101" i="122"/>
  <c r="AY102" i="122" s="1"/>
  <c r="Q102" i="122"/>
  <c r="CX101" i="122"/>
  <c r="BE102" i="122" s="1"/>
  <c r="CP101" i="122"/>
  <c r="AW102" i="122" s="1"/>
  <c r="I102" i="122"/>
  <c r="U105" i="120"/>
  <c r="W105" i="120" s="1"/>
  <c r="AB105" i="120" s="1"/>
  <c r="C106" i="120" s="1"/>
  <c r="AG105" i="120"/>
  <c r="S106" i="120"/>
  <c r="B141" i="119"/>
  <c r="H141" i="119" s="1"/>
  <c r="J140" i="119"/>
  <c r="AG59" i="117"/>
  <c r="AI59" i="117" s="1"/>
  <c r="AK59" i="117" s="1"/>
  <c r="AJ59" i="117"/>
  <c r="P60" i="117"/>
  <c r="R60" i="117" l="1"/>
  <c r="S60" i="117" s="1"/>
  <c r="T60" i="117" s="1"/>
  <c r="BN102" i="122"/>
  <c r="BT102" i="122" s="1"/>
  <c r="AP102" i="122"/>
  <c r="BJ102" i="122" s="1"/>
  <c r="DC102" i="122" s="1"/>
  <c r="DE101" i="122"/>
  <c r="BK102" i="122"/>
  <c r="Z105" i="120"/>
  <c r="AE105" i="120" s="1"/>
  <c r="P106" i="120" s="1"/>
  <c r="Y105" i="120"/>
  <c r="AD105" i="120" s="1"/>
  <c r="O106" i="120" s="1"/>
  <c r="X105" i="120"/>
  <c r="AC105" i="120" s="1"/>
  <c r="D106" i="120" s="1"/>
  <c r="M106" i="120"/>
  <c r="V105" i="120"/>
  <c r="AA105" i="120" s="1"/>
  <c r="B106" i="120" s="1"/>
  <c r="B142" i="119"/>
  <c r="H142" i="119" s="1"/>
  <c r="J141" i="119"/>
  <c r="Q60" i="117"/>
  <c r="BQ102" i="122" l="1"/>
  <c r="U60" i="117" a="1"/>
  <c r="U60" i="117" s="1"/>
  <c r="AH60" i="117" s="1"/>
  <c r="CF102" i="122"/>
  <c r="S103" i="122" s="1"/>
  <c r="CH102" i="122"/>
  <c r="CG102" i="122"/>
  <c r="T103" i="122" s="1"/>
  <c r="CE102" i="122"/>
  <c r="G103" i="122"/>
  <c r="CN102" i="122"/>
  <c r="AU103" i="122" s="1"/>
  <c r="CK102" i="122"/>
  <c r="AR103" i="122" s="1"/>
  <c r="D103" i="122"/>
  <c r="DD102" i="122"/>
  <c r="BL103" i="122"/>
  <c r="CD102" i="122"/>
  <c r="BR102" i="122"/>
  <c r="BX102" i="122"/>
  <c r="BS102" i="122"/>
  <c r="BZ102" i="122"/>
  <c r="BY102" i="122"/>
  <c r="BO102" i="122"/>
  <c r="BV102" i="122"/>
  <c r="BP102" i="122"/>
  <c r="CC102" i="122"/>
  <c r="BW102" i="122"/>
  <c r="CZ102" i="122"/>
  <c r="BG103" i="122" s="1"/>
  <c r="U103" i="122"/>
  <c r="DB102" i="122"/>
  <c r="BI103" i="122" s="1"/>
  <c r="CY102" i="122"/>
  <c r="BF103" i="122" s="1"/>
  <c r="R103" i="122"/>
  <c r="BU102" i="122"/>
  <c r="CB102" i="122"/>
  <c r="CA102" i="122"/>
  <c r="N106" i="120"/>
  <c r="F106" i="120"/>
  <c r="AH105" i="120"/>
  <c r="L106" i="120"/>
  <c r="R106" i="120" s="1"/>
  <c r="E106" i="120"/>
  <c r="B143" i="119"/>
  <c r="H143" i="119" s="1"/>
  <c r="J142" i="119"/>
  <c r="V60" i="117"/>
  <c r="AA60" i="117"/>
  <c r="AB60" i="117" s="1"/>
  <c r="Z60" i="117"/>
  <c r="Y60" i="117"/>
  <c r="W60" i="117"/>
  <c r="X60" i="117"/>
  <c r="DA102" i="122" l="1"/>
  <c r="BH103" i="122" s="1"/>
  <c r="CJ102" i="122"/>
  <c r="AQ103" i="122" s="1"/>
  <c r="C103" i="122"/>
  <c r="K103" i="122"/>
  <c r="CR102" i="122"/>
  <c r="AY103" i="122" s="1"/>
  <c r="N103" i="122"/>
  <c r="CU102" i="122"/>
  <c r="BB103" i="122" s="1"/>
  <c r="CP102" i="122"/>
  <c r="AW103" i="122" s="1"/>
  <c r="I103" i="122"/>
  <c r="E103" i="122"/>
  <c r="CL102" i="122"/>
  <c r="AS103" i="122" s="1"/>
  <c r="CW102" i="122"/>
  <c r="BD103" i="122" s="1"/>
  <c r="P103" i="122"/>
  <c r="CV102" i="122"/>
  <c r="BC103" i="122" s="1"/>
  <c r="O103" i="122"/>
  <c r="CI102" i="122"/>
  <c r="B103" i="122"/>
  <c r="CX102" i="122"/>
  <c r="BE103" i="122" s="1"/>
  <c r="Q103" i="122"/>
  <c r="H103" i="122"/>
  <c r="CO102" i="122"/>
  <c r="AV103" i="122" s="1"/>
  <c r="L103" i="122"/>
  <c r="CS102" i="122"/>
  <c r="AZ103" i="122" s="1"/>
  <c r="CM102" i="122"/>
  <c r="AT103" i="122" s="1"/>
  <c r="F103" i="122"/>
  <c r="CQ102" i="122"/>
  <c r="AX103" i="122" s="1"/>
  <c r="J103" i="122"/>
  <c r="M103" i="122"/>
  <c r="CT102" i="122"/>
  <c r="BA103" i="122" s="1"/>
  <c r="Q106" i="120"/>
  <c r="AF106" i="120" s="1"/>
  <c r="S107" i="120" s="1"/>
  <c r="U106" i="120"/>
  <c r="X106" i="120" s="1"/>
  <c r="AC106" i="120" s="1"/>
  <c r="D107" i="120" s="1"/>
  <c r="J143" i="119"/>
  <c r="B144" i="119"/>
  <c r="H144" i="119" s="1"/>
  <c r="AE60" i="117"/>
  <c r="AD61" i="117" s="1"/>
  <c r="AG60" i="117"/>
  <c r="AI60" i="117" s="1"/>
  <c r="AC60" i="117"/>
  <c r="AF60" i="117" s="1" a="1"/>
  <c r="AF60" i="117" s="1"/>
  <c r="AJ60" i="117"/>
  <c r="P61" i="117"/>
  <c r="R61" i="117" l="1"/>
  <c r="AP103" i="122"/>
  <c r="BJ103" i="122" s="1"/>
  <c r="DC103" i="122" s="1"/>
  <c r="DE102" i="122"/>
  <c r="BN103" i="122"/>
  <c r="BK103" i="122"/>
  <c r="AG106" i="120"/>
  <c r="V106" i="120"/>
  <c r="AA106" i="120" s="1"/>
  <c r="B107" i="120" s="1"/>
  <c r="N107" i="120"/>
  <c r="W106" i="120"/>
  <c r="AB106" i="120" s="1"/>
  <c r="C107" i="120" s="1"/>
  <c r="Z106" i="120"/>
  <c r="AE106" i="120" s="1"/>
  <c r="P107" i="120" s="1"/>
  <c r="Y106" i="120"/>
  <c r="AD106" i="120" s="1"/>
  <c r="O107" i="120" s="1"/>
  <c r="B145" i="119"/>
  <c r="H145" i="119" s="1"/>
  <c r="J144" i="119"/>
  <c r="AK60" i="117"/>
  <c r="Q61" i="117"/>
  <c r="S61" i="117"/>
  <c r="CG103" i="122" l="1"/>
  <c r="BQ103" i="122"/>
  <c r="CF103" i="122"/>
  <c r="BT103" i="122"/>
  <c r="CE103" i="122"/>
  <c r="CH103" i="122"/>
  <c r="BR103" i="122"/>
  <c r="BL104" i="122"/>
  <c r="DD103" i="122"/>
  <c r="CC103" i="122"/>
  <c r="BP103" i="122"/>
  <c r="CB103" i="122"/>
  <c r="BY103" i="122"/>
  <c r="BS103" i="122"/>
  <c r="BV103" i="122"/>
  <c r="BU103" i="122"/>
  <c r="BW103" i="122"/>
  <c r="BZ103" i="122"/>
  <c r="CD103" i="122"/>
  <c r="BO103" i="122"/>
  <c r="BX103" i="122"/>
  <c r="CA103" i="122"/>
  <c r="L107" i="120"/>
  <c r="R107" i="120" s="1"/>
  <c r="AH106" i="120"/>
  <c r="E107" i="120"/>
  <c r="M107" i="120"/>
  <c r="F107" i="120"/>
  <c r="B146" i="119"/>
  <c r="H146" i="119" s="1"/>
  <c r="J145" i="119"/>
  <c r="T61" i="117"/>
  <c r="AA61" i="117" l="1"/>
  <c r="AB61" i="117" s="1"/>
  <c r="U61" i="117" a="1"/>
  <c r="U61" i="117" s="1"/>
  <c r="CT103" i="122"/>
  <c r="BA104" i="122" s="1"/>
  <c r="M104" i="122"/>
  <c r="CV103" i="122"/>
  <c r="BC104" i="122" s="1"/>
  <c r="O104" i="122"/>
  <c r="DB103" i="122"/>
  <c r="BI104" i="122" s="1"/>
  <c r="U104" i="122"/>
  <c r="J104" i="122"/>
  <c r="CQ103" i="122"/>
  <c r="AX104" i="122" s="1"/>
  <c r="CJ103" i="122"/>
  <c r="AQ104" i="122" s="1"/>
  <c r="C104" i="122"/>
  <c r="R104" i="122"/>
  <c r="CY103" i="122"/>
  <c r="BF104" i="122" s="1"/>
  <c r="N104" i="122"/>
  <c r="CU103" i="122"/>
  <c r="BB104" i="122" s="1"/>
  <c r="H104" i="122"/>
  <c r="CO103" i="122"/>
  <c r="AV104" i="122" s="1"/>
  <c r="P104" i="122"/>
  <c r="CW103" i="122"/>
  <c r="BD104" i="122" s="1"/>
  <c r="CN103" i="122"/>
  <c r="AU104" i="122" s="1"/>
  <c r="G104" i="122"/>
  <c r="K104" i="122"/>
  <c r="CR103" i="122"/>
  <c r="AY104" i="122" s="1"/>
  <c r="CP103" i="122"/>
  <c r="AW104" i="122" s="1"/>
  <c r="I104" i="122"/>
  <c r="S104" i="122"/>
  <c r="CZ103" i="122"/>
  <c r="BG104" i="122" s="1"/>
  <c r="B104" i="122"/>
  <c r="CI103" i="122"/>
  <c r="F104" i="122"/>
  <c r="CM103" i="122"/>
  <c r="AT104" i="122" s="1"/>
  <c r="CK103" i="122"/>
  <c r="AR104" i="122" s="1"/>
  <c r="D104" i="122"/>
  <c r="CX103" i="122"/>
  <c r="BE104" i="122" s="1"/>
  <c r="Q104" i="122"/>
  <c r="CS103" i="122"/>
  <c r="AZ104" i="122" s="1"/>
  <c r="L104" i="122"/>
  <c r="CL103" i="122"/>
  <c r="AS104" i="122" s="1"/>
  <c r="E104" i="122"/>
  <c r="T104" i="122"/>
  <c r="DA103" i="122"/>
  <c r="BH104" i="122" s="1"/>
  <c r="Q107" i="120"/>
  <c r="AF107" i="120" s="1"/>
  <c r="S108" i="120" s="1"/>
  <c r="U107" i="120"/>
  <c r="V107" i="120" s="1"/>
  <c r="AA107" i="120" s="1"/>
  <c r="L108" i="120" s="1"/>
  <c r="Q108" i="120" s="1"/>
  <c r="B147" i="119"/>
  <c r="H147" i="119" s="1"/>
  <c r="J146" i="119"/>
  <c r="V61" i="117"/>
  <c r="Y61" i="117"/>
  <c r="Z61" i="117"/>
  <c r="X61" i="117"/>
  <c r="W61" i="117"/>
  <c r="DE103" i="122" l="1"/>
  <c r="AP104" i="122"/>
  <c r="BJ104" i="122" s="1"/>
  <c r="DC104" i="122" s="1"/>
  <c r="BK104" i="122"/>
  <c r="BN104" i="122"/>
  <c r="CB104" i="122" s="1"/>
  <c r="X107" i="120"/>
  <c r="AC107" i="120" s="1"/>
  <c r="N108" i="120" s="1"/>
  <c r="Y107" i="120"/>
  <c r="AD107" i="120" s="1"/>
  <c r="E108" i="120" s="1"/>
  <c r="B108" i="120"/>
  <c r="Z107" i="120"/>
  <c r="AE107" i="120" s="1"/>
  <c r="P108" i="120" s="1"/>
  <c r="R108" i="120"/>
  <c r="AG107" i="120"/>
  <c r="AF108" i="120"/>
  <c r="AG108" i="120" s="1"/>
  <c r="W107" i="120"/>
  <c r="AB107" i="120" s="1"/>
  <c r="C108" i="120" s="1"/>
  <c r="J147" i="119"/>
  <c r="B148" i="119"/>
  <c r="H148" i="119" s="1"/>
  <c r="AC61" i="117"/>
  <c r="AF61" i="117" s="1" a="1"/>
  <c r="AF61" i="117" s="1"/>
  <c r="AH61" i="117"/>
  <c r="CE104" i="122" l="1"/>
  <c r="CV104" i="122"/>
  <c r="BC105" i="122" s="1"/>
  <c r="O105" i="122"/>
  <c r="BW104" i="122"/>
  <c r="CG104" i="122"/>
  <c r="BX104" i="122"/>
  <c r="CC104" i="122"/>
  <c r="CA104" i="122"/>
  <c r="BZ104" i="122"/>
  <c r="BP104" i="122"/>
  <c r="BS104" i="122"/>
  <c r="CF104" i="122"/>
  <c r="BT104" i="122"/>
  <c r="BL105" i="122"/>
  <c r="DD104" i="122"/>
  <c r="CH104" i="122"/>
  <c r="BU104" i="122"/>
  <c r="BQ104" i="122"/>
  <c r="BV104" i="122"/>
  <c r="BO104" i="122"/>
  <c r="BR104" i="122"/>
  <c r="CD104" i="122"/>
  <c r="BY104" i="122"/>
  <c r="D108" i="120"/>
  <c r="O108" i="120"/>
  <c r="F108" i="120"/>
  <c r="AH107" i="120"/>
  <c r="S109" i="120"/>
  <c r="M108" i="120"/>
  <c r="J148" i="119"/>
  <c r="B149" i="119"/>
  <c r="H149" i="119" s="1"/>
  <c r="AE61" i="117"/>
  <c r="AD62" i="117" s="1"/>
  <c r="AG61" i="117"/>
  <c r="AI61" i="117" s="1"/>
  <c r="AK61" i="117" s="1"/>
  <c r="AJ61" i="117"/>
  <c r="P62" i="117"/>
  <c r="R62" i="117" l="1"/>
  <c r="S62" i="117" s="1"/>
  <c r="T62" i="117" s="1"/>
  <c r="W62" i="117" s="1"/>
  <c r="CK104" i="122"/>
  <c r="AR105" i="122" s="1"/>
  <c r="D105" i="122"/>
  <c r="CZ104" i="122"/>
  <c r="BG105" i="122" s="1"/>
  <c r="S105" i="122"/>
  <c r="CR104" i="122"/>
  <c r="AY105" i="122" s="1"/>
  <c r="K105" i="122"/>
  <c r="CS104" i="122"/>
  <c r="AZ105" i="122" s="1"/>
  <c r="L105" i="122"/>
  <c r="CO104" i="122"/>
  <c r="AV105" i="122" s="1"/>
  <c r="H105" i="122"/>
  <c r="CM104" i="122"/>
  <c r="AT105" i="122" s="1"/>
  <c r="F105" i="122"/>
  <c r="T105" i="122"/>
  <c r="DA104" i="122"/>
  <c r="BH105" i="122" s="1"/>
  <c r="CX104" i="122"/>
  <c r="BE105" i="122" s="1"/>
  <c r="Q105" i="122"/>
  <c r="DB104" i="122"/>
  <c r="BI105" i="122" s="1"/>
  <c r="U105" i="122"/>
  <c r="C105" i="122"/>
  <c r="CJ104" i="122"/>
  <c r="AQ105" i="122" s="1"/>
  <c r="CQ104" i="122"/>
  <c r="AX105" i="122" s="1"/>
  <c r="J105" i="122"/>
  <c r="CL104" i="122"/>
  <c r="AS105" i="122" s="1"/>
  <c r="E105" i="122"/>
  <c r="M105" i="122"/>
  <c r="CT104" i="122"/>
  <c r="BA105" i="122" s="1"/>
  <c r="B105" i="122"/>
  <c r="CI104" i="122"/>
  <c r="CU104" i="122"/>
  <c r="BB105" i="122" s="1"/>
  <c r="N105" i="122"/>
  <c r="CP104" i="122"/>
  <c r="AW105" i="122" s="1"/>
  <c r="I105" i="122"/>
  <c r="G105" i="122"/>
  <c r="CN104" i="122"/>
  <c r="AU105" i="122" s="1"/>
  <c r="P105" i="122"/>
  <c r="CW104" i="122"/>
  <c r="BD105" i="122" s="1"/>
  <c r="CY104" i="122"/>
  <c r="BF105" i="122" s="1"/>
  <c r="R105" i="122"/>
  <c r="U108" i="120"/>
  <c r="V108" i="120" s="1"/>
  <c r="AA108" i="120" s="1"/>
  <c r="L109" i="120" s="1"/>
  <c r="R109" i="120" s="1"/>
  <c r="J149" i="119"/>
  <c r="B150" i="119"/>
  <c r="H150" i="119" s="1"/>
  <c r="Q62" i="117"/>
  <c r="U62" i="117" l="1" a="1"/>
  <c r="U62" i="117" s="1"/>
  <c r="DE104" i="122"/>
  <c r="AP105" i="122"/>
  <c r="BJ105" i="122" s="1"/>
  <c r="DC105" i="122" s="1"/>
  <c r="BK105" i="122"/>
  <c r="BN105" i="122"/>
  <c r="BS105" i="122" s="1"/>
  <c r="W108" i="120"/>
  <c r="AB108" i="120" s="1"/>
  <c r="C109" i="120" s="1"/>
  <c r="Y108" i="120"/>
  <c r="AD108" i="120" s="1"/>
  <c r="O109" i="120" s="1"/>
  <c r="Z108" i="120"/>
  <c r="AE108" i="120" s="1"/>
  <c r="F109" i="120" s="1"/>
  <c r="Q109" i="120"/>
  <c r="AF109" i="120" s="1"/>
  <c r="S110" i="120" s="1"/>
  <c r="B109" i="120"/>
  <c r="X108" i="120"/>
  <c r="AC108" i="120" s="1"/>
  <c r="N109" i="120" s="1"/>
  <c r="J150" i="119"/>
  <c r="B151" i="119"/>
  <c r="H151" i="119" s="1"/>
  <c r="X62" i="117"/>
  <c r="AA62" i="117"/>
  <c r="AB62" i="117" s="1"/>
  <c r="Y62" i="117"/>
  <c r="Z62" i="117"/>
  <c r="V62" i="117"/>
  <c r="BP105" i="122" l="1"/>
  <c r="F106" i="122"/>
  <c r="CM105" i="122"/>
  <c r="AT106" i="122" s="1"/>
  <c r="BY105" i="122"/>
  <c r="CF105" i="122"/>
  <c r="CC105" i="122"/>
  <c r="BV105" i="122"/>
  <c r="BU105" i="122"/>
  <c r="BX105" i="122"/>
  <c r="CG105" i="122"/>
  <c r="BO105" i="122"/>
  <c r="CD105" i="122"/>
  <c r="CJ105" i="122"/>
  <c r="AQ106" i="122" s="1"/>
  <c r="C106" i="122"/>
  <c r="CE105" i="122"/>
  <c r="CB105" i="122"/>
  <c r="BW105" i="122"/>
  <c r="CH105" i="122"/>
  <c r="BZ105" i="122"/>
  <c r="BT105" i="122"/>
  <c r="DD105" i="122"/>
  <c r="BL106" i="122"/>
  <c r="BR105" i="122"/>
  <c r="BQ105" i="122"/>
  <c r="CA105" i="122"/>
  <c r="E109" i="120"/>
  <c r="P109" i="120"/>
  <c r="M109" i="120"/>
  <c r="AG109" i="120"/>
  <c r="AH108" i="120"/>
  <c r="D109" i="120"/>
  <c r="J151" i="119"/>
  <c r="B152" i="119"/>
  <c r="H152" i="119" s="1"/>
  <c r="AE62" i="117"/>
  <c r="AD63" i="117" s="1"/>
  <c r="AG62" i="117"/>
  <c r="AI62" i="117" s="1"/>
  <c r="AC62" i="117"/>
  <c r="AF62" i="117" s="1" a="1"/>
  <c r="AF62" i="117" s="1"/>
  <c r="AH62" i="117"/>
  <c r="CU105" i="122" l="1"/>
  <c r="BB106" i="122" s="1"/>
  <c r="N106" i="122"/>
  <c r="M106" i="122"/>
  <c r="CT105" i="122"/>
  <c r="BA106" i="122" s="1"/>
  <c r="I106" i="122"/>
  <c r="CP105" i="122"/>
  <c r="AW106" i="122" s="1"/>
  <c r="D106" i="122"/>
  <c r="CK105" i="122"/>
  <c r="AR106" i="122" s="1"/>
  <c r="U106" i="122"/>
  <c r="DB105" i="122"/>
  <c r="BI106" i="122" s="1"/>
  <c r="CX105" i="122"/>
  <c r="BE106" i="122" s="1"/>
  <c r="Q106" i="122"/>
  <c r="P106" i="122"/>
  <c r="CW105" i="122"/>
  <c r="BD106" i="122" s="1"/>
  <c r="CL105" i="122"/>
  <c r="AS106" i="122" s="1"/>
  <c r="E106" i="122"/>
  <c r="CQ105" i="122"/>
  <c r="AX106" i="122" s="1"/>
  <c r="J106" i="122"/>
  <c r="CI105" i="122"/>
  <c r="B106" i="122"/>
  <c r="CZ105" i="122"/>
  <c r="BG106" i="122" s="1"/>
  <c r="S106" i="122"/>
  <c r="CV105" i="122"/>
  <c r="BC106" i="122" s="1"/>
  <c r="O106" i="122"/>
  <c r="DA105" i="122"/>
  <c r="BH106" i="122" s="1"/>
  <c r="T106" i="122"/>
  <c r="CS105" i="122"/>
  <c r="AZ106" i="122" s="1"/>
  <c r="L106" i="122"/>
  <c r="CY105" i="122"/>
  <c r="BF106" i="122" s="1"/>
  <c r="R106" i="122"/>
  <c r="K106" i="122"/>
  <c r="CR105" i="122"/>
  <c r="AY106" i="122" s="1"/>
  <c r="G106" i="122"/>
  <c r="CN105" i="122"/>
  <c r="AU106" i="122" s="1"/>
  <c r="CO105" i="122"/>
  <c r="AV106" i="122" s="1"/>
  <c r="H106" i="122"/>
  <c r="U109" i="120"/>
  <c r="V109" i="120" s="1"/>
  <c r="AA109" i="120" s="1"/>
  <c r="B110" i="120" s="1"/>
  <c r="B153" i="119"/>
  <c r="H153" i="119" s="1"/>
  <c r="J152" i="119"/>
  <c r="AJ62" i="117"/>
  <c r="P63" i="117"/>
  <c r="AK62" i="117"/>
  <c r="Q63" i="117"/>
  <c r="R63" i="117" l="1"/>
  <c r="S63" i="117" s="1"/>
  <c r="BK106" i="122"/>
  <c r="BN106" i="122"/>
  <c r="CE106" i="122" s="1"/>
  <c r="DE105" i="122"/>
  <c r="AP106" i="122"/>
  <c r="BJ106" i="122" s="1"/>
  <c r="DC106" i="122" s="1"/>
  <c r="Y109" i="120"/>
  <c r="AD109" i="120" s="1"/>
  <c r="E110" i="120" s="1"/>
  <c r="L110" i="120"/>
  <c r="R110" i="120" s="1"/>
  <c r="X109" i="120"/>
  <c r="AC109" i="120" s="1"/>
  <c r="D110" i="120" s="1"/>
  <c r="W109" i="120"/>
  <c r="AB109" i="120" s="1"/>
  <c r="C110" i="120" s="1"/>
  <c r="Z109" i="120"/>
  <c r="AE109" i="120" s="1"/>
  <c r="F110" i="120" s="1"/>
  <c r="J153" i="119"/>
  <c r="B154" i="119"/>
  <c r="H154" i="119" s="1"/>
  <c r="T63" i="117" l="1"/>
  <c r="W63" i="117" s="1"/>
  <c r="Q110" i="120"/>
  <c r="AF110" i="120" s="1"/>
  <c r="AG110" i="120" s="1"/>
  <c r="O110" i="120"/>
  <c r="CC106" i="122"/>
  <c r="CW106" i="122" s="1"/>
  <c r="BD107" i="122" s="1"/>
  <c r="CY106" i="122"/>
  <c r="BF107" i="122" s="1"/>
  <c r="R107" i="122"/>
  <c r="DD106" i="122"/>
  <c r="BL107" i="122"/>
  <c r="CG106" i="122"/>
  <c r="BV106" i="122"/>
  <c r="BZ106" i="122"/>
  <c r="CD106" i="122"/>
  <c r="BX106" i="122"/>
  <c r="CH106" i="122"/>
  <c r="BW106" i="122"/>
  <c r="CA106" i="122"/>
  <c r="BT106" i="122"/>
  <c r="CB106" i="122"/>
  <c r="BQ106" i="122"/>
  <c r="BO106" i="122"/>
  <c r="BR106" i="122"/>
  <c r="CF106" i="122"/>
  <c r="BP106" i="122"/>
  <c r="BS106" i="122"/>
  <c r="BY106" i="122"/>
  <c r="BU106" i="122"/>
  <c r="N110" i="120"/>
  <c r="U110" i="120"/>
  <c r="V110" i="120" s="1"/>
  <c r="AA110" i="120" s="1"/>
  <c r="B111" i="120" s="1"/>
  <c r="M110" i="120"/>
  <c r="AH109" i="120"/>
  <c r="P110" i="120"/>
  <c r="J154" i="119"/>
  <c r="B155" i="119"/>
  <c r="H155" i="119" s="1"/>
  <c r="Z63" i="117"/>
  <c r="X63" i="117"/>
  <c r="Y63" i="117"/>
  <c r="AA63" i="117"/>
  <c r="AB63" i="117" s="1"/>
  <c r="V63" i="117"/>
  <c r="S111" i="120" l="1"/>
  <c r="U63" i="117" a="1"/>
  <c r="U63" i="117" s="1"/>
  <c r="P107" i="122"/>
  <c r="H107" i="122"/>
  <c r="CO106" i="122"/>
  <c r="AV107" i="122" s="1"/>
  <c r="N107" i="122"/>
  <c r="CU106" i="122"/>
  <c r="BB107" i="122" s="1"/>
  <c r="CP106" i="122"/>
  <c r="AW107" i="122" s="1"/>
  <c r="I107" i="122"/>
  <c r="L107" i="122"/>
  <c r="CS106" i="122"/>
  <c r="AZ107" i="122" s="1"/>
  <c r="CL106" i="122"/>
  <c r="AS107" i="122" s="1"/>
  <c r="E107" i="122"/>
  <c r="J107" i="122"/>
  <c r="CQ106" i="122"/>
  <c r="AX107" i="122" s="1"/>
  <c r="DA106" i="122"/>
  <c r="BH107" i="122" s="1"/>
  <c r="T107" i="122"/>
  <c r="CM106" i="122"/>
  <c r="AT107" i="122" s="1"/>
  <c r="F107" i="122"/>
  <c r="CI106" i="122"/>
  <c r="B107" i="122"/>
  <c r="DB106" i="122"/>
  <c r="BI107" i="122" s="1"/>
  <c r="U107" i="122"/>
  <c r="CJ106" i="122"/>
  <c r="AQ107" i="122" s="1"/>
  <c r="C107" i="122"/>
  <c r="CK106" i="122"/>
  <c r="AR107" i="122" s="1"/>
  <c r="D107" i="122"/>
  <c r="CR106" i="122"/>
  <c r="AY107" i="122" s="1"/>
  <c r="K107" i="122"/>
  <c r="S107" i="122"/>
  <c r="CZ106" i="122"/>
  <c r="BG107" i="122" s="1"/>
  <c r="CV106" i="122"/>
  <c r="BC107" i="122" s="1"/>
  <c r="O107" i="122"/>
  <c r="CX106" i="122"/>
  <c r="BE107" i="122" s="1"/>
  <c r="Q107" i="122"/>
  <c r="G107" i="122"/>
  <c r="CN106" i="122"/>
  <c r="AU107" i="122" s="1"/>
  <c r="M107" i="122"/>
  <c r="CT106" i="122"/>
  <c r="BA107" i="122" s="1"/>
  <c r="Y110" i="120"/>
  <c r="AD110" i="120" s="1"/>
  <c r="E111" i="120" s="1"/>
  <c r="L111" i="120"/>
  <c r="R111" i="120" s="1"/>
  <c r="X110" i="120"/>
  <c r="AC110" i="120" s="1"/>
  <c r="D111" i="120" s="1"/>
  <c r="Z110" i="120"/>
  <c r="AE110" i="120" s="1"/>
  <c r="F111" i="120" s="1"/>
  <c r="W110" i="120"/>
  <c r="AB110" i="120" s="1"/>
  <c r="M111" i="120" s="1"/>
  <c r="B156" i="119"/>
  <c r="H156" i="119" s="1"/>
  <c r="J155" i="119"/>
  <c r="AE63" i="117"/>
  <c r="AD64" i="117" s="1"/>
  <c r="AG63" i="117"/>
  <c r="AI63" i="117" s="1"/>
  <c r="AC63" i="117"/>
  <c r="AF63" i="117" s="1" a="1"/>
  <c r="AF63" i="117" s="1"/>
  <c r="AH63" i="117"/>
  <c r="BK107" i="122" l="1"/>
  <c r="O111" i="120"/>
  <c r="Q111" i="120"/>
  <c r="AF111" i="120" s="1"/>
  <c r="AG111" i="120" s="1"/>
  <c r="BN107" i="122"/>
  <c r="BV107" i="122" s="1"/>
  <c r="AP107" i="122"/>
  <c r="BJ107" i="122" s="1"/>
  <c r="DC107" i="122" s="1"/>
  <c r="DE106" i="122"/>
  <c r="P111" i="120"/>
  <c r="AH110" i="120"/>
  <c r="N111" i="120"/>
  <c r="C111" i="120"/>
  <c r="U111" i="120" s="1"/>
  <c r="V111" i="120" s="1"/>
  <c r="AA111" i="120" s="1"/>
  <c r="B112" i="120" s="1"/>
  <c r="B157" i="119"/>
  <c r="H157" i="119" s="1"/>
  <c r="J156" i="119"/>
  <c r="AK63" i="117"/>
  <c r="Q64" i="117"/>
  <c r="AJ63" i="117"/>
  <c r="P64" i="117"/>
  <c r="R64" i="117" l="1"/>
  <c r="S64" i="117" s="1"/>
  <c r="T64" i="117" s="1"/>
  <c r="X64" i="117" s="1"/>
  <c r="S112" i="120"/>
  <c r="CH107" i="122"/>
  <c r="DB107" i="122" s="1"/>
  <c r="BI108" i="122" s="1"/>
  <c r="CP107" i="122"/>
  <c r="AW108" i="122" s="1"/>
  <c r="I108" i="122"/>
  <c r="CG107" i="122"/>
  <c r="CF107" i="122"/>
  <c r="BL108" i="122"/>
  <c r="DD107" i="122"/>
  <c r="BX107" i="122"/>
  <c r="BR107" i="122"/>
  <c r="BO107" i="122"/>
  <c r="CE107" i="122"/>
  <c r="CC107" i="122"/>
  <c r="BS107" i="122"/>
  <c r="BU107" i="122"/>
  <c r="BZ107" i="122"/>
  <c r="BP107" i="122"/>
  <c r="BQ107" i="122"/>
  <c r="BT107" i="122"/>
  <c r="CD107" i="122"/>
  <c r="BY107" i="122"/>
  <c r="CA107" i="122"/>
  <c r="BW107" i="122"/>
  <c r="CB107" i="122"/>
  <c r="L112" i="120"/>
  <c r="R112" i="120" s="1"/>
  <c r="Y111" i="120"/>
  <c r="AD111" i="120" s="1"/>
  <c r="O112" i="120" s="1"/>
  <c r="W111" i="120"/>
  <c r="AB111" i="120" s="1"/>
  <c r="M112" i="120" s="1"/>
  <c r="X111" i="120"/>
  <c r="AC111" i="120" s="1"/>
  <c r="N112" i="120" s="1"/>
  <c r="Z111" i="120"/>
  <c r="AE111" i="120" s="1"/>
  <c r="P112" i="120" s="1"/>
  <c r="B158" i="119"/>
  <c r="H158" i="119" s="1"/>
  <c r="J157" i="119"/>
  <c r="U64" i="117" l="1" a="1"/>
  <c r="U64" i="117" s="1"/>
  <c r="U108" i="122"/>
  <c r="Q112" i="120"/>
  <c r="AF112" i="120" s="1"/>
  <c r="S113" i="120" s="1"/>
  <c r="O108" i="122"/>
  <c r="CV107" i="122"/>
  <c r="BC108" i="122" s="1"/>
  <c r="D108" i="122"/>
  <c r="CK107" i="122"/>
  <c r="AR108" i="122" s="1"/>
  <c r="CY107" i="122"/>
  <c r="BF108" i="122" s="1"/>
  <c r="R108" i="122"/>
  <c r="CQ107" i="122"/>
  <c r="AX108" i="122" s="1"/>
  <c r="J108" i="122"/>
  <c r="C108" i="122"/>
  <c r="CJ107" i="122"/>
  <c r="AQ108" i="122" s="1"/>
  <c r="B108" i="122"/>
  <c r="CI107" i="122"/>
  <c r="CU107" i="122"/>
  <c r="BB108" i="122" s="1"/>
  <c r="N108" i="122"/>
  <c r="M108" i="122"/>
  <c r="CT107" i="122"/>
  <c r="BA108" i="122" s="1"/>
  <c r="CL107" i="122"/>
  <c r="AS108" i="122" s="1"/>
  <c r="E108" i="122"/>
  <c r="CZ107" i="122"/>
  <c r="BG108" i="122" s="1"/>
  <c r="S108" i="122"/>
  <c r="CS107" i="122"/>
  <c r="AZ108" i="122" s="1"/>
  <c r="L108" i="122"/>
  <c r="H108" i="122"/>
  <c r="CO107" i="122"/>
  <c r="AV108" i="122" s="1"/>
  <c r="CR107" i="122"/>
  <c r="AY108" i="122" s="1"/>
  <c r="K108" i="122"/>
  <c r="DA107" i="122"/>
  <c r="BH108" i="122" s="1"/>
  <c r="T108" i="122"/>
  <c r="CX107" i="122"/>
  <c r="BE108" i="122" s="1"/>
  <c r="Q108" i="122"/>
  <c r="F108" i="122"/>
  <c r="CM107" i="122"/>
  <c r="AT108" i="122" s="1"/>
  <c r="G108" i="122"/>
  <c r="CN107" i="122"/>
  <c r="AU108" i="122" s="1"/>
  <c r="P108" i="122"/>
  <c r="CW107" i="122"/>
  <c r="BD108" i="122" s="1"/>
  <c r="AH111" i="120"/>
  <c r="F112" i="120"/>
  <c r="D112" i="120"/>
  <c r="E112" i="120"/>
  <c r="C112" i="120"/>
  <c r="B159" i="119"/>
  <c r="H159" i="119" s="1"/>
  <c r="J158" i="119"/>
  <c r="V64" i="117"/>
  <c r="Z64" i="117"/>
  <c r="W64" i="117"/>
  <c r="AA64" i="117"/>
  <c r="AB64" i="117" s="1"/>
  <c r="Y64" i="117"/>
  <c r="AG112" i="120" l="1"/>
  <c r="BN108" i="122"/>
  <c r="BK108" i="122"/>
  <c r="DE107" i="122"/>
  <c r="AP108" i="122"/>
  <c r="BJ108" i="122" s="1"/>
  <c r="DC108" i="122" s="1"/>
  <c r="U112" i="120"/>
  <c r="V112" i="120" s="1"/>
  <c r="AA112" i="120" s="1"/>
  <c r="B113" i="120" s="1"/>
  <c r="B160" i="119"/>
  <c r="H160" i="119" s="1"/>
  <c r="J159" i="119"/>
  <c r="AC64" i="117"/>
  <c r="AH64" i="117"/>
  <c r="AE64" i="117" l="1"/>
  <c r="AD65" i="117" s="1"/>
  <c r="AF64" i="117" a="1"/>
  <c r="AF64" i="117" s="1"/>
  <c r="CH108" i="122"/>
  <c r="BV108" i="122"/>
  <c r="CC108" i="122"/>
  <c r="CF108" i="122"/>
  <c r="CG108" i="122"/>
  <c r="BX108" i="122"/>
  <c r="BT108" i="122"/>
  <c r="BL109" i="122"/>
  <c r="DD108" i="122"/>
  <c r="BS108" i="122"/>
  <c r="BP108" i="122"/>
  <c r="CE108" i="122"/>
  <c r="CA108" i="122"/>
  <c r="BQ108" i="122"/>
  <c r="BZ108" i="122"/>
  <c r="BO108" i="122"/>
  <c r="CD108" i="122"/>
  <c r="CB108" i="122"/>
  <c r="BR108" i="122"/>
  <c r="BW108" i="122"/>
  <c r="BY108" i="122"/>
  <c r="BU108" i="122"/>
  <c r="X112" i="120"/>
  <c r="AC112" i="120" s="1"/>
  <c r="D113" i="120" s="1"/>
  <c r="Y112" i="120"/>
  <c r="AD112" i="120" s="1"/>
  <c r="E113" i="120" s="1"/>
  <c r="Z112" i="120"/>
  <c r="AE112" i="120" s="1"/>
  <c r="L113" i="120"/>
  <c r="W112" i="120"/>
  <c r="AB112" i="120" s="1"/>
  <c r="B161" i="119"/>
  <c r="H161" i="119" s="1"/>
  <c r="J160" i="119"/>
  <c r="AG64" i="117"/>
  <c r="AI64" i="117" s="1"/>
  <c r="AK64" i="117" s="1"/>
  <c r="AJ64" i="117"/>
  <c r="P65" i="117"/>
  <c r="R65" i="117" l="1"/>
  <c r="S65" i="117" s="1"/>
  <c r="CV108" i="122"/>
  <c r="BC109" i="122" s="1"/>
  <c r="O109" i="122"/>
  <c r="CY108" i="122"/>
  <c r="BF109" i="122" s="1"/>
  <c r="R109" i="122"/>
  <c r="K109" i="122"/>
  <c r="CR108" i="122"/>
  <c r="AY109" i="122" s="1"/>
  <c r="CX108" i="122"/>
  <c r="BE109" i="122" s="1"/>
  <c r="Q109" i="122"/>
  <c r="C109" i="122"/>
  <c r="CJ108" i="122"/>
  <c r="AQ109" i="122" s="1"/>
  <c r="DA108" i="122"/>
  <c r="BH109" i="122" s="1"/>
  <c r="T109" i="122"/>
  <c r="N113" i="120"/>
  <c r="CO108" i="122"/>
  <c r="AV109" i="122" s="1"/>
  <c r="H109" i="122"/>
  <c r="CI108" i="122"/>
  <c r="B109" i="122"/>
  <c r="CM108" i="122"/>
  <c r="AT109" i="122" s="1"/>
  <c r="F109" i="122"/>
  <c r="S109" i="122"/>
  <c r="CZ108" i="122"/>
  <c r="BG109" i="122" s="1"/>
  <c r="AH112" i="120"/>
  <c r="M109" i="122"/>
  <c r="CT108" i="122"/>
  <c r="BA109" i="122" s="1"/>
  <c r="P109" i="122"/>
  <c r="CW108" i="122"/>
  <c r="BD109" i="122" s="1"/>
  <c r="L109" i="122"/>
  <c r="CS108" i="122"/>
  <c r="AZ109" i="122" s="1"/>
  <c r="J109" i="122"/>
  <c r="CQ108" i="122"/>
  <c r="AX109" i="122" s="1"/>
  <c r="CK108" i="122"/>
  <c r="AR109" i="122" s="1"/>
  <c r="D109" i="122"/>
  <c r="CP108" i="122"/>
  <c r="AW109" i="122" s="1"/>
  <c r="I109" i="122"/>
  <c r="E109" i="122"/>
  <c r="CL108" i="122"/>
  <c r="AS109" i="122" s="1"/>
  <c r="N109" i="122"/>
  <c r="CU108" i="122"/>
  <c r="BB109" i="122" s="1"/>
  <c r="G109" i="122"/>
  <c r="CN108" i="122"/>
  <c r="AU109" i="122" s="1"/>
  <c r="U109" i="122"/>
  <c r="DB108" i="122"/>
  <c r="BI109" i="122" s="1"/>
  <c r="O113" i="120"/>
  <c r="F113" i="120"/>
  <c r="P113" i="120"/>
  <c r="M113" i="120"/>
  <c r="C113" i="120"/>
  <c r="Q113" i="120"/>
  <c r="AF113" i="120" s="1"/>
  <c r="R113" i="120"/>
  <c r="B162" i="119"/>
  <c r="H162" i="119" s="1"/>
  <c r="J161" i="119"/>
  <c r="Q65" i="117"/>
  <c r="T65" i="117"/>
  <c r="Y65" i="117" s="1"/>
  <c r="U113" i="120" l="1"/>
  <c r="V113" i="120" s="1"/>
  <c r="AA113" i="120" s="1"/>
  <c r="B114" i="120" s="1"/>
  <c r="U65" i="117" a="1"/>
  <c r="U65" i="117" s="1"/>
  <c r="BN109" i="122"/>
  <c r="CG109" i="122" s="1"/>
  <c r="DE108" i="122"/>
  <c r="AP109" i="122"/>
  <c r="BJ109" i="122" s="1"/>
  <c r="DC109" i="122" s="1"/>
  <c r="BK109" i="122"/>
  <c r="W113" i="120"/>
  <c r="AB113" i="120" s="1"/>
  <c r="C114" i="120" s="1"/>
  <c r="AG113" i="120"/>
  <c r="S114" i="120"/>
  <c r="X113" i="120"/>
  <c r="AC113" i="120" s="1"/>
  <c r="J162" i="119"/>
  <c r="B163" i="119"/>
  <c r="H163" i="119" s="1"/>
  <c r="W65" i="117"/>
  <c r="AA65" i="117"/>
  <c r="AB65" i="117" s="1"/>
  <c r="V65" i="117"/>
  <c r="X65" i="117"/>
  <c r="Z65" i="117"/>
  <c r="Z113" i="120" l="1"/>
  <c r="AE113" i="120" s="1"/>
  <c r="F114" i="120" s="1"/>
  <c r="L114" i="120"/>
  <c r="R114" i="120" s="1"/>
  <c r="Y113" i="120"/>
  <c r="AD113" i="120" s="1"/>
  <c r="O114" i="120" s="1"/>
  <c r="BS109" i="122"/>
  <c r="CF109" i="122"/>
  <c r="CZ109" i="122" s="1"/>
  <c r="BG110" i="122" s="1"/>
  <c r="BQ109" i="122"/>
  <c r="D110" i="122" s="1"/>
  <c r="CE109" i="122"/>
  <c r="R110" i="122" s="1"/>
  <c r="T110" i="122"/>
  <c r="DA109" i="122"/>
  <c r="BH110" i="122" s="1"/>
  <c r="CM109" i="122"/>
  <c r="AT110" i="122" s="1"/>
  <c r="F110" i="122"/>
  <c r="DD109" i="122"/>
  <c r="BL110" i="122"/>
  <c r="BZ109" i="122"/>
  <c r="CC109" i="122"/>
  <c r="BP109" i="122"/>
  <c r="BW109" i="122"/>
  <c r="CK109" i="122"/>
  <c r="AR110" i="122" s="1"/>
  <c r="CA109" i="122"/>
  <c r="BU109" i="122"/>
  <c r="BV109" i="122"/>
  <c r="BR109" i="122"/>
  <c r="CB109" i="122"/>
  <c r="BY109" i="122"/>
  <c r="BX109" i="122"/>
  <c r="CH109" i="122"/>
  <c r="CD109" i="122"/>
  <c r="BT109" i="122"/>
  <c r="BO109" i="122"/>
  <c r="M114" i="120"/>
  <c r="Q114" i="120"/>
  <c r="AF114" i="120" s="1"/>
  <c r="S115" i="120" s="1"/>
  <c r="E114" i="120"/>
  <c r="AH113" i="120"/>
  <c r="P114" i="120"/>
  <c r="D114" i="120"/>
  <c r="N114" i="120"/>
  <c r="J163" i="119"/>
  <c r="B164" i="119"/>
  <c r="H164" i="119" s="1"/>
  <c r="AE65" i="117"/>
  <c r="AD66" i="117" s="1"/>
  <c r="AG65" i="117"/>
  <c r="AI65" i="117" s="1"/>
  <c r="AC65" i="117"/>
  <c r="AF65" i="117" s="1" a="1"/>
  <c r="AF65" i="117" s="1"/>
  <c r="AH65" i="117"/>
  <c r="CY109" i="122" l="1"/>
  <c r="BF110" i="122" s="1"/>
  <c r="S110" i="122"/>
  <c r="DB109" i="122"/>
  <c r="BI110" i="122" s="1"/>
  <c r="U110" i="122"/>
  <c r="CO109" i="122"/>
  <c r="AV110" i="122" s="1"/>
  <c r="H110" i="122"/>
  <c r="P110" i="122"/>
  <c r="CW109" i="122"/>
  <c r="BD110" i="122" s="1"/>
  <c r="CR109" i="122"/>
  <c r="AY110" i="122" s="1"/>
  <c r="K110" i="122"/>
  <c r="CU109" i="122"/>
  <c r="BB110" i="122" s="1"/>
  <c r="N110" i="122"/>
  <c r="CT109" i="122"/>
  <c r="BA110" i="122" s="1"/>
  <c r="M110" i="122"/>
  <c r="CS109" i="122"/>
  <c r="AZ110" i="122" s="1"/>
  <c r="L110" i="122"/>
  <c r="CI109" i="122"/>
  <c r="B110" i="122"/>
  <c r="CV109" i="122"/>
  <c r="BC110" i="122" s="1"/>
  <c r="O110" i="122"/>
  <c r="G110" i="122"/>
  <c r="CN109" i="122"/>
  <c r="AU110" i="122" s="1"/>
  <c r="CL109" i="122"/>
  <c r="AS110" i="122" s="1"/>
  <c r="E110" i="122"/>
  <c r="CQ109" i="122"/>
  <c r="AX110" i="122" s="1"/>
  <c r="J110" i="122"/>
  <c r="Q110" i="122"/>
  <c r="CX109" i="122"/>
  <c r="BE110" i="122" s="1"/>
  <c r="I110" i="122"/>
  <c r="CP109" i="122"/>
  <c r="AW110" i="122" s="1"/>
  <c r="C110" i="122"/>
  <c r="CJ109" i="122"/>
  <c r="AQ110" i="122" s="1"/>
  <c r="AG114" i="120"/>
  <c r="U114" i="120"/>
  <c r="B165" i="119"/>
  <c r="H165" i="119" s="1"/>
  <c r="J164" i="119"/>
  <c r="AK65" i="117"/>
  <c r="Q66" i="117"/>
  <c r="AJ65" i="117"/>
  <c r="P66" i="117"/>
  <c r="BN110" i="122" l="1"/>
  <c r="BO110" i="122" s="1"/>
  <c r="AP110" i="122"/>
  <c r="BJ110" i="122" s="1"/>
  <c r="DC110" i="122" s="1"/>
  <c r="DE109" i="122"/>
  <c r="BK110" i="122"/>
  <c r="V114" i="120"/>
  <c r="AA114" i="120" s="1"/>
  <c r="W114" i="120"/>
  <c r="AB114" i="120" s="1"/>
  <c r="Y114" i="120"/>
  <c r="AD114" i="120" s="1"/>
  <c r="Z114" i="120"/>
  <c r="AE114" i="120" s="1"/>
  <c r="X114" i="120"/>
  <c r="AC114" i="120" s="1"/>
  <c r="J165" i="119"/>
  <c r="B166" i="119"/>
  <c r="H166" i="119" s="1"/>
  <c r="R66" i="117"/>
  <c r="BV110" i="122" l="1"/>
  <c r="BY110" i="122"/>
  <c r="BP110" i="122"/>
  <c r="C111" i="122" s="1"/>
  <c r="CC110" i="122"/>
  <c r="P111" i="122" s="1"/>
  <c r="CI110" i="122"/>
  <c r="B111" i="122"/>
  <c r="BR110" i="122"/>
  <c r="BW110" i="122"/>
  <c r="DD110" i="122"/>
  <c r="BL111" i="122"/>
  <c r="CH110" i="122"/>
  <c r="BU110" i="122"/>
  <c r="CD110" i="122"/>
  <c r="BX110" i="122"/>
  <c r="CA110" i="122"/>
  <c r="BZ110" i="122"/>
  <c r="I111" i="122"/>
  <c r="CP110" i="122"/>
  <c r="AW111" i="122" s="1"/>
  <c r="CB110" i="122"/>
  <c r="BT110" i="122"/>
  <c r="CS110" i="122"/>
  <c r="AZ111" i="122" s="1"/>
  <c r="L111" i="122"/>
  <c r="CW110" i="122"/>
  <c r="BD111" i="122" s="1"/>
  <c r="CE110" i="122"/>
  <c r="BQ110" i="122"/>
  <c r="CF110" i="122"/>
  <c r="BS110" i="122"/>
  <c r="CG110" i="122"/>
  <c r="F115" i="120"/>
  <c r="P115" i="120"/>
  <c r="E115" i="120"/>
  <c r="O115" i="120"/>
  <c r="M115" i="120"/>
  <c r="C115" i="120"/>
  <c r="N115" i="120"/>
  <c r="D115" i="120"/>
  <c r="B115" i="120"/>
  <c r="L115" i="120"/>
  <c r="AH114" i="120"/>
  <c r="B167" i="119"/>
  <c r="H167" i="119" s="1"/>
  <c r="J166" i="119"/>
  <c r="S66" i="117"/>
  <c r="CJ110" i="122" l="1"/>
  <c r="AQ111" i="122" s="1"/>
  <c r="CK110" i="122"/>
  <c r="AR111" i="122" s="1"/>
  <c r="D111" i="122"/>
  <c r="CN110" i="122"/>
  <c r="AU111" i="122" s="1"/>
  <c r="G111" i="122"/>
  <c r="CR110" i="122"/>
  <c r="AY111" i="122" s="1"/>
  <c r="K111" i="122"/>
  <c r="CY110" i="122"/>
  <c r="BF111" i="122" s="1"/>
  <c r="R111" i="122"/>
  <c r="CV110" i="122"/>
  <c r="BC111" i="122" s="1"/>
  <c r="O111" i="122"/>
  <c r="CQ110" i="122"/>
  <c r="AX111" i="122" s="1"/>
  <c r="J111" i="122"/>
  <c r="DA110" i="122"/>
  <c r="BH111" i="122" s="1"/>
  <c r="T111" i="122"/>
  <c r="CX110" i="122"/>
  <c r="BE111" i="122" s="1"/>
  <c r="Q111" i="122"/>
  <c r="E111" i="122"/>
  <c r="CL110" i="122"/>
  <c r="AS111" i="122" s="1"/>
  <c r="F111" i="122"/>
  <c r="CM110" i="122"/>
  <c r="AT111" i="122" s="1"/>
  <c r="M111" i="122"/>
  <c r="CT110" i="122"/>
  <c r="BA111" i="122" s="1"/>
  <c r="CO110" i="122"/>
  <c r="AV111" i="122" s="1"/>
  <c r="H111" i="122"/>
  <c r="S111" i="122"/>
  <c r="CZ110" i="122"/>
  <c r="BG111" i="122" s="1"/>
  <c r="N111" i="122"/>
  <c r="CU110" i="122"/>
  <c r="BB111" i="122" s="1"/>
  <c r="DB110" i="122"/>
  <c r="BI111" i="122" s="1"/>
  <c r="U111" i="122"/>
  <c r="AP111" i="122"/>
  <c r="R115" i="120"/>
  <c r="Q115" i="120"/>
  <c r="AF115" i="120" s="1"/>
  <c r="U115" i="120"/>
  <c r="V115" i="120" s="1"/>
  <c r="AA115" i="120" s="1"/>
  <c r="J167" i="119"/>
  <c r="B168" i="119"/>
  <c r="H168" i="119" s="1"/>
  <c r="T66" i="117"/>
  <c r="Z66" i="117" l="1"/>
  <c r="U66" i="117" a="1"/>
  <c r="U66" i="117" s="1"/>
  <c r="AH66" i="117" s="1"/>
  <c r="AJ66" i="117" s="1"/>
  <c r="BN111" i="122"/>
  <c r="CC111" i="122" s="1"/>
  <c r="P112" i="122" s="1"/>
  <c r="BK111" i="122"/>
  <c r="DE110" i="122"/>
  <c r="BJ111" i="122"/>
  <c r="DC111" i="122" s="1"/>
  <c r="Y115" i="120"/>
  <c r="AD115" i="120" s="1"/>
  <c r="L116" i="120"/>
  <c r="B116" i="120"/>
  <c r="X115" i="120"/>
  <c r="AC115" i="120" s="1"/>
  <c r="S116" i="120"/>
  <c r="AG115" i="120"/>
  <c r="Z115" i="120"/>
  <c r="AE115" i="120" s="1"/>
  <c r="W115" i="120"/>
  <c r="AB115" i="120" s="1"/>
  <c r="B169" i="119"/>
  <c r="H169" i="119" s="1"/>
  <c r="J168" i="119"/>
  <c r="X66" i="117"/>
  <c r="AA66" i="117"/>
  <c r="AB66" i="117" s="1"/>
  <c r="Y66" i="117"/>
  <c r="W66" i="117"/>
  <c r="V66" i="117"/>
  <c r="BR111" i="122" l="1"/>
  <c r="CF111" i="122"/>
  <c r="BU111" i="122"/>
  <c r="CH111" i="122"/>
  <c r="BV111" i="122"/>
  <c r="CW111" i="122"/>
  <c r="BD112" i="122" s="1"/>
  <c r="CA111" i="122"/>
  <c r="BT111" i="122"/>
  <c r="BX111" i="122"/>
  <c r="CD111" i="122"/>
  <c r="CX111" i="122" s="1"/>
  <c r="BE112" i="122" s="1"/>
  <c r="CE111" i="122"/>
  <c r="CG111" i="122"/>
  <c r="DA111" i="122" s="1"/>
  <c r="BH112" i="122" s="1"/>
  <c r="BY111" i="122"/>
  <c r="BQ111" i="122"/>
  <c r="CB111" i="122"/>
  <c r="CV111" i="122" s="1"/>
  <c r="BC112" i="122" s="1"/>
  <c r="BP111" i="122"/>
  <c r="CJ111" i="122" s="1"/>
  <c r="AQ112" i="122" s="1"/>
  <c r="BZ111" i="122"/>
  <c r="M112" i="122" s="1"/>
  <c r="BW111" i="122"/>
  <c r="CQ111" i="122" s="1"/>
  <c r="AX112" i="122" s="1"/>
  <c r="BS111" i="122"/>
  <c r="BO111" i="122"/>
  <c r="Q112" i="122"/>
  <c r="R112" i="122"/>
  <c r="CY111" i="122"/>
  <c r="BF112" i="122" s="1"/>
  <c r="O112" i="122"/>
  <c r="CT111" i="122"/>
  <c r="BA112" i="122" s="1"/>
  <c r="J112" i="122"/>
  <c r="T112" i="122"/>
  <c r="CS111" i="122"/>
  <c r="AZ112" i="122" s="1"/>
  <c r="L112" i="122"/>
  <c r="S112" i="122"/>
  <c r="CZ111" i="122"/>
  <c r="BG112" i="122" s="1"/>
  <c r="CL111" i="122"/>
  <c r="AS112" i="122" s="1"/>
  <c r="E112" i="122"/>
  <c r="CM111" i="122"/>
  <c r="AT112" i="122" s="1"/>
  <c r="F112" i="122"/>
  <c r="B112" i="122"/>
  <c r="CI111" i="122"/>
  <c r="BL112" i="122"/>
  <c r="DD111" i="122"/>
  <c r="CO111" i="122"/>
  <c r="AV112" i="122" s="1"/>
  <c r="H112" i="122"/>
  <c r="DB111" i="122"/>
  <c r="BI112" i="122" s="1"/>
  <c r="U112" i="122"/>
  <c r="N112" i="122"/>
  <c r="CU111" i="122"/>
  <c r="BB112" i="122" s="1"/>
  <c r="CP111" i="122"/>
  <c r="AW112" i="122" s="1"/>
  <c r="I112" i="122"/>
  <c r="CK111" i="122"/>
  <c r="AR112" i="122" s="1"/>
  <c r="D112" i="122"/>
  <c r="CN111" i="122"/>
  <c r="AU112" i="122" s="1"/>
  <c r="G112" i="122"/>
  <c r="K112" i="122"/>
  <c r="CR111" i="122"/>
  <c r="AY112" i="122" s="1"/>
  <c r="AH115" i="120"/>
  <c r="M116" i="120"/>
  <c r="C116" i="120"/>
  <c r="D116" i="120"/>
  <c r="N116" i="120"/>
  <c r="F116" i="120"/>
  <c r="P116" i="120"/>
  <c r="R116" i="120"/>
  <c r="Q116" i="120"/>
  <c r="AF116" i="120" s="1"/>
  <c r="E116" i="120"/>
  <c r="O116" i="120"/>
  <c r="B170" i="119"/>
  <c r="H170" i="119" s="1"/>
  <c r="J169" i="119"/>
  <c r="AE66" i="117"/>
  <c r="AD67" i="117" s="1"/>
  <c r="AG66" i="117"/>
  <c r="AI66" i="117" s="1"/>
  <c r="AC66" i="117"/>
  <c r="AF66" i="117" s="1" a="1"/>
  <c r="AF66" i="117" s="1"/>
  <c r="P67" i="117"/>
  <c r="R67" i="117"/>
  <c r="S67" i="117" s="1"/>
  <c r="C112" i="122" l="1"/>
  <c r="T67" i="117"/>
  <c r="Z67" i="117" s="1"/>
  <c r="AP112" i="122"/>
  <c r="BJ112" i="122" s="1"/>
  <c r="DC112" i="122" s="1"/>
  <c r="DE111" i="122"/>
  <c r="BK112" i="122"/>
  <c r="BN112" i="122"/>
  <c r="U116" i="120"/>
  <c r="V116" i="120" s="1"/>
  <c r="AA116" i="120" s="1"/>
  <c r="S117" i="120"/>
  <c r="AG116" i="120"/>
  <c r="J170" i="119"/>
  <c r="B171" i="119"/>
  <c r="H171" i="119" s="1"/>
  <c r="Q67" i="117"/>
  <c r="AK66" i="117"/>
  <c r="V67" i="117" l="1"/>
  <c r="W67" i="117"/>
  <c r="X67" i="117"/>
  <c r="AA67" i="117"/>
  <c r="AB67" i="117" s="1"/>
  <c r="AC67" i="117" s="1"/>
  <c r="Y67" i="117"/>
  <c r="U67" i="117" a="1"/>
  <c r="U67" i="117" s="1"/>
  <c r="AH67" i="117" s="1"/>
  <c r="AJ67" i="117" s="1"/>
  <c r="BO112" i="122"/>
  <c r="CC112" i="122"/>
  <c r="BU112" i="122"/>
  <c r="CA112" i="122"/>
  <c r="BV112" i="122"/>
  <c r="BT112" i="122"/>
  <c r="DD112" i="122"/>
  <c r="BL113" i="122"/>
  <c r="BR112" i="122"/>
  <c r="BS112" i="122"/>
  <c r="CE112" i="122"/>
  <c r="BP112" i="122"/>
  <c r="BX112" i="122"/>
  <c r="BW112" i="122"/>
  <c r="CH112" i="122"/>
  <c r="CD112" i="122"/>
  <c r="BZ112" i="122"/>
  <c r="CB112" i="122"/>
  <c r="CG112" i="122"/>
  <c r="BY112" i="122"/>
  <c r="CF112" i="122"/>
  <c r="BQ112" i="122"/>
  <c r="B117" i="120"/>
  <c r="L117" i="120"/>
  <c r="Y116" i="120"/>
  <c r="AD116" i="120" s="1"/>
  <c r="X116" i="120"/>
  <c r="AC116" i="120" s="1"/>
  <c r="W116" i="120"/>
  <c r="AB116" i="120" s="1"/>
  <c r="Z116" i="120"/>
  <c r="AE116" i="120" s="1"/>
  <c r="J171" i="119"/>
  <c r="B172" i="119"/>
  <c r="H172" i="119" s="1"/>
  <c r="R68" i="117" l="1"/>
  <c r="P68" i="117"/>
  <c r="AE67" i="117"/>
  <c r="AD68" i="117" s="1"/>
  <c r="AF67" i="117" a="1"/>
  <c r="AF67" i="117" s="1"/>
  <c r="CV112" i="122"/>
  <c r="BC113" i="122" s="1"/>
  <c r="O113" i="122"/>
  <c r="CJ112" i="122"/>
  <c r="AQ113" i="122" s="1"/>
  <c r="C113" i="122"/>
  <c r="G113" i="122"/>
  <c r="CN112" i="122"/>
  <c r="AU113" i="122" s="1"/>
  <c r="M113" i="122"/>
  <c r="CT112" i="122"/>
  <c r="BA113" i="122" s="1"/>
  <c r="R113" i="122"/>
  <c r="CY112" i="122"/>
  <c r="BF113" i="122" s="1"/>
  <c r="I113" i="122"/>
  <c r="CP112" i="122"/>
  <c r="AW113" i="122" s="1"/>
  <c r="CK112" i="122"/>
  <c r="AR113" i="122" s="1"/>
  <c r="D113" i="122"/>
  <c r="CX112" i="122"/>
  <c r="BE113" i="122" s="1"/>
  <c r="Q113" i="122"/>
  <c r="CM112" i="122"/>
  <c r="AT113" i="122" s="1"/>
  <c r="F113" i="122"/>
  <c r="CU112" i="122"/>
  <c r="BB113" i="122" s="1"/>
  <c r="N113" i="122"/>
  <c r="S113" i="122"/>
  <c r="CZ112" i="122"/>
  <c r="BG113" i="122" s="1"/>
  <c r="U113" i="122"/>
  <c r="DB112" i="122"/>
  <c r="BI113" i="122" s="1"/>
  <c r="E113" i="122"/>
  <c r="CL112" i="122"/>
  <c r="AS113" i="122" s="1"/>
  <c r="H113" i="122"/>
  <c r="CO112" i="122"/>
  <c r="AV113" i="122" s="1"/>
  <c r="L113" i="122"/>
  <c r="CS112" i="122"/>
  <c r="AZ113" i="122" s="1"/>
  <c r="J113" i="122"/>
  <c r="CQ112" i="122"/>
  <c r="AX113" i="122" s="1"/>
  <c r="P113" i="122"/>
  <c r="CW112" i="122"/>
  <c r="BD113" i="122" s="1"/>
  <c r="T113" i="122"/>
  <c r="DA112" i="122"/>
  <c r="BH113" i="122" s="1"/>
  <c r="K113" i="122"/>
  <c r="CR112" i="122"/>
  <c r="AY113" i="122" s="1"/>
  <c r="B113" i="122"/>
  <c r="CI112" i="122"/>
  <c r="C117" i="120"/>
  <c r="M117" i="120"/>
  <c r="O117" i="120"/>
  <c r="E117" i="120"/>
  <c r="N117" i="120"/>
  <c r="D117" i="120"/>
  <c r="AH116" i="120"/>
  <c r="Q117" i="120"/>
  <c r="AF117" i="120" s="1"/>
  <c r="R117" i="120"/>
  <c r="P117" i="120"/>
  <c r="F117" i="120"/>
  <c r="B173" i="119"/>
  <c r="H173" i="119" s="1"/>
  <c r="J172" i="119"/>
  <c r="AG67" i="117"/>
  <c r="AI67" i="117" s="1"/>
  <c r="AK67" i="117" s="1"/>
  <c r="S68" i="117"/>
  <c r="U117" i="120" l="1"/>
  <c r="V117" i="120" s="1"/>
  <c r="AA117" i="120" s="1"/>
  <c r="B118" i="120" s="1"/>
  <c r="AP113" i="122"/>
  <c r="DE112" i="122"/>
  <c r="BN113" i="122"/>
  <c r="BS113" i="122" s="1"/>
  <c r="BJ113" i="122"/>
  <c r="DC113" i="122" s="1"/>
  <c r="BK113" i="122"/>
  <c r="S118" i="120"/>
  <c r="AG117" i="120"/>
  <c r="B174" i="119"/>
  <c r="H174" i="119" s="1"/>
  <c r="J173" i="119"/>
  <c r="Q68" i="117"/>
  <c r="T68" i="117"/>
  <c r="W68" i="117" l="1"/>
  <c r="U68" i="117" a="1"/>
  <c r="U68" i="117" s="1"/>
  <c r="AH68" i="117" s="1"/>
  <c r="L118" i="120"/>
  <c r="W117" i="120"/>
  <c r="AB117" i="120" s="1"/>
  <c r="M118" i="120" s="1"/>
  <c r="Y117" i="120"/>
  <c r="AD117" i="120" s="1"/>
  <c r="O118" i="120" s="1"/>
  <c r="Z117" i="120"/>
  <c r="AE117" i="120" s="1"/>
  <c r="P118" i="120" s="1"/>
  <c r="X117" i="120"/>
  <c r="AC117" i="120" s="1"/>
  <c r="CM113" i="122"/>
  <c r="AT114" i="122" s="1"/>
  <c r="F114" i="122"/>
  <c r="BZ113" i="122"/>
  <c r="CA113" i="122"/>
  <c r="BO113" i="122"/>
  <c r="BT113" i="122"/>
  <c r="BV113" i="122"/>
  <c r="BL114" i="122"/>
  <c r="DD113" i="122"/>
  <c r="BP113" i="122"/>
  <c r="CH113" i="122"/>
  <c r="BR113" i="122"/>
  <c r="BX113" i="122"/>
  <c r="CE113" i="122"/>
  <c r="CD113" i="122"/>
  <c r="BY113" i="122"/>
  <c r="CB113" i="122"/>
  <c r="CF113" i="122"/>
  <c r="CG113" i="122"/>
  <c r="CC113" i="122"/>
  <c r="BW113" i="122"/>
  <c r="BQ113" i="122"/>
  <c r="BU113" i="122"/>
  <c r="Q118" i="120"/>
  <c r="AF118" i="120" s="1"/>
  <c r="R118" i="120"/>
  <c r="B175" i="119"/>
  <c r="H175" i="119" s="1"/>
  <c r="J174" i="119"/>
  <c r="AA68" i="117"/>
  <c r="AB68" i="117" s="1"/>
  <c r="X68" i="117"/>
  <c r="Z68" i="117"/>
  <c r="V68" i="117"/>
  <c r="Y68" i="117"/>
  <c r="E118" i="120" l="1"/>
  <c r="AH117" i="120"/>
  <c r="C118" i="120"/>
  <c r="F118" i="120"/>
  <c r="N118" i="120"/>
  <c r="D118" i="120"/>
  <c r="CZ113" i="122"/>
  <c r="BG114" i="122" s="1"/>
  <c r="S114" i="122"/>
  <c r="E114" i="122"/>
  <c r="CL113" i="122"/>
  <c r="AS114" i="122" s="1"/>
  <c r="G114" i="122"/>
  <c r="CN113" i="122"/>
  <c r="AU114" i="122" s="1"/>
  <c r="H114" i="122"/>
  <c r="CO113" i="122"/>
  <c r="AV114" i="122" s="1"/>
  <c r="O114" i="122"/>
  <c r="CV113" i="122"/>
  <c r="BC114" i="122" s="1"/>
  <c r="DB113" i="122"/>
  <c r="BI114" i="122" s="1"/>
  <c r="U114" i="122"/>
  <c r="CI113" i="122"/>
  <c r="B114" i="122"/>
  <c r="D114" i="122"/>
  <c r="CK113" i="122"/>
  <c r="AR114" i="122" s="1"/>
  <c r="CS113" i="122"/>
  <c r="AZ114" i="122" s="1"/>
  <c r="L114" i="122"/>
  <c r="CJ113" i="122"/>
  <c r="AQ114" i="122" s="1"/>
  <c r="C114" i="122"/>
  <c r="CU113" i="122"/>
  <c r="BB114" i="122" s="1"/>
  <c r="N114" i="122"/>
  <c r="J114" i="122"/>
  <c r="CQ113" i="122"/>
  <c r="AX114" i="122" s="1"/>
  <c r="Q114" i="122"/>
  <c r="CX113" i="122"/>
  <c r="BE114" i="122" s="1"/>
  <c r="M114" i="122"/>
  <c r="CT113" i="122"/>
  <c r="BA114" i="122" s="1"/>
  <c r="P114" i="122"/>
  <c r="CW113" i="122"/>
  <c r="BD114" i="122" s="1"/>
  <c r="CY113" i="122"/>
  <c r="BF114" i="122" s="1"/>
  <c r="R114" i="122"/>
  <c r="T114" i="122"/>
  <c r="DA113" i="122"/>
  <c r="BH114" i="122" s="1"/>
  <c r="K114" i="122"/>
  <c r="CR113" i="122"/>
  <c r="AY114" i="122" s="1"/>
  <c r="CP113" i="122"/>
  <c r="AW114" i="122" s="1"/>
  <c r="I114" i="122"/>
  <c r="AG118" i="120"/>
  <c r="S119" i="120"/>
  <c r="J175" i="119"/>
  <c r="B176" i="119"/>
  <c r="H176" i="119" s="1"/>
  <c r="AE68" i="117"/>
  <c r="AD69" i="117" s="1"/>
  <c r="AG68" i="117"/>
  <c r="AI68" i="117" s="1"/>
  <c r="AC68" i="117"/>
  <c r="AF68" i="117" s="1" a="1"/>
  <c r="AF68" i="117" s="1"/>
  <c r="AJ68" i="117"/>
  <c r="P69" i="117"/>
  <c r="U118" i="120" l="1"/>
  <c r="V118" i="120" s="1"/>
  <c r="AA118" i="120" s="1"/>
  <c r="L119" i="120" s="1"/>
  <c r="Q119" i="120" s="1"/>
  <c r="AF119" i="120" s="1"/>
  <c r="AG119" i="120" s="1"/>
  <c r="R69" i="117"/>
  <c r="BK114" i="122"/>
  <c r="BN114" i="122"/>
  <c r="BS114" i="122" s="1"/>
  <c r="DE113" i="122"/>
  <c r="AP114" i="122"/>
  <c r="BJ114" i="122" s="1"/>
  <c r="DC114" i="122" s="1"/>
  <c r="B177" i="119"/>
  <c r="H177" i="119" s="1"/>
  <c r="J176" i="119"/>
  <c r="AK68" i="117"/>
  <c r="Q69" i="117"/>
  <c r="S69" i="117"/>
  <c r="Y118" i="120" l="1"/>
  <c r="AD118" i="120" s="1"/>
  <c r="E119" i="120" s="1"/>
  <c r="W118" i="120"/>
  <c r="AB118" i="120" s="1"/>
  <c r="C119" i="120" s="1"/>
  <c r="R119" i="120"/>
  <c r="B119" i="120"/>
  <c r="X118" i="120"/>
  <c r="AC118" i="120" s="1"/>
  <c r="N119" i="120" s="1"/>
  <c r="Z118" i="120"/>
  <c r="AE118" i="120" s="1"/>
  <c r="F119" i="120" s="1"/>
  <c r="O119" i="120"/>
  <c r="S120" i="120"/>
  <c r="BU114" i="122"/>
  <c r="CO114" i="122" s="1"/>
  <c r="AV115" i="122" s="1"/>
  <c r="BO114" i="122"/>
  <c r="BR114" i="122"/>
  <c r="BT114" i="122"/>
  <c r="CM114" i="122"/>
  <c r="AT115" i="122" s="1"/>
  <c r="F115" i="122"/>
  <c r="CB114" i="122"/>
  <c r="BW114" i="122"/>
  <c r="BL115" i="122"/>
  <c r="DD114" i="122"/>
  <c r="BP114" i="122"/>
  <c r="BQ114" i="122"/>
  <c r="CC114" i="122"/>
  <c r="CE114" i="122"/>
  <c r="BZ114" i="122"/>
  <c r="BX114" i="122"/>
  <c r="CD114" i="122"/>
  <c r="BV114" i="122"/>
  <c r="CG114" i="122"/>
  <c r="CH114" i="122"/>
  <c r="CF114" i="122"/>
  <c r="CA114" i="122"/>
  <c r="BY114" i="122"/>
  <c r="B178" i="119"/>
  <c r="H178" i="119" s="1"/>
  <c r="J177" i="119"/>
  <c r="T69" i="117"/>
  <c r="M119" i="120" l="1"/>
  <c r="D119" i="120"/>
  <c r="U119" i="120" s="1"/>
  <c r="V119" i="120" s="1"/>
  <c r="AA119" i="120" s="1"/>
  <c r="L120" i="120" s="1"/>
  <c r="R120" i="120" s="1"/>
  <c r="P119" i="120"/>
  <c r="AH118" i="120"/>
  <c r="V69" i="117"/>
  <c r="U69" i="117" a="1"/>
  <c r="U69" i="117" s="1"/>
  <c r="AH69" i="117" s="1"/>
  <c r="H115" i="122"/>
  <c r="L115" i="122"/>
  <c r="CS114" i="122"/>
  <c r="AZ115" i="122" s="1"/>
  <c r="CX114" i="122"/>
  <c r="BE115" i="122" s="1"/>
  <c r="Q115" i="122"/>
  <c r="CW114" i="122"/>
  <c r="BD115" i="122" s="1"/>
  <c r="P115" i="122"/>
  <c r="CV114" i="122"/>
  <c r="BC115" i="122" s="1"/>
  <c r="O115" i="122"/>
  <c r="CR114" i="122"/>
  <c r="AY115" i="122" s="1"/>
  <c r="K115" i="122"/>
  <c r="D115" i="122"/>
  <c r="CK114" i="122"/>
  <c r="AR115" i="122" s="1"/>
  <c r="C115" i="122"/>
  <c r="CJ114" i="122"/>
  <c r="AQ115" i="122" s="1"/>
  <c r="R115" i="122"/>
  <c r="CY114" i="122"/>
  <c r="BF115" i="122" s="1"/>
  <c r="G115" i="122"/>
  <c r="CN114" i="122"/>
  <c r="AU115" i="122" s="1"/>
  <c r="S115" i="122"/>
  <c r="CZ114" i="122"/>
  <c r="BG115" i="122" s="1"/>
  <c r="DA114" i="122"/>
  <c r="BH115" i="122" s="1"/>
  <c r="T115" i="122"/>
  <c r="E115" i="122"/>
  <c r="CL114" i="122"/>
  <c r="AS115" i="122" s="1"/>
  <c r="CU114" i="122"/>
  <c r="BB115" i="122" s="1"/>
  <c r="N115" i="122"/>
  <c r="M115" i="122"/>
  <c r="CT114" i="122"/>
  <c r="BA115" i="122" s="1"/>
  <c r="U115" i="122"/>
  <c r="DB114" i="122"/>
  <c r="BI115" i="122" s="1"/>
  <c r="CP114" i="122"/>
  <c r="AW115" i="122" s="1"/>
  <c r="I115" i="122"/>
  <c r="J115" i="122"/>
  <c r="CQ114" i="122"/>
  <c r="AX115" i="122" s="1"/>
  <c r="B115" i="122"/>
  <c r="CI114" i="122"/>
  <c r="B179" i="119"/>
  <c r="H179" i="119" s="1"/>
  <c r="J178" i="119"/>
  <c r="W69" i="117"/>
  <c r="Y69" i="117"/>
  <c r="Z69" i="117"/>
  <c r="X69" i="117"/>
  <c r="AA69" i="117"/>
  <c r="AB69" i="117" s="1"/>
  <c r="Y119" i="120" l="1"/>
  <c r="AD119" i="120" s="1"/>
  <c r="O120" i="120" s="1"/>
  <c r="Z119" i="120"/>
  <c r="AE119" i="120" s="1"/>
  <c r="F120" i="120" s="1"/>
  <c r="W119" i="120"/>
  <c r="AB119" i="120" s="1"/>
  <c r="M120" i="120" s="1"/>
  <c r="Q120" i="120"/>
  <c r="AF120" i="120" s="1"/>
  <c r="AG120" i="120" s="1"/>
  <c r="X119" i="120"/>
  <c r="AC119" i="120" s="1"/>
  <c r="AH119" i="120" s="1"/>
  <c r="B120" i="120"/>
  <c r="E120" i="120"/>
  <c r="P120" i="120"/>
  <c r="DE114" i="122"/>
  <c r="AP115" i="122"/>
  <c r="BJ115" i="122" s="1"/>
  <c r="DC115" i="122" s="1"/>
  <c r="BN115" i="122"/>
  <c r="CG115" i="122" s="1"/>
  <c r="BK115" i="122"/>
  <c r="B180" i="119"/>
  <c r="H180" i="119" s="1"/>
  <c r="J179" i="119"/>
  <c r="AE69" i="117"/>
  <c r="AD70" i="117" s="1"/>
  <c r="AG69" i="117"/>
  <c r="AI69" i="117" s="1"/>
  <c r="AC69" i="117"/>
  <c r="AF69" i="117" s="1" a="1"/>
  <c r="AF69" i="117" s="1"/>
  <c r="AJ69" i="117"/>
  <c r="R70" i="117" s="1"/>
  <c r="P70" i="117"/>
  <c r="C120" i="120" l="1"/>
  <c r="S121" i="120"/>
  <c r="N120" i="120"/>
  <c r="D120" i="120"/>
  <c r="U120" i="120" s="1"/>
  <c r="DA115" i="122"/>
  <c r="BH116" i="122" s="1"/>
  <c r="T116" i="122"/>
  <c r="CH115" i="122"/>
  <c r="BQ115" i="122"/>
  <c r="BO115" i="122"/>
  <c r="CD115" i="122"/>
  <c r="CB115" i="122"/>
  <c r="BS115" i="122"/>
  <c r="BU115" i="122"/>
  <c r="BX115" i="122"/>
  <c r="BZ115" i="122"/>
  <c r="BY115" i="122"/>
  <c r="BP115" i="122"/>
  <c r="CE115" i="122"/>
  <c r="BW115" i="122"/>
  <c r="CF115" i="122"/>
  <c r="CA115" i="122"/>
  <c r="CC115" i="122"/>
  <c r="BR115" i="122"/>
  <c r="DD115" i="122"/>
  <c r="BL116" i="122"/>
  <c r="BV115" i="122"/>
  <c r="BT115" i="122"/>
  <c r="B181" i="119"/>
  <c r="H181" i="119" s="1"/>
  <c r="J180" i="119"/>
  <c r="AK69" i="117"/>
  <c r="Q70" i="117"/>
  <c r="S70" i="117"/>
  <c r="V120" i="120" l="1"/>
  <c r="AA120" i="120" s="1"/>
  <c r="X120" i="120"/>
  <c r="AC120" i="120" s="1"/>
  <c r="N121" i="120" s="1"/>
  <c r="W120" i="120"/>
  <c r="AB120" i="120" s="1"/>
  <c r="M121" i="120" s="1"/>
  <c r="Z120" i="120"/>
  <c r="AE120" i="120" s="1"/>
  <c r="F121" i="120" s="1"/>
  <c r="Y120" i="120"/>
  <c r="AD120" i="120" s="1"/>
  <c r="E121" i="120" s="1"/>
  <c r="CW115" i="122"/>
  <c r="BD116" i="122" s="1"/>
  <c r="P116" i="122"/>
  <c r="CS115" i="122"/>
  <c r="AZ116" i="122" s="1"/>
  <c r="L116" i="122"/>
  <c r="Q116" i="122"/>
  <c r="CX115" i="122"/>
  <c r="BE116" i="122" s="1"/>
  <c r="CN115" i="122"/>
  <c r="AU116" i="122" s="1"/>
  <c r="G116" i="122"/>
  <c r="CU115" i="122"/>
  <c r="BB116" i="122" s="1"/>
  <c r="N116" i="122"/>
  <c r="CT115" i="122"/>
  <c r="BA116" i="122" s="1"/>
  <c r="M116" i="122"/>
  <c r="B116" i="122"/>
  <c r="CI115" i="122"/>
  <c r="CP115" i="122"/>
  <c r="AW116" i="122" s="1"/>
  <c r="I116" i="122"/>
  <c r="CZ115" i="122"/>
  <c r="BG116" i="122" s="1"/>
  <c r="S116" i="122"/>
  <c r="CR115" i="122"/>
  <c r="AY116" i="122" s="1"/>
  <c r="K116" i="122"/>
  <c r="CK115" i="122"/>
  <c r="AR116" i="122" s="1"/>
  <c r="D116" i="122"/>
  <c r="J116" i="122"/>
  <c r="CQ115" i="122"/>
  <c r="AX116" i="122" s="1"/>
  <c r="H116" i="122"/>
  <c r="CO115" i="122"/>
  <c r="AV116" i="122" s="1"/>
  <c r="U116" i="122"/>
  <c r="DB115" i="122"/>
  <c r="BI116" i="122" s="1"/>
  <c r="CY115" i="122"/>
  <c r="BF116" i="122" s="1"/>
  <c r="R116" i="122"/>
  <c r="F116" i="122"/>
  <c r="CM115" i="122"/>
  <c r="AT116" i="122" s="1"/>
  <c r="D121" i="120"/>
  <c r="E116" i="122"/>
  <c r="CL115" i="122"/>
  <c r="AS116" i="122" s="1"/>
  <c r="CJ115" i="122"/>
  <c r="AQ116" i="122" s="1"/>
  <c r="C116" i="122"/>
  <c r="CV115" i="122"/>
  <c r="BC116" i="122" s="1"/>
  <c r="O116" i="122"/>
  <c r="B182" i="119"/>
  <c r="H182" i="119" s="1"/>
  <c r="J181" i="119"/>
  <c r="T70" i="117"/>
  <c r="C121" i="120" l="1"/>
  <c r="AH120" i="120"/>
  <c r="P121" i="120"/>
  <c r="O121" i="120"/>
  <c r="L121" i="120"/>
  <c r="B121" i="120"/>
  <c r="U121" i="120" s="1"/>
  <c r="V121" i="120" s="1"/>
  <c r="AA121" i="120" s="1"/>
  <c r="B122" i="120" s="1"/>
  <c r="X70" i="117"/>
  <c r="U70" i="117" a="1"/>
  <c r="U70" i="117" s="1"/>
  <c r="BK116" i="122"/>
  <c r="AP116" i="122"/>
  <c r="BJ116" i="122" s="1"/>
  <c r="DC116" i="122" s="1"/>
  <c r="DE115" i="122"/>
  <c r="BN116" i="122"/>
  <c r="BR116" i="122" s="1"/>
  <c r="B183" i="119"/>
  <c r="H183" i="119" s="1"/>
  <c r="J182" i="119"/>
  <c r="AA70" i="117"/>
  <c r="AB70" i="117" s="1"/>
  <c r="V70" i="117"/>
  <c r="Y70" i="117"/>
  <c r="W70" i="117"/>
  <c r="Z70" i="117"/>
  <c r="Q121" i="120" l="1"/>
  <c r="AF121" i="120" s="1"/>
  <c r="R121" i="120"/>
  <c r="Z121" i="120"/>
  <c r="AE121" i="120" s="1"/>
  <c r="F122" i="120" s="1"/>
  <c r="L122" i="120"/>
  <c r="Q122" i="120" s="1"/>
  <c r="Y121" i="120"/>
  <c r="AD121" i="120" s="1"/>
  <c r="O122" i="120" s="1"/>
  <c r="X121" i="120"/>
  <c r="AC121" i="120" s="1"/>
  <c r="D122" i="120" s="1"/>
  <c r="CL116" i="122"/>
  <c r="AS117" i="122" s="1"/>
  <c r="E117" i="122"/>
  <c r="BT116" i="122"/>
  <c r="CH116" i="122"/>
  <c r="CD116" i="122"/>
  <c r="BY116" i="122"/>
  <c r="BW116" i="122"/>
  <c r="DD116" i="122"/>
  <c r="BL117" i="122"/>
  <c r="CA116" i="122"/>
  <c r="BO116" i="122"/>
  <c r="CG116" i="122"/>
  <c r="BU116" i="122"/>
  <c r="BX116" i="122"/>
  <c r="BV116" i="122"/>
  <c r="BZ116" i="122"/>
  <c r="W121" i="120"/>
  <c r="AB121" i="120" s="1"/>
  <c r="C122" i="120" s="1"/>
  <c r="BS116" i="122"/>
  <c r="BP116" i="122"/>
  <c r="BQ116" i="122"/>
  <c r="CF116" i="122"/>
  <c r="CC116" i="122"/>
  <c r="CB116" i="122"/>
  <c r="CE116" i="122"/>
  <c r="J183" i="119"/>
  <c r="B184" i="119"/>
  <c r="H184" i="119" s="1"/>
  <c r="AC70" i="117"/>
  <c r="AH70" i="117"/>
  <c r="R122" i="120" l="1"/>
  <c r="P122" i="120"/>
  <c r="AG121" i="120"/>
  <c r="S122" i="120"/>
  <c r="AF122" i="120" s="1"/>
  <c r="AE70" i="117"/>
  <c r="AD71" i="117" s="1"/>
  <c r="AF70" i="117" a="1"/>
  <c r="AF70" i="117" s="1"/>
  <c r="N122" i="120"/>
  <c r="E122" i="120"/>
  <c r="U122" i="120" s="1"/>
  <c r="W122" i="120" s="1"/>
  <c r="AB122" i="120" s="1"/>
  <c r="AH121" i="120"/>
  <c r="M122" i="120"/>
  <c r="R117" i="122"/>
  <c r="CY116" i="122"/>
  <c r="BF117" i="122" s="1"/>
  <c r="F117" i="122"/>
  <c r="CM116" i="122"/>
  <c r="AT117" i="122" s="1"/>
  <c r="T117" i="122"/>
  <c r="DA116" i="122"/>
  <c r="BH117" i="122" s="1"/>
  <c r="CS116" i="122"/>
  <c r="AZ117" i="122" s="1"/>
  <c r="L117" i="122"/>
  <c r="O117" i="122"/>
  <c r="CV116" i="122"/>
  <c r="BC117" i="122" s="1"/>
  <c r="CI116" i="122"/>
  <c r="B117" i="122"/>
  <c r="CX116" i="122"/>
  <c r="BE117" i="122" s="1"/>
  <c r="Q117" i="122"/>
  <c r="CT116" i="122"/>
  <c r="BA117" i="122" s="1"/>
  <c r="M117" i="122"/>
  <c r="CU116" i="122"/>
  <c r="BB117" i="122" s="1"/>
  <c r="N117" i="122"/>
  <c r="DB116" i="122"/>
  <c r="BI117" i="122" s="1"/>
  <c r="U117" i="122"/>
  <c r="S117" i="122"/>
  <c r="CZ116" i="122"/>
  <c r="BG117" i="122" s="1"/>
  <c r="CP116" i="122"/>
  <c r="AW117" i="122" s="1"/>
  <c r="I117" i="122"/>
  <c r="CN116" i="122"/>
  <c r="AU117" i="122" s="1"/>
  <c r="G117" i="122"/>
  <c r="CW116" i="122"/>
  <c r="BD117" i="122" s="1"/>
  <c r="P117" i="122"/>
  <c r="CK116" i="122"/>
  <c r="AR117" i="122" s="1"/>
  <c r="D117" i="122"/>
  <c r="CR116" i="122"/>
  <c r="AY117" i="122" s="1"/>
  <c r="K117" i="122"/>
  <c r="C117" i="122"/>
  <c r="CJ116" i="122"/>
  <c r="AQ117" i="122" s="1"/>
  <c r="H117" i="122"/>
  <c r="CO116" i="122"/>
  <c r="AV117" i="122" s="1"/>
  <c r="CQ116" i="122"/>
  <c r="AX117" i="122" s="1"/>
  <c r="J117" i="122"/>
  <c r="B185" i="119"/>
  <c r="H185" i="119" s="1"/>
  <c r="J184" i="119"/>
  <c r="AG70" i="117"/>
  <c r="AI70" i="117" s="1"/>
  <c r="AK70" i="117" s="1"/>
  <c r="AJ70" i="117"/>
  <c r="R71" i="117" s="1"/>
  <c r="S71" i="117" s="1"/>
  <c r="P71" i="117"/>
  <c r="S123" i="120" l="1"/>
  <c r="AG122" i="120"/>
  <c r="BN117" i="122"/>
  <c r="BO117" i="122" s="1"/>
  <c r="AP117" i="122"/>
  <c r="BJ117" i="122" s="1"/>
  <c r="DC117" i="122" s="1"/>
  <c r="DE116" i="122"/>
  <c r="BK117" i="122"/>
  <c r="M123" i="120"/>
  <c r="C123" i="120"/>
  <c r="V122" i="120"/>
  <c r="AA122" i="120" s="1"/>
  <c r="X122" i="120"/>
  <c r="AC122" i="120" s="1"/>
  <c r="Z122" i="120"/>
  <c r="AE122" i="120" s="1"/>
  <c r="Y122" i="120"/>
  <c r="AD122" i="120" s="1"/>
  <c r="B186" i="119"/>
  <c r="H186" i="119" s="1"/>
  <c r="J185" i="119"/>
  <c r="Q71" i="117"/>
  <c r="T71" i="117"/>
  <c r="W71" i="117" l="1"/>
  <c r="U71" i="117" a="1"/>
  <c r="U71" i="117" s="1"/>
  <c r="CE117" i="122"/>
  <c r="BS117" i="122"/>
  <c r="CM117" i="122" s="1"/>
  <c r="AT118" i="122" s="1"/>
  <c r="CI117" i="122"/>
  <c r="B118" i="122"/>
  <c r="BX117" i="122"/>
  <c r="BP117" i="122"/>
  <c r="BR117" i="122"/>
  <c r="BY117" i="122"/>
  <c r="CB117" i="122"/>
  <c r="CC117" i="122"/>
  <c r="CA117" i="122"/>
  <c r="CD117" i="122"/>
  <c r="CF117" i="122"/>
  <c r="CG117" i="122"/>
  <c r="BV117" i="122"/>
  <c r="CH117" i="122"/>
  <c r="BW117" i="122"/>
  <c r="BQ117" i="122"/>
  <c r="CY117" i="122"/>
  <c r="BF118" i="122" s="1"/>
  <c r="R118" i="122"/>
  <c r="BT117" i="122"/>
  <c r="BZ117" i="122"/>
  <c r="DD117" i="122"/>
  <c r="BL118" i="122"/>
  <c r="BU117" i="122"/>
  <c r="E123" i="120"/>
  <c r="O123" i="120"/>
  <c r="P123" i="120"/>
  <c r="F123" i="120"/>
  <c r="D123" i="120"/>
  <c r="N123" i="120"/>
  <c r="L123" i="120"/>
  <c r="B123" i="120"/>
  <c r="AH122" i="120"/>
  <c r="B187" i="119"/>
  <c r="H187" i="119" s="1"/>
  <c r="J186" i="119"/>
  <c r="Z71" i="117"/>
  <c r="Y71" i="117"/>
  <c r="V71" i="117"/>
  <c r="AA71" i="117"/>
  <c r="AB71" i="117" s="1"/>
  <c r="X71" i="117"/>
  <c r="F118" i="122" l="1"/>
  <c r="D118" i="122"/>
  <c r="CK117" i="122"/>
  <c r="AR118" i="122" s="1"/>
  <c r="Q118" i="122"/>
  <c r="CX117" i="122"/>
  <c r="BE118" i="122" s="1"/>
  <c r="CQ117" i="122"/>
  <c r="AX118" i="122" s="1"/>
  <c r="J118" i="122"/>
  <c r="N118" i="122"/>
  <c r="CU117" i="122"/>
  <c r="BB118" i="122" s="1"/>
  <c r="CT117" i="122"/>
  <c r="BA118" i="122" s="1"/>
  <c r="M118" i="122"/>
  <c r="CW117" i="122"/>
  <c r="BD118" i="122" s="1"/>
  <c r="P118" i="122"/>
  <c r="C118" i="122"/>
  <c r="CJ117" i="122"/>
  <c r="AQ118" i="122" s="1"/>
  <c r="U118" i="122"/>
  <c r="DB117" i="122"/>
  <c r="BI118" i="122" s="1"/>
  <c r="G118" i="122"/>
  <c r="CN117" i="122"/>
  <c r="AU118" i="122" s="1"/>
  <c r="CP117" i="122"/>
  <c r="AW118" i="122" s="1"/>
  <c r="I118" i="122"/>
  <c r="O118" i="122"/>
  <c r="CV117" i="122"/>
  <c r="BC118" i="122" s="1"/>
  <c r="CR117" i="122"/>
  <c r="AY118" i="122" s="1"/>
  <c r="K118" i="122"/>
  <c r="DA117" i="122"/>
  <c r="BH118" i="122" s="1"/>
  <c r="T118" i="122"/>
  <c r="L118" i="122"/>
  <c r="CS117" i="122"/>
  <c r="AZ118" i="122" s="1"/>
  <c r="H118" i="122"/>
  <c r="CO117" i="122"/>
  <c r="AV118" i="122" s="1"/>
  <c r="S118" i="122"/>
  <c r="CZ117" i="122"/>
  <c r="BG118" i="122" s="1"/>
  <c r="E118" i="122"/>
  <c r="CL117" i="122"/>
  <c r="AS118" i="122" s="1"/>
  <c r="AP118" i="122"/>
  <c r="U123" i="120"/>
  <c r="X123" i="120" s="1"/>
  <c r="AC123" i="120" s="1"/>
  <c r="R123" i="120"/>
  <c r="Q123" i="120"/>
  <c r="AF123" i="120" s="1"/>
  <c r="J187" i="119"/>
  <c r="B188" i="119"/>
  <c r="H188" i="119" s="1"/>
  <c r="AE71" i="117"/>
  <c r="AD72" i="117" s="1"/>
  <c r="AG71" i="117"/>
  <c r="AI71" i="117" s="1"/>
  <c r="AC71" i="117"/>
  <c r="AF71" i="117" s="1" a="1"/>
  <c r="AF71" i="117" s="1"/>
  <c r="AH71" i="117"/>
  <c r="BK118" i="122" l="1"/>
  <c r="BJ118" i="122"/>
  <c r="DC118" i="122" s="1"/>
  <c r="BL119" i="122" s="1"/>
  <c r="DE117" i="122"/>
  <c r="BN118" i="122"/>
  <c r="CF118" i="122" s="1"/>
  <c r="Y123" i="120"/>
  <c r="AD123" i="120" s="1"/>
  <c r="O124" i="120" s="1"/>
  <c r="Z123" i="120"/>
  <c r="AE123" i="120" s="1"/>
  <c r="P124" i="120" s="1"/>
  <c r="D124" i="120"/>
  <c r="N124" i="120"/>
  <c r="S124" i="120"/>
  <c r="AG123" i="120"/>
  <c r="V123" i="120"/>
  <c r="AA123" i="120" s="1"/>
  <c r="W123" i="120"/>
  <c r="AB123" i="120" s="1"/>
  <c r="B189" i="119"/>
  <c r="H189" i="119" s="1"/>
  <c r="J188" i="119"/>
  <c r="AJ71" i="117"/>
  <c r="R72" i="117" s="1"/>
  <c r="P72" i="117"/>
  <c r="AK71" i="117"/>
  <c r="Q72" i="117"/>
  <c r="DD118" i="122" l="1"/>
  <c r="S119" i="122"/>
  <c r="CZ118" i="122"/>
  <c r="BG119" i="122" s="1"/>
  <c r="CC118" i="122"/>
  <c r="BP118" i="122"/>
  <c r="BX118" i="122"/>
  <c r="BZ118" i="122"/>
  <c r="CE118" i="122"/>
  <c r="BO118" i="122"/>
  <c r="BS118" i="122"/>
  <c r="CH118" i="122"/>
  <c r="BR118" i="122"/>
  <c r="CD118" i="122"/>
  <c r="CB118" i="122"/>
  <c r="BQ118" i="122"/>
  <c r="BY118" i="122"/>
  <c r="BV118" i="122"/>
  <c r="CG118" i="122"/>
  <c r="BW118" i="122"/>
  <c r="CA118" i="122"/>
  <c r="BU118" i="122"/>
  <c r="BT118" i="122"/>
  <c r="E124" i="120"/>
  <c r="F124" i="120"/>
  <c r="C124" i="120"/>
  <c r="M124" i="120"/>
  <c r="B124" i="120"/>
  <c r="L124" i="120"/>
  <c r="AH123" i="120"/>
  <c r="B190" i="119"/>
  <c r="H190" i="119" s="1"/>
  <c r="J189" i="119"/>
  <c r="S72" i="117"/>
  <c r="J119" i="122" l="1"/>
  <c r="CQ118" i="122"/>
  <c r="AX119" i="122" s="1"/>
  <c r="Q119" i="122"/>
  <c r="CX118" i="122"/>
  <c r="BE119" i="122" s="1"/>
  <c r="CT118" i="122"/>
  <c r="BA119" i="122" s="1"/>
  <c r="M119" i="122"/>
  <c r="DA118" i="122"/>
  <c r="BH119" i="122" s="1"/>
  <c r="T119" i="122"/>
  <c r="CL118" i="122"/>
  <c r="AS119" i="122" s="1"/>
  <c r="E119" i="122"/>
  <c r="K119" i="122"/>
  <c r="CR118" i="122"/>
  <c r="AY119" i="122" s="1"/>
  <c r="U119" i="122"/>
  <c r="DB118" i="122"/>
  <c r="BI119" i="122" s="1"/>
  <c r="CJ118" i="122"/>
  <c r="AQ119" i="122" s="1"/>
  <c r="C119" i="122"/>
  <c r="CM118" i="122"/>
  <c r="AT119" i="122" s="1"/>
  <c r="F119" i="122"/>
  <c r="CW118" i="122"/>
  <c r="BD119" i="122" s="1"/>
  <c r="P119" i="122"/>
  <c r="I119" i="122"/>
  <c r="CP118" i="122"/>
  <c r="AW119" i="122" s="1"/>
  <c r="G119" i="122"/>
  <c r="CN118" i="122"/>
  <c r="AU119" i="122" s="1"/>
  <c r="CS118" i="122"/>
  <c r="AZ119" i="122" s="1"/>
  <c r="L119" i="122"/>
  <c r="CO118" i="122"/>
  <c r="AV119" i="122" s="1"/>
  <c r="H119" i="122"/>
  <c r="D119" i="122"/>
  <c r="CK118" i="122"/>
  <c r="AR119" i="122" s="1"/>
  <c r="CI118" i="122"/>
  <c r="B119" i="122"/>
  <c r="U124" i="120"/>
  <c r="X124" i="120" s="1"/>
  <c r="AC124" i="120" s="1"/>
  <c r="CU118" i="122"/>
  <c r="BB119" i="122" s="1"/>
  <c r="N119" i="122"/>
  <c r="CV118" i="122"/>
  <c r="BC119" i="122" s="1"/>
  <c r="O119" i="122"/>
  <c r="CY118" i="122"/>
  <c r="BF119" i="122" s="1"/>
  <c r="R119" i="122"/>
  <c r="Q124" i="120"/>
  <c r="AF124" i="120" s="1"/>
  <c r="R124" i="120"/>
  <c r="J190" i="119"/>
  <c r="B191" i="119"/>
  <c r="H191" i="119" s="1"/>
  <c r="T72" i="117"/>
  <c r="Z72" i="117" l="1"/>
  <c r="U72" i="117" a="1"/>
  <c r="U72" i="117" s="1"/>
  <c r="AH72" i="117" s="1"/>
  <c r="BK119" i="122"/>
  <c r="Z124" i="120"/>
  <c r="AE124" i="120" s="1"/>
  <c r="F125" i="120" s="1"/>
  <c r="V124" i="120"/>
  <c r="AA124" i="120" s="1"/>
  <c r="B125" i="120" s="1"/>
  <c r="W124" i="120"/>
  <c r="AB124" i="120" s="1"/>
  <c r="M125" i="120" s="1"/>
  <c r="Y124" i="120"/>
  <c r="AD124" i="120" s="1"/>
  <c r="E125" i="120" s="1"/>
  <c r="BN119" i="122"/>
  <c r="CA119" i="122" s="1"/>
  <c r="AP119" i="122"/>
  <c r="BJ119" i="122" s="1"/>
  <c r="DC119" i="122" s="1"/>
  <c r="DE118" i="122"/>
  <c r="S125" i="120"/>
  <c r="AG124" i="120"/>
  <c r="N125" i="120"/>
  <c r="D125" i="120"/>
  <c r="B192" i="119"/>
  <c r="H192" i="119" s="1"/>
  <c r="J191" i="119"/>
  <c r="AA72" i="117"/>
  <c r="AB72" i="117" s="1"/>
  <c r="W72" i="117"/>
  <c r="Y72" i="117"/>
  <c r="X72" i="117"/>
  <c r="V72" i="117"/>
  <c r="P125" i="120" l="1"/>
  <c r="L125" i="120"/>
  <c r="Q125" i="120" s="1"/>
  <c r="AF125" i="120" s="1"/>
  <c r="AH124" i="120"/>
  <c r="O125" i="120"/>
  <c r="C125" i="120"/>
  <c r="N120" i="122"/>
  <c r="CU119" i="122"/>
  <c r="BB120" i="122" s="1"/>
  <c r="CG119" i="122"/>
  <c r="CE119" i="122"/>
  <c r="BX119" i="122"/>
  <c r="BW119" i="122"/>
  <c r="CC119" i="122"/>
  <c r="BT119" i="122"/>
  <c r="CH119" i="122"/>
  <c r="BY119" i="122"/>
  <c r="CD119" i="122"/>
  <c r="BQ119" i="122"/>
  <c r="BO119" i="122"/>
  <c r="BV119" i="122"/>
  <c r="BL120" i="122"/>
  <c r="DD119" i="122"/>
  <c r="BR119" i="122"/>
  <c r="CF119" i="122"/>
  <c r="BP119" i="122"/>
  <c r="BZ119" i="122"/>
  <c r="CB119" i="122"/>
  <c r="BU119" i="122"/>
  <c r="BS119" i="122"/>
  <c r="U125" i="120"/>
  <c r="V125" i="120" s="1"/>
  <c r="AA125" i="120" s="1"/>
  <c r="L126" i="120" s="1"/>
  <c r="J192" i="119"/>
  <c r="B193" i="119"/>
  <c r="H193" i="119" s="1"/>
  <c r="AE72" i="117"/>
  <c r="AD73" i="117" s="1"/>
  <c r="AG72" i="117"/>
  <c r="AI72" i="117" s="1"/>
  <c r="AC72" i="117"/>
  <c r="AF72" i="117" s="1" a="1"/>
  <c r="AF72" i="117" s="1"/>
  <c r="AJ72" i="117"/>
  <c r="R73" i="117" s="1"/>
  <c r="P73" i="117"/>
  <c r="R125" i="120" l="1"/>
  <c r="S120" i="122"/>
  <c r="CZ119" i="122"/>
  <c r="BG120" i="122" s="1"/>
  <c r="D120" i="122"/>
  <c r="CK119" i="122"/>
  <c r="AR120" i="122" s="1"/>
  <c r="CQ119" i="122"/>
  <c r="AX120" i="122" s="1"/>
  <c r="J120" i="122"/>
  <c r="CM119" i="122"/>
  <c r="AT120" i="122" s="1"/>
  <c r="F120" i="122"/>
  <c r="E120" i="122"/>
  <c r="CL119" i="122"/>
  <c r="AS120" i="122" s="1"/>
  <c r="CX119" i="122"/>
  <c r="BE120" i="122" s="1"/>
  <c r="Q120" i="122"/>
  <c r="CR119" i="122"/>
  <c r="AY120" i="122" s="1"/>
  <c r="K120" i="122"/>
  <c r="CO119" i="122"/>
  <c r="AV120" i="122" s="1"/>
  <c r="H120" i="122"/>
  <c r="L120" i="122"/>
  <c r="CS119" i="122"/>
  <c r="AZ120" i="122" s="1"/>
  <c r="CY119" i="122"/>
  <c r="BF120" i="122" s="1"/>
  <c r="R120" i="122"/>
  <c r="O120" i="122"/>
  <c r="CV119" i="122"/>
  <c r="BC120" i="122" s="1"/>
  <c r="U120" i="122"/>
  <c r="DB119" i="122"/>
  <c r="BI120" i="122" s="1"/>
  <c r="DA119" i="122"/>
  <c r="BH120" i="122" s="1"/>
  <c r="T120" i="122"/>
  <c r="M120" i="122"/>
  <c r="CT119" i="122"/>
  <c r="BA120" i="122" s="1"/>
  <c r="CP119" i="122"/>
  <c r="AW120" i="122" s="1"/>
  <c r="I120" i="122"/>
  <c r="G120" i="122"/>
  <c r="CN119" i="122"/>
  <c r="AU120" i="122" s="1"/>
  <c r="CJ119" i="122"/>
  <c r="AQ120" i="122" s="1"/>
  <c r="C120" i="122"/>
  <c r="CI119" i="122"/>
  <c r="B120" i="122"/>
  <c r="CW119" i="122"/>
  <c r="BD120" i="122" s="1"/>
  <c r="P120" i="122"/>
  <c r="W125" i="120"/>
  <c r="AB125" i="120" s="1"/>
  <c r="C126" i="120" s="1"/>
  <c r="Z125" i="120"/>
  <c r="AE125" i="120" s="1"/>
  <c r="F126" i="120" s="1"/>
  <c r="B126" i="120"/>
  <c r="Y125" i="120"/>
  <c r="AD125" i="120" s="1"/>
  <c r="E126" i="120" s="1"/>
  <c r="X125" i="120"/>
  <c r="AC125" i="120" s="1"/>
  <c r="N126" i="120" s="1"/>
  <c r="Q126" i="120"/>
  <c r="R126" i="120"/>
  <c r="S126" i="120"/>
  <c r="AG125" i="120"/>
  <c r="B194" i="119"/>
  <c r="H194" i="119" s="1"/>
  <c r="J193" i="119"/>
  <c r="AK72" i="117"/>
  <c r="Q73" i="117"/>
  <c r="S73" i="117"/>
  <c r="T73" i="117" l="1"/>
  <c r="AA73" i="117" s="1"/>
  <c r="AB73" i="117" s="1"/>
  <c r="BK120" i="122"/>
  <c r="P126" i="120"/>
  <c r="BN120" i="122"/>
  <c r="BO120" i="122" s="1"/>
  <c r="AP120" i="122"/>
  <c r="BJ120" i="122" s="1"/>
  <c r="DC120" i="122" s="1"/>
  <c r="DE119" i="122"/>
  <c r="M126" i="120"/>
  <c r="O126" i="120"/>
  <c r="AH125" i="120"/>
  <c r="D126" i="120"/>
  <c r="U126" i="120" s="1"/>
  <c r="V126" i="120" s="1"/>
  <c r="AA126" i="120" s="1"/>
  <c r="L127" i="120" s="1"/>
  <c r="AF126" i="120"/>
  <c r="B195" i="119"/>
  <c r="H195" i="119" s="1"/>
  <c r="J194" i="119"/>
  <c r="X73" i="117" l="1"/>
  <c r="Y73" i="117"/>
  <c r="Z73" i="117"/>
  <c r="W73" i="117"/>
  <c r="V73" i="117"/>
  <c r="U73" i="117" a="1"/>
  <c r="U73" i="117" s="1"/>
  <c r="AH73" i="117" s="1"/>
  <c r="CC120" i="122"/>
  <c r="CB120" i="122"/>
  <c r="BP120" i="122"/>
  <c r="CJ120" i="122" s="1"/>
  <c r="AQ121" i="122" s="1"/>
  <c r="CE120" i="122"/>
  <c r="CY120" i="122" s="1"/>
  <c r="BF121" i="122" s="1"/>
  <c r="BY120" i="122"/>
  <c r="CS120" i="122" s="1"/>
  <c r="AZ121" i="122" s="1"/>
  <c r="CG120" i="122"/>
  <c r="DA120" i="122" s="1"/>
  <c r="BH121" i="122" s="1"/>
  <c r="CF120" i="122"/>
  <c r="BR120" i="122"/>
  <c r="BW120" i="122"/>
  <c r="J121" i="122" s="1"/>
  <c r="BX120" i="122"/>
  <c r="CR120" i="122" s="1"/>
  <c r="AY121" i="122" s="1"/>
  <c r="BZ120" i="122"/>
  <c r="CT120" i="122" s="1"/>
  <c r="BA121" i="122" s="1"/>
  <c r="CI120" i="122"/>
  <c r="B121" i="122"/>
  <c r="CV120" i="122"/>
  <c r="BC121" i="122" s="1"/>
  <c r="O121" i="122"/>
  <c r="DD120" i="122"/>
  <c r="BL121" i="122"/>
  <c r="BU120" i="122"/>
  <c r="CD120" i="122"/>
  <c r="CZ120" i="122"/>
  <c r="BG121" i="122" s="1"/>
  <c r="S121" i="122"/>
  <c r="P121" i="122"/>
  <c r="CW120" i="122"/>
  <c r="BD121" i="122" s="1"/>
  <c r="BV120" i="122"/>
  <c r="BT120" i="122"/>
  <c r="BQ120" i="122"/>
  <c r="CH120" i="122"/>
  <c r="C121" i="122"/>
  <c r="E121" i="122"/>
  <c r="CL120" i="122"/>
  <c r="AS121" i="122" s="1"/>
  <c r="BS120" i="122"/>
  <c r="CA120" i="122"/>
  <c r="Z126" i="120"/>
  <c r="AE126" i="120" s="1"/>
  <c r="F127" i="120" s="1"/>
  <c r="W126" i="120"/>
  <c r="AB126" i="120" s="1"/>
  <c r="C127" i="120" s="1"/>
  <c r="X126" i="120"/>
  <c r="AC126" i="120" s="1"/>
  <c r="D127" i="120" s="1"/>
  <c r="Y126" i="120"/>
  <c r="AD126" i="120" s="1"/>
  <c r="O127" i="120" s="1"/>
  <c r="B127" i="120"/>
  <c r="S127" i="120"/>
  <c r="AG126" i="120"/>
  <c r="R127" i="120"/>
  <c r="Q127" i="120"/>
  <c r="B196" i="119"/>
  <c r="H196" i="119" s="1"/>
  <c r="J195" i="119"/>
  <c r="AC73" i="117"/>
  <c r="AF73" i="117" s="1" a="1"/>
  <c r="AF73" i="117" s="1"/>
  <c r="M121" i="122" l="1"/>
  <c r="L121" i="122"/>
  <c r="CQ120" i="122"/>
  <c r="AX121" i="122" s="1"/>
  <c r="T121" i="122"/>
  <c r="R121" i="122"/>
  <c r="K121" i="122"/>
  <c r="AF127" i="120"/>
  <c r="S128" i="120" s="1"/>
  <c r="Q121" i="122"/>
  <c r="CX120" i="122"/>
  <c r="BE121" i="122" s="1"/>
  <c r="CO120" i="122"/>
  <c r="AV121" i="122" s="1"/>
  <c r="H121" i="122"/>
  <c r="CU120" i="122"/>
  <c r="BB121" i="122" s="1"/>
  <c r="N121" i="122"/>
  <c r="U121" i="122"/>
  <c r="DB120" i="122"/>
  <c r="BI121" i="122" s="1"/>
  <c r="F121" i="122"/>
  <c r="CM120" i="122"/>
  <c r="AT121" i="122" s="1"/>
  <c r="P127" i="120"/>
  <c r="CK120" i="122"/>
  <c r="AR121" i="122" s="1"/>
  <c r="D121" i="122"/>
  <c r="G121" i="122"/>
  <c r="CN120" i="122"/>
  <c r="AU121" i="122" s="1"/>
  <c r="M127" i="120"/>
  <c r="CP120" i="122"/>
  <c r="AW121" i="122" s="1"/>
  <c r="I121" i="122"/>
  <c r="AP121" i="122"/>
  <c r="AH126" i="120"/>
  <c r="E127" i="120"/>
  <c r="U127" i="120" s="1"/>
  <c r="V127" i="120" s="1"/>
  <c r="AA127" i="120" s="1"/>
  <c r="N127" i="120"/>
  <c r="J196" i="119"/>
  <c r="B197" i="119"/>
  <c r="H197" i="119" s="1"/>
  <c r="AE73" i="117"/>
  <c r="AD74" i="117" s="1"/>
  <c r="AG73" i="117"/>
  <c r="AI73" i="117" s="1"/>
  <c r="Q74" i="117" s="1"/>
  <c r="AJ73" i="117"/>
  <c r="R74" i="117" s="1"/>
  <c r="P74" i="117"/>
  <c r="BK121" i="122" l="1"/>
  <c r="AG127" i="120"/>
  <c r="DE120" i="122"/>
  <c r="BJ121" i="122"/>
  <c r="DC121" i="122" s="1"/>
  <c r="BN121" i="122"/>
  <c r="CA121" i="122" s="1"/>
  <c r="L128" i="120"/>
  <c r="B128" i="120"/>
  <c r="X127" i="120"/>
  <c r="AC127" i="120" s="1"/>
  <c r="Y127" i="120"/>
  <c r="AD127" i="120" s="1"/>
  <c r="Z127" i="120"/>
  <c r="AE127" i="120" s="1"/>
  <c r="W127" i="120"/>
  <c r="AB127" i="120" s="1"/>
  <c r="B198" i="119"/>
  <c r="H198" i="119" s="1"/>
  <c r="J197" i="119"/>
  <c r="AK73" i="117"/>
  <c r="S74" i="117"/>
  <c r="CU121" i="122" l="1"/>
  <c r="BB122" i="122" s="1"/>
  <c r="N122" i="122"/>
  <c r="BU121" i="122"/>
  <c r="BO121" i="122"/>
  <c r="BP121" i="122"/>
  <c r="CG121" i="122"/>
  <c r="BW121" i="122"/>
  <c r="BY121" i="122"/>
  <c r="CE121" i="122"/>
  <c r="BZ121" i="122"/>
  <c r="BX121" i="122"/>
  <c r="BR121" i="122"/>
  <c r="CB121" i="122"/>
  <c r="CC121" i="122"/>
  <c r="CF121" i="122"/>
  <c r="BS121" i="122"/>
  <c r="BT121" i="122"/>
  <c r="BL122" i="122"/>
  <c r="DD121" i="122"/>
  <c r="CD121" i="122"/>
  <c r="CH121" i="122"/>
  <c r="BQ121" i="122"/>
  <c r="BV121" i="122"/>
  <c r="AH127" i="120"/>
  <c r="F128" i="120"/>
  <c r="P128" i="120"/>
  <c r="E128" i="120"/>
  <c r="O128" i="120"/>
  <c r="D128" i="120"/>
  <c r="N128" i="120"/>
  <c r="M128" i="120"/>
  <c r="C128" i="120"/>
  <c r="Q128" i="120"/>
  <c r="AF128" i="120" s="1"/>
  <c r="R128" i="120"/>
  <c r="B199" i="119"/>
  <c r="H199" i="119" s="1"/>
  <c r="J198" i="119"/>
  <c r="T74" i="117"/>
  <c r="W74" i="117" l="1"/>
  <c r="U74" i="117" a="1"/>
  <c r="U74" i="117" s="1"/>
  <c r="AH74" i="117" s="1"/>
  <c r="CL121" i="122"/>
  <c r="AS122" i="122" s="1"/>
  <c r="E122" i="122"/>
  <c r="DA121" i="122"/>
  <c r="BH122" i="122" s="1"/>
  <c r="T122" i="122"/>
  <c r="CP121" i="122"/>
  <c r="AW122" i="122" s="1"/>
  <c r="I122" i="122"/>
  <c r="G122" i="122"/>
  <c r="CN121" i="122"/>
  <c r="AU122" i="122" s="1"/>
  <c r="CR121" i="122"/>
  <c r="AY122" i="122" s="1"/>
  <c r="K122" i="122"/>
  <c r="C122" i="122"/>
  <c r="CJ121" i="122"/>
  <c r="AQ122" i="122" s="1"/>
  <c r="CK121" i="122"/>
  <c r="AR122" i="122" s="1"/>
  <c r="D122" i="122"/>
  <c r="CT121" i="122"/>
  <c r="BA122" i="122" s="1"/>
  <c r="M122" i="122"/>
  <c r="CI121" i="122"/>
  <c r="B122" i="122"/>
  <c r="U122" i="122"/>
  <c r="DB121" i="122"/>
  <c r="BI122" i="122" s="1"/>
  <c r="R122" i="122"/>
  <c r="CY121" i="122"/>
  <c r="BF122" i="122" s="1"/>
  <c r="CO121" i="122"/>
  <c r="AV122" i="122" s="1"/>
  <c r="H122" i="122"/>
  <c r="F122" i="122"/>
  <c r="CM121" i="122"/>
  <c r="AT122" i="122" s="1"/>
  <c r="Q122" i="122"/>
  <c r="CX121" i="122"/>
  <c r="BE122" i="122" s="1"/>
  <c r="CW121" i="122"/>
  <c r="BD122" i="122" s="1"/>
  <c r="P122" i="122"/>
  <c r="CS121" i="122"/>
  <c r="AZ122" i="122" s="1"/>
  <c r="L122" i="122"/>
  <c r="CZ121" i="122"/>
  <c r="BG122" i="122" s="1"/>
  <c r="S122" i="122"/>
  <c r="CV121" i="122"/>
  <c r="BC122" i="122" s="1"/>
  <c r="BK122" i="122" s="1"/>
  <c r="O122" i="122"/>
  <c r="CQ121" i="122"/>
  <c r="AX122" i="122" s="1"/>
  <c r="J122" i="122"/>
  <c r="U128" i="120"/>
  <c r="V128" i="120" s="1"/>
  <c r="AA128" i="120" s="1"/>
  <c r="S129" i="120"/>
  <c r="AG128" i="120"/>
  <c r="B200" i="119"/>
  <c r="H200" i="119" s="1"/>
  <c r="J199" i="119"/>
  <c r="Z74" i="117"/>
  <c r="X74" i="117"/>
  <c r="Y74" i="117"/>
  <c r="V74" i="117"/>
  <c r="AA74" i="117"/>
  <c r="AB74" i="117" s="1"/>
  <c r="BN122" i="122" l="1"/>
  <c r="BO122" i="122" s="1"/>
  <c r="AP122" i="122"/>
  <c r="BJ122" i="122" s="1"/>
  <c r="DC122" i="122" s="1"/>
  <c r="DE121" i="122"/>
  <c r="Y128" i="120"/>
  <c r="AD128" i="120" s="1"/>
  <c r="E129" i="120" s="1"/>
  <c r="B129" i="120"/>
  <c r="L129" i="120"/>
  <c r="W128" i="120"/>
  <c r="AB128" i="120" s="1"/>
  <c r="Z128" i="120"/>
  <c r="AE128" i="120" s="1"/>
  <c r="X128" i="120"/>
  <c r="AC128" i="120" s="1"/>
  <c r="J200" i="119"/>
  <c r="B201" i="119"/>
  <c r="H201" i="119" s="1"/>
  <c r="AE74" i="117"/>
  <c r="AD75" i="117" s="1"/>
  <c r="AG74" i="117"/>
  <c r="AI74" i="117" s="1"/>
  <c r="AC74" i="117"/>
  <c r="AF74" i="117" s="1" a="1"/>
  <c r="AF74" i="117" s="1"/>
  <c r="AJ74" i="117"/>
  <c r="R75" i="117" s="1"/>
  <c r="S75" i="117" s="1"/>
  <c r="P75" i="117"/>
  <c r="BT122" i="122" l="1"/>
  <c r="CE122" i="122"/>
  <c r="BP122" i="122"/>
  <c r="CJ122" i="122" s="1"/>
  <c r="AQ123" i="122" s="1"/>
  <c r="CI122" i="122"/>
  <c r="B123" i="122"/>
  <c r="BR122" i="122"/>
  <c r="CG122" i="122"/>
  <c r="CF122" i="122"/>
  <c r="BQ122" i="122"/>
  <c r="BX122" i="122"/>
  <c r="BV122" i="122"/>
  <c r="BY122" i="122"/>
  <c r="BZ122" i="122"/>
  <c r="CN122" i="122"/>
  <c r="AU123" i="122" s="1"/>
  <c r="G123" i="122"/>
  <c r="C123" i="122"/>
  <c r="CB122" i="122"/>
  <c r="CA122" i="122"/>
  <c r="CY122" i="122"/>
  <c r="BF123" i="122" s="1"/>
  <c r="R123" i="122"/>
  <c r="CH122" i="122"/>
  <c r="CD122" i="122"/>
  <c r="BU122" i="122"/>
  <c r="BS122" i="122"/>
  <c r="BW122" i="122"/>
  <c r="BL123" i="122"/>
  <c r="DD122" i="122"/>
  <c r="CC122" i="122"/>
  <c r="O129" i="120"/>
  <c r="M129" i="120"/>
  <c r="C129" i="120"/>
  <c r="AH128" i="120"/>
  <c r="R129" i="120"/>
  <c r="Q129" i="120"/>
  <c r="AF129" i="120" s="1"/>
  <c r="N129" i="120"/>
  <c r="D129" i="120"/>
  <c r="F129" i="120"/>
  <c r="P129" i="120"/>
  <c r="B202" i="119"/>
  <c r="H202" i="119" s="1"/>
  <c r="J201" i="119"/>
  <c r="AK74" i="117"/>
  <c r="Q75" i="117"/>
  <c r="T75" i="117"/>
  <c r="W75" i="117" l="1"/>
  <c r="U75" i="117" a="1"/>
  <c r="U75" i="117" s="1"/>
  <c r="D123" i="122"/>
  <c r="CK122" i="122"/>
  <c r="AR123" i="122" s="1"/>
  <c r="J123" i="122"/>
  <c r="CQ122" i="122"/>
  <c r="AX123" i="122" s="1"/>
  <c r="CZ122" i="122"/>
  <c r="BG123" i="122" s="1"/>
  <c r="S123" i="122"/>
  <c r="CM122" i="122"/>
  <c r="AT123" i="122" s="1"/>
  <c r="F123" i="122"/>
  <c r="CU122" i="122"/>
  <c r="BB123" i="122" s="1"/>
  <c r="N123" i="122"/>
  <c r="CT122" i="122"/>
  <c r="BA123" i="122" s="1"/>
  <c r="M123" i="122"/>
  <c r="T123" i="122"/>
  <c r="DA122" i="122"/>
  <c r="BH123" i="122" s="1"/>
  <c r="CO122" i="122"/>
  <c r="AV123" i="122" s="1"/>
  <c r="H123" i="122"/>
  <c r="CV122" i="122"/>
  <c r="BC123" i="122" s="1"/>
  <c r="O123" i="122"/>
  <c r="CS122" i="122"/>
  <c r="AZ123" i="122" s="1"/>
  <c r="L123" i="122"/>
  <c r="CL122" i="122"/>
  <c r="AS123" i="122" s="1"/>
  <c r="E123" i="122"/>
  <c r="P123" i="122"/>
  <c r="CW122" i="122"/>
  <c r="BD123" i="122" s="1"/>
  <c r="CX122" i="122"/>
  <c r="BE123" i="122" s="1"/>
  <c r="Q123" i="122"/>
  <c r="I123" i="122"/>
  <c r="CP122" i="122"/>
  <c r="AW123" i="122" s="1"/>
  <c r="U123" i="122"/>
  <c r="DB122" i="122"/>
  <c r="BI123" i="122" s="1"/>
  <c r="CR122" i="122"/>
  <c r="AY123" i="122" s="1"/>
  <c r="K123" i="122"/>
  <c r="AP123" i="122"/>
  <c r="U129" i="120"/>
  <c r="V129" i="120" s="1"/>
  <c r="AA129" i="120" s="1"/>
  <c r="L130" i="120" s="1"/>
  <c r="S130" i="120"/>
  <c r="AG129" i="120"/>
  <c r="J202" i="119"/>
  <c r="B203" i="119"/>
  <c r="H203" i="119" s="1"/>
  <c r="Z75" i="117"/>
  <c r="X75" i="117"/>
  <c r="V75" i="117"/>
  <c r="Y75" i="117"/>
  <c r="AA75" i="117"/>
  <c r="AB75" i="117" s="1"/>
  <c r="DE122" i="122" l="1"/>
  <c r="BN123" i="122"/>
  <c r="BR123" i="122" s="1"/>
  <c r="BJ123" i="122"/>
  <c r="DC123" i="122" s="1"/>
  <c r="BK123" i="122"/>
  <c r="B130" i="120"/>
  <c r="W129" i="120"/>
  <c r="AB129" i="120" s="1"/>
  <c r="C130" i="120" s="1"/>
  <c r="X129" i="120"/>
  <c r="AC129" i="120" s="1"/>
  <c r="D130" i="120" s="1"/>
  <c r="Z129" i="120"/>
  <c r="AE129" i="120" s="1"/>
  <c r="F130" i="120" s="1"/>
  <c r="Y129" i="120"/>
  <c r="AD129" i="120" s="1"/>
  <c r="R130" i="120"/>
  <c r="Q130" i="120"/>
  <c r="AF130" i="120" s="1"/>
  <c r="B204" i="119"/>
  <c r="H204" i="119" s="1"/>
  <c r="J203" i="119"/>
  <c r="AE75" i="117"/>
  <c r="AD76" i="117" s="1"/>
  <c r="AG75" i="117"/>
  <c r="AI75" i="117" s="1"/>
  <c r="AC75" i="117"/>
  <c r="AF75" i="117" s="1" a="1"/>
  <c r="AF75" i="117" s="1"/>
  <c r="AH75" i="117"/>
  <c r="CC123" i="122" l="1"/>
  <c r="E124" i="122"/>
  <c r="CL123" i="122"/>
  <c r="AS124" i="122" s="1"/>
  <c r="DD123" i="122"/>
  <c r="BL124" i="122"/>
  <c r="BQ123" i="122"/>
  <c r="BW123" i="122"/>
  <c r="CF123" i="122"/>
  <c r="CG123" i="122"/>
  <c r="CA123" i="122"/>
  <c r="BZ123" i="122"/>
  <c r="CH123" i="122"/>
  <c r="BU123" i="122"/>
  <c r="CB123" i="122"/>
  <c r="BS123" i="122"/>
  <c r="BO123" i="122"/>
  <c r="CE123" i="122"/>
  <c r="BT123" i="122"/>
  <c r="BP123" i="122"/>
  <c r="BY123" i="122"/>
  <c r="BV123" i="122"/>
  <c r="CW123" i="122"/>
  <c r="BD124" i="122" s="1"/>
  <c r="P124" i="122"/>
  <c r="CD123" i="122"/>
  <c r="BX123" i="122"/>
  <c r="N130" i="120"/>
  <c r="M130" i="120"/>
  <c r="AH129" i="120"/>
  <c r="P130" i="120"/>
  <c r="E130" i="120"/>
  <c r="U130" i="120" s="1"/>
  <c r="V130" i="120" s="1"/>
  <c r="AA130" i="120" s="1"/>
  <c r="L131" i="120" s="1"/>
  <c r="O130" i="120"/>
  <c r="S131" i="120"/>
  <c r="AG130" i="120"/>
  <c r="J204" i="119"/>
  <c r="B205" i="119"/>
  <c r="H205" i="119" s="1"/>
  <c r="AJ75" i="117"/>
  <c r="R76" i="117" s="1"/>
  <c r="P76" i="117"/>
  <c r="AK75" i="117"/>
  <c r="Q76" i="117"/>
  <c r="K124" i="122" l="1"/>
  <c r="CR123" i="122"/>
  <c r="AY124" i="122" s="1"/>
  <c r="CJ123" i="122"/>
  <c r="AQ124" i="122" s="1"/>
  <c r="C124" i="122"/>
  <c r="CO123" i="122"/>
  <c r="AV124" i="122" s="1"/>
  <c r="H124" i="122"/>
  <c r="CQ123" i="122"/>
  <c r="AX124" i="122" s="1"/>
  <c r="J124" i="122"/>
  <c r="Q124" i="122"/>
  <c r="CX123" i="122"/>
  <c r="BE124" i="122" s="1"/>
  <c r="CN123" i="122"/>
  <c r="AU124" i="122" s="1"/>
  <c r="G124" i="122"/>
  <c r="DB123" i="122"/>
  <c r="BI124" i="122" s="1"/>
  <c r="U124" i="122"/>
  <c r="CK123" i="122"/>
  <c r="AR124" i="122" s="1"/>
  <c r="D124" i="122"/>
  <c r="R124" i="122"/>
  <c r="CY123" i="122"/>
  <c r="BF124" i="122" s="1"/>
  <c r="CT123" i="122"/>
  <c r="BA124" i="122" s="1"/>
  <c r="M124" i="122"/>
  <c r="B124" i="122"/>
  <c r="CI123" i="122"/>
  <c r="CU123" i="122"/>
  <c r="BB124" i="122" s="1"/>
  <c r="N124" i="122"/>
  <c r="I124" i="122"/>
  <c r="CP123" i="122"/>
  <c r="AW124" i="122" s="1"/>
  <c r="CM123" i="122"/>
  <c r="AT124" i="122" s="1"/>
  <c r="F124" i="122"/>
  <c r="DA123" i="122"/>
  <c r="BH124" i="122" s="1"/>
  <c r="T124" i="122"/>
  <c r="L124" i="122"/>
  <c r="CS123" i="122"/>
  <c r="AZ124" i="122" s="1"/>
  <c r="CV123" i="122"/>
  <c r="BC124" i="122" s="1"/>
  <c r="O124" i="122"/>
  <c r="CZ123" i="122"/>
  <c r="BG124" i="122" s="1"/>
  <c r="S124" i="122"/>
  <c r="Z130" i="120"/>
  <c r="AE130" i="120" s="1"/>
  <c r="F131" i="120" s="1"/>
  <c r="W130" i="120"/>
  <c r="AB130" i="120" s="1"/>
  <c r="M131" i="120" s="1"/>
  <c r="Y130" i="120"/>
  <c r="AD130" i="120" s="1"/>
  <c r="O131" i="120" s="1"/>
  <c r="X130" i="120"/>
  <c r="AC130" i="120" s="1"/>
  <c r="N131" i="120" s="1"/>
  <c r="B131" i="120"/>
  <c r="Q131" i="120"/>
  <c r="AF131" i="120" s="1"/>
  <c r="R131" i="120"/>
  <c r="B206" i="119"/>
  <c r="H206" i="119" s="1"/>
  <c r="J205" i="119"/>
  <c r="S76" i="117"/>
  <c r="T76" i="117" l="1"/>
  <c r="AA76" i="117" s="1"/>
  <c r="AB76" i="117" s="1"/>
  <c r="BK124" i="122"/>
  <c r="AP124" i="122"/>
  <c r="BJ124" i="122" s="1"/>
  <c r="DC124" i="122" s="1"/>
  <c r="DE123" i="122"/>
  <c r="BN124" i="122"/>
  <c r="BU124" i="122" s="1"/>
  <c r="P131" i="120"/>
  <c r="E131" i="120"/>
  <c r="AH130" i="120"/>
  <c r="C131" i="120"/>
  <c r="D131" i="120"/>
  <c r="AG131" i="120"/>
  <c r="S132" i="120"/>
  <c r="B207" i="119"/>
  <c r="H207" i="119" s="1"/>
  <c r="J206" i="119"/>
  <c r="V76" i="117" l="1"/>
  <c r="W76" i="117"/>
  <c r="Z76" i="117"/>
  <c r="Y76" i="117"/>
  <c r="X76" i="117"/>
  <c r="U76" i="117" a="1"/>
  <c r="U76" i="117" s="1"/>
  <c r="AH76" i="117" s="1"/>
  <c r="BZ124" i="122"/>
  <c r="CT124" i="122" s="1"/>
  <c r="BA125" i="122" s="1"/>
  <c r="BP124" i="122"/>
  <c r="CG124" i="122"/>
  <c r="T125" i="122" s="1"/>
  <c r="BW124" i="122"/>
  <c r="CQ124" i="122" s="1"/>
  <c r="AX125" i="122" s="1"/>
  <c r="BX124" i="122"/>
  <c r="K125" i="122" s="1"/>
  <c r="BY124" i="122"/>
  <c r="CS124" i="122" s="1"/>
  <c r="AZ125" i="122" s="1"/>
  <c r="BS124" i="122"/>
  <c r="CO124" i="122"/>
  <c r="AV125" i="122" s="1"/>
  <c r="H125" i="122"/>
  <c r="M125" i="122"/>
  <c r="BL125" i="122"/>
  <c r="DD124" i="122"/>
  <c r="J125" i="122"/>
  <c r="CJ124" i="122"/>
  <c r="AQ125" i="122" s="1"/>
  <c r="C125" i="122"/>
  <c r="CM124" i="122"/>
  <c r="AT125" i="122" s="1"/>
  <c r="F125" i="122"/>
  <c r="CH124" i="122"/>
  <c r="BQ124" i="122"/>
  <c r="CB124" i="122"/>
  <c r="BV124" i="122"/>
  <c r="BO124" i="122"/>
  <c r="CF124" i="122"/>
  <c r="BR124" i="122"/>
  <c r="CC124" i="122"/>
  <c r="BT124" i="122"/>
  <c r="CA124" i="122"/>
  <c r="CD124" i="122"/>
  <c r="CE124" i="122"/>
  <c r="U131" i="120"/>
  <c r="V131" i="120" s="1"/>
  <c r="AA131" i="120" s="1"/>
  <c r="B208" i="119"/>
  <c r="H208" i="119" s="1"/>
  <c r="J207" i="119"/>
  <c r="AC76" i="117"/>
  <c r="AF76" i="117" s="1" a="1"/>
  <c r="AF76" i="117" s="1"/>
  <c r="DA124" i="122" l="1"/>
  <c r="BH125" i="122" s="1"/>
  <c r="CR124" i="122"/>
  <c r="AY125" i="122" s="1"/>
  <c r="L125" i="122"/>
  <c r="R125" i="122"/>
  <c r="CY124" i="122"/>
  <c r="BF125" i="122" s="1"/>
  <c r="CW124" i="122"/>
  <c r="BD125" i="122" s="1"/>
  <c r="P125" i="122"/>
  <c r="I125" i="122"/>
  <c r="CP124" i="122"/>
  <c r="AW125" i="122" s="1"/>
  <c r="CX124" i="122"/>
  <c r="BE125" i="122" s="1"/>
  <c r="Q125" i="122"/>
  <c r="CL124" i="122"/>
  <c r="AS125" i="122" s="1"/>
  <c r="E125" i="122"/>
  <c r="CV124" i="122"/>
  <c r="BC125" i="122" s="1"/>
  <c r="O125" i="122"/>
  <c r="N125" i="122"/>
  <c r="CU124" i="122"/>
  <c r="BB125" i="122" s="1"/>
  <c r="D125" i="122"/>
  <c r="CK124" i="122"/>
  <c r="AR125" i="122" s="1"/>
  <c r="CZ124" i="122"/>
  <c r="BG125" i="122" s="1"/>
  <c r="S125" i="122"/>
  <c r="U125" i="122"/>
  <c r="DB124" i="122"/>
  <c r="BI125" i="122" s="1"/>
  <c r="CN124" i="122"/>
  <c r="AU125" i="122" s="1"/>
  <c r="G125" i="122"/>
  <c r="CI124" i="122"/>
  <c r="B125" i="122"/>
  <c r="X131" i="120"/>
  <c r="AC131" i="120" s="1"/>
  <c r="D132" i="120" s="1"/>
  <c r="Y131" i="120"/>
  <c r="AD131" i="120" s="1"/>
  <c r="E132" i="120" s="1"/>
  <c r="W131" i="120"/>
  <c r="AB131" i="120" s="1"/>
  <c r="C132" i="120" s="1"/>
  <c r="Z131" i="120"/>
  <c r="AE131" i="120" s="1"/>
  <c r="P132" i="120" s="1"/>
  <c r="L132" i="120"/>
  <c r="B132" i="120"/>
  <c r="J208" i="119"/>
  <c r="B209" i="119"/>
  <c r="H209" i="119" s="1"/>
  <c r="AE76" i="117"/>
  <c r="AD77" i="117" s="1"/>
  <c r="AG76" i="117"/>
  <c r="AI76" i="117" s="1"/>
  <c r="AK76" i="117" s="1"/>
  <c r="AJ76" i="117"/>
  <c r="R77" i="117" s="1"/>
  <c r="P77" i="117"/>
  <c r="N132" i="120" l="1"/>
  <c r="BK125" i="122"/>
  <c r="BN125" i="122"/>
  <c r="BV125" i="122" s="1"/>
  <c r="AP125" i="122"/>
  <c r="BJ125" i="122" s="1"/>
  <c r="DC125" i="122" s="1"/>
  <c r="DE124" i="122"/>
  <c r="AH131" i="120"/>
  <c r="M132" i="120"/>
  <c r="O132" i="120"/>
  <c r="F132" i="120"/>
  <c r="U132" i="120" s="1"/>
  <c r="V132" i="120" s="1"/>
  <c r="AA132" i="120" s="1"/>
  <c r="Q132" i="120"/>
  <c r="AF132" i="120" s="1"/>
  <c r="R132" i="120"/>
  <c r="B210" i="119"/>
  <c r="H210" i="119" s="1"/>
  <c r="J209" i="119"/>
  <c r="Q77" i="117"/>
  <c r="S77" i="117"/>
  <c r="T77" i="117" l="1"/>
  <c r="U77" i="117" s="1" a="1"/>
  <c r="U77" i="117" s="1"/>
  <c r="AH77" i="117" s="1"/>
  <c r="I126" i="122"/>
  <c r="CP125" i="122"/>
  <c r="AW126" i="122" s="1"/>
  <c r="CB125" i="122"/>
  <c r="CD125" i="122"/>
  <c r="BO125" i="122"/>
  <c r="BU125" i="122"/>
  <c r="BP125" i="122"/>
  <c r="CG125" i="122"/>
  <c r="BZ125" i="122"/>
  <c r="BW125" i="122"/>
  <c r="BX125" i="122"/>
  <c r="BY125" i="122"/>
  <c r="BS125" i="122"/>
  <c r="BQ125" i="122"/>
  <c r="CE125" i="122"/>
  <c r="CA125" i="122"/>
  <c r="CH125" i="122"/>
  <c r="CF125" i="122"/>
  <c r="BR125" i="122"/>
  <c r="DD125" i="122"/>
  <c r="BL126" i="122"/>
  <c r="CC125" i="122"/>
  <c r="BT125" i="122"/>
  <c r="Z132" i="120"/>
  <c r="AE132" i="120" s="1"/>
  <c r="L133" i="120"/>
  <c r="B133" i="120"/>
  <c r="W132" i="120"/>
  <c r="AB132" i="120" s="1"/>
  <c r="X132" i="120"/>
  <c r="AC132" i="120" s="1"/>
  <c r="Y132" i="120"/>
  <c r="AD132" i="120" s="1"/>
  <c r="S133" i="120"/>
  <c r="AG132" i="120"/>
  <c r="J210" i="119"/>
  <c r="B211" i="119"/>
  <c r="H211" i="119" s="1"/>
  <c r="V77" i="117" l="1"/>
  <c r="Y77" i="117"/>
  <c r="AA77" i="117"/>
  <c r="AB77" i="117" s="1"/>
  <c r="AE77" i="117" s="1"/>
  <c r="AD78" i="117" s="1"/>
  <c r="X77" i="117"/>
  <c r="W77" i="117"/>
  <c r="Z77" i="117"/>
  <c r="S126" i="122"/>
  <c r="CZ125" i="122"/>
  <c r="BG126" i="122" s="1"/>
  <c r="CS125" i="122"/>
  <c r="AZ126" i="122" s="1"/>
  <c r="L126" i="122"/>
  <c r="CO125" i="122"/>
  <c r="AV126" i="122" s="1"/>
  <c r="H126" i="122"/>
  <c r="G126" i="122"/>
  <c r="CN125" i="122"/>
  <c r="AU126" i="122" s="1"/>
  <c r="U126" i="122"/>
  <c r="DB125" i="122"/>
  <c r="BI126" i="122" s="1"/>
  <c r="CR125" i="122"/>
  <c r="AY126" i="122" s="1"/>
  <c r="K126" i="122"/>
  <c r="B126" i="122"/>
  <c r="CI125" i="122"/>
  <c r="CW125" i="122"/>
  <c r="BD126" i="122" s="1"/>
  <c r="P126" i="122"/>
  <c r="CU125" i="122"/>
  <c r="BB126" i="122" s="1"/>
  <c r="N126" i="122"/>
  <c r="J126" i="122"/>
  <c r="CQ125" i="122"/>
  <c r="AX126" i="122" s="1"/>
  <c r="Q126" i="122"/>
  <c r="CX125" i="122"/>
  <c r="BE126" i="122" s="1"/>
  <c r="CY125" i="122"/>
  <c r="BF126" i="122" s="1"/>
  <c r="R126" i="122"/>
  <c r="CT125" i="122"/>
  <c r="BA126" i="122" s="1"/>
  <c r="M126" i="122"/>
  <c r="O126" i="122"/>
  <c r="CV125" i="122"/>
  <c r="BC126" i="122" s="1"/>
  <c r="D126" i="122"/>
  <c r="CK125" i="122"/>
  <c r="AR126" i="122" s="1"/>
  <c r="DA125" i="122"/>
  <c r="BH126" i="122" s="1"/>
  <c r="T126" i="122"/>
  <c r="CL125" i="122"/>
  <c r="AS126" i="122" s="1"/>
  <c r="E126" i="122"/>
  <c r="F126" i="122"/>
  <c r="CM125" i="122"/>
  <c r="AT126" i="122" s="1"/>
  <c r="C126" i="122"/>
  <c r="CJ125" i="122"/>
  <c r="AQ126" i="122" s="1"/>
  <c r="D133" i="120"/>
  <c r="N133" i="120"/>
  <c r="M133" i="120"/>
  <c r="C133" i="120"/>
  <c r="AH132" i="120"/>
  <c r="R133" i="120"/>
  <c r="Q133" i="120"/>
  <c r="AF133" i="120" s="1"/>
  <c r="E133" i="120"/>
  <c r="O133" i="120"/>
  <c r="F133" i="120"/>
  <c r="P133" i="120"/>
  <c r="B212" i="119"/>
  <c r="H212" i="119" s="1"/>
  <c r="J211" i="119"/>
  <c r="AC77" i="117"/>
  <c r="AF77" i="117" s="1" a="1"/>
  <c r="AF77" i="117" s="1"/>
  <c r="AJ77" i="117"/>
  <c r="R78" i="117" s="1"/>
  <c r="P78" i="117"/>
  <c r="AG77" i="117" l="1"/>
  <c r="AI77" i="117" s="1"/>
  <c r="AK77" i="117" s="1"/>
  <c r="BK126" i="122"/>
  <c r="AP126" i="122"/>
  <c r="BJ126" i="122" s="1"/>
  <c r="DC126" i="122" s="1"/>
  <c r="DE125" i="122"/>
  <c r="U133" i="120"/>
  <c r="V133" i="120" s="1"/>
  <c r="AA133" i="120" s="1"/>
  <c r="L134" i="120" s="1"/>
  <c r="BN126" i="122"/>
  <c r="CA126" i="122" s="1"/>
  <c r="AG133" i="120"/>
  <c r="S134" i="120"/>
  <c r="J212" i="119"/>
  <c r="B213" i="119"/>
  <c r="H213" i="119" s="1"/>
  <c r="Q78" i="117"/>
  <c r="S78" i="117"/>
  <c r="CF126" i="122" l="1"/>
  <c r="BO126" i="122"/>
  <c r="CU126" i="122"/>
  <c r="BB127" i="122" s="1"/>
  <c r="N127" i="122"/>
  <c r="X133" i="120"/>
  <c r="AC133" i="120" s="1"/>
  <c r="D134" i="120" s="1"/>
  <c r="B134" i="120"/>
  <c r="BW126" i="122"/>
  <c r="CG126" i="122"/>
  <c r="BQ126" i="122"/>
  <c r="BP126" i="122"/>
  <c r="BR126" i="122"/>
  <c r="BS126" i="122"/>
  <c r="CH126" i="122"/>
  <c r="BU126" i="122"/>
  <c r="S127" i="122"/>
  <c r="CZ126" i="122"/>
  <c r="BG127" i="122" s="1"/>
  <c r="Z133" i="120"/>
  <c r="AE133" i="120" s="1"/>
  <c r="F134" i="120" s="1"/>
  <c r="BT126" i="122"/>
  <c r="CD126" i="122"/>
  <c r="BX126" i="122"/>
  <c r="Y133" i="120"/>
  <c r="AD133" i="120" s="1"/>
  <c r="E134" i="120" s="1"/>
  <c r="B127" i="122"/>
  <c r="CI126" i="122"/>
  <c r="BL127" i="122"/>
  <c r="DD126" i="122"/>
  <c r="CB126" i="122"/>
  <c r="W133" i="120"/>
  <c r="AB133" i="120" s="1"/>
  <c r="C134" i="120" s="1"/>
  <c r="CC126" i="122"/>
  <c r="BV126" i="122"/>
  <c r="BZ126" i="122"/>
  <c r="BY126" i="122"/>
  <c r="CE126" i="122"/>
  <c r="R134" i="120"/>
  <c r="Q134" i="120"/>
  <c r="AF134" i="120" s="1"/>
  <c r="B214" i="119"/>
  <c r="H214" i="119" s="1"/>
  <c r="J213" i="119"/>
  <c r="T78" i="117"/>
  <c r="X78" i="117" l="1"/>
  <c r="U78" i="117" a="1"/>
  <c r="U78" i="117" s="1"/>
  <c r="AH78" i="117" s="1"/>
  <c r="N134" i="120"/>
  <c r="O134" i="120"/>
  <c r="AH133" i="120"/>
  <c r="M134" i="120"/>
  <c r="R127" i="122"/>
  <c r="CY126" i="122"/>
  <c r="BF127" i="122" s="1"/>
  <c r="O127" i="122"/>
  <c r="CV126" i="122"/>
  <c r="BC127" i="122" s="1"/>
  <c r="K127" i="122"/>
  <c r="CR126" i="122"/>
  <c r="AY127" i="122" s="1"/>
  <c r="CO126" i="122"/>
  <c r="AV127" i="122" s="1"/>
  <c r="H127" i="122"/>
  <c r="T127" i="122"/>
  <c r="DA126" i="122"/>
  <c r="BH127" i="122" s="1"/>
  <c r="L127" i="122"/>
  <c r="CS126" i="122"/>
  <c r="AZ127" i="122" s="1"/>
  <c r="Q127" i="122"/>
  <c r="CX126" i="122"/>
  <c r="BE127" i="122" s="1"/>
  <c r="DB126" i="122"/>
  <c r="BI127" i="122" s="1"/>
  <c r="U127" i="122"/>
  <c r="J127" i="122"/>
  <c r="CQ126" i="122"/>
  <c r="AX127" i="122" s="1"/>
  <c r="CT126" i="122"/>
  <c r="BA127" i="122" s="1"/>
  <c r="M127" i="122"/>
  <c r="CN126" i="122"/>
  <c r="AU127" i="122" s="1"/>
  <c r="G127" i="122"/>
  <c r="F127" i="122"/>
  <c r="CM126" i="122"/>
  <c r="AT127" i="122" s="1"/>
  <c r="CP126" i="122"/>
  <c r="AW127" i="122" s="1"/>
  <c r="I127" i="122"/>
  <c r="AP127" i="122"/>
  <c r="CL126" i="122"/>
  <c r="AS127" i="122" s="1"/>
  <c r="E127" i="122"/>
  <c r="P134" i="120"/>
  <c r="CW126" i="122"/>
  <c r="BD127" i="122" s="1"/>
  <c r="P127" i="122"/>
  <c r="C127" i="122"/>
  <c r="CJ126" i="122"/>
  <c r="AQ127" i="122" s="1"/>
  <c r="D127" i="122"/>
  <c r="CK126" i="122"/>
  <c r="AR127" i="122" s="1"/>
  <c r="U134" i="120"/>
  <c r="V134" i="120" s="1"/>
  <c r="AA134" i="120" s="1"/>
  <c r="S135" i="120"/>
  <c r="AG134" i="120"/>
  <c r="B215" i="119"/>
  <c r="H215" i="119" s="1"/>
  <c r="J214" i="119"/>
  <c r="AA78" i="117"/>
  <c r="AB78" i="117" s="1"/>
  <c r="V78" i="117"/>
  <c r="W78" i="117"/>
  <c r="Y78" i="117"/>
  <c r="Z78" i="117"/>
  <c r="BK127" i="122" l="1"/>
  <c r="BN127" i="122"/>
  <c r="CA127" i="122" s="1"/>
  <c r="N128" i="122" s="1"/>
  <c r="DE126" i="122"/>
  <c r="BJ127" i="122"/>
  <c r="DC127" i="122" s="1"/>
  <c r="W134" i="120"/>
  <c r="AB134" i="120" s="1"/>
  <c r="L135" i="120"/>
  <c r="B135" i="120"/>
  <c r="Y134" i="120"/>
  <c r="AD134" i="120" s="1"/>
  <c r="Z134" i="120"/>
  <c r="AE134" i="120" s="1"/>
  <c r="X134" i="120"/>
  <c r="AC134" i="120" s="1"/>
  <c r="B216" i="119"/>
  <c r="H216" i="119" s="1"/>
  <c r="J215" i="119"/>
  <c r="AE78" i="117"/>
  <c r="AD79" i="117" s="1"/>
  <c r="AG78" i="117"/>
  <c r="AI78" i="117" s="1"/>
  <c r="AC78" i="117"/>
  <c r="AF78" i="117" s="1" a="1"/>
  <c r="AF78" i="117" s="1"/>
  <c r="AJ78" i="117"/>
  <c r="R79" i="117" s="1"/>
  <c r="P79" i="117"/>
  <c r="BQ127" i="122" l="1"/>
  <c r="BZ127" i="122"/>
  <c r="CD127" i="122"/>
  <c r="CX127" i="122" s="1"/>
  <c r="BE128" i="122" s="1"/>
  <c r="CB127" i="122"/>
  <c r="BT127" i="122"/>
  <c r="CN127" i="122" s="1"/>
  <c r="AU128" i="122" s="1"/>
  <c r="CU127" i="122"/>
  <c r="BB128" i="122" s="1"/>
  <c r="BY127" i="122"/>
  <c r="L128" i="122" s="1"/>
  <c r="CE127" i="122"/>
  <c r="CF127" i="122"/>
  <c r="BS127" i="122"/>
  <c r="CM127" i="122" s="1"/>
  <c r="AT128" i="122" s="1"/>
  <c r="BV127" i="122"/>
  <c r="CP127" i="122" s="1"/>
  <c r="AW128" i="122" s="1"/>
  <c r="CH127" i="122"/>
  <c r="DB127" i="122" s="1"/>
  <c r="BI128" i="122" s="1"/>
  <c r="BO127" i="122"/>
  <c r="BR127" i="122"/>
  <c r="CL127" i="122" s="1"/>
  <c r="AS128" i="122" s="1"/>
  <c r="CC127" i="122"/>
  <c r="CW127" i="122" s="1"/>
  <c r="BD128" i="122" s="1"/>
  <c r="BX127" i="122"/>
  <c r="K128" i="122" s="1"/>
  <c r="BP127" i="122"/>
  <c r="C128" i="122" s="1"/>
  <c r="BU127" i="122"/>
  <c r="H128" i="122" s="1"/>
  <c r="CG127" i="122"/>
  <c r="DA127" i="122" s="1"/>
  <c r="BH128" i="122" s="1"/>
  <c r="BW127" i="122"/>
  <c r="CQ127" i="122" s="1"/>
  <c r="AX128" i="122" s="1"/>
  <c r="CV127" i="122"/>
  <c r="BC128" i="122" s="1"/>
  <c r="O128" i="122"/>
  <c r="CS127" i="122"/>
  <c r="AZ128" i="122" s="1"/>
  <c r="R128" i="122"/>
  <c r="CY127" i="122"/>
  <c r="BF128" i="122" s="1"/>
  <c r="Q128" i="122"/>
  <c r="BL128" i="122"/>
  <c r="DD127" i="122"/>
  <c r="F128" i="122"/>
  <c r="D128" i="122"/>
  <c r="CK127" i="122"/>
  <c r="AR128" i="122" s="1"/>
  <c r="B128" i="122"/>
  <c r="CI127" i="122"/>
  <c r="CT127" i="122"/>
  <c r="BA128" i="122" s="1"/>
  <c r="M128" i="122"/>
  <c r="G128" i="122"/>
  <c r="CZ127" i="122"/>
  <c r="BG128" i="122" s="1"/>
  <c r="S128" i="122"/>
  <c r="CR127" i="122"/>
  <c r="AY128" i="122" s="1"/>
  <c r="F135" i="120"/>
  <c r="P135" i="120"/>
  <c r="O135" i="120"/>
  <c r="E135" i="120"/>
  <c r="AH134" i="120"/>
  <c r="Q135" i="120"/>
  <c r="AF135" i="120" s="1"/>
  <c r="R135" i="120"/>
  <c r="D135" i="120"/>
  <c r="N135" i="120"/>
  <c r="C135" i="120"/>
  <c r="M135" i="120"/>
  <c r="J216" i="119"/>
  <c r="B217" i="119"/>
  <c r="H217" i="119" s="1"/>
  <c r="AK78" i="117"/>
  <c r="Q79" i="117"/>
  <c r="S79" i="117"/>
  <c r="T79" i="117" l="1"/>
  <c r="AA79" i="117" s="1"/>
  <c r="AB79" i="117" s="1"/>
  <c r="U128" i="122"/>
  <c r="CJ127" i="122"/>
  <c r="AQ128" i="122" s="1"/>
  <c r="J128" i="122"/>
  <c r="T128" i="122"/>
  <c r="E128" i="122"/>
  <c r="BN128" i="122" s="1"/>
  <c r="CH128" i="122" s="1"/>
  <c r="I128" i="122"/>
  <c r="CO127" i="122"/>
  <c r="AV128" i="122" s="1"/>
  <c r="P128" i="122"/>
  <c r="U135" i="120"/>
  <c r="V135" i="120" s="1"/>
  <c r="AA135" i="120" s="1"/>
  <c r="L136" i="120" s="1"/>
  <c r="AP128" i="122"/>
  <c r="BJ128" i="122" s="1"/>
  <c r="DC128" i="122" s="1"/>
  <c r="DE127" i="122"/>
  <c r="BK128" i="122"/>
  <c r="S136" i="120"/>
  <c r="AG135" i="120"/>
  <c r="B218" i="119"/>
  <c r="H218" i="119" s="1"/>
  <c r="J217" i="119"/>
  <c r="Z79" i="117"/>
  <c r="Y79" i="117" l="1"/>
  <c r="V79" i="117"/>
  <c r="W79" i="117"/>
  <c r="X79" i="117"/>
  <c r="U79" i="117" a="1"/>
  <c r="U79" i="117" s="1"/>
  <c r="AH79" i="117" s="1"/>
  <c r="P80" i="117" s="1"/>
  <c r="Y135" i="120"/>
  <c r="AD135" i="120" s="1"/>
  <c r="E136" i="120" s="1"/>
  <c r="DB128" i="122"/>
  <c r="BI129" i="122" s="1"/>
  <c r="U129" i="122"/>
  <c r="X135" i="120"/>
  <c r="AC135" i="120" s="1"/>
  <c r="N136" i="120" s="1"/>
  <c r="CB128" i="122"/>
  <c r="BX128" i="122"/>
  <c r="BP128" i="122"/>
  <c r="BU128" i="122"/>
  <c r="CE128" i="122"/>
  <c r="BQ128" i="122"/>
  <c r="CD128" i="122"/>
  <c r="CG128" i="122"/>
  <c r="BS128" i="122"/>
  <c r="BO128" i="122"/>
  <c r="BV128" i="122"/>
  <c r="BW128" i="122"/>
  <c r="Z135" i="120"/>
  <c r="AE135" i="120" s="1"/>
  <c r="P136" i="120" s="1"/>
  <c r="B136" i="120"/>
  <c r="BL129" i="122"/>
  <c r="DD128" i="122"/>
  <c r="BZ128" i="122"/>
  <c r="CF128" i="122"/>
  <c r="CA128" i="122"/>
  <c r="W135" i="120"/>
  <c r="AB135" i="120" s="1"/>
  <c r="C136" i="120" s="1"/>
  <c r="CC128" i="122"/>
  <c r="BY128" i="122"/>
  <c r="BR128" i="122"/>
  <c r="BT128" i="122"/>
  <c r="Q136" i="120"/>
  <c r="AF136" i="120" s="1"/>
  <c r="R136" i="120"/>
  <c r="B219" i="119"/>
  <c r="H219" i="119" s="1"/>
  <c r="J218" i="119"/>
  <c r="AC79" i="117"/>
  <c r="AF79" i="117" s="1" a="1"/>
  <c r="AF79" i="117" s="1"/>
  <c r="AJ79" i="117" l="1"/>
  <c r="R80" i="117" s="1"/>
  <c r="O136" i="120"/>
  <c r="D136" i="120"/>
  <c r="AH135" i="120"/>
  <c r="M136" i="120"/>
  <c r="CW128" i="122"/>
  <c r="BD129" i="122" s="1"/>
  <c r="P129" i="122"/>
  <c r="F129" i="122"/>
  <c r="CM128" i="122"/>
  <c r="AT129" i="122" s="1"/>
  <c r="CJ128" i="122"/>
  <c r="AQ129" i="122" s="1"/>
  <c r="C129" i="122"/>
  <c r="T129" i="122"/>
  <c r="DA128" i="122"/>
  <c r="BH129" i="122" s="1"/>
  <c r="CR128" i="122"/>
  <c r="AY129" i="122" s="1"/>
  <c r="K129" i="122"/>
  <c r="N129" i="122"/>
  <c r="CU128" i="122"/>
  <c r="BB129" i="122" s="1"/>
  <c r="CX128" i="122"/>
  <c r="BE129" i="122" s="1"/>
  <c r="Q129" i="122"/>
  <c r="CV128" i="122"/>
  <c r="BC129" i="122" s="1"/>
  <c r="O129" i="122"/>
  <c r="G129" i="122"/>
  <c r="CN128" i="122"/>
  <c r="AU129" i="122" s="1"/>
  <c r="CZ128" i="122"/>
  <c r="BG129" i="122" s="1"/>
  <c r="S129" i="122"/>
  <c r="CQ128" i="122"/>
  <c r="AX129" i="122" s="1"/>
  <c r="J129" i="122"/>
  <c r="CK128" i="122"/>
  <c r="AR129" i="122" s="1"/>
  <c r="D129" i="122"/>
  <c r="F136" i="120"/>
  <c r="U136" i="120" s="1"/>
  <c r="V136" i="120" s="1"/>
  <c r="AA136" i="120" s="1"/>
  <c r="B137" i="120" s="1"/>
  <c r="CL128" i="122"/>
  <c r="AS129" i="122" s="1"/>
  <c r="E129" i="122"/>
  <c r="CT128" i="122"/>
  <c r="BA129" i="122" s="1"/>
  <c r="M129" i="122"/>
  <c r="I129" i="122"/>
  <c r="CP128" i="122"/>
  <c r="AW129" i="122" s="1"/>
  <c r="CY128" i="122"/>
  <c r="BF129" i="122" s="1"/>
  <c r="R129" i="122"/>
  <c r="L129" i="122"/>
  <c r="CS128" i="122"/>
  <c r="AZ129" i="122" s="1"/>
  <c r="CI128" i="122"/>
  <c r="B129" i="122"/>
  <c r="CO128" i="122"/>
  <c r="AV129" i="122" s="1"/>
  <c r="H129" i="122"/>
  <c r="S137" i="120"/>
  <c r="AG136" i="120"/>
  <c r="B220" i="119"/>
  <c r="H220" i="119" s="1"/>
  <c r="J219" i="119"/>
  <c r="AE79" i="117"/>
  <c r="AD80" i="117" s="1"/>
  <c r="AG79" i="117"/>
  <c r="AI79" i="117" s="1"/>
  <c r="Q80" i="117" s="1"/>
  <c r="S80" i="117"/>
  <c r="Z136" i="120" l="1"/>
  <c r="AE136" i="120" s="1"/>
  <c r="F137" i="120" s="1"/>
  <c r="Y136" i="120"/>
  <c r="AD136" i="120" s="1"/>
  <c r="O137" i="120" s="1"/>
  <c r="W136" i="120"/>
  <c r="AB136" i="120" s="1"/>
  <c r="M137" i="120" s="1"/>
  <c r="BK129" i="122"/>
  <c r="L137" i="120"/>
  <c r="AP129" i="122"/>
  <c r="BJ129" i="122" s="1"/>
  <c r="DC129" i="122" s="1"/>
  <c r="DE128" i="122"/>
  <c r="BN129" i="122"/>
  <c r="BZ129" i="122" s="1"/>
  <c r="X136" i="120"/>
  <c r="AC136" i="120" s="1"/>
  <c r="N137" i="120" s="1"/>
  <c r="J220" i="119"/>
  <c r="B221" i="119"/>
  <c r="H221" i="119" s="1"/>
  <c r="AK79" i="117"/>
  <c r="T80" i="117"/>
  <c r="E137" i="120" l="1"/>
  <c r="W80" i="117"/>
  <c r="U80" i="117" a="1"/>
  <c r="U80" i="117" s="1"/>
  <c r="AH136" i="120"/>
  <c r="P137" i="120"/>
  <c r="C137" i="120"/>
  <c r="BV129" i="122"/>
  <c r="I130" i="122" s="1"/>
  <c r="BQ129" i="122"/>
  <c r="CK129" i="122" s="1"/>
  <c r="AR130" i="122" s="1"/>
  <c r="D137" i="120"/>
  <c r="CD129" i="122"/>
  <c r="CX129" i="122" s="1"/>
  <c r="BE130" i="122" s="1"/>
  <c r="CG129" i="122"/>
  <c r="T130" i="122" s="1"/>
  <c r="M130" i="122"/>
  <c r="CT129" i="122"/>
  <c r="BA130" i="122" s="1"/>
  <c r="CA129" i="122"/>
  <c r="BU129" i="122"/>
  <c r="BW129" i="122"/>
  <c r="BL130" i="122"/>
  <c r="DD129" i="122"/>
  <c r="BX129" i="122"/>
  <c r="BP129" i="122"/>
  <c r="Q137" i="120"/>
  <c r="AF137" i="120" s="1"/>
  <c r="S138" i="120" s="1"/>
  <c r="R137" i="120"/>
  <c r="CB129" i="122"/>
  <c r="BT129" i="122"/>
  <c r="CP129" i="122"/>
  <c r="AW130" i="122" s="1"/>
  <c r="BO129" i="122"/>
  <c r="CF129" i="122"/>
  <c r="BR129" i="122"/>
  <c r="CC129" i="122"/>
  <c r="CH129" i="122"/>
  <c r="BS129" i="122"/>
  <c r="CE129" i="122"/>
  <c r="BY129" i="122"/>
  <c r="B222" i="119"/>
  <c r="H222" i="119" s="1"/>
  <c r="J221" i="119"/>
  <c r="Z80" i="117"/>
  <c r="Y80" i="117"/>
  <c r="AA80" i="117"/>
  <c r="AB80" i="117" s="1"/>
  <c r="V80" i="117"/>
  <c r="X80" i="117"/>
  <c r="U137" i="120" l="1"/>
  <c r="Y137" i="120" s="1"/>
  <c r="AD137" i="120" s="1"/>
  <c r="E138" i="120" s="1"/>
  <c r="Q130" i="122"/>
  <c r="D130" i="122"/>
  <c r="Z137" i="120"/>
  <c r="AE137" i="120" s="1"/>
  <c r="P138" i="120" s="1"/>
  <c r="X137" i="120"/>
  <c r="AC137" i="120" s="1"/>
  <c r="N138" i="120" s="1"/>
  <c r="DA129" i="122"/>
  <c r="BH130" i="122" s="1"/>
  <c r="CW129" i="122"/>
  <c r="BD130" i="122" s="1"/>
  <c r="P130" i="122"/>
  <c r="AG137" i="120"/>
  <c r="E130" i="122"/>
  <c r="CL129" i="122"/>
  <c r="AS130" i="122" s="1"/>
  <c r="CV129" i="122"/>
  <c r="BC130" i="122" s="1"/>
  <c r="O130" i="122"/>
  <c r="L130" i="122"/>
  <c r="CS129" i="122"/>
  <c r="AZ130" i="122" s="1"/>
  <c r="CZ129" i="122"/>
  <c r="BG130" i="122" s="1"/>
  <c r="S130" i="122"/>
  <c r="J130" i="122"/>
  <c r="CQ129" i="122"/>
  <c r="AX130" i="122" s="1"/>
  <c r="CN129" i="122"/>
  <c r="AU130" i="122" s="1"/>
  <c r="G130" i="122"/>
  <c r="R130" i="122"/>
  <c r="CY129" i="122"/>
  <c r="BF130" i="122" s="1"/>
  <c r="B130" i="122"/>
  <c r="CI129" i="122"/>
  <c r="CO129" i="122"/>
  <c r="AV130" i="122" s="1"/>
  <c r="H130" i="122"/>
  <c r="CU129" i="122"/>
  <c r="BB130" i="122" s="1"/>
  <c r="N130" i="122"/>
  <c r="CM129" i="122"/>
  <c r="AT130" i="122" s="1"/>
  <c r="F130" i="122"/>
  <c r="CJ129" i="122"/>
  <c r="AQ130" i="122" s="1"/>
  <c r="C130" i="122"/>
  <c r="DB129" i="122"/>
  <c r="BI130" i="122" s="1"/>
  <c r="U130" i="122"/>
  <c r="K130" i="122"/>
  <c r="CR129" i="122"/>
  <c r="AY130" i="122" s="1"/>
  <c r="B223" i="119"/>
  <c r="H223" i="119" s="1"/>
  <c r="J222" i="119"/>
  <c r="AE80" i="117"/>
  <c r="AD81" i="117" s="1"/>
  <c r="AG80" i="117"/>
  <c r="AI80" i="117" s="1"/>
  <c r="AC80" i="117"/>
  <c r="AF80" i="117" s="1" a="1"/>
  <c r="AF80" i="117" s="1"/>
  <c r="AH80" i="117"/>
  <c r="W137" i="120" l="1"/>
  <c r="AB137" i="120" s="1"/>
  <c r="C138" i="120" s="1"/>
  <c r="V137" i="120"/>
  <c r="AA137" i="120" s="1"/>
  <c r="BK130" i="122"/>
  <c r="M138" i="120"/>
  <c r="AH137" i="120"/>
  <c r="F138" i="120"/>
  <c r="D138" i="120"/>
  <c r="O138" i="120"/>
  <c r="L138" i="120"/>
  <c r="B138" i="120"/>
  <c r="AP130" i="122"/>
  <c r="BJ130" i="122" s="1"/>
  <c r="DC130" i="122" s="1"/>
  <c r="DE129" i="122"/>
  <c r="BN130" i="122"/>
  <c r="B224" i="119"/>
  <c r="H224" i="119" s="1"/>
  <c r="J223" i="119"/>
  <c r="AK80" i="117"/>
  <c r="Q81" i="117"/>
  <c r="AJ80" i="117"/>
  <c r="R81" i="117" s="1"/>
  <c r="P81" i="117"/>
  <c r="U138" i="120" l="1"/>
  <c r="V138" i="120" s="1"/>
  <c r="AA138" i="120" s="1"/>
  <c r="L139" i="120" s="1"/>
  <c r="R139" i="120" s="1"/>
  <c r="R138" i="120"/>
  <c r="Q138" i="120"/>
  <c r="AF138" i="120" s="1"/>
  <c r="CA130" i="122"/>
  <c r="BQ130" i="122"/>
  <c r="BV130" i="122"/>
  <c r="CD130" i="122"/>
  <c r="CG130" i="122"/>
  <c r="BZ130" i="122"/>
  <c r="BT130" i="122"/>
  <c r="CH130" i="122"/>
  <c r="DD130" i="122"/>
  <c r="BL131" i="122"/>
  <c r="BU130" i="122"/>
  <c r="BO130" i="122"/>
  <c r="CE130" i="122"/>
  <c r="BY130" i="122"/>
  <c r="BX130" i="122"/>
  <c r="BR130" i="122"/>
  <c r="CB130" i="122"/>
  <c r="BW130" i="122"/>
  <c r="BS130" i="122"/>
  <c r="CC130" i="122"/>
  <c r="CF130" i="122"/>
  <c r="BP130" i="122"/>
  <c r="J224" i="119"/>
  <c r="B225" i="119"/>
  <c r="H225" i="119" s="1"/>
  <c r="S81" i="117"/>
  <c r="T81" i="117" l="1"/>
  <c r="W81" i="117" s="1"/>
  <c r="Y138" i="120"/>
  <c r="AD138" i="120" s="1"/>
  <c r="O139" i="120" s="1"/>
  <c r="Z138" i="120"/>
  <c r="AE138" i="120" s="1"/>
  <c r="F139" i="120" s="1"/>
  <c r="Q139" i="120"/>
  <c r="X138" i="120"/>
  <c r="AC138" i="120" s="1"/>
  <c r="N139" i="120" s="1"/>
  <c r="W138" i="120"/>
  <c r="AB138" i="120" s="1"/>
  <c r="C139" i="120" s="1"/>
  <c r="B139" i="120"/>
  <c r="S139" i="120"/>
  <c r="AG138" i="120"/>
  <c r="CI130" i="122"/>
  <c r="B131" i="122"/>
  <c r="O131" i="122"/>
  <c r="CV130" i="122"/>
  <c r="BC131" i="122" s="1"/>
  <c r="H131" i="122"/>
  <c r="CO130" i="122"/>
  <c r="AV131" i="122" s="1"/>
  <c r="T131" i="122"/>
  <c r="DA130" i="122"/>
  <c r="BH131" i="122" s="1"/>
  <c r="M131" i="122"/>
  <c r="CT130" i="122"/>
  <c r="BA131" i="122" s="1"/>
  <c r="CJ130" i="122"/>
  <c r="AQ131" i="122" s="1"/>
  <c r="C131" i="122"/>
  <c r="E131" i="122"/>
  <c r="CL130" i="122"/>
  <c r="AS131" i="122" s="1"/>
  <c r="CX130" i="122"/>
  <c r="BE131" i="122" s="1"/>
  <c r="Q131" i="122"/>
  <c r="S131" i="122"/>
  <c r="CZ130" i="122"/>
  <c r="BG131" i="122" s="1"/>
  <c r="CR130" i="122"/>
  <c r="AY131" i="122" s="1"/>
  <c r="K131" i="122"/>
  <c r="I131" i="122"/>
  <c r="CP130" i="122"/>
  <c r="AW131" i="122" s="1"/>
  <c r="P131" i="122"/>
  <c r="CW130" i="122"/>
  <c r="BD131" i="122" s="1"/>
  <c r="L131" i="122"/>
  <c r="CS130" i="122"/>
  <c r="AZ131" i="122" s="1"/>
  <c r="U131" i="122"/>
  <c r="DB130" i="122"/>
  <c r="BI131" i="122" s="1"/>
  <c r="D131" i="122"/>
  <c r="CK130" i="122"/>
  <c r="AR131" i="122" s="1"/>
  <c r="J131" i="122"/>
  <c r="CQ130" i="122"/>
  <c r="AX131" i="122" s="1"/>
  <c r="CM130" i="122"/>
  <c r="AT131" i="122" s="1"/>
  <c r="F131" i="122"/>
  <c r="CY130" i="122"/>
  <c r="BF131" i="122" s="1"/>
  <c r="R131" i="122"/>
  <c r="CN130" i="122"/>
  <c r="AU131" i="122" s="1"/>
  <c r="G131" i="122"/>
  <c r="CU130" i="122"/>
  <c r="BB131" i="122" s="1"/>
  <c r="N131" i="122"/>
  <c r="E139" i="120"/>
  <c r="P139" i="120"/>
  <c r="B226" i="119"/>
  <c r="H226" i="119" s="1"/>
  <c r="J225" i="119"/>
  <c r="Z81" i="117"/>
  <c r="Y81" i="117"/>
  <c r="V81" i="117"/>
  <c r="X81" i="117"/>
  <c r="AA81" i="117"/>
  <c r="AB81" i="117" s="1"/>
  <c r="U81" i="117" l="1" a="1"/>
  <c r="U81" i="117" s="1"/>
  <c r="AH81" i="117" s="1"/>
  <c r="AH138" i="120"/>
  <c r="M139" i="120"/>
  <c r="D139" i="120"/>
  <c r="AF139" i="120"/>
  <c r="S140" i="120" s="1"/>
  <c r="BK131" i="122"/>
  <c r="BN131" i="122"/>
  <c r="BQ131" i="122" s="1"/>
  <c r="AP131" i="122"/>
  <c r="BJ131" i="122" s="1"/>
  <c r="DC131" i="122" s="1"/>
  <c r="DE130" i="122"/>
  <c r="U139" i="120"/>
  <c r="V139" i="120" s="1"/>
  <c r="AA139" i="120" s="1"/>
  <c r="L140" i="120" s="1"/>
  <c r="Q140" i="120" s="1"/>
  <c r="B227" i="119"/>
  <c r="H227" i="119" s="1"/>
  <c r="J226" i="119"/>
  <c r="AE81" i="117"/>
  <c r="AD82" i="117" s="1"/>
  <c r="AG81" i="117"/>
  <c r="AI81" i="117" s="1"/>
  <c r="AC81" i="117"/>
  <c r="AF81" i="117" s="1" a="1"/>
  <c r="AF81" i="117" s="1"/>
  <c r="AG139" i="120" l="1"/>
  <c r="AF140" i="120"/>
  <c r="CE131" i="122"/>
  <c r="CY131" i="122" s="1"/>
  <c r="BF132" i="122" s="1"/>
  <c r="CD131" i="122"/>
  <c r="BO131" i="122"/>
  <c r="B132" i="122" s="1"/>
  <c r="D132" i="122"/>
  <c r="CK131" i="122"/>
  <c r="AR132" i="122" s="1"/>
  <c r="CB131" i="122"/>
  <c r="CA131" i="122"/>
  <c r="CX131" i="122"/>
  <c r="BE132" i="122" s="1"/>
  <c r="Q132" i="122"/>
  <c r="CG131" i="122"/>
  <c r="BX131" i="122"/>
  <c r="BZ131" i="122"/>
  <c r="BU131" i="122"/>
  <c r="BR131" i="122"/>
  <c r="BT131" i="122"/>
  <c r="BV131" i="122"/>
  <c r="CF131" i="122"/>
  <c r="DD131" i="122"/>
  <c r="BL132" i="122"/>
  <c r="BY131" i="122"/>
  <c r="BS131" i="122"/>
  <c r="CH131" i="122"/>
  <c r="CC131" i="122"/>
  <c r="BW131" i="122"/>
  <c r="BP131" i="122"/>
  <c r="W139" i="120"/>
  <c r="AB139" i="120" s="1"/>
  <c r="M140" i="120" s="1"/>
  <c r="Z139" i="120"/>
  <c r="AE139" i="120" s="1"/>
  <c r="F140" i="120" s="1"/>
  <c r="Y139" i="120"/>
  <c r="AD139" i="120" s="1"/>
  <c r="O140" i="120" s="1"/>
  <c r="B140" i="120"/>
  <c r="R140" i="120"/>
  <c r="X139" i="120"/>
  <c r="AC139" i="120" s="1"/>
  <c r="D140" i="120" s="1"/>
  <c r="S141" i="120"/>
  <c r="AG140" i="120"/>
  <c r="B228" i="119"/>
  <c r="H228" i="119" s="1"/>
  <c r="J227" i="119"/>
  <c r="AJ81" i="117"/>
  <c r="R82" i="117" s="1"/>
  <c r="S82" i="117" s="1"/>
  <c r="P82" i="117"/>
  <c r="AK81" i="117"/>
  <c r="Q82" i="117"/>
  <c r="R132" i="122" l="1"/>
  <c r="CI131" i="122"/>
  <c r="CT131" i="122"/>
  <c r="BA132" i="122" s="1"/>
  <c r="M132" i="122"/>
  <c r="O132" i="122"/>
  <c r="CV131" i="122"/>
  <c r="BC132" i="122" s="1"/>
  <c r="N132" i="122"/>
  <c r="CU131" i="122"/>
  <c r="BB132" i="122" s="1"/>
  <c r="CW131" i="122"/>
  <c r="BD132" i="122" s="1"/>
  <c r="P132" i="122"/>
  <c r="S132" i="122"/>
  <c r="CZ131" i="122"/>
  <c r="BG132" i="122" s="1"/>
  <c r="CR131" i="122"/>
  <c r="AY132" i="122" s="1"/>
  <c r="K132" i="122"/>
  <c r="H132" i="122"/>
  <c r="CO131" i="122"/>
  <c r="AV132" i="122" s="1"/>
  <c r="DB131" i="122"/>
  <c r="BI132" i="122" s="1"/>
  <c r="U132" i="122"/>
  <c r="I132" i="122"/>
  <c r="CP131" i="122"/>
  <c r="AW132" i="122" s="1"/>
  <c r="DA131" i="122"/>
  <c r="BH132" i="122" s="1"/>
  <c r="T132" i="122"/>
  <c r="AP132" i="122"/>
  <c r="C140" i="120"/>
  <c r="CJ131" i="122"/>
  <c r="AQ132" i="122" s="1"/>
  <c r="C132" i="122"/>
  <c r="CM131" i="122"/>
  <c r="AT132" i="122" s="1"/>
  <c r="F132" i="122"/>
  <c r="G132" i="122"/>
  <c r="CN131" i="122"/>
  <c r="AU132" i="122" s="1"/>
  <c r="CQ131" i="122"/>
  <c r="AX132" i="122" s="1"/>
  <c r="J132" i="122"/>
  <c r="CS131" i="122"/>
  <c r="AZ132" i="122" s="1"/>
  <c r="L132" i="122"/>
  <c r="E132" i="122"/>
  <c r="CL131" i="122"/>
  <c r="AS132" i="122" s="1"/>
  <c r="E140" i="120"/>
  <c r="P140" i="120"/>
  <c r="N140" i="120"/>
  <c r="AH139" i="120"/>
  <c r="J228" i="119"/>
  <c r="B229" i="119"/>
  <c r="H229" i="119" s="1"/>
  <c r="T82" i="117"/>
  <c r="X82" i="117" l="1"/>
  <c r="U82" i="117" a="1"/>
  <c r="U82" i="117" s="1"/>
  <c r="U140" i="120"/>
  <c r="V140" i="120" s="1"/>
  <c r="AA140" i="120" s="1"/>
  <c r="B141" i="120" s="1"/>
  <c r="DE131" i="122"/>
  <c r="BK132" i="122"/>
  <c r="BN132" i="122"/>
  <c r="CA132" i="122" s="1"/>
  <c r="BJ132" i="122"/>
  <c r="DC132" i="122" s="1"/>
  <c r="J229" i="119"/>
  <c r="B230" i="119"/>
  <c r="H230" i="119" s="1"/>
  <c r="Z82" i="117"/>
  <c r="Y82" i="117"/>
  <c r="AA82" i="117"/>
  <c r="AB82" i="117" s="1"/>
  <c r="V82" i="117"/>
  <c r="W82" i="117"/>
  <c r="Y140" i="120" l="1"/>
  <c r="AD140" i="120" s="1"/>
  <c r="E141" i="120" s="1"/>
  <c r="X140" i="120"/>
  <c r="AC140" i="120" s="1"/>
  <c r="N141" i="120" s="1"/>
  <c r="W140" i="120"/>
  <c r="AB140" i="120" s="1"/>
  <c r="M141" i="120" s="1"/>
  <c r="L141" i="120"/>
  <c r="Z140" i="120"/>
  <c r="AE140" i="120" s="1"/>
  <c r="P141" i="120" s="1"/>
  <c r="CH132" i="122"/>
  <c r="U133" i="122" s="1"/>
  <c r="BZ132" i="122"/>
  <c r="CT132" i="122" s="1"/>
  <c r="BA133" i="122" s="1"/>
  <c r="CU132" i="122"/>
  <c r="BB133" i="122" s="1"/>
  <c r="N133" i="122"/>
  <c r="M133" i="122"/>
  <c r="BL133" i="122"/>
  <c r="DD132" i="122"/>
  <c r="CC132" i="122"/>
  <c r="CG132" i="122"/>
  <c r="BT132" i="122"/>
  <c r="CB132" i="122"/>
  <c r="BW132" i="122"/>
  <c r="BY132" i="122"/>
  <c r="CF132" i="122"/>
  <c r="BV132" i="122"/>
  <c r="CE132" i="122"/>
  <c r="BO132" i="122"/>
  <c r="CD132" i="122"/>
  <c r="BQ132" i="122"/>
  <c r="BU132" i="122"/>
  <c r="BX132" i="122"/>
  <c r="BR132" i="122"/>
  <c r="BP132" i="122"/>
  <c r="BS132" i="122"/>
  <c r="B231" i="119"/>
  <c r="H231" i="119" s="1"/>
  <c r="J230" i="119"/>
  <c r="AC82" i="117"/>
  <c r="AH82" i="117"/>
  <c r="AE82" i="117" l="1"/>
  <c r="AD83" i="117" s="1"/>
  <c r="AF82" i="117" a="1"/>
  <c r="AF82" i="117" s="1"/>
  <c r="DB132" i="122"/>
  <c r="BI133" i="122" s="1"/>
  <c r="C141" i="120"/>
  <c r="D141" i="120"/>
  <c r="O141" i="120"/>
  <c r="F141" i="120"/>
  <c r="AH140" i="120"/>
  <c r="R141" i="120"/>
  <c r="Q141" i="120"/>
  <c r="AF141" i="120" s="1"/>
  <c r="CI132" i="122"/>
  <c r="B133" i="122"/>
  <c r="CV132" i="122"/>
  <c r="BC133" i="122" s="1"/>
  <c r="O133" i="122"/>
  <c r="CL132" i="122"/>
  <c r="AS133" i="122" s="1"/>
  <c r="E133" i="122"/>
  <c r="DA132" i="122"/>
  <c r="BH133" i="122" s="1"/>
  <c r="T133" i="122"/>
  <c r="R133" i="122"/>
  <c r="CY132" i="122"/>
  <c r="BF133" i="122" s="1"/>
  <c r="CZ132" i="122"/>
  <c r="BG133" i="122" s="1"/>
  <c r="S133" i="122"/>
  <c r="C133" i="122"/>
  <c r="CJ132" i="122"/>
  <c r="AQ133" i="122" s="1"/>
  <c r="CN132" i="122"/>
  <c r="AU133" i="122" s="1"/>
  <c r="G133" i="122"/>
  <c r="CR132" i="122"/>
  <c r="AY133" i="122" s="1"/>
  <c r="K133" i="122"/>
  <c r="CK132" i="122"/>
  <c r="AR133" i="122" s="1"/>
  <c r="D133" i="122"/>
  <c r="CS132" i="122"/>
  <c r="AZ133" i="122" s="1"/>
  <c r="L133" i="122"/>
  <c r="CP132" i="122"/>
  <c r="AW133" i="122" s="1"/>
  <c r="I133" i="122"/>
  <c r="CO132" i="122"/>
  <c r="AV133" i="122" s="1"/>
  <c r="H133" i="122"/>
  <c r="CW132" i="122"/>
  <c r="BD133" i="122" s="1"/>
  <c r="P133" i="122"/>
  <c r="F133" i="122"/>
  <c r="CM132" i="122"/>
  <c r="AT133" i="122" s="1"/>
  <c r="CX132" i="122"/>
  <c r="BE133" i="122" s="1"/>
  <c r="Q133" i="122"/>
  <c r="CQ132" i="122"/>
  <c r="AX133" i="122" s="1"/>
  <c r="J133" i="122"/>
  <c r="J231" i="119"/>
  <c r="B232" i="119"/>
  <c r="H232" i="119" s="1"/>
  <c r="AG82" i="117"/>
  <c r="AI82" i="117" s="1"/>
  <c r="Q83" i="117" s="1"/>
  <c r="AJ82" i="117"/>
  <c r="R83" i="117" s="1"/>
  <c r="P83" i="117"/>
  <c r="U141" i="120" l="1"/>
  <c r="V141" i="120" s="1"/>
  <c r="AA141" i="120" s="1"/>
  <c r="L142" i="120" s="1"/>
  <c r="R142" i="120" s="1"/>
  <c r="S142" i="120"/>
  <c r="AG141" i="120"/>
  <c r="BK133" i="122"/>
  <c r="BN133" i="122"/>
  <c r="CD133" i="122" s="1"/>
  <c r="DE132" i="122"/>
  <c r="AP133" i="122"/>
  <c r="BJ133" i="122" s="1"/>
  <c r="DC133" i="122" s="1"/>
  <c r="J232" i="119"/>
  <c r="AK82" i="117"/>
  <c r="S83" i="117"/>
  <c r="X141" i="120" l="1"/>
  <c r="AC141" i="120" s="1"/>
  <c r="D142" i="120" s="1"/>
  <c r="Y141" i="120"/>
  <c r="AD141" i="120" s="1"/>
  <c r="O142" i="120" s="1"/>
  <c r="W141" i="120"/>
  <c r="AB141" i="120" s="1"/>
  <c r="B142" i="120"/>
  <c r="Q142" i="120"/>
  <c r="AF142" i="120" s="1"/>
  <c r="AG142" i="120" s="1"/>
  <c r="Z141" i="120"/>
  <c r="AE141" i="120" s="1"/>
  <c r="F142" i="120" s="1"/>
  <c r="N142" i="120"/>
  <c r="BW133" i="122"/>
  <c r="J134" i="122" s="1"/>
  <c r="Q134" i="122"/>
  <c r="CX133" i="122"/>
  <c r="BE134" i="122" s="1"/>
  <c r="BR133" i="122"/>
  <c r="BX133" i="122"/>
  <c r="BQ133" i="122"/>
  <c r="CC133" i="122"/>
  <c r="BS133" i="122"/>
  <c r="CE133" i="122"/>
  <c r="BU133" i="122"/>
  <c r="BO133" i="122"/>
  <c r="CG133" i="122"/>
  <c r="CQ133" i="122"/>
  <c r="AX134" i="122" s="1"/>
  <c r="BV133" i="122"/>
  <c r="CA133" i="122"/>
  <c r="CH133" i="122"/>
  <c r="BZ133" i="122"/>
  <c r="BP133" i="122"/>
  <c r="BT133" i="122"/>
  <c r="DD133" i="122"/>
  <c r="BL134" i="122"/>
  <c r="CF133" i="122"/>
  <c r="CB133" i="122"/>
  <c r="BY133" i="122"/>
  <c r="T83" i="117"/>
  <c r="E142" i="120" l="1"/>
  <c r="AH141" i="120"/>
  <c r="S143" i="120"/>
  <c r="P142" i="120"/>
  <c r="C142" i="120"/>
  <c r="U142" i="120" s="1"/>
  <c r="V142" i="120" s="1"/>
  <c r="AA142" i="120" s="1"/>
  <c r="B143" i="120" s="1"/>
  <c r="M142" i="120"/>
  <c r="Y83" i="117"/>
  <c r="U83" i="117" a="1"/>
  <c r="U83" i="117" s="1"/>
  <c r="AH83" i="117" s="1"/>
  <c r="CS133" i="122"/>
  <c r="AZ134" i="122" s="1"/>
  <c r="L134" i="122"/>
  <c r="CJ133" i="122"/>
  <c r="AQ134" i="122" s="1"/>
  <c r="C134" i="122"/>
  <c r="CW133" i="122"/>
  <c r="BD134" i="122" s="1"/>
  <c r="P134" i="122"/>
  <c r="CV133" i="122"/>
  <c r="BC134" i="122" s="1"/>
  <c r="O134" i="122"/>
  <c r="CT133" i="122"/>
  <c r="BA134" i="122" s="1"/>
  <c r="M134" i="122"/>
  <c r="T134" i="122"/>
  <c r="DA133" i="122"/>
  <c r="BH134" i="122" s="1"/>
  <c r="CK133" i="122"/>
  <c r="AR134" i="122" s="1"/>
  <c r="D134" i="122"/>
  <c r="S134" i="122"/>
  <c r="CZ133" i="122"/>
  <c r="BG134" i="122" s="1"/>
  <c r="U134" i="122"/>
  <c r="DB133" i="122"/>
  <c r="BI134" i="122" s="1"/>
  <c r="CI133" i="122"/>
  <c r="B134" i="122"/>
  <c r="K134" i="122"/>
  <c r="CR133" i="122"/>
  <c r="AY134" i="122" s="1"/>
  <c r="N134" i="122"/>
  <c r="CU133" i="122"/>
  <c r="BB134" i="122" s="1"/>
  <c r="CO133" i="122"/>
  <c r="AV134" i="122" s="1"/>
  <c r="H134" i="122"/>
  <c r="CL133" i="122"/>
  <c r="AS134" i="122" s="1"/>
  <c r="E134" i="122"/>
  <c r="I134" i="122"/>
  <c r="CP133" i="122"/>
  <c r="AW134" i="122" s="1"/>
  <c r="CY133" i="122"/>
  <c r="BF134" i="122" s="1"/>
  <c r="R134" i="122"/>
  <c r="CN133" i="122"/>
  <c r="AU134" i="122" s="1"/>
  <c r="G134" i="122"/>
  <c r="F134" i="122"/>
  <c r="CM133" i="122"/>
  <c r="AT134" i="122" s="1"/>
  <c r="W83" i="117"/>
  <c r="Z83" i="117"/>
  <c r="X83" i="117"/>
  <c r="AA83" i="117"/>
  <c r="AB83" i="117" s="1"/>
  <c r="V83" i="117"/>
  <c r="W142" i="120" l="1"/>
  <c r="AB142" i="120" s="1"/>
  <c r="C143" i="120" s="1"/>
  <c r="L143" i="120"/>
  <c r="Y142" i="120"/>
  <c r="AD142" i="120" s="1"/>
  <c r="O143" i="120" s="1"/>
  <c r="Z142" i="120"/>
  <c r="AE142" i="120" s="1"/>
  <c r="P143" i="120" s="1"/>
  <c r="X142" i="120"/>
  <c r="AC142" i="120" s="1"/>
  <c r="M143" i="120"/>
  <c r="BN134" i="122"/>
  <c r="CA134" i="122" s="1"/>
  <c r="AP134" i="122"/>
  <c r="BJ134" i="122" s="1"/>
  <c r="DC134" i="122" s="1"/>
  <c r="DE133" i="122"/>
  <c r="BK134" i="122"/>
  <c r="AE83" i="117"/>
  <c r="AD84" i="117" s="1"/>
  <c r="AG83" i="117"/>
  <c r="AI83" i="117" s="1"/>
  <c r="AC83" i="117"/>
  <c r="AF83" i="117" s="1" a="1"/>
  <c r="AF83" i="117" s="1"/>
  <c r="AJ83" i="117"/>
  <c r="R84" i="117" s="1"/>
  <c r="S84" i="117" s="1"/>
  <c r="P84" i="117"/>
  <c r="E143" i="120" l="1"/>
  <c r="D143" i="120"/>
  <c r="U143" i="120" s="1"/>
  <c r="V143" i="120" s="1"/>
  <c r="AA143" i="120" s="1"/>
  <c r="B144" i="120" s="1"/>
  <c r="N143" i="120"/>
  <c r="AH142" i="120"/>
  <c r="R143" i="120"/>
  <c r="Q143" i="120"/>
  <c r="AF143" i="120" s="1"/>
  <c r="F143" i="120"/>
  <c r="CU134" i="122"/>
  <c r="BB135" i="122" s="1"/>
  <c r="N135" i="122"/>
  <c r="CB134" i="122"/>
  <c r="CF134" i="122"/>
  <c r="CG134" i="122"/>
  <c r="BQ134" i="122"/>
  <c r="BX134" i="122"/>
  <c r="CH134" i="122"/>
  <c r="BO134" i="122"/>
  <c r="BP134" i="122"/>
  <c r="CD134" i="122"/>
  <c r="BW134" i="122"/>
  <c r="BZ134" i="122"/>
  <c r="BV134" i="122"/>
  <c r="BL135" i="122"/>
  <c r="DD134" i="122"/>
  <c r="BU134" i="122"/>
  <c r="BR134" i="122"/>
  <c r="CC134" i="122"/>
  <c r="BY134" i="122"/>
  <c r="CE134" i="122"/>
  <c r="BT134" i="122"/>
  <c r="BS134" i="122"/>
  <c r="AK83" i="117"/>
  <c r="Q84" i="117"/>
  <c r="T84" i="117"/>
  <c r="W143" i="120" l="1"/>
  <c r="AB143" i="120" s="1"/>
  <c r="C144" i="120" s="1"/>
  <c r="X143" i="120"/>
  <c r="AC143" i="120" s="1"/>
  <c r="N144" i="120" s="1"/>
  <c r="AG143" i="120"/>
  <c r="S144" i="120"/>
  <c r="L144" i="120"/>
  <c r="R144" i="120" s="1"/>
  <c r="Y143" i="120"/>
  <c r="AD143" i="120" s="1"/>
  <c r="E144" i="120" s="1"/>
  <c r="Z143" i="120"/>
  <c r="AE143" i="120" s="1"/>
  <c r="P144" i="120" s="1"/>
  <c r="Z84" i="117"/>
  <c r="U84" i="117" a="1"/>
  <c r="U84" i="117" s="1"/>
  <c r="CL134" i="122"/>
  <c r="AS135" i="122" s="1"/>
  <c r="E135" i="122"/>
  <c r="CQ134" i="122"/>
  <c r="AX135" i="122" s="1"/>
  <c r="J135" i="122"/>
  <c r="CK134" i="122"/>
  <c r="AR135" i="122" s="1"/>
  <c r="D135" i="122"/>
  <c r="CM134" i="122"/>
  <c r="AT135" i="122" s="1"/>
  <c r="F135" i="122"/>
  <c r="CO134" i="122"/>
  <c r="AV135" i="122" s="1"/>
  <c r="H135" i="122"/>
  <c r="CX134" i="122"/>
  <c r="BE135" i="122" s="1"/>
  <c r="Q135" i="122"/>
  <c r="T135" i="122"/>
  <c r="DA134" i="122"/>
  <c r="BH135" i="122" s="1"/>
  <c r="CN134" i="122"/>
  <c r="AU135" i="122" s="1"/>
  <c r="G135" i="122"/>
  <c r="CJ134" i="122"/>
  <c r="AQ135" i="122" s="1"/>
  <c r="C135" i="122"/>
  <c r="CZ134" i="122"/>
  <c r="BG135" i="122" s="1"/>
  <c r="S135" i="122"/>
  <c r="CY134" i="122"/>
  <c r="BF135" i="122" s="1"/>
  <c r="R135" i="122"/>
  <c r="CI134" i="122"/>
  <c r="B135" i="122"/>
  <c r="O135" i="122"/>
  <c r="CV134" i="122"/>
  <c r="BC135" i="122" s="1"/>
  <c r="L135" i="122"/>
  <c r="CS134" i="122"/>
  <c r="AZ135" i="122" s="1"/>
  <c r="I135" i="122"/>
  <c r="CP134" i="122"/>
  <c r="AW135" i="122" s="1"/>
  <c r="U135" i="122"/>
  <c r="DB134" i="122"/>
  <c r="BI135" i="122" s="1"/>
  <c r="P135" i="122"/>
  <c r="CW134" i="122"/>
  <c r="BD135" i="122" s="1"/>
  <c r="CT134" i="122"/>
  <c r="BA135" i="122" s="1"/>
  <c r="M135" i="122"/>
  <c r="CR134" i="122"/>
  <c r="AY135" i="122" s="1"/>
  <c r="K135" i="122"/>
  <c r="Q144" i="120"/>
  <c r="AF144" i="120" s="1"/>
  <c r="S145" i="120" s="1"/>
  <c r="D144" i="120"/>
  <c r="M144" i="120"/>
  <c r="AA84" i="117"/>
  <c r="AB84" i="117" s="1"/>
  <c r="Y84" i="117"/>
  <c r="W84" i="117"/>
  <c r="X84" i="117"/>
  <c r="V84" i="117"/>
  <c r="O144" i="120" l="1"/>
  <c r="AH143" i="120"/>
  <c r="F144" i="120"/>
  <c r="U144" i="120" s="1"/>
  <c r="V144" i="120" s="1"/>
  <c r="AA144" i="120" s="1"/>
  <c r="L145" i="120" s="1"/>
  <c r="BN135" i="122"/>
  <c r="BO135" i="122" s="1"/>
  <c r="DE134" i="122"/>
  <c r="AP135" i="122"/>
  <c r="BJ135" i="122" s="1"/>
  <c r="DC135" i="122" s="1"/>
  <c r="BK135" i="122"/>
  <c r="AG144" i="120"/>
  <c r="L33" i="119"/>
  <c r="Q32" i="119" s="1"/>
  <c r="AE84" i="117"/>
  <c r="AD85" i="117" s="1"/>
  <c r="AG84" i="117"/>
  <c r="AI84" i="117" s="1"/>
  <c r="AC84" i="117"/>
  <c r="AF84" i="117" s="1" a="1"/>
  <c r="AF84" i="117" s="1"/>
  <c r="AH84" i="117"/>
  <c r="CB135" i="122" l="1"/>
  <c r="BZ135" i="122"/>
  <c r="M136" i="122" s="1"/>
  <c r="BX135" i="122"/>
  <c r="K136" i="122" s="1"/>
  <c r="CI135" i="122"/>
  <c r="B136" i="122"/>
  <c r="CT135" i="122"/>
  <c r="BA136" i="122" s="1"/>
  <c r="BR135" i="122"/>
  <c r="BW135" i="122"/>
  <c r="BS135" i="122"/>
  <c r="BU135" i="122"/>
  <c r="BV135" i="122"/>
  <c r="CG135" i="122"/>
  <c r="CF135" i="122"/>
  <c r="BT135" i="122"/>
  <c r="BQ135" i="122"/>
  <c r="CE135" i="122"/>
  <c r="CD135" i="122"/>
  <c r="CV135" i="122"/>
  <c r="BC136" i="122" s="1"/>
  <c r="O136" i="122"/>
  <c r="CH135" i="122"/>
  <c r="BY135" i="122"/>
  <c r="CC135" i="122"/>
  <c r="BL136" i="122"/>
  <c r="DD135" i="122"/>
  <c r="BP135" i="122"/>
  <c r="CA135" i="122"/>
  <c r="Z144" i="120"/>
  <c r="AE144" i="120" s="1"/>
  <c r="F145" i="120" s="1"/>
  <c r="B145" i="120"/>
  <c r="X144" i="120"/>
  <c r="AC144" i="120" s="1"/>
  <c r="D145" i="120" s="1"/>
  <c r="Y144" i="120"/>
  <c r="AD144" i="120" s="1"/>
  <c r="E145" i="120" s="1"/>
  <c r="W144" i="120"/>
  <c r="AB144" i="120" s="1"/>
  <c r="C145" i="120" s="1"/>
  <c r="R145" i="120"/>
  <c r="Q145" i="120"/>
  <c r="AF145" i="120" s="1"/>
  <c r="AJ84" i="117"/>
  <c r="R85" i="117" s="1"/>
  <c r="S85" i="117" s="1"/>
  <c r="P85" i="117"/>
  <c r="AK84" i="117"/>
  <c r="Q85" i="117"/>
  <c r="CR135" i="122" l="1"/>
  <c r="AY136" i="122" s="1"/>
  <c r="T136" i="122"/>
  <c r="DA135" i="122"/>
  <c r="BH136" i="122" s="1"/>
  <c r="CX135" i="122"/>
  <c r="BE136" i="122" s="1"/>
  <c r="Q136" i="122"/>
  <c r="CP135" i="122"/>
  <c r="AW136" i="122" s="1"/>
  <c r="I136" i="122"/>
  <c r="CW135" i="122"/>
  <c r="BD136" i="122" s="1"/>
  <c r="P136" i="122"/>
  <c r="R136" i="122"/>
  <c r="CY135" i="122"/>
  <c r="BF136" i="122" s="1"/>
  <c r="H136" i="122"/>
  <c r="CO135" i="122"/>
  <c r="AV136" i="122" s="1"/>
  <c r="CK135" i="122"/>
  <c r="AR136" i="122" s="1"/>
  <c r="D136" i="122"/>
  <c r="CM135" i="122"/>
  <c r="AT136" i="122" s="1"/>
  <c r="F136" i="122"/>
  <c r="CS135" i="122"/>
  <c r="AZ136" i="122" s="1"/>
  <c r="L136" i="122"/>
  <c r="CU135" i="122"/>
  <c r="BB136" i="122" s="1"/>
  <c r="N136" i="122"/>
  <c r="U136" i="122"/>
  <c r="DB135" i="122"/>
  <c r="BI136" i="122" s="1"/>
  <c r="G136" i="122"/>
  <c r="CN135" i="122"/>
  <c r="AU136" i="122" s="1"/>
  <c r="J136" i="122"/>
  <c r="CQ135" i="122"/>
  <c r="AX136" i="122" s="1"/>
  <c r="CJ135" i="122"/>
  <c r="AQ136" i="122" s="1"/>
  <c r="C136" i="122"/>
  <c r="CZ135" i="122"/>
  <c r="BG136" i="122" s="1"/>
  <c r="S136" i="122"/>
  <c r="E136" i="122"/>
  <c r="CL135" i="122"/>
  <c r="AS136" i="122" s="1"/>
  <c r="AP136" i="122"/>
  <c r="N145" i="120"/>
  <c r="P145" i="120"/>
  <c r="O145" i="120"/>
  <c r="M145" i="120"/>
  <c r="AH144" i="120"/>
  <c r="S146" i="120"/>
  <c r="AG145" i="120"/>
  <c r="U145" i="120"/>
  <c r="V145" i="120" s="1"/>
  <c r="AA145" i="120" s="1"/>
  <c r="T85" i="117"/>
  <c r="AA85" i="117" l="1"/>
  <c r="AB85" i="117" s="1"/>
  <c r="U85" i="117" a="1"/>
  <c r="U85" i="117" s="1"/>
  <c r="BN136" i="122"/>
  <c r="BZ136" i="122" s="1"/>
  <c r="DE135" i="122"/>
  <c r="BJ136" i="122"/>
  <c r="DC136" i="122" s="1"/>
  <c r="DD136" i="122" s="1"/>
  <c r="BK136" i="122"/>
  <c r="BT136" i="122" s="1"/>
  <c r="Y145" i="120"/>
  <c r="AD145" i="120" s="1"/>
  <c r="X145" i="120"/>
  <c r="AC145" i="120" s="1"/>
  <c r="Z145" i="120"/>
  <c r="AE145" i="120" s="1"/>
  <c r="L146" i="120"/>
  <c r="B146" i="120"/>
  <c r="W145" i="120"/>
  <c r="AB145" i="120" s="1"/>
  <c r="V85" i="117"/>
  <c r="Z85" i="117"/>
  <c r="W85" i="117"/>
  <c r="Y85" i="117"/>
  <c r="X85" i="117"/>
  <c r="BR136" i="122" l="1"/>
  <c r="CG136" i="122"/>
  <c r="CD136" i="122"/>
  <c r="CE136" i="122"/>
  <c r="BY136" i="122"/>
  <c r="BQ136" i="122"/>
  <c r="CK136" i="122" s="1"/>
  <c r="AR137" i="122" s="1"/>
  <c r="BP136" i="122"/>
  <c r="BV136" i="122"/>
  <c r="I137" i="122" s="1"/>
  <c r="BL137" i="122"/>
  <c r="BX136" i="122"/>
  <c r="CR136" i="122" s="1"/>
  <c r="AY137" i="122" s="1"/>
  <c r="CH136" i="122"/>
  <c r="BU136" i="122"/>
  <c r="H137" i="122" s="1"/>
  <c r="CC136" i="122"/>
  <c r="CA136" i="122"/>
  <c r="BO136" i="122"/>
  <c r="BS136" i="122"/>
  <c r="CB136" i="122"/>
  <c r="CF136" i="122"/>
  <c r="CZ136" i="122" s="1"/>
  <c r="BG137" i="122" s="1"/>
  <c r="BW136" i="122"/>
  <c r="CQ136" i="122" s="1"/>
  <c r="AX137" i="122" s="1"/>
  <c r="DA136" i="122"/>
  <c r="BH137" i="122" s="1"/>
  <c r="T137" i="122"/>
  <c r="DB136" i="122"/>
  <c r="BI137" i="122" s="1"/>
  <c r="U137" i="122"/>
  <c r="G137" i="122"/>
  <c r="CN136" i="122"/>
  <c r="AU137" i="122" s="1"/>
  <c r="P137" i="122"/>
  <c r="CW136" i="122"/>
  <c r="BD137" i="122" s="1"/>
  <c r="CV136" i="122"/>
  <c r="BC137" i="122" s="1"/>
  <c r="O137" i="122"/>
  <c r="CP136" i="122"/>
  <c r="AW137" i="122" s="1"/>
  <c r="CT136" i="122"/>
  <c r="BA137" i="122" s="1"/>
  <c r="M137" i="122"/>
  <c r="CS136" i="122"/>
  <c r="AZ137" i="122" s="1"/>
  <c r="L137" i="122"/>
  <c r="Q137" i="122"/>
  <c r="CX136" i="122"/>
  <c r="BE137" i="122" s="1"/>
  <c r="K137" i="122"/>
  <c r="CM136" i="122"/>
  <c r="AT137" i="122" s="1"/>
  <c r="F137" i="122"/>
  <c r="CJ136" i="122"/>
  <c r="AQ137" i="122" s="1"/>
  <c r="C137" i="122"/>
  <c r="R137" i="122"/>
  <c r="CY136" i="122"/>
  <c r="BF137" i="122" s="1"/>
  <c r="CI136" i="122"/>
  <c r="B137" i="122"/>
  <c r="E137" i="122"/>
  <c r="CL136" i="122"/>
  <c r="AS137" i="122" s="1"/>
  <c r="CU136" i="122"/>
  <c r="BB137" i="122" s="1"/>
  <c r="N137" i="122"/>
  <c r="AH145" i="120"/>
  <c r="C146" i="120"/>
  <c r="M146" i="120"/>
  <c r="P146" i="120"/>
  <c r="F146" i="120"/>
  <c r="N146" i="120"/>
  <c r="D146" i="120"/>
  <c r="Q146" i="120"/>
  <c r="AF146" i="120" s="1"/>
  <c r="R146" i="120"/>
  <c r="O146" i="120"/>
  <c r="E146" i="120"/>
  <c r="AC85" i="117"/>
  <c r="AF85" i="117" s="1" a="1"/>
  <c r="AF85" i="117" s="1"/>
  <c r="AH85" i="117"/>
  <c r="CO136" i="122" l="1"/>
  <c r="AV137" i="122" s="1"/>
  <c r="D137" i="122"/>
  <c r="S137" i="122"/>
  <c r="J137" i="122"/>
  <c r="BK137" i="122"/>
  <c r="BN137" i="122"/>
  <c r="BP137" i="122" s="1"/>
  <c r="DE136" i="122"/>
  <c r="AP137" i="122"/>
  <c r="BJ137" i="122" s="1"/>
  <c r="DC137" i="122" s="1"/>
  <c r="S147" i="120"/>
  <c r="AG146" i="120"/>
  <c r="U146" i="120"/>
  <c r="V146" i="120" s="1"/>
  <c r="AA146" i="120" s="1"/>
  <c r="AE85" i="117"/>
  <c r="AD86" i="117" s="1"/>
  <c r="AG85" i="117"/>
  <c r="AI85" i="117" s="1"/>
  <c r="Q86" i="117" s="1"/>
  <c r="AJ85" i="117"/>
  <c r="R86" i="117" s="1"/>
  <c r="S86" i="117" s="1"/>
  <c r="P86" i="117"/>
  <c r="CE137" i="122" l="1"/>
  <c r="CH137" i="122"/>
  <c r="DB137" i="122" s="1"/>
  <c r="BI138" i="122" s="1"/>
  <c r="CF137" i="122"/>
  <c r="CZ137" i="122" s="1"/>
  <c r="BG138" i="122" s="1"/>
  <c r="CG137" i="122"/>
  <c r="CB137" i="122"/>
  <c r="CA137" i="122"/>
  <c r="BX137" i="122"/>
  <c r="BW137" i="122"/>
  <c r="BT137" i="122"/>
  <c r="CC137" i="122"/>
  <c r="BQ137" i="122"/>
  <c r="BY137" i="122"/>
  <c r="BV137" i="122"/>
  <c r="DD137" i="122"/>
  <c r="BL138" i="122"/>
  <c r="BS137" i="122"/>
  <c r="CD137" i="122"/>
  <c r="BU137" i="122"/>
  <c r="BO137" i="122"/>
  <c r="BR137" i="122"/>
  <c r="CY137" i="122"/>
  <c r="BF138" i="122" s="1"/>
  <c r="R138" i="122"/>
  <c r="U138" i="122"/>
  <c r="C138" i="122"/>
  <c r="CJ137" i="122"/>
  <c r="AQ138" i="122" s="1"/>
  <c r="BZ137" i="122"/>
  <c r="X146" i="120"/>
  <c r="AC146" i="120" s="1"/>
  <c r="Z146" i="120"/>
  <c r="AE146" i="120" s="1"/>
  <c r="B147" i="120"/>
  <c r="L147" i="120"/>
  <c r="W146" i="120"/>
  <c r="AB146" i="120" s="1"/>
  <c r="Y146" i="120"/>
  <c r="AD146" i="120" s="1"/>
  <c r="AK85" i="117"/>
  <c r="T86" i="117"/>
  <c r="W86" i="117" l="1"/>
  <c r="U86" i="117" a="1"/>
  <c r="U86" i="117" s="1"/>
  <c r="S138" i="122"/>
  <c r="CI137" i="122"/>
  <c r="B138" i="122"/>
  <c r="CN137" i="122"/>
  <c r="AU138" i="122" s="1"/>
  <c r="G138" i="122"/>
  <c r="CO137" i="122"/>
  <c r="AV138" i="122" s="1"/>
  <c r="H138" i="122"/>
  <c r="CQ137" i="122"/>
  <c r="AX138" i="122" s="1"/>
  <c r="J138" i="122"/>
  <c r="CX137" i="122"/>
  <c r="BE138" i="122" s="1"/>
  <c r="Q138" i="122"/>
  <c r="CP137" i="122"/>
  <c r="AW138" i="122" s="1"/>
  <c r="I138" i="122"/>
  <c r="CR137" i="122"/>
  <c r="AY138" i="122" s="1"/>
  <c r="K138" i="122"/>
  <c r="F138" i="122"/>
  <c r="CM137" i="122"/>
  <c r="AT138" i="122" s="1"/>
  <c r="CS137" i="122"/>
  <c r="AZ138" i="122" s="1"/>
  <c r="L138" i="122"/>
  <c r="CU137" i="122"/>
  <c r="BB138" i="122" s="1"/>
  <c r="N138" i="122"/>
  <c r="CT137" i="122"/>
  <c r="BA138" i="122" s="1"/>
  <c r="M138" i="122"/>
  <c r="CK137" i="122"/>
  <c r="AR138" i="122" s="1"/>
  <c r="D138" i="122"/>
  <c r="CV137" i="122"/>
  <c r="BC138" i="122" s="1"/>
  <c r="O138" i="122"/>
  <c r="CL137" i="122"/>
  <c r="AS138" i="122" s="1"/>
  <c r="E138" i="122"/>
  <c r="CW137" i="122"/>
  <c r="BD138" i="122" s="1"/>
  <c r="P138" i="122"/>
  <c r="DA137" i="122"/>
  <c r="BH138" i="122" s="1"/>
  <c r="T138" i="122"/>
  <c r="AH146" i="120"/>
  <c r="E147" i="120"/>
  <c r="O147" i="120"/>
  <c r="C147" i="120"/>
  <c r="M147" i="120"/>
  <c r="Q147" i="120"/>
  <c r="AF147" i="120" s="1"/>
  <c r="R147" i="120"/>
  <c r="F147" i="120"/>
  <c r="P147" i="120"/>
  <c r="N147" i="120"/>
  <c r="D147" i="120"/>
  <c r="Z86" i="117"/>
  <c r="X86" i="117"/>
  <c r="AA86" i="117"/>
  <c r="AB86" i="117" s="1"/>
  <c r="V86" i="117"/>
  <c r="Y86" i="117"/>
  <c r="BK138" i="122" l="1"/>
  <c r="BN138" i="122"/>
  <c r="CB138" i="122" s="1"/>
  <c r="DE137" i="122"/>
  <c r="AP138" i="122"/>
  <c r="BJ138" i="122" s="1"/>
  <c r="DC138" i="122" s="1"/>
  <c r="S148" i="120"/>
  <c r="AG147" i="120"/>
  <c r="U147" i="120"/>
  <c r="V147" i="120" s="1"/>
  <c r="AA147" i="120" s="1"/>
  <c r="AE86" i="117"/>
  <c r="AD87" i="117" s="1"/>
  <c r="AG86" i="117"/>
  <c r="AI86" i="117" s="1"/>
  <c r="AC86" i="117"/>
  <c r="AF86" i="117" s="1" a="1"/>
  <c r="AF86" i="117" s="1"/>
  <c r="AH86" i="117"/>
  <c r="BS138" i="122" l="1"/>
  <c r="BV138" i="122"/>
  <c r="CV138" i="122"/>
  <c r="BC139" i="122" s="1"/>
  <c r="O139" i="122"/>
  <c r="DD138" i="122"/>
  <c r="BL139" i="122"/>
  <c r="BU138" i="122"/>
  <c r="BX138" i="122"/>
  <c r="BZ138" i="122"/>
  <c r="BY138" i="122"/>
  <c r="BT138" i="122"/>
  <c r="BR138" i="122"/>
  <c r="BQ138" i="122"/>
  <c r="CA138" i="122"/>
  <c r="CP138" i="122"/>
  <c r="AW139" i="122" s="1"/>
  <c r="I139" i="122"/>
  <c r="CD138" i="122"/>
  <c r="BO138" i="122"/>
  <c r="CC138" i="122"/>
  <c r="F139" i="122"/>
  <c r="CM138" i="122"/>
  <c r="AT139" i="122" s="1"/>
  <c r="BP138" i="122"/>
  <c r="CH138" i="122"/>
  <c r="CF138" i="122"/>
  <c r="CE138" i="122"/>
  <c r="BW138" i="122"/>
  <c r="CG138" i="122"/>
  <c r="Z147" i="120"/>
  <c r="AE147" i="120" s="1"/>
  <c r="W147" i="120"/>
  <c r="AB147" i="120" s="1"/>
  <c r="B148" i="120"/>
  <c r="L148" i="120"/>
  <c r="Y147" i="120"/>
  <c r="AD147" i="120" s="1"/>
  <c r="X147" i="120"/>
  <c r="AC147" i="120" s="1"/>
  <c r="AK86" i="117"/>
  <c r="Q87" i="117"/>
  <c r="AJ86" i="117"/>
  <c r="R87" i="117" s="1"/>
  <c r="S87" i="117" s="1"/>
  <c r="P87" i="117"/>
  <c r="CQ138" i="122" l="1"/>
  <c r="AX139" i="122" s="1"/>
  <c r="J139" i="122"/>
  <c r="CU138" i="122"/>
  <c r="BB139" i="122" s="1"/>
  <c r="N139" i="122"/>
  <c r="CR138" i="122"/>
  <c r="AY139" i="122" s="1"/>
  <c r="K139" i="122"/>
  <c r="R139" i="122"/>
  <c r="CY138" i="122"/>
  <c r="BF139" i="122" s="1"/>
  <c r="CW138" i="122"/>
  <c r="BD139" i="122" s="1"/>
  <c r="P139" i="122"/>
  <c r="D139" i="122"/>
  <c r="CK138" i="122"/>
  <c r="AR139" i="122" s="1"/>
  <c r="H139" i="122"/>
  <c r="CO138" i="122"/>
  <c r="AV139" i="122" s="1"/>
  <c r="CZ138" i="122"/>
  <c r="BG139" i="122" s="1"/>
  <c r="S139" i="122"/>
  <c r="CI138" i="122"/>
  <c r="B139" i="122"/>
  <c r="E139" i="122"/>
  <c r="CL138" i="122"/>
  <c r="AS139" i="122" s="1"/>
  <c r="DB138" i="122"/>
  <c r="BI139" i="122" s="1"/>
  <c r="U139" i="122"/>
  <c r="CX138" i="122"/>
  <c r="BE139" i="122" s="1"/>
  <c r="Q139" i="122"/>
  <c r="G139" i="122"/>
  <c r="CN138" i="122"/>
  <c r="AU139" i="122" s="1"/>
  <c r="CJ138" i="122"/>
  <c r="AQ139" i="122" s="1"/>
  <c r="C139" i="122"/>
  <c r="CS138" i="122"/>
  <c r="AZ139" i="122" s="1"/>
  <c r="L139" i="122"/>
  <c r="T139" i="122"/>
  <c r="DA138" i="122"/>
  <c r="BH139" i="122" s="1"/>
  <c r="M139" i="122"/>
  <c r="CT138" i="122"/>
  <c r="BA139" i="122" s="1"/>
  <c r="AH147" i="120"/>
  <c r="D148" i="120"/>
  <c r="N148" i="120"/>
  <c r="C148" i="120"/>
  <c r="M148" i="120"/>
  <c r="E148" i="120"/>
  <c r="O148" i="120"/>
  <c r="Q148" i="120"/>
  <c r="AF148" i="120" s="1"/>
  <c r="R148" i="120"/>
  <c r="P148" i="120"/>
  <c r="F148" i="120"/>
  <c r="T87" i="117"/>
  <c r="W87" i="117" l="1"/>
  <c r="U87" i="117" a="1"/>
  <c r="U87" i="117" s="1"/>
  <c r="BK139" i="122"/>
  <c r="AP139" i="122"/>
  <c r="BJ139" i="122" s="1"/>
  <c r="DC139" i="122" s="1"/>
  <c r="DE138" i="122"/>
  <c r="BN139" i="122"/>
  <c r="CF139" i="122" s="1"/>
  <c r="S149" i="120"/>
  <c r="AG148" i="120"/>
  <c r="U148" i="120"/>
  <c r="V148" i="120" s="1"/>
  <c r="AA148" i="120" s="1"/>
  <c r="Z87" i="117"/>
  <c r="X87" i="117"/>
  <c r="V87" i="117"/>
  <c r="AA87" i="117"/>
  <c r="AB87" i="117" s="1"/>
  <c r="Y87" i="117"/>
  <c r="CZ139" i="122" l="1"/>
  <c r="BG140" i="122" s="1"/>
  <c r="S140" i="122"/>
  <c r="BO139" i="122"/>
  <c r="BR139" i="122"/>
  <c r="BP139" i="122"/>
  <c r="BS139" i="122"/>
  <c r="CB139" i="122"/>
  <c r="BV139" i="122"/>
  <c r="BT139" i="122"/>
  <c r="CH139" i="122"/>
  <c r="CD139" i="122"/>
  <c r="BY139" i="122"/>
  <c r="BQ139" i="122"/>
  <c r="BW139" i="122"/>
  <c r="CG139" i="122"/>
  <c r="CE139" i="122"/>
  <c r="CA139" i="122"/>
  <c r="BL140" i="122"/>
  <c r="DD139" i="122"/>
  <c r="BX139" i="122"/>
  <c r="BU139" i="122"/>
  <c r="CC139" i="122"/>
  <c r="BZ139" i="122"/>
  <c r="L149" i="120"/>
  <c r="B149" i="120"/>
  <c r="W148" i="120"/>
  <c r="AB148" i="120" s="1"/>
  <c r="Z148" i="120"/>
  <c r="AE148" i="120" s="1"/>
  <c r="X148" i="120"/>
  <c r="AC148" i="120" s="1"/>
  <c r="Y148" i="120"/>
  <c r="AD148" i="120" s="1"/>
  <c r="AE87" i="117"/>
  <c r="AD88" i="117" s="1"/>
  <c r="AG87" i="117"/>
  <c r="AI87" i="117" s="1"/>
  <c r="AC87" i="117"/>
  <c r="AF87" i="117" s="1" a="1"/>
  <c r="AF87" i="117" s="1"/>
  <c r="AH87" i="117"/>
  <c r="L140" i="122" l="1"/>
  <c r="CS139" i="122"/>
  <c r="AZ140" i="122" s="1"/>
  <c r="CM139" i="122"/>
  <c r="AT140" i="122" s="1"/>
  <c r="F140" i="122"/>
  <c r="M140" i="122"/>
  <c r="CT139" i="122"/>
  <c r="BA140" i="122" s="1"/>
  <c r="N140" i="122"/>
  <c r="CU139" i="122"/>
  <c r="BB140" i="122" s="1"/>
  <c r="CX139" i="122"/>
  <c r="BE140" i="122" s="1"/>
  <c r="Q140" i="122"/>
  <c r="CJ139" i="122"/>
  <c r="AQ140" i="122" s="1"/>
  <c r="C140" i="122"/>
  <c r="CW139" i="122"/>
  <c r="BD140" i="122" s="1"/>
  <c r="P140" i="122"/>
  <c r="CY139" i="122"/>
  <c r="BF140" i="122" s="1"/>
  <c r="R140" i="122"/>
  <c r="U140" i="122"/>
  <c r="DB139" i="122"/>
  <c r="BI140" i="122" s="1"/>
  <c r="CL139" i="122"/>
  <c r="AS140" i="122" s="1"/>
  <c r="E140" i="122"/>
  <c r="H140" i="122"/>
  <c r="CO139" i="122"/>
  <c r="AV140" i="122" s="1"/>
  <c r="DA139" i="122"/>
  <c r="BH140" i="122" s="1"/>
  <c r="T140" i="122"/>
  <c r="CN139" i="122"/>
  <c r="AU140" i="122" s="1"/>
  <c r="G140" i="122"/>
  <c r="CI139" i="122"/>
  <c r="B140" i="122"/>
  <c r="K140" i="122"/>
  <c r="CR139" i="122"/>
  <c r="AY140" i="122" s="1"/>
  <c r="CQ139" i="122"/>
  <c r="AX140" i="122" s="1"/>
  <c r="J140" i="122"/>
  <c r="CP139" i="122"/>
  <c r="AW140" i="122" s="1"/>
  <c r="I140" i="122"/>
  <c r="CK139" i="122"/>
  <c r="AR140" i="122" s="1"/>
  <c r="D140" i="122"/>
  <c r="O140" i="122"/>
  <c r="CV139" i="122"/>
  <c r="BC140" i="122" s="1"/>
  <c r="AH148" i="120"/>
  <c r="E149" i="120"/>
  <c r="O149" i="120"/>
  <c r="P149" i="120"/>
  <c r="F149" i="120"/>
  <c r="N149" i="120"/>
  <c r="D149" i="120"/>
  <c r="M149" i="120"/>
  <c r="C149" i="120"/>
  <c r="R149" i="120"/>
  <c r="Q149" i="120"/>
  <c r="AF149" i="120" s="1"/>
  <c r="AJ87" i="117"/>
  <c r="R88" i="117" s="1"/>
  <c r="S88" i="117" s="1"/>
  <c r="P88" i="117"/>
  <c r="AK87" i="117"/>
  <c r="Q88" i="117"/>
  <c r="BK140" i="122" l="1"/>
  <c r="BN140" i="122"/>
  <c r="BU140" i="122" s="1"/>
  <c r="AP140" i="122"/>
  <c r="BJ140" i="122" s="1"/>
  <c r="DC140" i="122" s="1"/>
  <c r="DE139" i="122"/>
  <c r="U149" i="120"/>
  <c r="V149" i="120" s="1"/>
  <c r="AA149" i="120" s="1"/>
  <c r="B150" i="120" s="1"/>
  <c r="S150" i="120"/>
  <c r="AG149" i="120"/>
  <c r="T88" i="117"/>
  <c r="X88" i="117" l="1"/>
  <c r="U88" i="117" a="1"/>
  <c r="U88" i="117" s="1"/>
  <c r="BO140" i="122"/>
  <c r="CF140" i="122"/>
  <c r="CC140" i="122"/>
  <c r="BZ140" i="122"/>
  <c r="DD140" i="122"/>
  <c r="BL141" i="122"/>
  <c r="CH140" i="122"/>
  <c r="BY140" i="122"/>
  <c r="BT140" i="122"/>
  <c r="BS140" i="122"/>
  <c r="BX140" i="122"/>
  <c r="BV140" i="122"/>
  <c r="BR140" i="122"/>
  <c r="CA140" i="122"/>
  <c r="BW140" i="122"/>
  <c r="CD140" i="122"/>
  <c r="BP140" i="122"/>
  <c r="CO140" i="122"/>
  <c r="AV141" i="122" s="1"/>
  <c r="H141" i="122"/>
  <c r="BQ140" i="122"/>
  <c r="CB140" i="122"/>
  <c r="CE140" i="122"/>
  <c r="CG140" i="122"/>
  <c r="W149" i="120"/>
  <c r="AB149" i="120" s="1"/>
  <c r="M150" i="120" s="1"/>
  <c r="Z149" i="120"/>
  <c r="AE149" i="120" s="1"/>
  <c r="P150" i="120" s="1"/>
  <c r="L150" i="120"/>
  <c r="R150" i="120" s="1"/>
  <c r="Y149" i="120"/>
  <c r="AD149" i="120" s="1"/>
  <c r="E150" i="120" s="1"/>
  <c r="X149" i="120"/>
  <c r="AC149" i="120" s="1"/>
  <c r="D150" i="120" s="1"/>
  <c r="Y88" i="117"/>
  <c r="V88" i="117"/>
  <c r="AA88" i="117"/>
  <c r="AB88" i="117" s="1"/>
  <c r="W88" i="117"/>
  <c r="Z88" i="117"/>
  <c r="I141" i="122" l="1"/>
  <c r="CP140" i="122"/>
  <c r="AW141" i="122" s="1"/>
  <c r="DA140" i="122"/>
  <c r="BH141" i="122" s="1"/>
  <c r="T141" i="122"/>
  <c r="CJ140" i="122"/>
  <c r="AQ141" i="122" s="1"/>
  <c r="C141" i="122"/>
  <c r="CR140" i="122"/>
  <c r="AY141" i="122" s="1"/>
  <c r="K141" i="122"/>
  <c r="R141" i="122"/>
  <c r="CY140" i="122"/>
  <c r="BF141" i="122" s="1"/>
  <c r="Q141" i="122"/>
  <c r="CX140" i="122"/>
  <c r="BE141" i="122" s="1"/>
  <c r="F141" i="122"/>
  <c r="CM140" i="122"/>
  <c r="AT141" i="122" s="1"/>
  <c r="CT140" i="122"/>
  <c r="BA141" i="122" s="1"/>
  <c r="M141" i="122"/>
  <c r="O141" i="122"/>
  <c r="CV140" i="122"/>
  <c r="BC141" i="122" s="1"/>
  <c r="J141" i="122"/>
  <c r="CQ140" i="122"/>
  <c r="AX141" i="122" s="1"/>
  <c r="G141" i="122"/>
  <c r="CN140" i="122"/>
  <c r="AU141" i="122" s="1"/>
  <c r="CW140" i="122"/>
  <c r="BD141" i="122" s="1"/>
  <c r="P141" i="122"/>
  <c r="CK140" i="122"/>
  <c r="AR141" i="122" s="1"/>
  <c r="D141" i="122"/>
  <c r="N141" i="122"/>
  <c r="CU140" i="122"/>
  <c r="BB141" i="122" s="1"/>
  <c r="CS140" i="122"/>
  <c r="AZ141" i="122" s="1"/>
  <c r="L141" i="122"/>
  <c r="CZ140" i="122"/>
  <c r="BG141" i="122" s="1"/>
  <c r="S141" i="122"/>
  <c r="CL140" i="122"/>
  <c r="AS141" i="122" s="1"/>
  <c r="E141" i="122"/>
  <c r="DB140" i="122"/>
  <c r="BI141" i="122" s="1"/>
  <c r="U141" i="122"/>
  <c r="CI140" i="122"/>
  <c r="B141" i="122"/>
  <c r="C150" i="120"/>
  <c r="Q150" i="120"/>
  <c r="AF150" i="120" s="1"/>
  <c r="S151" i="120" s="1"/>
  <c r="AH149" i="120"/>
  <c r="F150" i="120"/>
  <c r="O150" i="120"/>
  <c r="N150" i="120"/>
  <c r="AC88" i="117"/>
  <c r="AH88" i="117"/>
  <c r="AE88" i="117" l="1"/>
  <c r="AD89" i="117" s="1"/>
  <c r="AF88" i="117" a="1"/>
  <c r="AF88" i="117" s="1"/>
  <c r="BK141" i="122"/>
  <c r="BN141" i="122"/>
  <c r="BR141" i="122" s="1"/>
  <c r="AP141" i="122"/>
  <c r="BJ141" i="122" s="1"/>
  <c r="DC141" i="122" s="1"/>
  <c r="DE140" i="122"/>
  <c r="U150" i="120"/>
  <c r="V150" i="120" s="1"/>
  <c r="AA150" i="120" s="1"/>
  <c r="L151" i="120" s="1"/>
  <c r="AG150" i="120"/>
  <c r="AG88" i="117"/>
  <c r="AI88" i="117" s="1"/>
  <c r="AK88" i="117" s="1"/>
  <c r="AJ88" i="117"/>
  <c r="R89" i="117" s="1"/>
  <c r="P89" i="117"/>
  <c r="BS141" i="122" l="1"/>
  <c r="CL141" i="122"/>
  <c r="AS142" i="122" s="1"/>
  <c r="E142" i="122"/>
  <c r="BX141" i="122"/>
  <c r="BT141" i="122"/>
  <c r="CD141" i="122"/>
  <c r="BQ141" i="122"/>
  <c r="CA141" i="122"/>
  <c r="CB141" i="122"/>
  <c r="BV141" i="122"/>
  <c r="CF141" i="122"/>
  <c r="BO141" i="122"/>
  <c r="CM141" i="122"/>
  <c r="AT142" i="122" s="1"/>
  <c r="F142" i="122"/>
  <c r="CE141" i="122"/>
  <c r="BU141" i="122"/>
  <c r="BY141" i="122"/>
  <c r="BW141" i="122"/>
  <c r="BL142" i="122"/>
  <c r="DD141" i="122"/>
  <c r="CG141" i="122"/>
  <c r="BP141" i="122"/>
  <c r="CH141" i="122"/>
  <c r="CC141" i="122"/>
  <c r="BZ141" i="122"/>
  <c r="W150" i="120"/>
  <c r="AB150" i="120" s="1"/>
  <c r="C151" i="120" s="1"/>
  <c r="B151" i="120"/>
  <c r="X150" i="120"/>
  <c r="AC150" i="120" s="1"/>
  <c r="N151" i="120" s="1"/>
  <c r="Y150" i="120"/>
  <c r="AD150" i="120" s="1"/>
  <c r="Z150" i="120"/>
  <c r="AE150" i="120" s="1"/>
  <c r="F151" i="120" s="1"/>
  <c r="Q151" i="120"/>
  <c r="AF151" i="120" s="1"/>
  <c r="R151" i="120"/>
  <c r="Q89" i="117"/>
  <c r="S89" i="117"/>
  <c r="M151" i="120" l="1"/>
  <c r="CT141" i="122"/>
  <c r="BA142" i="122" s="1"/>
  <c r="M142" i="122"/>
  <c r="D142" i="122"/>
  <c r="CK141" i="122"/>
  <c r="AR142" i="122" s="1"/>
  <c r="CW141" i="122"/>
  <c r="BD142" i="122" s="1"/>
  <c r="P142" i="122"/>
  <c r="CQ141" i="122"/>
  <c r="AX142" i="122" s="1"/>
  <c r="J142" i="122"/>
  <c r="CI141" i="122"/>
  <c r="B142" i="122"/>
  <c r="CX141" i="122"/>
  <c r="BE142" i="122" s="1"/>
  <c r="Q142" i="122"/>
  <c r="DB141" i="122"/>
  <c r="BI142" i="122" s="1"/>
  <c r="U142" i="122"/>
  <c r="CS141" i="122"/>
  <c r="AZ142" i="122" s="1"/>
  <c r="L142" i="122"/>
  <c r="CZ141" i="122"/>
  <c r="BG142" i="122" s="1"/>
  <c r="S142" i="122"/>
  <c r="CN141" i="122"/>
  <c r="AU142" i="122" s="1"/>
  <c r="G142" i="122"/>
  <c r="CJ141" i="122"/>
  <c r="AQ142" i="122" s="1"/>
  <c r="C142" i="122"/>
  <c r="CO141" i="122"/>
  <c r="AV142" i="122" s="1"/>
  <c r="H142" i="122"/>
  <c r="CP141" i="122"/>
  <c r="AW142" i="122" s="1"/>
  <c r="I142" i="122"/>
  <c r="CR141" i="122"/>
  <c r="AY142" i="122" s="1"/>
  <c r="K142" i="122"/>
  <c r="T142" i="122"/>
  <c r="DA141" i="122"/>
  <c r="BH142" i="122" s="1"/>
  <c r="R142" i="122"/>
  <c r="CY141" i="122"/>
  <c r="BF142" i="122" s="1"/>
  <c r="O142" i="122"/>
  <c r="CV141" i="122"/>
  <c r="BC142" i="122" s="1"/>
  <c r="BK142" i="122" s="1"/>
  <c r="CU141" i="122"/>
  <c r="BB142" i="122" s="1"/>
  <c r="N142" i="122"/>
  <c r="P151" i="120"/>
  <c r="AH150" i="120"/>
  <c r="D151" i="120"/>
  <c r="O151" i="120"/>
  <c r="E151" i="120"/>
  <c r="U151" i="120" s="1"/>
  <c r="V151" i="120" s="1"/>
  <c r="AA151" i="120" s="1"/>
  <c r="S152" i="120"/>
  <c r="AG151" i="120"/>
  <c r="T89" i="117"/>
  <c r="Y89" i="117" l="1"/>
  <c r="U89" i="117" a="1"/>
  <c r="U89" i="117" s="1"/>
  <c r="AH89" i="117" s="1"/>
  <c r="BN142" i="122"/>
  <c r="CD142" i="122" s="1"/>
  <c r="AP142" i="122"/>
  <c r="BJ142" i="122" s="1"/>
  <c r="DC142" i="122" s="1"/>
  <c r="DE141" i="122"/>
  <c r="Y151" i="120"/>
  <c r="AD151" i="120" s="1"/>
  <c r="X151" i="120"/>
  <c r="AC151" i="120" s="1"/>
  <c r="B152" i="120"/>
  <c r="L152" i="120"/>
  <c r="W151" i="120"/>
  <c r="AB151" i="120" s="1"/>
  <c r="Z151" i="120"/>
  <c r="AE151" i="120" s="1"/>
  <c r="V89" i="117"/>
  <c r="AA89" i="117"/>
  <c r="AB89" i="117" s="1"/>
  <c r="Z89" i="117"/>
  <c r="X89" i="117"/>
  <c r="W89" i="117"/>
  <c r="CE142" i="122" l="1"/>
  <c r="CH142" i="122"/>
  <c r="CA142" i="122"/>
  <c r="N143" i="122" s="1"/>
  <c r="CX142" i="122"/>
  <c r="BE143" i="122" s="1"/>
  <c r="Q143" i="122"/>
  <c r="BW142" i="122"/>
  <c r="BX142" i="122"/>
  <c r="DB142" i="122"/>
  <c r="BI143" i="122" s="1"/>
  <c r="U143" i="122"/>
  <c r="DD142" i="122"/>
  <c r="BL143" i="122"/>
  <c r="CG142" i="122"/>
  <c r="BT142" i="122"/>
  <c r="CB142" i="122"/>
  <c r="CC142" i="122"/>
  <c r="BV142" i="122"/>
  <c r="BO142" i="122"/>
  <c r="CY142" i="122"/>
  <c r="BF143" i="122" s="1"/>
  <c r="R143" i="122"/>
  <c r="BY142" i="122"/>
  <c r="BR142" i="122"/>
  <c r="BS142" i="122"/>
  <c r="CF142" i="122"/>
  <c r="CU142" i="122"/>
  <c r="BB143" i="122" s="1"/>
  <c r="BZ142" i="122"/>
  <c r="BQ142" i="122"/>
  <c r="BP142" i="122"/>
  <c r="BU142" i="122"/>
  <c r="AH151" i="120"/>
  <c r="P152" i="120"/>
  <c r="F152" i="120"/>
  <c r="M152" i="120"/>
  <c r="C152" i="120"/>
  <c r="Q152" i="120"/>
  <c r="AF152" i="120" s="1"/>
  <c r="R152" i="120"/>
  <c r="N152" i="120"/>
  <c r="D152" i="120"/>
  <c r="E152" i="120"/>
  <c r="O152" i="120"/>
  <c r="AE89" i="117"/>
  <c r="AD90" i="117" s="1"/>
  <c r="AG89" i="117"/>
  <c r="AI89" i="117" s="1"/>
  <c r="AC89" i="117"/>
  <c r="AF89" i="117" s="1" a="1"/>
  <c r="AF89" i="117" s="1"/>
  <c r="AJ89" i="117"/>
  <c r="R90" i="117" s="1"/>
  <c r="P90" i="117"/>
  <c r="CK142" i="122" l="1"/>
  <c r="AR143" i="122" s="1"/>
  <c r="D143" i="122"/>
  <c r="E143" i="122"/>
  <c r="CL142" i="122"/>
  <c r="AS143" i="122" s="1"/>
  <c r="CW142" i="122"/>
  <c r="BD143" i="122" s="1"/>
  <c r="P143" i="122"/>
  <c r="CT142" i="122"/>
  <c r="BA143" i="122" s="1"/>
  <c r="M143" i="122"/>
  <c r="CS142" i="122"/>
  <c r="AZ143" i="122" s="1"/>
  <c r="L143" i="122"/>
  <c r="CV142" i="122"/>
  <c r="BC143" i="122" s="1"/>
  <c r="O143" i="122"/>
  <c r="CN142" i="122"/>
  <c r="AU143" i="122" s="1"/>
  <c r="G143" i="122"/>
  <c r="CR142" i="122"/>
  <c r="AY143" i="122" s="1"/>
  <c r="K143" i="122"/>
  <c r="T143" i="122"/>
  <c r="DA142" i="122"/>
  <c r="BH143" i="122" s="1"/>
  <c r="CQ142" i="122"/>
  <c r="AX143" i="122" s="1"/>
  <c r="J143" i="122"/>
  <c r="H143" i="122"/>
  <c r="CO142" i="122"/>
  <c r="AV143" i="122" s="1"/>
  <c r="CZ142" i="122"/>
  <c r="BG143" i="122" s="1"/>
  <c r="S143" i="122"/>
  <c r="B143" i="122"/>
  <c r="CI142" i="122"/>
  <c r="C143" i="122"/>
  <c r="CJ142" i="122"/>
  <c r="AQ143" i="122" s="1"/>
  <c r="F143" i="122"/>
  <c r="CM142" i="122"/>
  <c r="AT143" i="122" s="1"/>
  <c r="I143" i="122"/>
  <c r="CP142" i="122"/>
  <c r="AW143" i="122" s="1"/>
  <c r="S153" i="120"/>
  <c r="AG152" i="120"/>
  <c r="U152" i="120"/>
  <c r="V152" i="120" s="1"/>
  <c r="AA152" i="120" s="1"/>
  <c r="AK89" i="117"/>
  <c r="Q90" i="117"/>
  <c r="S90" i="117"/>
  <c r="BK143" i="122" l="1"/>
  <c r="AP143" i="122"/>
  <c r="BJ143" i="122" s="1"/>
  <c r="DC143" i="122" s="1"/>
  <c r="DE142" i="122"/>
  <c r="BN143" i="122"/>
  <c r="BS143" i="122" s="1"/>
  <c r="Z152" i="120"/>
  <c r="AE152" i="120" s="1"/>
  <c r="W152" i="120"/>
  <c r="AB152" i="120" s="1"/>
  <c r="L153" i="120"/>
  <c r="B153" i="120"/>
  <c r="X152" i="120"/>
  <c r="AC152" i="120" s="1"/>
  <c r="Y152" i="120"/>
  <c r="AD152" i="120" s="1"/>
  <c r="T90" i="117"/>
  <c r="X90" i="117" l="1"/>
  <c r="U90" i="117" a="1"/>
  <c r="U90" i="117" s="1"/>
  <c r="AH90" i="117" s="1"/>
  <c r="BX143" i="122"/>
  <c r="BW143" i="122"/>
  <c r="J144" i="122" s="1"/>
  <c r="CF143" i="122"/>
  <c r="S144" i="122" s="1"/>
  <c r="BO143" i="122"/>
  <c r="B144" i="122" s="1"/>
  <c r="BQ143" i="122"/>
  <c r="CK143" i="122" s="1"/>
  <c r="AR144" i="122" s="1"/>
  <c r="CG143" i="122"/>
  <c r="DA143" i="122" s="1"/>
  <c r="BH144" i="122" s="1"/>
  <c r="F144" i="122"/>
  <c r="CM143" i="122"/>
  <c r="AT144" i="122" s="1"/>
  <c r="CB143" i="122"/>
  <c r="BZ143" i="122"/>
  <c r="BT143" i="122"/>
  <c r="BP143" i="122"/>
  <c r="CR143" i="122"/>
  <c r="AY144" i="122" s="1"/>
  <c r="K144" i="122"/>
  <c r="DD143" i="122"/>
  <c r="BL144" i="122"/>
  <c r="BU143" i="122"/>
  <c r="CH143" i="122"/>
  <c r="CD143" i="122"/>
  <c r="CA143" i="122"/>
  <c r="CE143" i="122"/>
  <c r="BV143" i="122"/>
  <c r="BR143" i="122"/>
  <c r="BY143" i="122"/>
  <c r="CC143" i="122"/>
  <c r="AH152" i="120"/>
  <c r="E153" i="120"/>
  <c r="O153" i="120"/>
  <c r="D153" i="120"/>
  <c r="N153" i="120"/>
  <c r="R153" i="120"/>
  <c r="Q153" i="120"/>
  <c r="AF153" i="120" s="1"/>
  <c r="C153" i="120"/>
  <c r="M153" i="120"/>
  <c r="F153" i="120"/>
  <c r="P153" i="120"/>
  <c r="W90" i="117"/>
  <c r="AA90" i="117"/>
  <c r="AB90" i="117" s="1"/>
  <c r="V90" i="117"/>
  <c r="Z90" i="117"/>
  <c r="Y90" i="117"/>
  <c r="CI143" i="122" l="1"/>
  <c r="CZ143" i="122"/>
  <c r="BG144" i="122" s="1"/>
  <c r="CQ143" i="122"/>
  <c r="AX144" i="122" s="1"/>
  <c r="T144" i="122"/>
  <c r="D144" i="122"/>
  <c r="N144" i="122"/>
  <c r="CU143" i="122"/>
  <c r="BB144" i="122" s="1"/>
  <c r="P144" i="122"/>
  <c r="CW143" i="122"/>
  <c r="BD144" i="122" s="1"/>
  <c r="Q144" i="122"/>
  <c r="CX143" i="122"/>
  <c r="BE144" i="122" s="1"/>
  <c r="CN143" i="122"/>
  <c r="AU144" i="122" s="1"/>
  <c r="G144" i="122"/>
  <c r="CS143" i="122"/>
  <c r="AZ144" i="122" s="1"/>
  <c r="L144" i="122"/>
  <c r="U144" i="122"/>
  <c r="DB143" i="122"/>
  <c r="BI144" i="122" s="1"/>
  <c r="C144" i="122"/>
  <c r="CJ143" i="122"/>
  <c r="AQ144" i="122" s="1"/>
  <c r="CT143" i="122"/>
  <c r="BA144" i="122" s="1"/>
  <c r="M144" i="122"/>
  <c r="CL143" i="122"/>
  <c r="AS144" i="122" s="1"/>
  <c r="E144" i="122"/>
  <c r="CO143" i="122"/>
  <c r="AV144" i="122" s="1"/>
  <c r="H144" i="122"/>
  <c r="AP144" i="122"/>
  <c r="CV143" i="122"/>
  <c r="BC144" i="122" s="1"/>
  <c r="O144" i="122"/>
  <c r="CP143" i="122"/>
  <c r="AW144" i="122" s="1"/>
  <c r="I144" i="122"/>
  <c r="R144" i="122"/>
  <c r="CY143" i="122"/>
  <c r="BF144" i="122" s="1"/>
  <c r="U153" i="120"/>
  <c r="V153" i="120" s="1"/>
  <c r="AA153" i="120" s="1"/>
  <c r="B154" i="120" s="1"/>
  <c r="S154" i="120"/>
  <c r="AG153" i="120"/>
  <c r="AE90" i="117"/>
  <c r="AD91" i="117" s="1"/>
  <c r="AG90" i="117"/>
  <c r="AI90" i="117" s="1"/>
  <c r="AC90" i="117"/>
  <c r="AF90" i="117" s="1" a="1"/>
  <c r="AF90" i="117" s="1"/>
  <c r="AJ90" i="117"/>
  <c r="R91" i="117" s="1"/>
  <c r="P91" i="117"/>
  <c r="BJ144" i="122" l="1"/>
  <c r="DC144" i="122" s="1"/>
  <c r="DD144" i="122" s="1"/>
  <c r="BK144" i="122"/>
  <c r="BN144" i="122"/>
  <c r="BU144" i="122" s="1"/>
  <c r="DE143" i="122"/>
  <c r="W153" i="120"/>
  <c r="AB153" i="120" s="1"/>
  <c r="M154" i="120" s="1"/>
  <c r="Z153" i="120"/>
  <c r="AE153" i="120" s="1"/>
  <c r="F154" i="120" s="1"/>
  <c r="X153" i="120"/>
  <c r="AC153" i="120" s="1"/>
  <c r="D154" i="120" s="1"/>
  <c r="Y153" i="120"/>
  <c r="AD153" i="120" s="1"/>
  <c r="E154" i="120" s="1"/>
  <c r="L154" i="120"/>
  <c r="R154" i="120" s="1"/>
  <c r="AK90" i="117"/>
  <c r="Q91" i="117"/>
  <c r="S91" i="117"/>
  <c r="BL145" i="122" l="1"/>
  <c r="BT144" i="122"/>
  <c r="CN144" i="122" s="1"/>
  <c r="AU145" i="122" s="1"/>
  <c r="H145" i="122"/>
  <c r="CO144" i="122"/>
  <c r="AV145" i="122" s="1"/>
  <c r="CC144" i="122"/>
  <c r="CB144" i="122"/>
  <c r="BP144" i="122"/>
  <c r="CA144" i="122"/>
  <c r="CE144" i="122"/>
  <c r="CD144" i="122"/>
  <c r="BZ144" i="122"/>
  <c r="CH144" i="122"/>
  <c r="BY144" i="122"/>
  <c r="G145" i="122"/>
  <c r="BR144" i="122"/>
  <c r="BQ144" i="122"/>
  <c r="BX144" i="122"/>
  <c r="BO144" i="122"/>
  <c r="BS144" i="122"/>
  <c r="CF144" i="122"/>
  <c r="CG144" i="122"/>
  <c r="BW144" i="122"/>
  <c r="BV144" i="122"/>
  <c r="C154" i="120"/>
  <c r="U154" i="120" s="1"/>
  <c r="V154" i="120" s="1"/>
  <c r="AA154" i="120" s="1"/>
  <c r="N154" i="120"/>
  <c r="Q154" i="120"/>
  <c r="AF154" i="120" s="1"/>
  <c r="S155" i="120" s="1"/>
  <c r="P154" i="120"/>
  <c r="AH153" i="120"/>
  <c r="O154" i="120"/>
  <c r="T91" i="117"/>
  <c r="AA91" i="117" l="1"/>
  <c r="AB91" i="117" s="1"/>
  <c r="U91" i="117" a="1"/>
  <c r="U91" i="117" s="1"/>
  <c r="AH91" i="117" s="1"/>
  <c r="F145" i="122"/>
  <c r="CM144" i="122"/>
  <c r="AT145" i="122" s="1"/>
  <c r="N145" i="122"/>
  <c r="CU144" i="122"/>
  <c r="BB145" i="122" s="1"/>
  <c r="CI144" i="122"/>
  <c r="B145" i="122"/>
  <c r="CS144" i="122"/>
  <c r="AZ145" i="122" s="1"/>
  <c r="L145" i="122"/>
  <c r="CJ144" i="122"/>
  <c r="AQ145" i="122" s="1"/>
  <c r="C145" i="122"/>
  <c r="I145" i="122"/>
  <c r="CP144" i="122"/>
  <c r="AW145" i="122" s="1"/>
  <c r="CR144" i="122"/>
  <c r="AY145" i="122" s="1"/>
  <c r="K145" i="122"/>
  <c r="U145" i="122"/>
  <c r="DB144" i="122"/>
  <c r="BI145" i="122" s="1"/>
  <c r="O145" i="122"/>
  <c r="CV144" i="122"/>
  <c r="BC145" i="122" s="1"/>
  <c r="CQ144" i="122"/>
  <c r="AX145" i="122" s="1"/>
  <c r="J145" i="122"/>
  <c r="D145" i="122"/>
  <c r="CK144" i="122"/>
  <c r="AR145" i="122" s="1"/>
  <c r="CT144" i="122"/>
  <c r="BA145" i="122" s="1"/>
  <c r="M145" i="122"/>
  <c r="CW144" i="122"/>
  <c r="BD145" i="122" s="1"/>
  <c r="P145" i="122"/>
  <c r="T145" i="122"/>
  <c r="DA144" i="122"/>
  <c r="BH145" i="122" s="1"/>
  <c r="CL144" i="122"/>
  <c r="AS145" i="122" s="1"/>
  <c r="E145" i="122"/>
  <c r="CX144" i="122"/>
  <c r="BE145" i="122" s="1"/>
  <c r="Q145" i="122"/>
  <c r="S145" i="122"/>
  <c r="CZ144" i="122"/>
  <c r="BG145" i="122" s="1"/>
  <c r="R145" i="122"/>
  <c r="CY144" i="122"/>
  <c r="BF145" i="122" s="1"/>
  <c r="AG154" i="120"/>
  <c r="X154" i="120"/>
  <c r="AC154" i="120" s="1"/>
  <c r="L155" i="120"/>
  <c r="B155" i="120"/>
  <c r="Y154" i="120"/>
  <c r="AD154" i="120" s="1"/>
  <c r="Z154" i="120"/>
  <c r="AE154" i="120" s="1"/>
  <c r="W154" i="120"/>
  <c r="AB154" i="120" s="1"/>
  <c r="X91" i="117"/>
  <c r="V91" i="117"/>
  <c r="Z91" i="117"/>
  <c r="W91" i="117"/>
  <c r="AC91" i="117" s="1"/>
  <c r="Y91" i="117"/>
  <c r="AE91" i="117" l="1"/>
  <c r="AF91" i="117" a="1"/>
  <c r="AF91" i="117" s="1"/>
  <c r="BK145" i="122"/>
  <c r="BN145" i="122"/>
  <c r="BO145" i="122" s="1"/>
  <c r="AP145" i="122"/>
  <c r="BJ145" i="122" s="1"/>
  <c r="DC145" i="122" s="1"/>
  <c r="DE144" i="122"/>
  <c r="AH154" i="120"/>
  <c r="P155" i="120"/>
  <c r="F155" i="120"/>
  <c r="O155" i="120"/>
  <c r="E155" i="120"/>
  <c r="Q155" i="120"/>
  <c r="AF155" i="120" s="1"/>
  <c r="R155" i="120"/>
  <c r="C155" i="120"/>
  <c r="M155" i="120"/>
  <c r="D155" i="120"/>
  <c r="N155" i="120"/>
  <c r="AG91" i="117"/>
  <c r="AI91" i="117" s="1"/>
  <c r="AD92" i="117"/>
  <c r="AJ91" i="117"/>
  <c r="R92" i="117" s="1"/>
  <c r="S92" i="117" s="1"/>
  <c r="P92" i="117"/>
  <c r="BZ145" i="122" l="1"/>
  <c r="CA145" i="122"/>
  <c r="B146" i="122"/>
  <c r="CI145" i="122"/>
  <c r="CU145" i="122"/>
  <c r="BB146" i="122" s="1"/>
  <c r="N146" i="122"/>
  <c r="BW145" i="122"/>
  <c r="CG145" i="122"/>
  <c r="CB145" i="122"/>
  <c r="CC145" i="122"/>
  <c r="CF145" i="122"/>
  <c r="CE145" i="122"/>
  <c r="BS145" i="122"/>
  <c r="CD145" i="122"/>
  <c r="BP145" i="122"/>
  <c r="BT145" i="122"/>
  <c r="BU145" i="122"/>
  <c r="M146" i="122"/>
  <c r="CT145" i="122"/>
  <c r="BA146" i="122" s="1"/>
  <c r="BY145" i="122"/>
  <c r="CH145" i="122"/>
  <c r="BL146" i="122"/>
  <c r="DD145" i="122"/>
  <c r="BX145" i="122"/>
  <c r="BQ145" i="122"/>
  <c r="BV145" i="122"/>
  <c r="BR145" i="122"/>
  <c r="U155" i="120"/>
  <c r="Z155" i="120" s="1"/>
  <c r="AE155" i="120" s="1"/>
  <c r="F156" i="120" s="1"/>
  <c r="S156" i="120"/>
  <c r="AG155" i="120"/>
  <c r="Q92" i="117"/>
  <c r="AK91" i="117"/>
  <c r="T92" i="117"/>
  <c r="W92" i="117" l="1"/>
  <c r="U92" i="117" a="1"/>
  <c r="U92" i="117" s="1"/>
  <c r="AH92" i="117" s="1"/>
  <c r="AJ92" i="117" s="1"/>
  <c r="I146" i="122"/>
  <c r="CP145" i="122"/>
  <c r="AW146" i="122" s="1"/>
  <c r="CS145" i="122"/>
  <c r="AZ146" i="122" s="1"/>
  <c r="L146" i="122"/>
  <c r="Q146" i="122"/>
  <c r="CX145" i="122"/>
  <c r="BE146" i="122" s="1"/>
  <c r="T146" i="122"/>
  <c r="DA145" i="122"/>
  <c r="BH146" i="122" s="1"/>
  <c r="CQ145" i="122"/>
  <c r="AX146" i="122" s="1"/>
  <c r="J146" i="122"/>
  <c r="D146" i="122"/>
  <c r="CK145" i="122"/>
  <c r="AR146" i="122" s="1"/>
  <c r="K146" i="122"/>
  <c r="CR145" i="122"/>
  <c r="AY146" i="122" s="1"/>
  <c r="R146" i="122"/>
  <c r="CY145" i="122"/>
  <c r="BF146" i="122" s="1"/>
  <c r="CO145" i="122"/>
  <c r="AV146" i="122" s="1"/>
  <c r="H146" i="122"/>
  <c r="G146" i="122"/>
  <c r="CN145" i="122"/>
  <c r="AU146" i="122" s="1"/>
  <c r="P146" i="122"/>
  <c r="CW145" i="122"/>
  <c r="BD146" i="122" s="1"/>
  <c r="AP146" i="122"/>
  <c r="CM145" i="122"/>
  <c r="AT146" i="122" s="1"/>
  <c r="F146" i="122"/>
  <c r="S146" i="122"/>
  <c r="CZ145" i="122"/>
  <c r="BG146" i="122" s="1"/>
  <c r="CL145" i="122"/>
  <c r="AS146" i="122" s="1"/>
  <c r="E146" i="122"/>
  <c r="DB145" i="122"/>
  <c r="BI146" i="122" s="1"/>
  <c r="U146" i="122"/>
  <c r="CJ145" i="122"/>
  <c r="AQ146" i="122" s="1"/>
  <c r="C146" i="122"/>
  <c r="CV145" i="122"/>
  <c r="BC146" i="122" s="1"/>
  <c r="O146" i="122"/>
  <c r="Y155" i="120"/>
  <c r="AD155" i="120" s="1"/>
  <c r="O156" i="120" s="1"/>
  <c r="W155" i="120"/>
  <c r="AB155" i="120" s="1"/>
  <c r="C156" i="120" s="1"/>
  <c r="X155" i="120"/>
  <c r="AC155" i="120" s="1"/>
  <c r="N156" i="120" s="1"/>
  <c r="P156" i="120"/>
  <c r="V155" i="120"/>
  <c r="AA155" i="120" s="1"/>
  <c r="V92" i="117"/>
  <c r="Z92" i="117"/>
  <c r="AA92" i="117"/>
  <c r="AB92" i="117" s="1"/>
  <c r="X92" i="117"/>
  <c r="Y92" i="117"/>
  <c r="BN146" i="122" l="1"/>
  <c r="BP146" i="122" s="1"/>
  <c r="C147" i="122" s="1"/>
  <c r="R29" i="117"/>
  <c r="U29" i="117" s="1"/>
  <c r="R2" i="117" s="1"/>
  <c r="BK146" i="122"/>
  <c r="BU146" i="122" s="1"/>
  <c r="CC146" i="122"/>
  <c r="BQ146" i="122"/>
  <c r="CD146" i="122"/>
  <c r="BO146" i="122"/>
  <c r="CE146" i="122"/>
  <c r="BW146" i="122"/>
  <c r="BY146" i="122"/>
  <c r="CJ146" i="122"/>
  <c r="AQ147" i="122" s="1"/>
  <c r="BZ146" i="122"/>
  <c r="CB146" i="122"/>
  <c r="BR146" i="122"/>
  <c r="DE145" i="122"/>
  <c r="BJ146" i="122"/>
  <c r="DC146" i="122" s="1"/>
  <c r="CG146" i="122"/>
  <c r="BV146" i="122"/>
  <c r="E156" i="120"/>
  <c r="B156" i="120"/>
  <c r="AH155" i="120"/>
  <c r="L156" i="120"/>
  <c r="Q156" i="120" s="1"/>
  <c r="AF156" i="120" s="1"/>
  <c r="M156" i="120"/>
  <c r="D156" i="120"/>
  <c r="AE92" i="117"/>
  <c r="AG92" i="117"/>
  <c r="AI92" i="117" s="1"/>
  <c r="AC92" i="117"/>
  <c r="AF92" i="117" s="1" a="1"/>
  <c r="AF92" i="117" s="1"/>
  <c r="BX146" i="122" l="1"/>
  <c r="BT146" i="122"/>
  <c r="BS146" i="122"/>
  <c r="CF146" i="122"/>
  <c r="CH146" i="122"/>
  <c r="CA146" i="122"/>
  <c r="N147" i="122" s="1"/>
  <c r="T29" i="117"/>
  <c r="Q2" i="117" s="1"/>
  <c r="V29" i="117"/>
  <c r="S2" i="117" s="1"/>
  <c r="O2" i="117"/>
  <c r="W29" i="117"/>
  <c r="T2" i="117" s="1"/>
  <c r="CI146" i="122"/>
  <c r="B147" i="122"/>
  <c r="CP146" i="122"/>
  <c r="AW147" i="122" s="1"/>
  <c r="I147" i="122"/>
  <c r="CL146" i="122"/>
  <c r="AS147" i="122" s="1"/>
  <c r="E147" i="122"/>
  <c r="CS146" i="122"/>
  <c r="AZ147" i="122" s="1"/>
  <c r="L147" i="122"/>
  <c r="CX146" i="122"/>
  <c r="BE147" i="122" s="1"/>
  <c r="Q147" i="122"/>
  <c r="T147" i="122"/>
  <c r="DA146" i="122"/>
  <c r="BH147" i="122" s="1"/>
  <c r="O147" i="122"/>
  <c r="CV146" i="122"/>
  <c r="BC147" i="122" s="1"/>
  <c r="CQ146" i="122"/>
  <c r="AX147" i="122" s="1"/>
  <c r="J147" i="122"/>
  <c r="D147" i="122"/>
  <c r="CK146" i="122"/>
  <c r="AR147" i="122" s="1"/>
  <c r="CR146" i="122"/>
  <c r="AY147" i="122" s="1"/>
  <c r="K147" i="122"/>
  <c r="M147" i="122"/>
  <c r="CT146" i="122"/>
  <c r="BA147" i="122" s="1"/>
  <c r="CY146" i="122"/>
  <c r="BF147" i="122" s="1"/>
  <c r="R147" i="122"/>
  <c r="P147" i="122"/>
  <c r="CW146" i="122"/>
  <c r="BD147" i="122" s="1"/>
  <c r="DD146" i="122"/>
  <c r="BL147" i="122"/>
  <c r="G147" i="122"/>
  <c r="CN146" i="122"/>
  <c r="AU147" i="122" s="1"/>
  <c r="F147" i="122"/>
  <c r="CM146" i="122"/>
  <c r="AT147" i="122" s="1"/>
  <c r="S147" i="122"/>
  <c r="CZ146" i="122"/>
  <c r="BG147" i="122" s="1"/>
  <c r="H147" i="122"/>
  <c r="CO146" i="122"/>
  <c r="AV147" i="122" s="1"/>
  <c r="U147" i="122"/>
  <c r="DB146" i="122"/>
  <c r="BI147" i="122" s="1"/>
  <c r="U156" i="120"/>
  <c r="Z156" i="120" s="1"/>
  <c r="AE156" i="120" s="1"/>
  <c r="F157" i="120" s="1"/>
  <c r="R156" i="120"/>
  <c r="S157" i="120"/>
  <c r="AG156" i="120"/>
  <c r="AK92" i="117"/>
  <c r="CU146" i="122" l="1"/>
  <c r="BB147" i="122" s="1"/>
  <c r="X29" i="117"/>
  <c r="U2" i="117" s="1"/>
  <c r="BK147" i="122"/>
  <c r="BN147" i="122"/>
  <c r="BQ147" i="122" s="1"/>
  <c r="AP147" i="122"/>
  <c r="BJ147" i="122" s="1"/>
  <c r="DC147" i="122" s="1"/>
  <c r="DE146" i="122"/>
  <c r="V156" i="120"/>
  <c r="AA156" i="120" s="1"/>
  <c r="B157" i="120" s="1"/>
  <c r="W156" i="120"/>
  <c r="AB156" i="120" s="1"/>
  <c r="C157" i="120" s="1"/>
  <c r="Y156" i="120"/>
  <c r="AD156" i="120" s="1"/>
  <c r="O157" i="120" s="1"/>
  <c r="X156" i="120"/>
  <c r="AC156" i="120" s="1"/>
  <c r="N157" i="120" s="1"/>
  <c r="P157" i="120"/>
  <c r="CK147" i="122" l="1"/>
  <c r="AR148" i="122" s="1"/>
  <c r="D148" i="122"/>
  <c r="BS147" i="122"/>
  <c r="CA147" i="122"/>
  <c r="BW147" i="122"/>
  <c r="BX147" i="122"/>
  <c r="BU147" i="122"/>
  <c r="CG147" i="122"/>
  <c r="BO147" i="122"/>
  <c r="BZ147" i="122"/>
  <c r="CH147" i="122"/>
  <c r="BP147" i="122"/>
  <c r="CF147" i="122"/>
  <c r="BT147" i="122"/>
  <c r="BL148" i="122"/>
  <c r="DD147" i="122"/>
  <c r="CB147" i="122"/>
  <c r="BY147" i="122"/>
  <c r="BV147" i="122"/>
  <c r="BR147" i="122"/>
  <c r="CC147" i="122"/>
  <c r="CD147" i="122"/>
  <c r="CE147" i="122"/>
  <c r="L157" i="120"/>
  <c r="R157" i="120" s="1"/>
  <c r="M157" i="120"/>
  <c r="E157" i="120"/>
  <c r="D157" i="120"/>
  <c r="AH156" i="120"/>
  <c r="L148" i="122" l="1"/>
  <c r="CS147" i="122"/>
  <c r="AZ148" i="122" s="1"/>
  <c r="CJ147" i="122"/>
  <c r="AQ148" i="122" s="1"/>
  <c r="C148" i="122"/>
  <c r="CR147" i="122"/>
  <c r="AY148" i="122" s="1"/>
  <c r="K148" i="122"/>
  <c r="O148" i="122"/>
  <c r="CV147" i="122"/>
  <c r="BC148" i="122" s="1"/>
  <c r="U148" i="122"/>
  <c r="DB147" i="122"/>
  <c r="BI148" i="122" s="1"/>
  <c r="CQ147" i="122"/>
  <c r="AX148" i="122" s="1"/>
  <c r="J148" i="122"/>
  <c r="Q148" i="122"/>
  <c r="CX147" i="122"/>
  <c r="BE148" i="122" s="1"/>
  <c r="CT147" i="122"/>
  <c r="BA148" i="122" s="1"/>
  <c r="M148" i="122"/>
  <c r="CU147" i="122"/>
  <c r="BB148" i="122" s="1"/>
  <c r="N148" i="122"/>
  <c r="R148" i="122"/>
  <c r="CY147" i="122"/>
  <c r="BF148" i="122" s="1"/>
  <c r="CW147" i="122"/>
  <c r="BD148" i="122" s="1"/>
  <c r="P148" i="122"/>
  <c r="CI147" i="122"/>
  <c r="B148" i="122"/>
  <c r="CM147" i="122"/>
  <c r="AT148" i="122" s="1"/>
  <c r="F148" i="122"/>
  <c r="CL147" i="122"/>
  <c r="AS148" i="122" s="1"/>
  <c r="E148" i="122"/>
  <c r="CN147" i="122"/>
  <c r="AU148" i="122" s="1"/>
  <c r="G148" i="122"/>
  <c r="DA147" i="122"/>
  <c r="BH148" i="122" s="1"/>
  <c r="T148" i="122"/>
  <c r="CP147" i="122"/>
  <c r="AW148" i="122" s="1"/>
  <c r="I148" i="122"/>
  <c r="CZ147" i="122"/>
  <c r="BG148" i="122" s="1"/>
  <c r="S148" i="122"/>
  <c r="H148" i="122"/>
  <c r="CO147" i="122"/>
  <c r="AV148" i="122" s="1"/>
  <c r="Q157" i="120"/>
  <c r="AF157" i="120" s="1"/>
  <c r="S158" i="120" s="1"/>
  <c r="U157" i="120"/>
  <c r="Z157" i="120" s="1"/>
  <c r="AE157" i="120" s="1"/>
  <c r="F158" i="120" s="1"/>
  <c r="BN148" i="122" l="1"/>
  <c r="BO148" i="122" s="1"/>
  <c r="AP148" i="122"/>
  <c r="BJ148" i="122" s="1"/>
  <c r="DC148" i="122" s="1"/>
  <c r="DE147" i="122"/>
  <c r="BK148" i="122"/>
  <c r="W157" i="120"/>
  <c r="AB157" i="120" s="1"/>
  <c r="C158" i="120" s="1"/>
  <c r="X157" i="120"/>
  <c r="AC157" i="120" s="1"/>
  <c r="D158" i="120" s="1"/>
  <c r="V157" i="120"/>
  <c r="AA157" i="120" s="1"/>
  <c r="L158" i="120" s="1"/>
  <c r="Q158" i="120" s="1"/>
  <c r="AF158" i="120" s="1"/>
  <c r="AG157" i="120"/>
  <c r="Y157" i="120"/>
  <c r="AD157" i="120" s="1"/>
  <c r="E158" i="120" s="1"/>
  <c r="P158" i="120"/>
  <c r="M158" i="120" l="1"/>
  <c r="BY148" i="122"/>
  <c r="CS148" i="122" s="1"/>
  <c r="AZ149" i="122" s="1"/>
  <c r="CD148" i="122"/>
  <c r="BU148" i="122"/>
  <c r="H149" i="122" s="1"/>
  <c r="CI148" i="122"/>
  <c r="B149" i="122"/>
  <c r="CF148" i="122"/>
  <c r="BP148" i="122"/>
  <c r="BX148" i="122"/>
  <c r="CG148" i="122"/>
  <c r="CC148" i="122"/>
  <c r="BW148" i="122"/>
  <c r="BR148" i="122"/>
  <c r="CA148" i="122"/>
  <c r="CB148" i="122"/>
  <c r="BS148" i="122"/>
  <c r="BL149" i="122"/>
  <c r="DD148" i="122"/>
  <c r="BZ148" i="122"/>
  <c r="BQ148" i="122"/>
  <c r="Q149" i="122"/>
  <c r="CX148" i="122"/>
  <c r="BE149" i="122" s="1"/>
  <c r="CE148" i="122"/>
  <c r="CH148" i="122"/>
  <c r="BV148" i="122"/>
  <c r="BT148" i="122"/>
  <c r="N158" i="120"/>
  <c r="B158" i="120"/>
  <c r="U158" i="120" s="1"/>
  <c r="V158" i="120" s="1"/>
  <c r="AA158" i="120" s="1"/>
  <c r="R158" i="120"/>
  <c r="O158" i="120"/>
  <c r="AH157" i="120"/>
  <c r="S159" i="120"/>
  <c r="AG158" i="120"/>
  <c r="L149" i="122" l="1"/>
  <c r="CO148" i="122"/>
  <c r="AV149" i="122" s="1"/>
  <c r="DB148" i="122"/>
  <c r="BI149" i="122" s="1"/>
  <c r="U149" i="122"/>
  <c r="CK148" i="122"/>
  <c r="AR149" i="122" s="1"/>
  <c r="D149" i="122"/>
  <c r="N149" i="122"/>
  <c r="CU148" i="122"/>
  <c r="BB149" i="122" s="1"/>
  <c r="DA148" i="122"/>
  <c r="BH149" i="122" s="1"/>
  <c r="T149" i="122"/>
  <c r="CT148" i="122"/>
  <c r="BA149" i="122" s="1"/>
  <c r="M149" i="122"/>
  <c r="E149" i="122"/>
  <c r="CL148" i="122"/>
  <c r="AS149" i="122" s="1"/>
  <c r="K149" i="122"/>
  <c r="CR148" i="122"/>
  <c r="AY149" i="122" s="1"/>
  <c r="C149" i="122"/>
  <c r="CJ148" i="122"/>
  <c r="AQ149" i="122" s="1"/>
  <c r="R149" i="122"/>
  <c r="CY148" i="122"/>
  <c r="BF149" i="122" s="1"/>
  <c r="CZ148" i="122"/>
  <c r="BG149" i="122" s="1"/>
  <c r="S149" i="122"/>
  <c r="CN148" i="122"/>
  <c r="AU149" i="122" s="1"/>
  <c r="G149" i="122"/>
  <c r="F149" i="122"/>
  <c r="CM148" i="122"/>
  <c r="AT149" i="122" s="1"/>
  <c r="CQ148" i="122"/>
  <c r="AX149" i="122" s="1"/>
  <c r="J149" i="122"/>
  <c r="CP148" i="122"/>
  <c r="AW149" i="122" s="1"/>
  <c r="I149" i="122"/>
  <c r="CV148" i="122"/>
  <c r="BC149" i="122" s="1"/>
  <c r="O149" i="122"/>
  <c r="P149" i="122"/>
  <c r="CW148" i="122"/>
  <c r="BD149" i="122" s="1"/>
  <c r="AP149" i="122"/>
  <c r="W158" i="120"/>
  <c r="AB158" i="120" s="1"/>
  <c r="M159" i="120" s="1"/>
  <c r="Z158" i="120"/>
  <c r="AE158" i="120" s="1"/>
  <c r="F159" i="120" s="1"/>
  <c r="Y158" i="120"/>
  <c r="AD158" i="120" s="1"/>
  <c r="O159" i="120" s="1"/>
  <c r="X158" i="120"/>
  <c r="AC158" i="120" s="1"/>
  <c r="N159" i="120" s="1"/>
  <c r="B159" i="120"/>
  <c r="L159" i="120"/>
  <c r="BK149" i="122" l="1"/>
  <c r="BN149" i="122"/>
  <c r="CA149" i="122" s="1"/>
  <c r="D159" i="120"/>
  <c r="DE148" i="122"/>
  <c r="BJ149" i="122"/>
  <c r="DC149" i="122" s="1"/>
  <c r="E159" i="120"/>
  <c r="P159" i="120"/>
  <c r="C159" i="120"/>
  <c r="AH158" i="120"/>
  <c r="Q159" i="120"/>
  <c r="AF159" i="120" s="1"/>
  <c r="R159" i="120"/>
  <c r="CU149" i="122" l="1"/>
  <c r="BB150" i="122" s="1"/>
  <c r="N150" i="122"/>
  <c r="BS149" i="122"/>
  <c r="CB149" i="122"/>
  <c r="BU149" i="122"/>
  <c r="CD149" i="122"/>
  <c r="BY149" i="122"/>
  <c r="BO149" i="122"/>
  <c r="BL150" i="122"/>
  <c r="DD149" i="122"/>
  <c r="BZ149" i="122"/>
  <c r="BR149" i="122"/>
  <c r="BQ149" i="122"/>
  <c r="CH149" i="122"/>
  <c r="BP149" i="122"/>
  <c r="CC149" i="122"/>
  <c r="BV149" i="122"/>
  <c r="CG149" i="122"/>
  <c r="CF149" i="122"/>
  <c r="CE149" i="122"/>
  <c r="BX149" i="122"/>
  <c r="BW149" i="122"/>
  <c r="BT149" i="122"/>
  <c r="U159" i="120"/>
  <c r="Y159" i="120" s="1"/>
  <c r="AD159" i="120" s="1"/>
  <c r="E160" i="120" s="1"/>
  <c r="S160" i="120"/>
  <c r="AG159" i="120"/>
  <c r="DA149" i="122" l="1"/>
  <c r="BH150" i="122" s="1"/>
  <c r="T150" i="122"/>
  <c r="CL149" i="122"/>
  <c r="AS150" i="122" s="1"/>
  <c r="E150" i="122"/>
  <c r="CX149" i="122"/>
  <c r="BE150" i="122" s="1"/>
  <c r="Q150" i="122"/>
  <c r="CN149" i="122"/>
  <c r="AU150" i="122" s="1"/>
  <c r="G150" i="122"/>
  <c r="CT149" i="122"/>
  <c r="BA150" i="122" s="1"/>
  <c r="M150" i="122"/>
  <c r="CO149" i="122"/>
  <c r="AV150" i="122" s="1"/>
  <c r="H150" i="122"/>
  <c r="CQ149" i="122"/>
  <c r="AX150" i="122" s="1"/>
  <c r="J150" i="122"/>
  <c r="CW149" i="122"/>
  <c r="BD150" i="122" s="1"/>
  <c r="P150" i="122"/>
  <c r="O150" i="122"/>
  <c r="CV149" i="122"/>
  <c r="BC150" i="122" s="1"/>
  <c r="CR149" i="122"/>
  <c r="AY150" i="122" s="1"/>
  <c r="K150" i="122"/>
  <c r="CJ149" i="122"/>
  <c r="AQ150" i="122" s="1"/>
  <c r="C150" i="122"/>
  <c r="F150" i="122"/>
  <c r="CM149" i="122"/>
  <c r="AT150" i="122" s="1"/>
  <c r="CP149" i="122"/>
  <c r="AW150" i="122" s="1"/>
  <c r="I150" i="122"/>
  <c r="R150" i="122"/>
  <c r="CY149" i="122"/>
  <c r="BF150" i="122" s="1"/>
  <c r="DB149" i="122"/>
  <c r="BI150" i="122" s="1"/>
  <c r="U150" i="122"/>
  <c r="CI149" i="122"/>
  <c r="B150" i="122"/>
  <c r="CZ149" i="122"/>
  <c r="BG150" i="122" s="1"/>
  <c r="S150" i="122"/>
  <c r="CK149" i="122"/>
  <c r="AR150" i="122" s="1"/>
  <c r="D150" i="122"/>
  <c r="CS149" i="122"/>
  <c r="AZ150" i="122" s="1"/>
  <c r="L150" i="122"/>
  <c r="O160" i="120"/>
  <c r="X159" i="120"/>
  <c r="AC159" i="120" s="1"/>
  <c r="D160" i="120" s="1"/>
  <c r="V159" i="120"/>
  <c r="AA159" i="120" s="1"/>
  <c r="B160" i="120" s="1"/>
  <c r="Z159" i="120"/>
  <c r="AE159" i="120" s="1"/>
  <c r="P160" i="120" s="1"/>
  <c r="W159" i="120"/>
  <c r="AB159" i="120" s="1"/>
  <c r="C160" i="120" s="1"/>
  <c r="BK150" i="122" l="1"/>
  <c r="N160" i="120"/>
  <c r="BN150" i="122"/>
  <c r="CD150" i="122" s="1"/>
  <c r="AP150" i="122"/>
  <c r="BJ150" i="122" s="1"/>
  <c r="DC150" i="122" s="1"/>
  <c r="DE149" i="122"/>
  <c r="AH159" i="120"/>
  <c r="M160" i="120"/>
  <c r="L160" i="120"/>
  <c r="R160" i="120" s="1"/>
  <c r="F160" i="120"/>
  <c r="U160" i="120" s="1"/>
  <c r="Y160" i="120" s="1"/>
  <c r="AD160" i="120" s="1"/>
  <c r="BX150" i="122" l="1"/>
  <c r="CE150" i="122"/>
  <c r="CX150" i="122"/>
  <c r="BE151" i="122" s="1"/>
  <c r="Q151" i="122"/>
  <c r="BW150" i="122"/>
  <c r="BS150" i="122"/>
  <c r="BP150" i="122"/>
  <c r="CR150" i="122"/>
  <c r="AY151" i="122" s="1"/>
  <c r="K151" i="122"/>
  <c r="R151" i="122"/>
  <c r="CY150" i="122"/>
  <c r="BF151" i="122" s="1"/>
  <c r="BL151" i="122"/>
  <c r="DD150" i="122"/>
  <c r="BV150" i="122"/>
  <c r="BY150" i="122"/>
  <c r="CF150" i="122"/>
  <c r="BQ150" i="122"/>
  <c r="BO150" i="122"/>
  <c r="BR150" i="122"/>
  <c r="CB150" i="122"/>
  <c r="CA150" i="122"/>
  <c r="BZ150" i="122"/>
  <c r="BU150" i="122"/>
  <c r="CG150" i="122"/>
  <c r="BT150" i="122"/>
  <c r="CC150" i="122"/>
  <c r="CH150" i="122"/>
  <c r="Q160" i="120"/>
  <c r="AF160" i="120" s="1"/>
  <c r="AG160" i="120" s="1"/>
  <c r="W160" i="120"/>
  <c r="AB160" i="120" s="1"/>
  <c r="C161" i="120" s="1"/>
  <c r="X160" i="120"/>
  <c r="AC160" i="120" s="1"/>
  <c r="Z160" i="120"/>
  <c r="AE160" i="120" s="1"/>
  <c r="V160" i="120"/>
  <c r="AA160" i="120" s="1"/>
  <c r="E161" i="120"/>
  <c r="O161" i="120"/>
  <c r="CW150" i="122" l="1"/>
  <c r="BD151" i="122" s="1"/>
  <c r="P151" i="122"/>
  <c r="CV150" i="122"/>
  <c r="BC151" i="122" s="1"/>
  <c r="O151" i="122"/>
  <c r="I151" i="122"/>
  <c r="CP150" i="122"/>
  <c r="AW151" i="122" s="1"/>
  <c r="G151" i="122"/>
  <c r="CN150" i="122"/>
  <c r="AU151" i="122" s="1"/>
  <c r="CL150" i="122"/>
  <c r="AS151" i="122" s="1"/>
  <c r="E151" i="122"/>
  <c r="CJ150" i="122"/>
  <c r="AQ151" i="122" s="1"/>
  <c r="C151" i="122"/>
  <c r="T151" i="122"/>
  <c r="DA150" i="122"/>
  <c r="BH151" i="122" s="1"/>
  <c r="B151" i="122"/>
  <c r="CI150" i="122"/>
  <c r="CM150" i="122"/>
  <c r="AT151" i="122" s="1"/>
  <c r="F151" i="122"/>
  <c r="CO150" i="122"/>
  <c r="AV151" i="122" s="1"/>
  <c r="H151" i="122"/>
  <c r="D151" i="122"/>
  <c r="CK150" i="122"/>
  <c r="AR151" i="122" s="1"/>
  <c r="CQ150" i="122"/>
  <c r="AX151" i="122" s="1"/>
  <c r="J151" i="122"/>
  <c r="CT150" i="122"/>
  <c r="BA151" i="122" s="1"/>
  <c r="M151" i="122"/>
  <c r="CZ150" i="122"/>
  <c r="BG151" i="122" s="1"/>
  <c r="S151" i="122"/>
  <c r="DB150" i="122"/>
  <c r="BI151" i="122" s="1"/>
  <c r="U151" i="122"/>
  <c r="CU150" i="122"/>
  <c r="BB151" i="122" s="1"/>
  <c r="N151" i="122"/>
  <c r="L151" i="122"/>
  <c r="CS150" i="122"/>
  <c r="AZ151" i="122" s="1"/>
  <c r="S161" i="120"/>
  <c r="AH160" i="120"/>
  <c r="M161" i="120"/>
  <c r="D161" i="120"/>
  <c r="N161" i="120"/>
  <c r="F161" i="120"/>
  <c r="P161" i="120"/>
  <c r="B161" i="120"/>
  <c r="L161" i="120"/>
  <c r="AP151" i="122" l="1"/>
  <c r="BJ151" i="122" s="1"/>
  <c r="DC151" i="122" s="1"/>
  <c r="DE150" i="122"/>
  <c r="BN151" i="122"/>
  <c r="BK151" i="122"/>
  <c r="Q161" i="120"/>
  <c r="AF161" i="120" s="1"/>
  <c r="R161" i="120"/>
  <c r="U161" i="120"/>
  <c r="Z161" i="120" s="1"/>
  <c r="AE161" i="120" s="1"/>
  <c r="BX151" i="122" l="1"/>
  <c r="CE151" i="122"/>
  <c r="CD151" i="122"/>
  <c r="CA151" i="122"/>
  <c r="BU151" i="122"/>
  <c r="BZ151" i="122"/>
  <c r="CB151" i="122"/>
  <c r="BV151" i="122"/>
  <c r="CH151" i="122"/>
  <c r="BR151" i="122"/>
  <c r="BY151" i="122"/>
  <c r="BT151" i="122"/>
  <c r="BQ151" i="122"/>
  <c r="BP151" i="122"/>
  <c r="CG151" i="122"/>
  <c r="DD151" i="122"/>
  <c r="BL152" i="122"/>
  <c r="BS151" i="122"/>
  <c r="CC151" i="122"/>
  <c r="BO151" i="122"/>
  <c r="CF151" i="122"/>
  <c r="BW151" i="122"/>
  <c r="P162" i="120"/>
  <c r="F162" i="120"/>
  <c r="X161" i="120"/>
  <c r="AC161" i="120" s="1"/>
  <c r="V161" i="120"/>
  <c r="AA161" i="120" s="1"/>
  <c r="Y161" i="120"/>
  <c r="AD161" i="120" s="1"/>
  <c r="W161" i="120"/>
  <c r="AB161" i="120" s="1"/>
  <c r="S162" i="120"/>
  <c r="AG161" i="120"/>
  <c r="CM151" i="122" l="1"/>
  <c r="AT152" i="122" s="1"/>
  <c r="F152" i="122"/>
  <c r="G152" i="122"/>
  <c r="CN151" i="122"/>
  <c r="AU152" i="122" s="1"/>
  <c r="M152" i="122"/>
  <c r="CT151" i="122"/>
  <c r="BA152" i="122" s="1"/>
  <c r="L152" i="122"/>
  <c r="CS151" i="122"/>
  <c r="AZ152" i="122" s="1"/>
  <c r="CO151" i="122"/>
  <c r="AV152" i="122" s="1"/>
  <c r="H152" i="122"/>
  <c r="CQ151" i="122"/>
  <c r="AX152" i="122" s="1"/>
  <c r="J152" i="122"/>
  <c r="E152" i="122"/>
  <c r="CL151" i="122"/>
  <c r="AS152" i="122" s="1"/>
  <c r="CU151" i="122"/>
  <c r="BB152" i="122" s="1"/>
  <c r="N152" i="122"/>
  <c r="S152" i="122"/>
  <c r="CZ151" i="122"/>
  <c r="BG152" i="122" s="1"/>
  <c r="DA151" i="122"/>
  <c r="BH152" i="122" s="1"/>
  <c r="T152" i="122"/>
  <c r="U152" i="122"/>
  <c r="DB151" i="122"/>
  <c r="BI152" i="122" s="1"/>
  <c r="CX151" i="122"/>
  <c r="BE152" i="122" s="1"/>
  <c r="Q152" i="122"/>
  <c r="B152" i="122"/>
  <c r="CI151" i="122"/>
  <c r="C152" i="122"/>
  <c r="CJ151" i="122"/>
  <c r="AQ152" i="122" s="1"/>
  <c r="I152" i="122"/>
  <c r="CP151" i="122"/>
  <c r="AW152" i="122" s="1"/>
  <c r="CY151" i="122"/>
  <c r="BF152" i="122" s="1"/>
  <c r="R152" i="122"/>
  <c r="P152" i="122"/>
  <c r="CW151" i="122"/>
  <c r="BD152" i="122" s="1"/>
  <c r="CK151" i="122"/>
  <c r="AR152" i="122" s="1"/>
  <c r="D152" i="122"/>
  <c r="O152" i="122"/>
  <c r="CV151" i="122"/>
  <c r="BC152" i="122" s="1"/>
  <c r="CR151" i="122"/>
  <c r="AY152" i="122" s="1"/>
  <c r="K152" i="122"/>
  <c r="AH161" i="120"/>
  <c r="O162" i="120"/>
  <c r="E162" i="120"/>
  <c r="D162" i="120"/>
  <c r="N162" i="120"/>
  <c r="M162" i="120"/>
  <c r="C162" i="120"/>
  <c r="B162" i="120"/>
  <c r="L162" i="120"/>
  <c r="BK152" i="122" l="1"/>
  <c r="AP152" i="122"/>
  <c r="BJ152" i="122" s="1"/>
  <c r="DC152" i="122" s="1"/>
  <c r="DE151" i="122"/>
  <c r="BN152" i="122"/>
  <c r="BO152" i="122" s="1"/>
  <c r="U162" i="120"/>
  <c r="W162" i="120" s="1"/>
  <c r="AB162" i="120" s="1"/>
  <c r="Q162" i="120"/>
  <c r="AF162" i="120" s="1"/>
  <c r="R162" i="120"/>
  <c r="CG152" i="122" l="1"/>
  <c r="CH152" i="122"/>
  <c r="BZ152" i="122"/>
  <c r="BY152" i="122"/>
  <c r="BP152" i="122"/>
  <c r="CF152" i="122"/>
  <c r="BL153" i="122"/>
  <c r="DD152" i="122"/>
  <c r="CC152" i="122"/>
  <c r="BV152" i="122"/>
  <c r="CI152" i="122"/>
  <c r="B153" i="122"/>
  <c r="CE152" i="122"/>
  <c r="BU152" i="122"/>
  <c r="BW152" i="122"/>
  <c r="CA152" i="122"/>
  <c r="CD152" i="122"/>
  <c r="BR152" i="122"/>
  <c r="CB152" i="122"/>
  <c r="BS152" i="122"/>
  <c r="BT152" i="122"/>
  <c r="BX152" i="122"/>
  <c r="BQ152" i="122"/>
  <c r="Y162" i="120"/>
  <c r="AD162" i="120" s="1"/>
  <c r="Z162" i="120"/>
  <c r="AE162" i="120" s="1"/>
  <c r="C163" i="120"/>
  <c r="M163" i="120"/>
  <c r="S163" i="120"/>
  <c r="AG162" i="120"/>
  <c r="V162" i="120"/>
  <c r="AA162" i="120" s="1"/>
  <c r="X162" i="120"/>
  <c r="AC162" i="120" s="1"/>
  <c r="E153" i="122" l="1"/>
  <c r="CL152" i="122"/>
  <c r="AS153" i="122" s="1"/>
  <c r="CZ152" i="122"/>
  <c r="BG153" i="122" s="1"/>
  <c r="S153" i="122"/>
  <c r="D153" i="122"/>
  <c r="CK152" i="122"/>
  <c r="AR153" i="122" s="1"/>
  <c r="AP153" i="122"/>
  <c r="CJ152" i="122"/>
  <c r="AQ153" i="122" s="1"/>
  <c r="C153" i="122"/>
  <c r="K153" i="122"/>
  <c r="CR152" i="122"/>
  <c r="AY153" i="122" s="1"/>
  <c r="CP152" i="122"/>
  <c r="AW153" i="122" s="1"/>
  <c r="I153" i="122"/>
  <c r="CS152" i="122"/>
  <c r="AZ153" i="122" s="1"/>
  <c r="L153" i="122"/>
  <c r="J153" i="122"/>
  <c r="CQ152" i="122"/>
  <c r="AX153" i="122" s="1"/>
  <c r="M153" i="122"/>
  <c r="CT152" i="122"/>
  <c r="BA153" i="122" s="1"/>
  <c r="CX152" i="122"/>
  <c r="BE153" i="122" s="1"/>
  <c r="Q153" i="122"/>
  <c r="F153" i="122"/>
  <c r="CM152" i="122"/>
  <c r="AT153" i="122" s="1"/>
  <c r="CO152" i="122"/>
  <c r="AV153" i="122" s="1"/>
  <c r="H153" i="122"/>
  <c r="U153" i="122"/>
  <c r="DB152" i="122"/>
  <c r="BI153" i="122" s="1"/>
  <c r="CU152" i="122"/>
  <c r="BB153" i="122" s="1"/>
  <c r="N153" i="122"/>
  <c r="CN152" i="122"/>
  <c r="AU153" i="122" s="1"/>
  <c r="G153" i="122"/>
  <c r="CW152" i="122"/>
  <c r="BD153" i="122" s="1"/>
  <c r="P153" i="122"/>
  <c r="O153" i="122"/>
  <c r="CV152" i="122"/>
  <c r="BC153" i="122" s="1"/>
  <c r="CY152" i="122"/>
  <c r="BF153" i="122" s="1"/>
  <c r="R153" i="122"/>
  <c r="DA152" i="122"/>
  <c r="BH153" i="122" s="1"/>
  <c r="T153" i="122"/>
  <c r="AH162" i="120"/>
  <c r="N163" i="120"/>
  <c r="D163" i="120"/>
  <c r="F163" i="120"/>
  <c r="P163" i="120"/>
  <c r="L163" i="120"/>
  <c r="B163" i="120"/>
  <c r="E163" i="120"/>
  <c r="O163" i="120"/>
  <c r="BJ153" i="122" l="1"/>
  <c r="DC153" i="122" s="1"/>
  <c r="BL154" i="122" s="1"/>
  <c r="DE152" i="122"/>
  <c r="BN153" i="122"/>
  <c r="CD153" i="122" s="1"/>
  <c r="BK153" i="122"/>
  <c r="R163" i="120"/>
  <c r="Q163" i="120"/>
  <c r="AF163" i="120" s="1"/>
  <c r="U163" i="120"/>
  <c r="W163" i="120" s="1"/>
  <c r="AB163" i="120" s="1"/>
  <c r="DD153" i="122" l="1"/>
  <c r="BW153" i="122"/>
  <c r="CQ153" i="122" s="1"/>
  <c r="AX154" i="122" s="1"/>
  <c r="Q154" i="122"/>
  <c r="CX153" i="122"/>
  <c r="BE154" i="122" s="1"/>
  <c r="CF153" i="122"/>
  <c r="BQ153" i="122"/>
  <c r="BV153" i="122"/>
  <c r="BP153" i="122"/>
  <c r="BX153" i="122"/>
  <c r="CA153" i="122"/>
  <c r="BU153" i="122"/>
  <c r="BY153" i="122"/>
  <c r="BT153" i="122"/>
  <c r="BR153" i="122"/>
  <c r="BO153" i="122"/>
  <c r="CE153" i="122"/>
  <c r="CC153" i="122"/>
  <c r="J154" i="122"/>
  <c r="BS153" i="122"/>
  <c r="CB153" i="122"/>
  <c r="BZ153" i="122"/>
  <c r="CH153" i="122"/>
  <c r="CG153" i="122"/>
  <c r="M164" i="120"/>
  <c r="C164" i="120"/>
  <c r="Z163" i="120"/>
  <c r="AE163" i="120" s="1"/>
  <c r="Y163" i="120"/>
  <c r="AD163" i="120" s="1"/>
  <c r="S164" i="120"/>
  <c r="AG163" i="120"/>
  <c r="V163" i="120"/>
  <c r="AA163" i="120" s="1"/>
  <c r="X163" i="120"/>
  <c r="AC163" i="120" s="1"/>
  <c r="CM153" i="122" l="1"/>
  <c r="AT154" i="122" s="1"/>
  <c r="F154" i="122"/>
  <c r="CL153" i="122"/>
  <c r="AS154" i="122" s="1"/>
  <c r="E154" i="122"/>
  <c r="CJ153" i="122"/>
  <c r="AQ154" i="122" s="1"/>
  <c r="C154" i="122"/>
  <c r="G154" i="122"/>
  <c r="CN153" i="122"/>
  <c r="AU154" i="122" s="1"/>
  <c r="CP153" i="122"/>
  <c r="AW154" i="122" s="1"/>
  <c r="I154" i="122"/>
  <c r="T154" i="122"/>
  <c r="DA153" i="122"/>
  <c r="BH154" i="122" s="1"/>
  <c r="CS153" i="122"/>
  <c r="AZ154" i="122" s="1"/>
  <c r="L154" i="122"/>
  <c r="CK153" i="122"/>
  <c r="AR154" i="122" s="1"/>
  <c r="D154" i="122"/>
  <c r="CW153" i="122"/>
  <c r="BD154" i="122" s="1"/>
  <c r="P154" i="122"/>
  <c r="H154" i="122"/>
  <c r="CO153" i="122"/>
  <c r="AV154" i="122" s="1"/>
  <c r="CZ153" i="122"/>
  <c r="BG154" i="122" s="1"/>
  <c r="S154" i="122"/>
  <c r="M154" i="122"/>
  <c r="CT153" i="122"/>
  <c r="BA154" i="122" s="1"/>
  <c r="CY153" i="122"/>
  <c r="BF154" i="122" s="1"/>
  <c r="R154" i="122"/>
  <c r="CU153" i="122"/>
  <c r="BB154" i="122" s="1"/>
  <c r="N154" i="122"/>
  <c r="U154" i="122"/>
  <c r="DB153" i="122"/>
  <c r="BI154" i="122" s="1"/>
  <c r="CV153" i="122"/>
  <c r="BC154" i="122" s="1"/>
  <c r="O154" i="122"/>
  <c r="B154" i="122"/>
  <c r="CI153" i="122"/>
  <c r="CR153" i="122"/>
  <c r="AY154" i="122" s="1"/>
  <c r="K154" i="122"/>
  <c r="AH163" i="120"/>
  <c r="F164" i="120"/>
  <c r="P164" i="120"/>
  <c r="D164" i="120"/>
  <c r="N164" i="120"/>
  <c r="O164" i="120"/>
  <c r="E164" i="120"/>
  <c r="L164" i="120"/>
  <c r="B164" i="120"/>
  <c r="BK154" i="122" l="1"/>
  <c r="AP154" i="122"/>
  <c r="BJ154" i="122" s="1"/>
  <c r="DC154" i="122" s="1"/>
  <c r="DE153" i="122"/>
  <c r="BN154" i="122"/>
  <c r="BV154" i="122" s="1"/>
  <c r="U164" i="120"/>
  <c r="W164" i="120" s="1"/>
  <c r="AB164" i="120" s="1"/>
  <c r="Q164" i="120"/>
  <c r="AF164" i="120" s="1"/>
  <c r="R164" i="120"/>
  <c r="CP154" i="122" l="1"/>
  <c r="AW155" i="122" s="1"/>
  <c r="I155" i="122"/>
  <c r="BX154" i="122"/>
  <c r="BR154" i="122"/>
  <c r="CF154" i="122"/>
  <c r="BS154" i="122"/>
  <c r="BL155" i="122"/>
  <c r="DD154" i="122"/>
  <c r="CA154" i="122"/>
  <c r="BW154" i="122"/>
  <c r="CD154" i="122"/>
  <c r="BP154" i="122"/>
  <c r="BU154" i="122"/>
  <c r="BY154" i="122"/>
  <c r="BT154" i="122"/>
  <c r="CE154" i="122"/>
  <c r="CG154" i="122"/>
  <c r="BZ154" i="122"/>
  <c r="BO154" i="122"/>
  <c r="CC154" i="122"/>
  <c r="CB154" i="122"/>
  <c r="BQ154" i="122"/>
  <c r="CH154" i="122"/>
  <c r="M165" i="120"/>
  <c r="C165" i="120"/>
  <c r="S165" i="120"/>
  <c r="AG164" i="120"/>
  <c r="Y164" i="120"/>
  <c r="AD164" i="120" s="1"/>
  <c r="V164" i="120"/>
  <c r="AA164" i="120" s="1"/>
  <c r="Z164" i="120"/>
  <c r="AE164" i="120" s="1"/>
  <c r="X164" i="120"/>
  <c r="AC164" i="120" s="1"/>
  <c r="M155" i="122" l="1"/>
  <c r="CT154" i="122"/>
  <c r="BA155" i="122" s="1"/>
  <c r="CJ154" i="122"/>
  <c r="AQ155" i="122" s="1"/>
  <c r="C155" i="122"/>
  <c r="F155" i="122"/>
  <c r="CM154" i="122"/>
  <c r="AT155" i="122" s="1"/>
  <c r="DB154" i="122"/>
  <c r="BI155" i="122" s="1"/>
  <c r="U155" i="122"/>
  <c r="CX154" i="122"/>
  <c r="BE155" i="122" s="1"/>
  <c r="Q155" i="122"/>
  <c r="CZ154" i="122"/>
  <c r="BG155" i="122" s="1"/>
  <c r="S155" i="122"/>
  <c r="CY154" i="122"/>
  <c r="BF155" i="122" s="1"/>
  <c r="R155" i="122"/>
  <c r="J155" i="122"/>
  <c r="CQ154" i="122"/>
  <c r="AX155" i="122" s="1"/>
  <c r="E155" i="122"/>
  <c r="CL154" i="122"/>
  <c r="AS155" i="122" s="1"/>
  <c r="CK154" i="122"/>
  <c r="AR155" i="122" s="1"/>
  <c r="D155" i="122"/>
  <c r="O155" i="122"/>
  <c r="CV154" i="122"/>
  <c r="BC155" i="122" s="1"/>
  <c r="CN154" i="122"/>
  <c r="AU155" i="122" s="1"/>
  <c r="G155" i="122"/>
  <c r="CU154" i="122"/>
  <c r="BB155" i="122" s="1"/>
  <c r="N155" i="122"/>
  <c r="CR154" i="122"/>
  <c r="AY155" i="122" s="1"/>
  <c r="K155" i="122"/>
  <c r="CW154" i="122"/>
  <c r="BD155" i="122" s="1"/>
  <c r="P155" i="122"/>
  <c r="L155" i="122"/>
  <c r="CS154" i="122"/>
  <c r="AZ155" i="122" s="1"/>
  <c r="DA154" i="122"/>
  <c r="BH155" i="122" s="1"/>
  <c r="T155" i="122"/>
  <c r="B155" i="122"/>
  <c r="CI154" i="122"/>
  <c r="H155" i="122"/>
  <c r="CO154" i="122"/>
  <c r="AV155" i="122" s="1"/>
  <c r="AH164" i="120"/>
  <c r="E165" i="120"/>
  <c r="O165" i="120"/>
  <c r="N165" i="120"/>
  <c r="D165" i="120"/>
  <c r="B165" i="120"/>
  <c r="L165" i="120"/>
  <c r="F165" i="120"/>
  <c r="P165" i="120"/>
  <c r="BK155" i="122" l="1"/>
  <c r="BN155" i="122"/>
  <c r="BO155" i="122" s="1"/>
  <c r="DE154" i="122"/>
  <c r="AP155" i="122"/>
  <c r="BJ155" i="122" s="1"/>
  <c r="DC155" i="122" s="1"/>
  <c r="R165" i="120"/>
  <c r="Q165" i="120"/>
  <c r="AF165" i="120" s="1"/>
  <c r="AG165" i="120" s="1"/>
  <c r="U165" i="120"/>
  <c r="W165" i="120" s="1"/>
  <c r="AB165" i="120" s="1"/>
  <c r="CA155" i="122" l="1"/>
  <c r="BS155" i="122"/>
  <c r="F156" i="122" s="1"/>
  <c r="B156" i="122"/>
  <c r="CI155" i="122"/>
  <c r="BU155" i="122"/>
  <c r="BR155" i="122"/>
  <c r="BX155" i="122"/>
  <c r="BW155" i="122"/>
  <c r="CG155" i="122"/>
  <c r="CH155" i="122"/>
  <c r="CB155" i="122"/>
  <c r="CF155" i="122"/>
  <c r="BZ155" i="122"/>
  <c r="CE155" i="122"/>
  <c r="BP155" i="122"/>
  <c r="CC155" i="122"/>
  <c r="BY155" i="122"/>
  <c r="BQ155" i="122"/>
  <c r="CD155" i="122"/>
  <c r="BL156" i="122"/>
  <c r="DD155" i="122"/>
  <c r="CU155" i="122"/>
  <c r="BB156" i="122" s="1"/>
  <c r="N156" i="122"/>
  <c r="CM155" i="122"/>
  <c r="AT156" i="122" s="1"/>
  <c r="BT155" i="122"/>
  <c r="BV155" i="122"/>
  <c r="AJ69" i="120"/>
  <c r="AP65" i="120" s="1"/>
  <c r="X165" i="120"/>
  <c r="AC165" i="120" s="1"/>
  <c r="Z165" i="120"/>
  <c r="AE165" i="120" s="1"/>
  <c r="V165" i="120"/>
  <c r="AA165" i="120" s="1"/>
  <c r="Y165" i="120"/>
  <c r="AD165" i="120" s="1"/>
  <c r="G156" i="122" l="1"/>
  <c r="CN155" i="122"/>
  <c r="AU156" i="122" s="1"/>
  <c r="R156" i="122"/>
  <c r="CY155" i="122"/>
  <c r="BF156" i="122" s="1"/>
  <c r="CQ155" i="122"/>
  <c r="AX156" i="122" s="1"/>
  <c r="J156" i="122"/>
  <c r="CX155" i="122"/>
  <c r="BE156" i="122" s="1"/>
  <c r="Q156" i="122"/>
  <c r="CT155" i="122"/>
  <c r="BA156" i="122" s="1"/>
  <c r="M156" i="122"/>
  <c r="K156" i="122"/>
  <c r="CR155" i="122"/>
  <c r="AY156" i="122" s="1"/>
  <c r="D156" i="122"/>
  <c r="CK155" i="122"/>
  <c r="AR156" i="122" s="1"/>
  <c r="S156" i="122"/>
  <c r="CZ155" i="122"/>
  <c r="BG156" i="122" s="1"/>
  <c r="E156" i="122"/>
  <c r="CL155" i="122"/>
  <c r="AS156" i="122" s="1"/>
  <c r="L156" i="122"/>
  <c r="CS155" i="122"/>
  <c r="AZ156" i="122" s="1"/>
  <c r="CV155" i="122"/>
  <c r="BC156" i="122" s="1"/>
  <c r="O156" i="122"/>
  <c r="CO155" i="122"/>
  <c r="AV156" i="122" s="1"/>
  <c r="H156" i="122"/>
  <c r="CW155" i="122"/>
  <c r="BD156" i="122" s="1"/>
  <c r="P156" i="122"/>
  <c r="DB155" i="122"/>
  <c r="BI156" i="122" s="1"/>
  <c r="U156" i="122"/>
  <c r="AP156" i="122"/>
  <c r="I156" i="122"/>
  <c r="CP155" i="122"/>
  <c r="AW156" i="122" s="1"/>
  <c r="CJ155" i="122"/>
  <c r="AQ156" i="122" s="1"/>
  <c r="C156" i="122"/>
  <c r="T156" i="122"/>
  <c r="DA155" i="122"/>
  <c r="BH156" i="122" s="1"/>
  <c r="AH165" i="120"/>
  <c r="AJ66" i="120" s="1"/>
  <c r="AO65" i="120" s="1"/>
  <c r="G50" i="122"/>
  <c r="I50" i="122" s="1"/>
  <c r="G51" i="122"/>
  <c r="I51" i="122" s="1"/>
  <c r="G58" i="122"/>
  <c r="I58" i="122" s="1"/>
  <c r="G54" i="122"/>
  <c r="I54" i="122" s="1"/>
  <c r="G55" i="122"/>
  <c r="I55" i="122" s="1"/>
  <c r="G57" i="122"/>
  <c r="I57" i="122" s="1"/>
  <c r="G46" i="122"/>
  <c r="I46" i="122" s="1"/>
  <c r="G52" i="122"/>
  <c r="I52" i="122" s="1"/>
  <c r="G47" i="122"/>
  <c r="I47" i="122" s="1"/>
  <c r="G44" i="122"/>
  <c r="I44" i="122" s="1"/>
  <c r="G43" i="122"/>
  <c r="I43" i="122" s="1"/>
  <c r="G49" i="122"/>
  <c r="I49" i="122" s="1"/>
  <c r="BN156" i="122" l="1"/>
  <c r="BY156" i="122" s="1"/>
  <c r="L157" i="122" s="1"/>
  <c r="DE155" i="122"/>
  <c r="BJ156" i="122"/>
  <c r="DC156" i="122" s="1"/>
  <c r="BR156" i="122"/>
  <c r="CB156" i="122"/>
  <c r="BZ156" i="122"/>
  <c r="CS156" i="122"/>
  <c r="AZ157" i="122" s="1"/>
  <c r="BK156" i="122"/>
  <c r="BV156" i="122" s="1"/>
  <c r="CF156" i="122"/>
  <c r="CE156" i="122"/>
  <c r="CA156" i="122"/>
  <c r="CC156" i="122"/>
  <c r="CG156" i="122"/>
  <c r="BS156" i="122"/>
  <c r="BQ156" i="122"/>
  <c r="BT156" i="122"/>
  <c r="J46" i="122"/>
  <c r="J58" i="122"/>
  <c r="J56" i="122"/>
  <c r="J39" i="122"/>
  <c r="J40" i="122"/>
  <c r="J45" i="122"/>
  <c r="J43" i="122"/>
  <c r="J48" i="122"/>
  <c r="J41" i="122"/>
  <c r="J53" i="122"/>
  <c r="J42" i="122"/>
  <c r="J49" i="122"/>
  <c r="J57" i="122"/>
  <c r="J44" i="122"/>
  <c r="J47" i="122"/>
  <c r="J50" i="122"/>
  <c r="J51" i="122"/>
  <c r="J55" i="122"/>
  <c r="J52" i="122"/>
  <c r="J54" i="122"/>
  <c r="BW156" i="122" l="1"/>
  <c r="CH156" i="122"/>
  <c r="BU156" i="122"/>
  <c r="H157" i="122" s="1"/>
  <c r="BO156" i="122"/>
  <c r="CI156" i="122" s="1"/>
  <c r="CD156" i="122"/>
  <c r="Q157" i="122" s="1"/>
  <c r="BX156" i="122"/>
  <c r="CR156" i="122" s="1"/>
  <c r="AY157" i="122" s="1"/>
  <c r="BP156" i="122"/>
  <c r="I157" i="122"/>
  <c r="CP156" i="122"/>
  <c r="AW157" i="122" s="1"/>
  <c r="G157" i="122"/>
  <c r="CN156" i="122"/>
  <c r="AU157" i="122" s="1"/>
  <c r="N157" i="122"/>
  <c r="CU156" i="122"/>
  <c r="BB157" i="122" s="1"/>
  <c r="CL156" i="122"/>
  <c r="AS157" i="122" s="1"/>
  <c r="E157" i="122"/>
  <c r="D157" i="122"/>
  <c r="CK156" i="122"/>
  <c r="AR157" i="122" s="1"/>
  <c r="CY156" i="122"/>
  <c r="BF157" i="122" s="1"/>
  <c r="R157" i="122"/>
  <c r="M157" i="122"/>
  <c r="CT156" i="122"/>
  <c r="BA157" i="122" s="1"/>
  <c r="BL157" i="122"/>
  <c r="DD156" i="122"/>
  <c r="CM156" i="122"/>
  <c r="AT157" i="122" s="1"/>
  <c r="F157" i="122"/>
  <c r="S157" i="122"/>
  <c r="CZ156" i="122"/>
  <c r="BG157" i="122" s="1"/>
  <c r="CV156" i="122"/>
  <c r="BC157" i="122" s="1"/>
  <c r="O157" i="122"/>
  <c r="CQ156" i="122"/>
  <c r="AX157" i="122" s="1"/>
  <c r="J157" i="122"/>
  <c r="DA156" i="122"/>
  <c r="BH157" i="122" s="1"/>
  <c r="T157" i="122"/>
  <c r="DB156" i="122"/>
  <c r="BI157" i="122" s="1"/>
  <c r="U157" i="122"/>
  <c r="CO156" i="122"/>
  <c r="AV157" i="122" s="1"/>
  <c r="B157" i="122"/>
  <c r="CW156" i="122"/>
  <c r="BD157" i="122" s="1"/>
  <c r="P157" i="122"/>
  <c r="K157" i="122"/>
  <c r="CJ156" i="122"/>
  <c r="AQ157" i="122" s="1"/>
  <c r="C157" i="122"/>
  <c r="M50" i="122"/>
  <c r="M53" i="122"/>
  <c r="M49" i="122"/>
  <c r="M47" i="122"/>
  <c r="M57" i="122"/>
  <c r="M43" i="122"/>
  <c r="M58" i="122"/>
  <c r="M51" i="122"/>
  <c r="M46" i="122"/>
  <c r="M41" i="122"/>
  <c r="M54" i="122"/>
  <c r="M52" i="122"/>
  <c r="M39" i="122"/>
  <c r="M55" i="122"/>
  <c r="M42" i="122"/>
  <c r="M45" i="122"/>
  <c r="M44" i="122"/>
  <c r="M48" i="122"/>
  <c r="M56" i="122"/>
  <c r="M40" i="122"/>
  <c r="CX156" i="122" l="1"/>
  <c r="BE157" i="122" s="1"/>
  <c r="BN157" i="122"/>
  <c r="BY157" i="122" s="1"/>
  <c r="AP157" i="122"/>
  <c r="BJ157" i="122" s="1"/>
  <c r="DC157" i="122" s="1"/>
  <c r="DE156" i="122"/>
  <c r="BK157" i="122"/>
  <c r="CD157" i="122" l="1"/>
  <c r="Q158" i="122" s="1"/>
  <c r="DD157" i="122"/>
  <c r="BL158" i="122"/>
  <c r="CA157" i="122"/>
  <c r="BV157" i="122"/>
  <c r="CG157" i="122"/>
  <c r="CB157" i="122"/>
  <c r="CE157" i="122"/>
  <c r="BR157" i="122"/>
  <c r="BZ157" i="122"/>
  <c r="BT157" i="122"/>
  <c r="CH157" i="122"/>
  <c r="BS157" i="122"/>
  <c r="CF157" i="122"/>
  <c r="BQ157" i="122"/>
  <c r="BO157" i="122"/>
  <c r="BW157" i="122"/>
  <c r="CS157" i="122"/>
  <c r="AZ158" i="122" s="1"/>
  <c r="L158" i="122"/>
  <c r="BU157" i="122"/>
  <c r="BX157" i="122"/>
  <c r="BP157" i="122"/>
  <c r="CC157" i="122"/>
  <c r="CX157" i="122" l="1"/>
  <c r="BE158" i="122" s="1"/>
  <c r="P158" i="122"/>
  <c r="CW157" i="122"/>
  <c r="BD158" i="122" s="1"/>
  <c r="F158" i="122"/>
  <c r="CM157" i="122"/>
  <c r="AT158" i="122" s="1"/>
  <c r="O158" i="122"/>
  <c r="CV157" i="122"/>
  <c r="BC158" i="122" s="1"/>
  <c r="DB157" i="122"/>
  <c r="BI158" i="122" s="1"/>
  <c r="U158" i="122"/>
  <c r="T158" i="122"/>
  <c r="DA157" i="122"/>
  <c r="BH158" i="122" s="1"/>
  <c r="J158" i="122"/>
  <c r="CQ157" i="122"/>
  <c r="AX158" i="122" s="1"/>
  <c r="CN157" i="122"/>
  <c r="AU158" i="122" s="1"/>
  <c r="G158" i="122"/>
  <c r="CP157" i="122"/>
  <c r="AW158" i="122" s="1"/>
  <c r="I158" i="122"/>
  <c r="C158" i="122"/>
  <c r="CJ157" i="122"/>
  <c r="AQ158" i="122" s="1"/>
  <c r="B158" i="122"/>
  <c r="CI157" i="122"/>
  <c r="CT157" i="122"/>
  <c r="BA158" i="122" s="1"/>
  <c r="M158" i="122"/>
  <c r="N158" i="122"/>
  <c r="CU157" i="122"/>
  <c r="BB158" i="122" s="1"/>
  <c r="CK157" i="122"/>
  <c r="AR158" i="122" s="1"/>
  <c r="D158" i="122"/>
  <c r="CL157" i="122"/>
  <c r="AS158" i="122" s="1"/>
  <c r="E158" i="122"/>
  <c r="K158" i="122"/>
  <c r="CR157" i="122"/>
  <c r="AY158" i="122" s="1"/>
  <c r="CO157" i="122"/>
  <c r="AV158" i="122" s="1"/>
  <c r="H158" i="122"/>
  <c r="CZ157" i="122"/>
  <c r="BG158" i="122" s="1"/>
  <c r="S158" i="122"/>
  <c r="CY157" i="122"/>
  <c r="BF158" i="122" s="1"/>
  <c r="R158" i="122"/>
  <c r="DE157" i="122" l="1"/>
  <c r="AP158" i="122"/>
  <c r="BJ158" i="122" s="1"/>
  <c r="DC158" i="122" s="1"/>
  <c r="BN158" i="122"/>
  <c r="BK158" i="122"/>
  <c r="CD158" i="122" l="1"/>
  <c r="BY158" i="122"/>
  <c r="CB158" i="122"/>
  <c r="CE158" i="122"/>
  <c r="BS158" i="122"/>
  <c r="BW158" i="122"/>
  <c r="CC158" i="122"/>
  <c r="BU158" i="122"/>
  <c r="CG158" i="122"/>
  <c r="BP158" i="122"/>
  <c r="CH158" i="122"/>
  <c r="BQ158" i="122"/>
  <c r="CA158" i="122"/>
  <c r="BX158" i="122"/>
  <c r="BT158" i="122"/>
  <c r="BV158" i="122"/>
  <c r="BR158" i="122"/>
  <c r="BO158" i="122"/>
  <c r="BL159" i="122"/>
  <c r="DD158" i="122"/>
  <c r="BZ158" i="122"/>
  <c r="CF158" i="122"/>
  <c r="CI158" i="122" l="1"/>
  <c r="B159" i="122"/>
  <c r="CK158" i="122"/>
  <c r="AR159" i="122" s="1"/>
  <c r="D159" i="122"/>
  <c r="J159" i="122"/>
  <c r="CQ158" i="122"/>
  <c r="AX159" i="122" s="1"/>
  <c r="CL158" i="122"/>
  <c r="AS159" i="122" s="1"/>
  <c r="E159" i="122"/>
  <c r="U159" i="122"/>
  <c r="DB158" i="122"/>
  <c r="BI159" i="122" s="1"/>
  <c r="F159" i="122"/>
  <c r="CM158" i="122"/>
  <c r="AT159" i="122" s="1"/>
  <c r="CP158" i="122"/>
  <c r="AW159" i="122" s="1"/>
  <c r="I159" i="122"/>
  <c r="C159" i="122"/>
  <c r="CJ158" i="122"/>
  <c r="AQ159" i="122" s="1"/>
  <c r="R159" i="122"/>
  <c r="CY158" i="122"/>
  <c r="BF159" i="122" s="1"/>
  <c r="G159" i="122"/>
  <c r="CN158" i="122"/>
  <c r="AU159" i="122" s="1"/>
  <c r="DA158" i="122"/>
  <c r="BH159" i="122" s="1"/>
  <c r="T159" i="122"/>
  <c r="CV158" i="122"/>
  <c r="BC159" i="122" s="1"/>
  <c r="O159" i="122"/>
  <c r="CZ158" i="122"/>
  <c r="BG159" i="122" s="1"/>
  <c r="S159" i="122"/>
  <c r="M159" i="122"/>
  <c r="CT158" i="122"/>
  <c r="BA159" i="122" s="1"/>
  <c r="CR158" i="122"/>
  <c r="AY159" i="122" s="1"/>
  <c r="K159" i="122"/>
  <c r="CO158" i="122"/>
  <c r="AV159" i="122" s="1"/>
  <c r="H159" i="122"/>
  <c r="CS158" i="122"/>
  <c r="AZ159" i="122" s="1"/>
  <c r="L159" i="122"/>
  <c r="N159" i="122"/>
  <c r="CU158" i="122"/>
  <c r="BB159" i="122" s="1"/>
  <c r="P159" i="122"/>
  <c r="CW158" i="122"/>
  <c r="BD159" i="122" s="1"/>
  <c r="CX158" i="122"/>
  <c r="BE159" i="122" s="1"/>
  <c r="Q159" i="122"/>
  <c r="BK159" i="122" l="1"/>
  <c r="BN159" i="122"/>
  <c r="BO159" i="122" s="1"/>
  <c r="DE158" i="122"/>
  <c r="AP159" i="122"/>
  <c r="BJ159" i="122" s="1"/>
  <c r="DC159" i="122" s="1"/>
  <c r="BV159" i="122" l="1"/>
  <c r="BP159" i="122"/>
  <c r="CD159" i="122"/>
  <c r="CF159" i="122"/>
  <c r="BZ159" i="122"/>
  <c r="BW159" i="122"/>
  <c r="B160" i="122"/>
  <c r="CI159" i="122"/>
  <c r="BY159" i="122"/>
  <c r="BS159" i="122"/>
  <c r="CA159" i="122"/>
  <c r="CE159" i="122"/>
  <c r="BT159" i="122"/>
  <c r="BU159" i="122"/>
  <c r="BQ159" i="122"/>
  <c r="CB159" i="122"/>
  <c r="DD159" i="122"/>
  <c r="BL160" i="122"/>
  <c r="BR159" i="122"/>
  <c r="CC159" i="122"/>
  <c r="CH159" i="122"/>
  <c r="CG159" i="122"/>
  <c r="BX159" i="122"/>
  <c r="CY159" i="122" l="1"/>
  <c r="BF160" i="122" s="1"/>
  <c r="R160" i="122"/>
  <c r="J160" i="122"/>
  <c r="CQ159" i="122"/>
  <c r="AX160" i="122" s="1"/>
  <c r="CR159" i="122"/>
  <c r="AY160" i="122" s="1"/>
  <c r="K160" i="122"/>
  <c r="CU159" i="122"/>
  <c r="BB160" i="122" s="1"/>
  <c r="N160" i="122"/>
  <c r="CT159" i="122"/>
  <c r="BA160" i="122" s="1"/>
  <c r="M160" i="122"/>
  <c r="DA159" i="122"/>
  <c r="BH160" i="122" s="1"/>
  <c r="T160" i="122"/>
  <c r="CV159" i="122"/>
  <c r="BC160" i="122" s="1"/>
  <c r="O160" i="122"/>
  <c r="CM159" i="122"/>
  <c r="AT160" i="122" s="1"/>
  <c r="F160" i="122"/>
  <c r="CZ159" i="122"/>
  <c r="BG160" i="122" s="1"/>
  <c r="S160" i="122"/>
  <c r="CK159" i="122"/>
  <c r="AR160" i="122" s="1"/>
  <c r="D160" i="122"/>
  <c r="L160" i="122"/>
  <c r="CS159" i="122"/>
  <c r="AZ160" i="122" s="1"/>
  <c r="Q160" i="122"/>
  <c r="CX159" i="122"/>
  <c r="BE160" i="122" s="1"/>
  <c r="P160" i="122"/>
  <c r="CW159" i="122"/>
  <c r="BD160" i="122" s="1"/>
  <c r="H160" i="122"/>
  <c r="CO159" i="122"/>
  <c r="AV160" i="122" s="1"/>
  <c r="AP160" i="122"/>
  <c r="C160" i="122"/>
  <c r="CJ159" i="122"/>
  <c r="AQ160" i="122" s="1"/>
  <c r="DB159" i="122"/>
  <c r="BI160" i="122" s="1"/>
  <c r="U160" i="122"/>
  <c r="CL159" i="122"/>
  <c r="AS160" i="122" s="1"/>
  <c r="E160" i="122"/>
  <c r="G160" i="122"/>
  <c r="CN159" i="122"/>
  <c r="AU160" i="122" s="1"/>
  <c r="I160" i="122"/>
  <c r="CP159" i="122"/>
  <c r="AW160" i="122" s="1"/>
  <c r="BN160" i="122" l="1"/>
  <c r="BX160" i="122" s="1"/>
  <c r="BJ160" i="122"/>
  <c r="DC160" i="122" s="1"/>
  <c r="DD160" i="122" s="1"/>
  <c r="DE159" i="122"/>
  <c r="CF160" i="122"/>
  <c r="CG160" i="122"/>
  <c r="BL161" i="122"/>
  <c r="CD160" i="122"/>
  <c r="CH160" i="122"/>
  <c r="BS160" i="122"/>
  <c r="BZ160" i="122"/>
  <c r="BW160" i="122"/>
  <c r="BU160" i="122"/>
  <c r="BQ160" i="122"/>
  <c r="CB160" i="122"/>
  <c r="CA160" i="122"/>
  <c r="CE160" i="122"/>
  <c r="BT160" i="122"/>
  <c r="BP160" i="122"/>
  <c r="CC160" i="122"/>
  <c r="BK160" i="122"/>
  <c r="BV160" i="122" s="1"/>
  <c r="BR160" i="122" l="1"/>
  <c r="BO160" i="122"/>
  <c r="BY160" i="122"/>
  <c r="CP160" i="122"/>
  <c r="AW161" i="122" s="1"/>
  <c r="I161" i="122"/>
  <c r="F161" i="122"/>
  <c r="CM160" i="122"/>
  <c r="AT161" i="122" s="1"/>
  <c r="T161" i="122"/>
  <c r="DA160" i="122"/>
  <c r="BH161" i="122" s="1"/>
  <c r="P161" i="122"/>
  <c r="CW160" i="122"/>
  <c r="BD161" i="122" s="1"/>
  <c r="CZ160" i="122"/>
  <c r="BG161" i="122" s="1"/>
  <c r="S161" i="122"/>
  <c r="CO160" i="122"/>
  <c r="AV161" i="122" s="1"/>
  <c r="H161" i="122"/>
  <c r="D161" i="122"/>
  <c r="CK160" i="122"/>
  <c r="AR161" i="122" s="1"/>
  <c r="CN160" i="122"/>
  <c r="AU161" i="122" s="1"/>
  <c r="G161" i="122"/>
  <c r="E161" i="122"/>
  <c r="CL160" i="122"/>
  <c r="AS161" i="122" s="1"/>
  <c r="CV160" i="122"/>
  <c r="BC161" i="122" s="1"/>
  <c r="O161" i="122"/>
  <c r="J161" i="122"/>
  <c r="CQ160" i="122"/>
  <c r="AX161" i="122" s="1"/>
  <c r="R161" i="122"/>
  <c r="CY160" i="122"/>
  <c r="BF161" i="122" s="1"/>
  <c r="CS160" i="122"/>
  <c r="AZ161" i="122" s="1"/>
  <c r="L161" i="122"/>
  <c r="CI160" i="122"/>
  <c r="B161" i="122"/>
  <c r="U161" i="122"/>
  <c r="DB160" i="122"/>
  <c r="BI161" i="122" s="1"/>
  <c r="CJ160" i="122"/>
  <c r="AQ161" i="122" s="1"/>
  <c r="C161" i="122"/>
  <c r="Q161" i="122"/>
  <c r="CX160" i="122"/>
  <c r="BE161" i="122" s="1"/>
  <c r="N161" i="122"/>
  <c r="CU160" i="122"/>
  <c r="BB161" i="122" s="1"/>
  <c r="M161" i="122"/>
  <c r="CT160" i="122"/>
  <c r="BA161" i="122" s="1"/>
  <c r="CR160" i="122"/>
  <c r="AY161" i="122" s="1"/>
  <c r="K161" i="122"/>
  <c r="BN161" i="122" l="1"/>
  <c r="CA161" i="122" s="1"/>
  <c r="AP161" i="122"/>
  <c r="BJ161" i="122" s="1"/>
  <c r="DC161" i="122" s="1"/>
  <c r="DE160" i="122"/>
  <c r="BK161" i="122"/>
  <c r="N162" i="122" l="1"/>
  <c r="CU161" i="122"/>
  <c r="BB162" i="122" s="1"/>
  <c r="BL162" i="122"/>
  <c r="DD161" i="122"/>
  <c r="CG161" i="122"/>
  <c r="CC161" i="122"/>
  <c r="BP161" i="122"/>
  <c r="CD161" i="122"/>
  <c r="BR161" i="122"/>
  <c r="BQ161" i="122"/>
  <c r="CF161" i="122"/>
  <c r="CE161" i="122"/>
  <c r="BT161" i="122"/>
  <c r="CH161" i="122"/>
  <c r="CB161" i="122"/>
  <c r="BY161" i="122"/>
  <c r="BX161" i="122"/>
  <c r="BS161" i="122"/>
  <c r="BZ161" i="122"/>
  <c r="BW161" i="122"/>
  <c r="BO161" i="122"/>
  <c r="BV161" i="122"/>
  <c r="BU161" i="122"/>
  <c r="CM161" i="122" l="1"/>
  <c r="AT162" i="122" s="1"/>
  <c r="F162" i="122"/>
  <c r="R162" i="122"/>
  <c r="CY161" i="122"/>
  <c r="BF162" i="122" s="1"/>
  <c r="P162" i="122"/>
  <c r="CW161" i="122"/>
  <c r="BD162" i="122" s="1"/>
  <c r="CR161" i="122"/>
  <c r="AY162" i="122" s="1"/>
  <c r="K162" i="122"/>
  <c r="S162" i="122"/>
  <c r="CZ161" i="122"/>
  <c r="BG162" i="122" s="1"/>
  <c r="T162" i="122"/>
  <c r="DA161" i="122"/>
  <c r="BH162" i="122" s="1"/>
  <c r="CS161" i="122"/>
  <c r="AZ162" i="122" s="1"/>
  <c r="L162" i="122"/>
  <c r="CK161" i="122"/>
  <c r="AR162" i="122" s="1"/>
  <c r="D162" i="122"/>
  <c r="CO161" i="122"/>
  <c r="AV162" i="122" s="1"/>
  <c r="H162" i="122"/>
  <c r="CI161" i="122"/>
  <c r="B162" i="122"/>
  <c r="O162" i="122"/>
  <c r="CV161" i="122"/>
  <c r="BC162" i="122" s="1"/>
  <c r="CL161" i="122"/>
  <c r="AS162" i="122" s="1"/>
  <c r="E162" i="122"/>
  <c r="CP161" i="122"/>
  <c r="AW162" i="122" s="1"/>
  <c r="I162" i="122"/>
  <c r="CQ161" i="122"/>
  <c r="AX162" i="122" s="1"/>
  <c r="J162" i="122"/>
  <c r="DB161" i="122"/>
  <c r="BI162" i="122" s="1"/>
  <c r="U162" i="122"/>
  <c r="Q162" i="122"/>
  <c r="CX161" i="122"/>
  <c r="BE162" i="122" s="1"/>
  <c r="M162" i="122"/>
  <c r="CT161" i="122"/>
  <c r="BA162" i="122" s="1"/>
  <c r="G162" i="122"/>
  <c r="CN161" i="122"/>
  <c r="AU162" i="122" s="1"/>
  <c r="C162" i="122"/>
  <c r="CJ161" i="122"/>
  <c r="AQ162" i="122" s="1"/>
  <c r="BK162" i="122" l="1"/>
  <c r="BN162" i="122"/>
  <c r="BR162" i="122" s="1"/>
  <c r="DE161" i="122"/>
  <c r="AP162" i="122"/>
  <c r="BJ162" i="122" s="1"/>
  <c r="DC162" i="122" s="1"/>
  <c r="CD162" i="122" l="1"/>
  <c r="E163" i="122"/>
  <c r="CL162" i="122"/>
  <c r="AS163" i="122" s="1"/>
  <c r="BP162" i="122"/>
  <c r="CE162" i="122"/>
  <c r="CC162" i="122"/>
  <c r="BV162" i="122"/>
  <c r="CF162" i="122"/>
  <c r="CG162" i="122"/>
  <c r="BS162" i="122"/>
  <c r="CB162" i="122"/>
  <c r="BT162" i="122"/>
  <c r="BL163" i="122"/>
  <c r="DD162" i="122"/>
  <c r="BX162" i="122"/>
  <c r="BZ162" i="122"/>
  <c r="BU162" i="122"/>
  <c r="BY162" i="122"/>
  <c r="BW162" i="122"/>
  <c r="CX162" i="122"/>
  <c r="BE163" i="122" s="1"/>
  <c r="Q163" i="122"/>
  <c r="BO162" i="122"/>
  <c r="CA162" i="122"/>
  <c r="BQ162" i="122"/>
  <c r="CH162" i="122"/>
  <c r="DB162" i="122" l="1"/>
  <c r="BI163" i="122" s="1"/>
  <c r="U163" i="122"/>
  <c r="J163" i="122"/>
  <c r="CQ162" i="122"/>
  <c r="AX163" i="122" s="1"/>
  <c r="I163" i="122"/>
  <c r="CP162" i="122"/>
  <c r="AW163" i="122" s="1"/>
  <c r="CK162" i="122"/>
  <c r="AR163" i="122" s="1"/>
  <c r="D163" i="122"/>
  <c r="CS162" i="122"/>
  <c r="AZ163" i="122" s="1"/>
  <c r="L163" i="122"/>
  <c r="CN162" i="122"/>
  <c r="AU163" i="122" s="1"/>
  <c r="G163" i="122"/>
  <c r="P163" i="122"/>
  <c r="CW162" i="122"/>
  <c r="BD163" i="122" s="1"/>
  <c r="N163" i="122"/>
  <c r="CU162" i="122"/>
  <c r="BB163" i="122" s="1"/>
  <c r="CO162" i="122"/>
  <c r="AV163" i="122" s="1"/>
  <c r="H163" i="122"/>
  <c r="CV162" i="122"/>
  <c r="BC163" i="122" s="1"/>
  <c r="O163" i="122"/>
  <c r="R163" i="122"/>
  <c r="CY162" i="122"/>
  <c r="BF163" i="122" s="1"/>
  <c r="M163" i="122"/>
  <c r="CT162" i="122"/>
  <c r="BA163" i="122" s="1"/>
  <c r="CM162" i="122"/>
  <c r="AT163" i="122" s="1"/>
  <c r="F163" i="122"/>
  <c r="CJ162" i="122"/>
  <c r="AQ163" i="122" s="1"/>
  <c r="C163" i="122"/>
  <c r="K163" i="122"/>
  <c r="CR162" i="122"/>
  <c r="AY163" i="122" s="1"/>
  <c r="DA162" i="122"/>
  <c r="BH163" i="122" s="1"/>
  <c r="T163" i="122"/>
  <c r="CI162" i="122"/>
  <c r="B163" i="122"/>
  <c r="CZ162" i="122"/>
  <c r="BG163" i="122" s="1"/>
  <c r="S163" i="122"/>
  <c r="BN163" i="122" l="1"/>
  <c r="BZ163" i="122" s="1"/>
  <c r="AP163" i="122"/>
  <c r="BJ163" i="122" s="1"/>
  <c r="DC163" i="122" s="1"/>
  <c r="DE162" i="122"/>
  <c r="BK163" i="122"/>
  <c r="CT163" i="122" l="1"/>
  <c r="BA164" i="122" s="1"/>
  <c r="M164" i="122"/>
  <c r="BO163" i="122"/>
  <c r="CG163" i="122"/>
  <c r="BP163" i="122"/>
  <c r="CH163" i="122"/>
  <c r="BV163" i="122"/>
  <c r="BL164" i="122"/>
  <c r="DD163" i="122"/>
  <c r="BU163" i="122"/>
  <c r="BR163" i="122"/>
  <c r="CD163" i="122"/>
  <c r="BQ163" i="122"/>
  <c r="BS163" i="122"/>
  <c r="CA163" i="122"/>
  <c r="BT163" i="122"/>
  <c r="CC163" i="122"/>
  <c r="CB163" i="122"/>
  <c r="BW163" i="122"/>
  <c r="CF163" i="122"/>
  <c r="CE163" i="122"/>
  <c r="BY163" i="122"/>
  <c r="BX163" i="122"/>
  <c r="O164" i="122" l="1"/>
  <c r="CV163" i="122"/>
  <c r="BC164" i="122" s="1"/>
  <c r="Q164" i="122"/>
  <c r="CX163" i="122"/>
  <c r="BE164" i="122" s="1"/>
  <c r="U164" i="122"/>
  <c r="DB163" i="122"/>
  <c r="BI164" i="122" s="1"/>
  <c r="P164" i="122"/>
  <c r="CW163" i="122"/>
  <c r="BD164" i="122" s="1"/>
  <c r="E164" i="122"/>
  <c r="CL163" i="122"/>
  <c r="AS164" i="122" s="1"/>
  <c r="CJ163" i="122"/>
  <c r="AQ164" i="122" s="1"/>
  <c r="C164" i="122"/>
  <c r="CS163" i="122"/>
  <c r="AZ164" i="122" s="1"/>
  <c r="L164" i="122"/>
  <c r="CN163" i="122"/>
  <c r="AU164" i="122" s="1"/>
  <c r="G164" i="122"/>
  <c r="CO163" i="122"/>
  <c r="AV164" i="122" s="1"/>
  <c r="H164" i="122"/>
  <c r="DA163" i="122"/>
  <c r="BH164" i="122" s="1"/>
  <c r="T164" i="122"/>
  <c r="CU163" i="122"/>
  <c r="BB164" i="122" s="1"/>
  <c r="N164" i="122"/>
  <c r="CI163" i="122"/>
  <c r="B164" i="122"/>
  <c r="R164" i="122"/>
  <c r="CY163" i="122"/>
  <c r="BF164" i="122" s="1"/>
  <c r="S164" i="122"/>
  <c r="CZ163" i="122"/>
  <c r="BG164" i="122" s="1"/>
  <c r="CM163" i="122"/>
  <c r="AT164" i="122" s="1"/>
  <c r="F164" i="122"/>
  <c r="CR163" i="122"/>
  <c r="AY164" i="122" s="1"/>
  <c r="K164" i="122"/>
  <c r="J164" i="122"/>
  <c r="CQ163" i="122"/>
  <c r="AX164" i="122" s="1"/>
  <c r="D164" i="122"/>
  <c r="CK163" i="122"/>
  <c r="AR164" i="122" s="1"/>
  <c r="CP163" i="122"/>
  <c r="AW164" i="122" s="1"/>
  <c r="I164" i="122"/>
  <c r="BN164" i="122" l="1"/>
  <c r="BO164" i="122" s="1"/>
  <c r="AP164" i="122"/>
  <c r="BJ164" i="122" s="1"/>
  <c r="DC164" i="122" s="1"/>
  <c r="DE163" i="122"/>
  <c r="BK164" i="122"/>
  <c r="B165" i="122" l="1"/>
  <c r="CI164" i="122"/>
  <c r="DD164" i="122"/>
  <c r="BL165" i="122"/>
  <c r="BY164" i="122"/>
  <c r="BT164" i="122"/>
  <c r="BP164" i="122"/>
  <c r="BV164" i="122"/>
  <c r="CB164" i="122"/>
  <c r="CD164" i="122"/>
  <c r="CA164" i="122"/>
  <c r="BU164" i="122"/>
  <c r="BZ164" i="122"/>
  <c r="CC164" i="122"/>
  <c r="BR164" i="122"/>
  <c r="CE164" i="122"/>
  <c r="CF164" i="122"/>
  <c r="CH164" i="122"/>
  <c r="BS164" i="122"/>
  <c r="BW164" i="122"/>
  <c r="CG164" i="122"/>
  <c r="BX164" i="122"/>
  <c r="BQ164" i="122"/>
  <c r="DB164" i="122" l="1"/>
  <c r="BI165" i="122" s="1"/>
  <c r="U165" i="122"/>
  <c r="CO164" i="122"/>
  <c r="AV165" i="122" s="1"/>
  <c r="H165" i="122"/>
  <c r="G165" i="122"/>
  <c r="CN164" i="122"/>
  <c r="AU165" i="122" s="1"/>
  <c r="CK164" i="122"/>
  <c r="AR165" i="122" s="1"/>
  <c r="D165" i="122"/>
  <c r="CZ164" i="122"/>
  <c r="BG165" i="122" s="1"/>
  <c r="S165" i="122"/>
  <c r="N165" i="122"/>
  <c r="CU164" i="122"/>
  <c r="BB165" i="122" s="1"/>
  <c r="CS164" i="122"/>
  <c r="AZ165" i="122" s="1"/>
  <c r="L165" i="122"/>
  <c r="K165" i="122"/>
  <c r="CR164" i="122"/>
  <c r="AY165" i="122" s="1"/>
  <c r="R165" i="122"/>
  <c r="CY164" i="122"/>
  <c r="BF165" i="122" s="1"/>
  <c r="Q165" i="122"/>
  <c r="CX164" i="122"/>
  <c r="BE165" i="122" s="1"/>
  <c r="DA164" i="122"/>
  <c r="BH165" i="122" s="1"/>
  <c r="T165" i="122"/>
  <c r="CL164" i="122"/>
  <c r="AS165" i="122" s="1"/>
  <c r="E165" i="122"/>
  <c r="CV164" i="122"/>
  <c r="BC165" i="122" s="1"/>
  <c r="O165" i="122"/>
  <c r="J165" i="122"/>
  <c r="CQ164" i="122"/>
  <c r="AX165" i="122" s="1"/>
  <c r="CW164" i="122"/>
  <c r="BD165" i="122" s="1"/>
  <c r="P165" i="122"/>
  <c r="CP164" i="122"/>
  <c r="AW165" i="122" s="1"/>
  <c r="I165" i="122"/>
  <c r="AP165" i="122"/>
  <c r="CM164" i="122"/>
  <c r="AT165" i="122" s="1"/>
  <c r="F165" i="122"/>
  <c r="CT164" i="122"/>
  <c r="BA165" i="122" s="1"/>
  <c r="M165" i="122"/>
  <c r="C165" i="122"/>
  <c r="CJ164" i="122"/>
  <c r="AQ165" i="122" s="1"/>
  <c r="BN165" i="122" l="1"/>
  <c r="CB165" i="122" s="1"/>
  <c r="CV165" i="122" s="1"/>
  <c r="BC166" i="122" s="1"/>
  <c r="DE164" i="122"/>
  <c r="BR165" i="122"/>
  <c r="CE165" i="122"/>
  <c r="CA165" i="122"/>
  <c r="CF165" i="122"/>
  <c r="O166" i="122"/>
  <c r="BP165" i="122"/>
  <c r="BW165" i="122"/>
  <c r="BX165" i="122"/>
  <c r="BO165" i="122"/>
  <c r="BJ165" i="122"/>
  <c r="DC165" i="122" s="1"/>
  <c r="BZ165" i="122"/>
  <c r="BY165" i="122"/>
  <c r="BQ165" i="122"/>
  <c r="CH165" i="122"/>
  <c r="BK165" i="122"/>
  <c r="BV165" i="122" s="1"/>
  <c r="CD165" i="122"/>
  <c r="CC165" i="122" l="1"/>
  <c r="BU165" i="122"/>
  <c r="CG165" i="122"/>
  <c r="BS165" i="122"/>
  <c r="F166" i="122" s="1"/>
  <c r="BT165" i="122"/>
  <c r="G166" i="122" s="1"/>
  <c r="I166" i="122"/>
  <c r="CP165" i="122"/>
  <c r="AW166" i="122" s="1"/>
  <c r="CJ165" i="122"/>
  <c r="AQ166" i="122" s="1"/>
  <c r="C166" i="122"/>
  <c r="CX165" i="122"/>
  <c r="BE166" i="122" s="1"/>
  <c r="Q166" i="122"/>
  <c r="CT165" i="122"/>
  <c r="BA166" i="122" s="1"/>
  <c r="M166" i="122"/>
  <c r="N166" i="122"/>
  <c r="CU165" i="122"/>
  <c r="BB166" i="122" s="1"/>
  <c r="CY165" i="122"/>
  <c r="BF166" i="122" s="1"/>
  <c r="R166" i="122"/>
  <c r="H166" i="122"/>
  <c r="CO165" i="122"/>
  <c r="AV166" i="122" s="1"/>
  <c r="CL165" i="122"/>
  <c r="AS166" i="122" s="1"/>
  <c r="E166" i="122"/>
  <c r="U166" i="122"/>
  <c r="DB165" i="122"/>
  <c r="BI166" i="122" s="1"/>
  <c r="CK165" i="122"/>
  <c r="AR166" i="122" s="1"/>
  <c r="D166" i="122"/>
  <c r="K166" i="122"/>
  <c r="CR165" i="122"/>
  <c r="AY166" i="122" s="1"/>
  <c r="S166" i="122"/>
  <c r="CZ165" i="122"/>
  <c r="BG166" i="122" s="1"/>
  <c r="CW165" i="122"/>
  <c r="BD166" i="122" s="1"/>
  <c r="P166" i="122"/>
  <c r="DD165" i="122"/>
  <c r="BL166" i="122"/>
  <c r="B166" i="122"/>
  <c r="CI165" i="122"/>
  <c r="L166" i="122"/>
  <c r="CS165" i="122"/>
  <c r="AZ166" i="122" s="1"/>
  <c r="CQ165" i="122"/>
  <c r="AX166" i="122" s="1"/>
  <c r="J166" i="122"/>
  <c r="T166" i="122"/>
  <c r="DA165" i="122"/>
  <c r="BH166" i="122" s="1"/>
  <c r="CN165" i="122" l="1"/>
  <c r="AU166" i="122" s="1"/>
  <c r="CM165" i="122"/>
  <c r="AT166" i="122" s="1"/>
  <c r="BK166" i="122"/>
  <c r="AP166" i="122"/>
  <c r="BJ166" i="122" s="1"/>
  <c r="DC166" i="122" s="1"/>
  <c r="DE165" i="122"/>
  <c r="BN166" i="122"/>
  <c r="CB166" i="122" s="1"/>
  <c r="CH166" i="122" l="1"/>
  <c r="BY166" i="122"/>
  <c r="CF166" i="122"/>
  <c r="BS166" i="122"/>
  <c r="BT166" i="122"/>
  <c r="BR166" i="122"/>
  <c r="CV166" i="122"/>
  <c r="BC167" i="122" s="1"/>
  <c r="O167" i="122"/>
  <c r="BP166" i="122"/>
  <c r="BQ166" i="122"/>
  <c r="BW166" i="122"/>
  <c r="CG166" i="122"/>
  <c r="BZ166" i="122"/>
  <c r="CC166" i="122"/>
  <c r="DD166" i="122"/>
  <c r="BL167" i="122"/>
  <c r="CE166" i="122"/>
  <c r="BV166" i="122"/>
  <c r="BO166" i="122"/>
  <c r="CA166" i="122"/>
  <c r="CD166" i="122"/>
  <c r="BU166" i="122"/>
  <c r="BX166" i="122"/>
  <c r="I167" i="122" l="1"/>
  <c r="CP166" i="122"/>
  <c r="AW167" i="122" s="1"/>
  <c r="DA166" i="122"/>
  <c r="BH167" i="122" s="1"/>
  <c r="T167" i="122"/>
  <c r="E167" i="122"/>
  <c r="CL166" i="122"/>
  <c r="AS167" i="122" s="1"/>
  <c r="CY166" i="122"/>
  <c r="BF167" i="122" s="1"/>
  <c r="R167" i="122"/>
  <c r="J167" i="122"/>
  <c r="CQ166" i="122"/>
  <c r="AX167" i="122" s="1"/>
  <c r="G167" i="122"/>
  <c r="CN166" i="122"/>
  <c r="AU167" i="122" s="1"/>
  <c r="D167" i="122"/>
  <c r="CK166" i="122"/>
  <c r="AR167" i="122" s="1"/>
  <c r="F167" i="122"/>
  <c r="CM166" i="122"/>
  <c r="AT167" i="122" s="1"/>
  <c r="C167" i="122"/>
  <c r="CJ166" i="122"/>
  <c r="AQ167" i="122" s="1"/>
  <c r="S167" i="122"/>
  <c r="CZ166" i="122"/>
  <c r="BG167" i="122" s="1"/>
  <c r="K167" i="122"/>
  <c r="CR166" i="122"/>
  <c r="AY167" i="122" s="1"/>
  <c r="CX166" i="122"/>
  <c r="BE167" i="122" s="1"/>
  <c r="Q167" i="122"/>
  <c r="CU166" i="122"/>
  <c r="BB167" i="122" s="1"/>
  <c r="N167" i="122"/>
  <c r="P167" i="122"/>
  <c r="CW166" i="122"/>
  <c r="BD167" i="122" s="1"/>
  <c r="L167" i="122"/>
  <c r="CS166" i="122"/>
  <c r="AZ167" i="122" s="1"/>
  <c r="CO166" i="122"/>
  <c r="AV167" i="122" s="1"/>
  <c r="H167" i="122"/>
  <c r="CI166" i="122"/>
  <c r="B167" i="122"/>
  <c r="M167" i="122"/>
  <c r="CT166" i="122"/>
  <c r="BA167" i="122" s="1"/>
  <c r="U167" i="122"/>
  <c r="DB166" i="122"/>
  <c r="BI167" i="122" s="1"/>
  <c r="BK167" i="122" l="1"/>
  <c r="BN167" i="122"/>
  <c r="CD167" i="122" s="1"/>
  <c r="DE166" i="122"/>
  <c r="AP167" i="122"/>
  <c r="BJ167" i="122" s="1"/>
  <c r="DC167" i="122" s="1"/>
  <c r="BV167" i="122" l="1"/>
  <c r="BS167" i="122"/>
  <c r="CB167" i="122"/>
  <c r="BX167" i="122"/>
  <c r="K168" i="122" s="1"/>
  <c r="BO167" i="122"/>
  <c r="CI167" i="122" s="1"/>
  <c r="BR167" i="122"/>
  <c r="E168" i="122" s="1"/>
  <c r="CC167" i="122"/>
  <c r="CW167" i="122" s="1"/>
  <c r="BD168" i="122" s="1"/>
  <c r="BT167" i="122"/>
  <c r="G168" i="122" s="1"/>
  <c r="BW167" i="122"/>
  <c r="CQ167" i="122" s="1"/>
  <c r="AX168" i="122" s="1"/>
  <c r="BP167" i="122"/>
  <c r="CJ167" i="122" s="1"/>
  <c r="AQ168" i="122" s="1"/>
  <c r="BQ167" i="122"/>
  <c r="D168" i="122" s="1"/>
  <c r="CE167" i="122"/>
  <c r="CY167" i="122" s="1"/>
  <c r="BF168" i="122" s="1"/>
  <c r="BY167" i="122"/>
  <c r="CS167" i="122" s="1"/>
  <c r="AZ168" i="122" s="1"/>
  <c r="CF167" i="122"/>
  <c r="CZ167" i="122" s="1"/>
  <c r="BG168" i="122" s="1"/>
  <c r="CA167" i="122"/>
  <c r="CU167" i="122" s="1"/>
  <c r="BB168" i="122" s="1"/>
  <c r="BZ167" i="122"/>
  <c r="CT167" i="122" s="1"/>
  <c r="BA168" i="122" s="1"/>
  <c r="CH167" i="122"/>
  <c r="U168" i="122" s="1"/>
  <c r="BU167" i="122"/>
  <c r="H168" i="122" s="1"/>
  <c r="CG167" i="122"/>
  <c r="J168" i="122"/>
  <c r="CN167" i="122"/>
  <c r="AU168" i="122" s="1"/>
  <c r="CP167" i="122"/>
  <c r="AW168" i="122" s="1"/>
  <c r="I168" i="122"/>
  <c r="F168" i="122"/>
  <c r="CM167" i="122"/>
  <c r="AT168" i="122" s="1"/>
  <c r="BL168" i="122"/>
  <c r="DD167" i="122"/>
  <c r="O168" i="122"/>
  <c r="CV167" i="122"/>
  <c r="BC168" i="122" s="1"/>
  <c r="CK167" i="122"/>
  <c r="AR168" i="122" s="1"/>
  <c r="T168" i="122"/>
  <c r="DA167" i="122"/>
  <c r="BH168" i="122" s="1"/>
  <c r="Q168" i="122"/>
  <c r="CX167" i="122"/>
  <c r="BE168" i="122" s="1"/>
  <c r="R168" i="122" l="1"/>
  <c r="CL167" i="122"/>
  <c r="AS168" i="122" s="1"/>
  <c r="N168" i="122"/>
  <c r="B168" i="122"/>
  <c r="CO167" i="122"/>
  <c r="AV168" i="122" s="1"/>
  <c r="CR167" i="122"/>
  <c r="AY168" i="122" s="1"/>
  <c r="M168" i="122"/>
  <c r="C168" i="122"/>
  <c r="DB167" i="122"/>
  <c r="BI168" i="122" s="1"/>
  <c r="P168" i="122"/>
  <c r="L168" i="122"/>
  <c r="S168" i="122"/>
  <c r="BK168" i="122"/>
  <c r="AP168" i="122"/>
  <c r="BJ168" i="122" s="1"/>
  <c r="DC168" i="122" s="1"/>
  <c r="DE167" i="122" l="1"/>
  <c r="BN168" i="122"/>
  <c r="CD168" i="122" s="1"/>
  <c r="Q169" i="122" s="1"/>
  <c r="DD168" i="122"/>
  <c r="BL169" i="122"/>
  <c r="CX168" i="122" l="1"/>
  <c r="BE169" i="122" s="1"/>
  <c r="BT168" i="122"/>
  <c r="CN168" i="122" s="1"/>
  <c r="AU169" i="122" s="1"/>
  <c r="BO168" i="122"/>
  <c r="CE168" i="122"/>
  <c r="CY168" i="122" s="1"/>
  <c r="BF169" i="122" s="1"/>
  <c r="CA168" i="122"/>
  <c r="CU168" i="122" s="1"/>
  <c r="BB169" i="122" s="1"/>
  <c r="CH168" i="122"/>
  <c r="DB168" i="122" s="1"/>
  <c r="BI169" i="122" s="1"/>
  <c r="CB168" i="122"/>
  <c r="BS168" i="122"/>
  <c r="F169" i="122" s="1"/>
  <c r="BZ168" i="122"/>
  <c r="BV168" i="122"/>
  <c r="I169" i="122" s="1"/>
  <c r="BX168" i="122"/>
  <c r="CR168" i="122" s="1"/>
  <c r="AY169" i="122" s="1"/>
  <c r="CG168" i="122"/>
  <c r="DA168" i="122" s="1"/>
  <c r="BH169" i="122" s="1"/>
  <c r="BW168" i="122"/>
  <c r="CC168" i="122"/>
  <c r="BY168" i="122"/>
  <c r="CS168" i="122" s="1"/>
  <c r="AZ169" i="122" s="1"/>
  <c r="CF168" i="122"/>
  <c r="CZ168" i="122" s="1"/>
  <c r="BG169" i="122" s="1"/>
  <c r="BP168" i="122"/>
  <c r="C169" i="122" s="1"/>
  <c r="BQ168" i="122"/>
  <c r="D169" i="122" s="1"/>
  <c r="BR168" i="122"/>
  <c r="BU168" i="122"/>
  <c r="U169" i="122"/>
  <c r="B169" i="122"/>
  <c r="CI168" i="122"/>
  <c r="G169" i="122"/>
  <c r="CQ168" i="122"/>
  <c r="AX169" i="122" s="1"/>
  <c r="J169" i="122"/>
  <c r="P169" i="122"/>
  <c r="CW168" i="122"/>
  <c r="BD169" i="122" s="1"/>
  <c r="CM168" i="122"/>
  <c r="AT169" i="122" s="1"/>
  <c r="O169" i="122"/>
  <c r="CV168" i="122"/>
  <c r="BC169" i="122" s="1"/>
  <c r="M169" i="122"/>
  <c r="CT168" i="122"/>
  <c r="BA169" i="122" s="1"/>
  <c r="R169" i="122"/>
  <c r="CK168" i="122"/>
  <c r="AR169" i="122" s="1"/>
  <c r="E169" i="122"/>
  <c r="CL168" i="122"/>
  <c r="AS169" i="122" s="1"/>
  <c r="CO168" i="122"/>
  <c r="AV169" i="122" s="1"/>
  <c r="H169" i="122"/>
  <c r="T169" i="122" l="1"/>
  <c r="S169" i="122"/>
  <c r="K169" i="122"/>
  <c r="L169" i="122"/>
  <c r="CJ168" i="122"/>
  <c r="AQ169" i="122" s="1"/>
  <c r="CP168" i="122"/>
  <c r="AW169" i="122" s="1"/>
  <c r="N169" i="122"/>
  <c r="AP169" i="122"/>
  <c r="BJ169" i="122" s="1"/>
  <c r="DC169" i="122" s="1"/>
  <c r="BN169" i="122"/>
  <c r="BT169" i="122" s="1"/>
  <c r="BK169" i="122"/>
  <c r="DE168" i="122" l="1"/>
  <c r="G170" i="122"/>
  <c r="CN169" i="122"/>
  <c r="AU170" i="122" s="1"/>
  <c r="BU169" i="122"/>
  <c r="CH169" i="122"/>
  <c r="CC169" i="122"/>
  <c r="CF169" i="122"/>
  <c r="BW169" i="122"/>
  <c r="BZ169" i="122"/>
  <c r="BS169" i="122"/>
  <c r="CB169" i="122"/>
  <c r="BY169" i="122"/>
  <c r="CG169" i="122"/>
  <c r="BV169" i="122"/>
  <c r="BQ169" i="122"/>
  <c r="BR169" i="122"/>
  <c r="BP169" i="122"/>
  <c r="BX169" i="122"/>
  <c r="BO169" i="122"/>
  <c r="CA169" i="122"/>
  <c r="CD169" i="122"/>
  <c r="BL170" i="122"/>
  <c r="DD169" i="122"/>
  <c r="CE169" i="122"/>
  <c r="B170" i="122" l="1"/>
  <c r="CI169" i="122"/>
  <c r="T170" i="122"/>
  <c r="DA169" i="122"/>
  <c r="BH170" i="122" s="1"/>
  <c r="S170" i="122"/>
  <c r="CZ169" i="122"/>
  <c r="BG170" i="122" s="1"/>
  <c r="CS169" i="122"/>
  <c r="AZ170" i="122" s="1"/>
  <c r="L170" i="122"/>
  <c r="P170" i="122"/>
  <c r="CW169" i="122"/>
  <c r="BD170" i="122" s="1"/>
  <c r="CJ169" i="122"/>
  <c r="AQ170" i="122" s="1"/>
  <c r="C170" i="122"/>
  <c r="CV169" i="122"/>
  <c r="BC170" i="122" s="1"/>
  <c r="O170" i="122"/>
  <c r="U170" i="122"/>
  <c r="DB169" i="122"/>
  <c r="BI170" i="122" s="1"/>
  <c r="R170" i="122"/>
  <c r="CY169" i="122"/>
  <c r="BF170" i="122" s="1"/>
  <c r="E170" i="122"/>
  <c r="CL169" i="122"/>
  <c r="AS170" i="122" s="1"/>
  <c r="CM169" i="122"/>
  <c r="AT170" i="122" s="1"/>
  <c r="F170" i="122"/>
  <c r="CO169" i="122"/>
  <c r="AV170" i="122" s="1"/>
  <c r="H170" i="122"/>
  <c r="CX169" i="122"/>
  <c r="BE170" i="122" s="1"/>
  <c r="Q170" i="122"/>
  <c r="CK169" i="122"/>
  <c r="AR170" i="122" s="1"/>
  <c r="D170" i="122"/>
  <c r="CT169" i="122"/>
  <c r="BA170" i="122" s="1"/>
  <c r="M170" i="122"/>
  <c r="CR169" i="122"/>
  <c r="AY170" i="122" s="1"/>
  <c r="K170" i="122"/>
  <c r="CU169" i="122"/>
  <c r="BB170" i="122" s="1"/>
  <c r="N170" i="122"/>
  <c r="I170" i="122"/>
  <c r="CP169" i="122"/>
  <c r="AW170" i="122" s="1"/>
  <c r="CQ169" i="122"/>
  <c r="AX170" i="122" s="1"/>
  <c r="J170" i="122"/>
  <c r="DE169" i="122" l="1"/>
  <c r="AP170" i="122"/>
  <c r="BJ170" i="122" s="1"/>
  <c r="DC170" i="122" s="1"/>
  <c r="BK170" i="122"/>
  <c r="BN170" i="122"/>
  <c r="CE170" i="122" s="1"/>
  <c r="R171" i="122" l="1"/>
  <c r="CY170" i="122"/>
  <c r="BF171" i="122" s="1"/>
  <c r="DD170" i="122"/>
  <c r="BL171" i="122"/>
  <c r="BW170" i="122"/>
  <c r="CA170" i="122"/>
  <c r="CG170" i="122"/>
  <c r="CF170" i="122"/>
  <c r="BO170" i="122"/>
  <c r="BY170" i="122"/>
  <c r="CC170" i="122"/>
  <c r="BU170" i="122"/>
  <c r="BT170" i="122"/>
  <c r="CB170" i="122"/>
  <c r="CH170" i="122"/>
  <c r="BV170" i="122"/>
  <c r="CD170" i="122"/>
  <c r="BS170" i="122"/>
  <c r="BP170" i="122"/>
  <c r="BR170" i="122"/>
  <c r="BX170" i="122"/>
  <c r="BQ170" i="122"/>
  <c r="BZ170" i="122"/>
  <c r="CM170" i="122" l="1"/>
  <c r="AT171" i="122" s="1"/>
  <c r="F171" i="122"/>
  <c r="CO170" i="122"/>
  <c r="AV171" i="122" s="1"/>
  <c r="H171" i="122"/>
  <c r="CU170" i="122"/>
  <c r="BB171" i="122" s="1"/>
  <c r="N171" i="122"/>
  <c r="Q171" i="122"/>
  <c r="CX170" i="122"/>
  <c r="BE171" i="122" s="1"/>
  <c r="P171" i="122"/>
  <c r="CW170" i="122"/>
  <c r="BD171" i="122" s="1"/>
  <c r="J171" i="122"/>
  <c r="CQ170" i="122"/>
  <c r="AX171" i="122" s="1"/>
  <c r="CP170" i="122"/>
  <c r="AW171" i="122" s="1"/>
  <c r="I171" i="122"/>
  <c r="L171" i="122"/>
  <c r="CS170" i="122"/>
  <c r="AZ171" i="122" s="1"/>
  <c r="CR170" i="122"/>
  <c r="AY171" i="122" s="1"/>
  <c r="K171" i="122"/>
  <c r="DB170" i="122"/>
  <c r="BI171" i="122" s="1"/>
  <c r="U171" i="122"/>
  <c r="CI170" i="122"/>
  <c r="B171" i="122"/>
  <c r="D171" i="122"/>
  <c r="CK170" i="122"/>
  <c r="AR171" i="122" s="1"/>
  <c r="E171" i="122"/>
  <c r="CL170" i="122"/>
  <c r="AS171" i="122" s="1"/>
  <c r="CV170" i="122"/>
  <c r="BC171" i="122" s="1"/>
  <c r="O171" i="122"/>
  <c r="S171" i="122"/>
  <c r="CZ170" i="122"/>
  <c r="BG171" i="122" s="1"/>
  <c r="CT170" i="122"/>
  <c r="BA171" i="122" s="1"/>
  <c r="M171" i="122"/>
  <c r="CJ170" i="122"/>
  <c r="AQ171" i="122" s="1"/>
  <c r="C171" i="122"/>
  <c r="G171" i="122"/>
  <c r="CN170" i="122"/>
  <c r="AU171" i="122" s="1"/>
  <c r="T171" i="122"/>
  <c r="DA170" i="122"/>
  <c r="BH171" i="122" s="1"/>
  <c r="BK171" i="122" l="1"/>
  <c r="BN171" i="122"/>
  <c r="CF171" i="122" s="1"/>
  <c r="DE170" i="122"/>
  <c r="AP171" i="122"/>
  <c r="BJ171" i="122" s="1"/>
  <c r="DC171" i="122" s="1"/>
  <c r="S172" i="122" l="1"/>
  <c r="CZ171" i="122"/>
  <c r="BG172" i="122" s="1"/>
  <c r="BL172" i="122"/>
  <c r="DD171" i="122"/>
  <c r="BP171" i="122"/>
  <c r="BV171" i="122"/>
  <c r="BW171" i="122"/>
  <c r="BS171" i="122"/>
  <c r="CH171" i="122"/>
  <c r="BU171" i="122"/>
  <c r="BQ171" i="122"/>
  <c r="CD171" i="122"/>
  <c r="BZ171" i="122"/>
  <c r="BO171" i="122"/>
  <c r="BT171" i="122"/>
  <c r="CE171" i="122"/>
  <c r="CA171" i="122"/>
  <c r="BR171" i="122"/>
  <c r="CC171" i="122"/>
  <c r="CG171" i="122"/>
  <c r="BY171" i="122"/>
  <c r="CB171" i="122"/>
  <c r="BX171" i="122"/>
  <c r="CL171" i="122" l="1"/>
  <c r="AS172" i="122" s="1"/>
  <c r="E172" i="122"/>
  <c r="Q172" i="122"/>
  <c r="CX171" i="122"/>
  <c r="BE172" i="122" s="1"/>
  <c r="I172" i="122"/>
  <c r="CP171" i="122"/>
  <c r="AW172" i="122" s="1"/>
  <c r="CR171" i="122"/>
  <c r="AY172" i="122" s="1"/>
  <c r="K172" i="122"/>
  <c r="N172" i="122"/>
  <c r="CU171" i="122"/>
  <c r="BB172" i="122" s="1"/>
  <c r="CK171" i="122"/>
  <c r="AR172" i="122" s="1"/>
  <c r="D172" i="122"/>
  <c r="C172" i="122"/>
  <c r="CJ171" i="122"/>
  <c r="AQ172" i="122" s="1"/>
  <c r="R172" i="122"/>
  <c r="CY171" i="122"/>
  <c r="BF172" i="122" s="1"/>
  <c r="CO171" i="122"/>
  <c r="AV172" i="122" s="1"/>
  <c r="H172" i="122"/>
  <c r="L172" i="122"/>
  <c r="CS171" i="122"/>
  <c r="AZ172" i="122" s="1"/>
  <c r="CN171" i="122"/>
  <c r="AU172" i="122" s="1"/>
  <c r="G172" i="122"/>
  <c r="DB171" i="122"/>
  <c r="BI172" i="122" s="1"/>
  <c r="U172" i="122"/>
  <c r="T172" i="122"/>
  <c r="DA171" i="122"/>
  <c r="BH172" i="122" s="1"/>
  <c r="B172" i="122"/>
  <c r="CI171" i="122"/>
  <c r="CM171" i="122"/>
  <c r="AT172" i="122" s="1"/>
  <c r="F172" i="122"/>
  <c r="CV171" i="122"/>
  <c r="BC172" i="122" s="1"/>
  <c r="O172" i="122"/>
  <c r="P172" i="122"/>
  <c r="CW171" i="122"/>
  <c r="BD172" i="122" s="1"/>
  <c r="M172" i="122"/>
  <c r="CT171" i="122"/>
  <c r="BA172" i="122" s="1"/>
  <c r="J172" i="122"/>
  <c r="CQ171" i="122"/>
  <c r="AX172" i="122" s="1"/>
  <c r="DE171" i="122" l="1"/>
  <c r="AP172" i="122"/>
  <c r="BJ172" i="122" s="1"/>
  <c r="DC172" i="122" s="1"/>
  <c r="BN172" i="122"/>
  <c r="BZ172" i="122" s="1"/>
  <c r="BK172" i="122"/>
  <c r="CT172" i="122" l="1"/>
  <c r="BA173" i="122" s="1"/>
  <c r="M173" i="122"/>
  <c r="BW172" i="122"/>
  <c r="CA172" i="122"/>
  <c r="BV172" i="122"/>
  <c r="CE172" i="122"/>
  <c r="BO172" i="122"/>
  <c r="CF172" i="122"/>
  <c r="BQ172" i="122"/>
  <c r="BR172" i="122"/>
  <c r="BP172" i="122"/>
  <c r="BX172" i="122"/>
  <c r="BY172" i="122"/>
  <c r="CB172" i="122"/>
  <c r="BT172" i="122"/>
  <c r="BU172" i="122"/>
  <c r="CG172" i="122"/>
  <c r="CC172" i="122"/>
  <c r="DD172" i="122"/>
  <c r="BL173" i="122"/>
  <c r="CH172" i="122"/>
  <c r="CD172" i="122"/>
  <c r="BS172" i="122"/>
  <c r="P173" i="122" l="1"/>
  <c r="CW172" i="122"/>
  <c r="BD173" i="122" s="1"/>
  <c r="CR172" i="122"/>
  <c r="AY173" i="122" s="1"/>
  <c r="K173" i="122"/>
  <c r="CY172" i="122"/>
  <c r="BF173" i="122" s="1"/>
  <c r="R173" i="122"/>
  <c r="CM172" i="122"/>
  <c r="AT173" i="122" s="1"/>
  <c r="F173" i="122"/>
  <c r="DA172" i="122"/>
  <c r="BH173" i="122" s="1"/>
  <c r="T173" i="122"/>
  <c r="CJ172" i="122"/>
  <c r="AQ173" i="122" s="1"/>
  <c r="C173" i="122"/>
  <c r="CP172" i="122"/>
  <c r="AW173" i="122" s="1"/>
  <c r="I173" i="122"/>
  <c r="Q173" i="122"/>
  <c r="CX172" i="122"/>
  <c r="BE173" i="122" s="1"/>
  <c r="H173" i="122"/>
  <c r="CO172" i="122"/>
  <c r="AV173" i="122" s="1"/>
  <c r="E173" i="122"/>
  <c r="CL172" i="122"/>
  <c r="AS173" i="122" s="1"/>
  <c r="N173" i="122"/>
  <c r="CU172" i="122"/>
  <c r="BB173" i="122" s="1"/>
  <c r="U173" i="122"/>
  <c r="DB172" i="122"/>
  <c r="BI173" i="122" s="1"/>
  <c r="G173" i="122"/>
  <c r="CN172" i="122"/>
  <c r="AU173" i="122" s="1"/>
  <c r="CK172" i="122"/>
  <c r="AR173" i="122" s="1"/>
  <c r="D173" i="122"/>
  <c r="CQ172" i="122"/>
  <c r="AX173" i="122" s="1"/>
  <c r="J173" i="122"/>
  <c r="CV172" i="122"/>
  <c r="BC173" i="122" s="1"/>
  <c r="O173" i="122"/>
  <c r="CZ172" i="122"/>
  <c r="BG173" i="122" s="1"/>
  <c r="S173" i="122"/>
  <c r="L173" i="122"/>
  <c r="CS172" i="122"/>
  <c r="AZ173" i="122" s="1"/>
  <c r="B173" i="122"/>
  <c r="CI172" i="122"/>
  <c r="AP173" i="122" l="1"/>
  <c r="BJ173" i="122" s="1"/>
  <c r="DC173" i="122" s="1"/>
  <c r="DE172" i="122"/>
  <c r="BN173" i="122"/>
  <c r="CD173" i="122" s="1"/>
  <c r="BK173" i="122"/>
  <c r="CX173" i="122" l="1"/>
  <c r="BE174" i="122" s="1"/>
  <c r="Q174" i="122"/>
  <c r="CG173" i="122"/>
  <c r="DD173" i="122"/>
  <c r="BL174" i="122"/>
  <c r="BQ173" i="122"/>
  <c r="BU173" i="122"/>
  <c r="BZ173" i="122"/>
  <c r="CF173" i="122"/>
  <c r="BR173" i="122"/>
  <c r="CE173" i="122"/>
  <c r="CC173" i="122"/>
  <c r="CH173" i="122"/>
  <c r="BS173" i="122"/>
  <c r="CA173" i="122"/>
  <c r="BT173" i="122"/>
  <c r="BV173" i="122"/>
  <c r="BY173" i="122"/>
  <c r="BP173" i="122"/>
  <c r="BO173" i="122"/>
  <c r="CB173" i="122"/>
  <c r="BX173" i="122"/>
  <c r="BW173" i="122"/>
  <c r="L174" i="122" l="1"/>
  <c r="CS173" i="122"/>
  <c r="AZ174" i="122" s="1"/>
  <c r="P174" i="122"/>
  <c r="CW173" i="122"/>
  <c r="BD174" i="122" s="1"/>
  <c r="CK173" i="122"/>
  <c r="AR174" i="122" s="1"/>
  <c r="D174" i="122"/>
  <c r="J174" i="122"/>
  <c r="CQ173" i="122"/>
  <c r="AX174" i="122" s="1"/>
  <c r="I174" i="122"/>
  <c r="CP173" i="122"/>
  <c r="AW174" i="122" s="1"/>
  <c r="R174" i="122"/>
  <c r="CY173" i="122"/>
  <c r="BF174" i="122" s="1"/>
  <c r="CN173" i="122"/>
  <c r="AU174" i="122" s="1"/>
  <c r="G174" i="122"/>
  <c r="CL173" i="122"/>
  <c r="AS174" i="122" s="1"/>
  <c r="E174" i="122"/>
  <c r="N174" i="122"/>
  <c r="CU173" i="122"/>
  <c r="BB174" i="122" s="1"/>
  <c r="CZ173" i="122"/>
  <c r="BG174" i="122" s="1"/>
  <c r="S174" i="122"/>
  <c r="T174" i="122"/>
  <c r="DA173" i="122"/>
  <c r="BH174" i="122" s="1"/>
  <c r="K174" i="122"/>
  <c r="CR173" i="122"/>
  <c r="AY174" i="122" s="1"/>
  <c r="B174" i="122"/>
  <c r="CI173" i="122"/>
  <c r="CM173" i="122"/>
  <c r="AT174" i="122" s="1"/>
  <c r="F174" i="122"/>
  <c r="M174" i="122"/>
  <c r="CT173" i="122"/>
  <c r="BA174" i="122" s="1"/>
  <c r="CV173" i="122"/>
  <c r="BC174" i="122" s="1"/>
  <c r="O174" i="122"/>
  <c r="CJ173" i="122"/>
  <c r="AQ174" i="122" s="1"/>
  <c r="C174" i="122"/>
  <c r="DB173" i="122"/>
  <c r="BI174" i="122" s="1"/>
  <c r="U174" i="122"/>
  <c r="CO173" i="122"/>
  <c r="AV174" i="122" s="1"/>
  <c r="H174" i="122"/>
  <c r="BK174" i="122" l="1"/>
  <c r="AP174" i="122"/>
  <c r="BJ174" i="122" s="1"/>
  <c r="DC174" i="122" s="1"/>
  <c r="DE173" i="122"/>
  <c r="BN174" i="122"/>
  <c r="BQ174" i="122" s="1"/>
  <c r="CK174" i="122" l="1"/>
  <c r="AR175" i="122" s="1"/>
  <c r="D175" i="122"/>
  <c r="BR174" i="122"/>
  <c r="BU174" i="122"/>
  <c r="CE174" i="122"/>
  <c r="BS174" i="122"/>
  <c r="BX174" i="122"/>
  <c r="CA174" i="122"/>
  <c r="CC174" i="122"/>
  <c r="CF174" i="122"/>
  <c r="BV174" i="122"/>
  <c r="BZ174" i="122"/>
  <c r="BP174" i="122"/>
  <c r="BY174" i="122"/>
  <c r="BT174" i="122"/>
  <c r="BW174" i="122"/>
  <c r="BO174" i="122"/>
  <c r="CG174" i="122"/>
  <c r="CB174" i="122"/>
  <c r="CD174" i="122"/>
  <c r="DD174" i="122"/>
  <c r="BL175" i="122"/>
  <c r="CH174" i="122"/>
  <c r="DA174" i="122" l="1"/>
  <c r="BH175" i="122" s="1"/>
  <c r="T175" i="122"/>
  <c r="M175" i="122"/>
  <c r="CT174" i="122"/>
  <c r="BA175" i="122" s="1"/>
  <c r="CM174" i="122"/>
  <c r="AT175" i="122" s="1"/>
  <c r="F175" i="122"/>
  <c r="U175" i="122"/>
  <c r="DB174" i="122"/>
  <c r="BI175" i="122" s="1"/>
  <c r="B175" i="122"/>
  <c r="CI174" i="122"/>
  <c r="CP174" i="122"/>
  <c r="AW175" i="122" s="1"/>
  <c r="I175" i="122"/>
  <c r="CY174" i="122"/>
  <c r="BF175" i="122" s="1"/>
  <c r="R175" i="122"/>
  <c r="CQ174" i="122"/>
  <c r="AX175" i="122" s="1"/>
  <c r="J175" i="122"/>
  <c r="CZ174" i="122"/>
  <c r="BG175" i="122" s="1"/>
  <c r="S175" i="122"/>
  <c r="CO174" i="122"/>
  <c r="AV175" i="122" s="1"/>
  <c r="H175" i="122"/>
  <c r="CN174" i="122"/>
  <c r="AU175" i="122" s="1"/>
  <c r="G175" i="122"/>
  <c r="P175" i="122"/>
  <c r="CW174" i="122"/>
  <c r="BD175" i="122" s="1"/>
  <c r="CL174" i="122"/>
  <c r="AS175" i="122" s="1"/>
  <c r="E175" i="122"/>
  <c r="CX174" i="122"/>
  <c r="BE175" i="122" s="1"/>
  <c r="Q175" i="122"/>
  <c r="L175" i="122"/>
  <c r="CS174" i="122"/>
  <c r="AZ175" i="122" s="1"/>
  <c r="CU174" i="122"/>
  <c r="BB175" i="122" s="1"/>
  <c r="N175" i="122"/>
  <c r="O175" i="122"/>
  <c r="CV174" i="122"/>
  <c r="BC175" i="122" s="1"/>
  <c r="CJ174" i="122"/>
  <c r="AQ175" i="122" s="1"/>
  <c r="C175" i="122"/>
  <c r="CR174" i="122"/>
  <c r="AY175" i="122" s="1"/>
  <c r="K175" i="122"/>
  <c r="BK175" i="122" l="1"/>
  <c r="AP175" i="122"/>
  <c r="BJ175" i="122" s="1"/>
  <c r="DC175" i="122" s="1"/>
  <c r="DE174" i="122"/>
  <c r="BN175" i="122"/>
  <c r="BT175" i="122" s="1"/>
  <c r="G176" i="122" l="1"/>
  <c r="CN175" i="122"/>
  <c r="AU176" i="122" s="1"/>
  <c r="CG175" i="122"/>
  <c r="BZ175" i="122"/>
  <c r="BW175" i="122"/>
  <c r="CE175" i="122"/>
  <c r="BO175" i="122"/>
  <c r="BP175" i="122"/>
  <c r="BQ175" i="122"/>
  <c r="CC175" i="122"/>
  <c r="CH175" i="122"/>
  <c r="BR175" i="122"/>
  <c r="CB175" i="122"/>
  <c r="BS175" i="122"/>
  <c r="BU175" i="122"/>
  <c r="CD175" i="122"/>
  <c r="CA175" i="122"/>
  <c r="BV175" i="122"/>
  <c r="BY175" i="122"/>
  <c r="BX175" i="122"/>
  <c r="BL176" i="122"/>
  <c r="DD175" i="122"/>
  <c r="CF175" i="122"/>
  <c r="I176" i="122" l="1"/>
  <c r="CP175" i="122"/>
  <c r="AW176" i="122" s="1"/>
  <c r="CL175" i="122"/>
  <c r="AS176" i="122" s="1"/>
  <c r="E176" i="122"/>
  <c r="R176" i="122"/>
  <c r="CY175" i="122"/>
  <c r="BF176" i="122" s="1"/>
  <c r="CZ175" i="122"/>
  <c r="BG176" i="122" s="1"/>
  <c r="S176" i="122"/>
  <c r="N176" i="122"/>
  <c r="CU175" i="122"/>
  <c r="BB176" i="122" s="1"/>
  <c r="DB175" i="122"/>
  <c r="BI176" i="122" s="1"/>
  <c r="U176" i="122"/>
  <c r="CQ175" i="122"/>
  <c r="AX176" i="122" s="1"/>
  <c r="J176" i="122"/>
  <c r="Q176" i="122"/>
  <c r="CX175" i="122"/>
  <c r="BE176" i="122" s="1"/>
  <c r="P176" i="122"/>
  <c r="CW175" i="122"/>
  <c r="BD176" i="122" s="1"/>
  <c r="M176" i="122"/>
  <c r="CT175" i="122"/>
  <c r="BA176" i="122" s="1"/>
  <c r="CO175" i="122"/>
  <c r="AV176" i="122" s="1"/>
  <c r="H176" i="122"/>
  <c r="CK175" i="122"/>
  <c r="AR176" i="122" s="1"/>
  <c r="D176" i="122"/>
  <c r="T176" i="122"/>
  <c r="DA175" i="122"/>
  <c r="BH176" i="122" s="1"/>
  <c r="K176" i="122"/>
  <c r="CR175" i="122"/>
  <c r="AY176" i="122" s="1"/>
  <c r="CM175" i="122"/>
  <c r="AT176" i="122" s="1"/>
  <c r="F176" i="122"/>
  <c r="CJ175" i="122"/>
  <c r="AQ176" i="122" s="1"/>
  <c r="C176" i="122"/>
  <c r="CS175" i="122"/>
  <c r="AZ176" i="122" s="1"/>
  <c r="L176" i="122"/>
  <c r="O176" i="122"/>
  <c r="CV175" i="122"/>
  <c r="BC176" i="122" s="1"/>
  <c r="BK176" i="122" s="1"/>
  <c r="CI175" i="122"/>
  <c r="B176" i="122"/>
  <c r="BN176" i="122" l="1"/>
  <c r="AP176" i="122"/>
  <c r="BJ176" i="122" s="1"/>
  <c r="DC176" i="122" s="1"/>
  <c r="DE175" i="122"/>
  <c r="BP176" i="122" l="1"/>
  <c r="BT176" i="122"/>
  <c r="BY176" i="122"/>
  <c r="BX176" i="122"/>
  <c r="CE176" i="122"/>
  <c r="CC176" i="122"/>
  <c r="BL177" i="122"/>
  <c r="DD176" i="122"/>
  <c r="CF176" i="122"/>
  <c r="CB176" i="122"/>
  <c r="CA176" i="122"/>
  <c r="BQ176" i="122"/>
  <c r="BU176" i="122"/>
  <c r="BV176" i="122"/>
  <c r="CH176" i="122"/>
  <c r="BZ176" i="122"/>
  <c r="BW176" i="122"/>
  <c r="CD176" i="122"/>
  <c r="CG176" i="122"/>
  <c r="BO176" i="122"/>
  <c r="BR176" i="122"/>
  <c r="BS176" i="122"/>
  <c r="Q177" i="122" l="1"/>
  <c r="CX176" i="122"/>
  <c r="BE177" i="122" s="1"/>
  <c r="D177" i="122"/>
  <c r="CK176" i="122"/>
  <c r="AR177" i="122" s="1"/>
  <c r="P177" i="122"/>
  <c r="CW176" i="122"/>
  <c r="BD177" i="122" s="1"/>
  <c r="CQ176" i="122"/>
  <c r="AX177" i="122" s="1"/>
  <c r="J177" i="122"/>
  <c r="N177" i="122"/>
  <c r="CU176" i="122"/>
  <c r="BB177" i="122" s="1"/>
  <c r="R177" i="122"/>
  <c r="CY176" i="122"/>
  <c r="BF177" i="122" s="1"/>
  <c r="F177" i="122"/>
  <c r="CM176" i="122"/>
  <c r="AT177" i="122" s="1"/>
  <c r="CT176" i="122"/>
  <c r="BA177" i="122" s="1"/>
  <c r="M177" i="122"/>
  <c r="O177" i="122"/>
  <c r="CV176" i="122"/>
  <c r="BC177" i="122" s="1"/>
  <c r="K177" i="122"/>
  <c r="CR176" i="122"/>
  <c r="AY177" i="122" s="1"/>
  <c r="CL176" i="122"/>
  <c r="AS177" i="122" s="1"/>
  <c r="E177" i="122"/>
  <c r="L177" i="122"/>
  <c r="CS176" i="122"/>
  <c r="AZ177" i="122" s="1"/>
  <c r="U177" i="122"/>
  <c r="DB176" i="122"/>
  <c r="BI177" i="122" s="1"/>
  <c r="B177" i="122"/>
  <c r="CI176" i="122"/>
  <c r="I177" i="122"/>
  <c r="CP176" i="122"/>
  <c r="AW177" i="122" s="1"/>
  <c r="CN176" i="122"/>
  <c r="AU177" i="122" s="1"/>
  <c r="G177" i="122"/>
  <c r="CZ176" i="122"/>
  <c r="BG177" i="122" s="1"/>
  <c r="S177" i="122"/>
  <c r="DA176" i="122"/>
  <c r="BH177" i="122" s="1"/>
  <c r="T177" i="122"/>
  <c r="CO176" i="122"/>
  <c r="AV177" i="122" s="1"/>
  <c r="H177" i="122"/>
  <c r="C177" i="122"/>
  <c r="CJ176" i="122"/>
  <c r="AQ177" i="122" s="1"/>
  <c r="BK177" i="122" l="1"/>
  <c r="DE176" i="122"/>
  <c r="AP177" i="122"/>
  <c r="BJ177" i="122" s="1"/>
  <c r="DC177" i="122" s="1"/>
  <c r="BN177" i="122"/>
  <c r="CH177" i="122" s="1"/>
  <c r="DB177" i="122" l="1"/>
  <c r="BI178" i="122" s="1"/>
  <c r="U178" i="122"/>
  <c r="BT177" i="122"/>
  <c r="BV177" i="122"/>
  <c r="BP177" i="122"/>
  <c r="BU177" i="122"/>
  <c r="BZ177" i="122"/>
  <c r="DD177" i="122"/>
  <c r="BL178" i="122"/>
  <c r="BR177" i="122"/>
  <c r="CC177" i="122"/>
  <c r="CD177" i="122"/>
  <c r="BQ177" i="122"/>
  <c r="CE177" i="122"/>
  <c r="BS177" i="122"/>
  <c r="BX177" i="122"/>
  <c r="CG177" i="122"/>
  <c r="CA177" i="122"/>
  <c r="CB177" i="122"/>
  <c r="BO177" i="122"/>
  <c r="BW177" i="122"/>
  <c r="CF177" i="122"/>
  <c r="BY177" i="122"/>
  <c r="N178" i="122" l="1"/>
  <c r="CU177" i="122"/>
  <c r="BB178" i="122" s="1"/>
  <c r="Q178" i="122"/>
  <c r="CX177" i="122"/>
  <c r="BE178" i="122" s="1"/>
  <c r="CO177" i="122"/>
  <c r="AV178" i="122" s="1"/>
  <c r="H178" i="122"/>
  <c r="CS177" i="122"/>
  <c r="AZ178" i="122" s="1"/>
  <c r="L178" i="122"/>
  <c r="DA177" i="122"/>
  <c r="BH178" i="122" s="1"/>
  <c r="T178" i="122"/>
  <c r="P178" i="122"/>
  <c r="CW177" i="122"/>
  <c r="BD178" i="122" s="1"/>
  <c r="CJ177" i="122"/>
  <c r="AQ178" i="122" s="1"/>
  <c r="C178" i="122"/>
  <c r="S178" i="122"/>
  <c r="CZ177" i="122"/>
  <c r="BG178" i="122" s="1"/>
  <c r="CR177" i="122"/>
  <c r="AY178" i="122" s="1"/>
  <c r="K178" i="122"/>
  <c r="CL177" i="122"/>
  <c r="AS178" i="122" s="1"/>
  <c r="E178" i="122"/>
  <c r="I178" i="122"/>
  <c r="CP177" i="122"/>
  <c r="AW178" i="122" s="1"/>
  <c r="J178" i="122"/>
  <c r="CQ177" i="122"/>
  <c r="AX178" i="122" s="1"/>
  <c r="F178" i="122"/>
  <c r="CM177" i="122"/>
  <c r="AT178" i="122" s="1"/>
  <c r="G178" i="122"/>
  <c r="CN177" i="122"/>
  <c r="AU178" i="122" s="1"/>
  <c r="CI177" i="122"/>
  <c r="B178" i="122"/>
  <c r="R178" i="122"/>
  <c r="CY177" i="122"/>
  <c r="BF178" i="122" s="1"/>
  <c r="CV177" i="122"/>
  <c r="BC178" i="122" s="1"/>
  <c r="O178" i="122"/>
  <c r="D178" i="122"/>
  <c r="CK177" i="122"/>
  <c r="AR178" i="122" s="1"/>
  <c r="M178" i="122"/>
  <c r="CT177" i="122"/>
  <c r="BA178" i="122" s="1"/>
  <c r="BK178" i="122" l="1"/>
  <c r="BN178" i="122"/>
  <c r="CH178" i="122" s="1"/>
  <c r="DE177" i="122"/>
  <c r="AP178" i="122"/>
  <c r="BJ178" i="122" s="1"/>
  <c r="DC178" i="122" s="1"/>
  <c r="CB178" i="122" l="1"/>
  <c r="BQ178" i="122"/>
  <c r="BW178" i="122"/>
  <c r="CQ178" i="122" s="1"/>
  <c r="AX179" i="122" s="1"/>
  <c r="CD178" i="122"/>
  <c r="CX178" i="122" s="1"/>
  <c r="BE179" i="122" s="1"/>
  <c r="BZ178" i="122"/>
  <c r="CT178" i="122" s="1"/>
  <c r="BA179" i="122" s="1"/>
  <c r="BT178" i="122"/>
  <c r="CN178" i="122" s="1"/>
  <c r="AU179" i="122" s="1"/>
  <c r="BY178" i="122"/>
  <c r="CS178" i="122" s="1"/>
  <c r="AZ179" i="122" s="1"/>
  <c r="BL179" i="122"/>
  <c r="DD178" i="122"/>
  <c r="D179" i="122"/>
  <c r="CK178" i="122"/>
  <c r="AR179" i="122" s="1"/>
  <c r="BP178" i="122"/>
  <c r="CF178" i="122"/>
  <c r="BU178" i="122"/>
  <c r="L179" i="122"/>
  <c r="CA178" i="122"/>
  <c r="BS178" i="122"/>
  <c r="BR178" i="122"/>
  <c r="CG178" i="122"/>
  <c r="BX178" i="122"/>
  <c r="CE178" i="122"/>
  <c r="BV178" i="122"/>
  <c r="CC178" i="122"/>
  <c r="BO178" i="122"/>
  <c r="CV178" i="122"/>
  <c r="BC179" i="122" s="1"/>
  <c r="O179" i="122"/>
  <c r="DB178" i="122"/>
  <c r="BI179" i="122" s="1"/>
  <c r="U179" i="122"/>
  <c r="Q179" i="122" l="1"/>
  <c r="M179" i="122"/>
  <c r="J179" i="122"/>
  <c r="G179" i="122"/>
  <c r="N179" i="122"/>
  <c r="CU178" i="122"/>
  <c r="BB179" i="122" s="1"/>
  <c r="S179" i="122"/>
  <c r="CZ178" i="122"/>
  <c r="BG179" i="122" s="1"/>
  <c r="C179" i="122"/>
  <c r="CJ178" i="122"/>
  <c r="AQ179" i="122" s="1"/>
  <c r="CI178" i="122"/>
  <c r="B179" i="122"/>
  <c r="K179" i="122"/>
  <c r="CR178" i="122"/>
  <c r="AY179" i="122" s="1"/>
  <c r="P179" i="122"/>
  <c r="CW178" i="122"/>
  <c r="BD179" i="122" s="1"/>
  <c r="DA178" i="122"/>
  <c r="BH179" i="122" s="1"/>
  <c r="T179" i="122"/>
  <c r="I179" i="122"/>
  <c r="CP178" i="122"/>
  <c r="AW179" i="122" s="1"/>
  <c r="E179" i="122"/>
  <c r="CL178" i="122"/>
  <c r="AS179" i="122" s="1"/>
  <c r="R179" i="122"/>
  <c r="CY178" i="122"/>
  <c r="BF179" i="122" s="1"/>
  <c r="BK179" i="122" s="1"/>
  <c r="F179" i="122"/>
  <c r="CM178" i="122"/>
  <c r="AT179" i="122" s="1"/>
  <c r="CO178" i="122"/>
  <c r="AV179" i="122" s="1"/>
  <c r="H179" i="122"/>
  <c r="AP179" i="122" l="1"/>
  <c r="BJ179" i="122" s="1"/>
  <c r="DC179" i="122" s="1"/>
  <c r="DE178" i="122"/>
  <c r="BN179" i="122"/>
  <c r="BP179" i="122" s="1"/>
  <c r="CJ179" i="122" l="1"/>
  <c r="AQ180" i="122" s="1"/>
  <c r="C180" i="122"/>
  <c r="CG179" i="122"/>
  <c r="CC179" i="122"/>
  <c r="BR179" i="122"/>
  <c r="BV179" i="122"/>
  <c r="CE179" i="122"/>
  <c r="CF179" i="122"/>
  <c r="BX179" i="122"/>
  <c r="BO179" i="122"/>
  <c r="BL180" i="122"/>
  <c r="DD179" i="122"/>
  <c r="CA179" i="122"/>
  <c r="CH179" i="122"/>
  <c r="BZ179" i="122"/>
  <c r="BY179" i="122"/>
  <c r="BT179" i="122"/>
  <c r="BQ179" i="122"/>
  <c r="CD179" i="122"/>
  <c r="CB179" i="122"/>
  <c r="BW179" i="122"/>
  <c r="BU179" i="122"/>
  <c r="BS179" i="122"/>
  <c r="CK179" i="122" l="1"/>
  <c r="AR180" i="122" s="1"/>
  <c r="D180" i="122"/>
  <c r="I180" i="122"/>
  <c r="CP179" i="122"/>
  <c r="AW180" i="122" s="1"/>
  <c r="CM179" i="122"/>
  <c r="AT180" i="122" s="1"/>
  <c r="F180" i="122"/>
  <c r="CN179" i="122"/>
  <c r="AU180" i="122" s="1"/>
  <c r="G180" i="122"/>
  <c r="E180" i="122"/>
  <c r="CL179" i="122"/>
  <c r="AS180" i="122" s="1"/>
  <c r="H180" i="122"/>
  <c r="CO179" i="122"/>
  <c r="AV180" i="122" s="1"/>
  <c r="CS179" i="122"/>
  <c r="AZ180" i="122" s="1"/>
  <c r="L180" i="122"/>
  <c r="B180" i="122"/>
  <c r="CI179" i="122"/>
  <c r="P180" i="122"/>
  <c r="CW179" i="122"/>
  <c r="BD180" i="122" s="1"/>
  <c r="CQ179" i="122"/>
  <c r="AX180" i="122" s="1"/>
  <c r="J180" i="122"/>
  <c r="CT179" i="122"/>
  <c r="BA180" i="122" s="1"/>
  <c r="M180" i="122"/>
  <c r="CR179" i="122"/>
  <c r="AY180" i="122" s="1"/>
  <c r="K180" i="122"/>
  <c r="T180" i="122"/>
  <c r="DA179" i="122"/>
  <c r="BH180" i="122" s="1"/>
  <c r="CV179" i="122"/>
  <c r="BC180" i="122" s="1"/>
  <c r="O180" i="122"/>
  <c r="DB179" i="122"/>
  <c r="BI180" i="122" s="1"/>
  <c r="U180" i="122"/>
  <c r="CZ179" i="122"/>
  <c r="BG180" i="122" s="1"/>
  <c r="S180" i="122"/>
  <c r="CX179" i="122"/>
  <c r="BE180" i="122" s="1"/>
  <c r="Q180" i="122"/>
  <c r="CU179" i="122"/>
  <c r="BB180" i="122" s="1"/>
  <c r="N180" i="122"/>
  <c r="CY179" i="122"/>
  <c r="BF180" i="122" s="1"/>
  <c r="R180" i="122"/>
  <c r="BK180" i="122" l="1"/>
  <c r="DE179" i="122"/>
  <c r="AP180" i="122"/>
  <c r="BJ180" i="122" s="1"/>
  <c r="DC180" i="122" s="1"/>
  <c r="BN180" i="122"/>
  <c r="BU180" i="122" s="1"/>
  <c r="H181" i="122" l="1"/>
  <c r="CO180" i="122"/>
  <c r="AV181" i="122" s="1"/>
  <c r="BT180" i="122"/>
  <c r="BR180" i="122"/>
  <c r="CB180" i="122"/>
  <c r="BY180" i="122"/>
  <c r="BO180" i="122"/>
  <c r="CH180" i="122"/>
  <c r="BP180" i="122"/>
  <c r="CC180" i="122"/>
  <c r="CF180" i="122"/>
  <c r="CD180" i="122"/>
  <c r="BW180" i="122"/>
  <c r="CG180" i="122"/>
  <c r="BS180" i="122"/>
  <c r="BL181" i="122"/>
  <c r="DD180" i="122"/>
  <c r="CA180" i="122"/>
  <c r="CE180" i="122"/>
  <c r="BQ180" i="122"/>
  <c r="BV180" i="122"/>
  <c r="BZ180" i="122"/>
  <c r="BX180" i="122"/>
  <c r="N181" i="122" l="1"/>
  <c r="CU180" i="122"/>
  <c r="BB181" i="122" s="1"/>
  <c r="CX180" i="122"/>
  <c r="BE181" i="122" s="1"/>
  <c r="Q181" i="122"/>
  <c r="CS180" i="122"/>
  <c r="AZ181" i="122" s="1"/>
  <c r="L181" i="122"/>
  <c r="CR180" i="122"/>
  <c r="AY181" i="122" s="1"/>
  <c r="K181" i="122"/>
  <c r="CZ180" i="122"/>
  <c r="BG181" i="122" s="1"/>
  <c r="S181" i="122"/>
  <c r="O181" i="122"/>
  <c r="CV180" i="122"/>
  <c r="BC181" i="122" s="1"/>
  <c r="M181" i="122"/>
  <c r="CT180" i="122"/>
  <c r="BA181" i="122" s="1"/>
  <c r="P181" i="122"/>
  <c r="CW180" i="122"/>
  <c r="BD181" i="122" s="1"/>
  <c r="E181" i="122"/>
  <c r="CL180" i="122"/>
  <c r="AS181" i="122" s="1"/>
  <c r="F181" i="122"/>
  <c r="CM180" i="122"/>
  <c r="AT181" i="122" s="1"/>
  <c r="CJ180" i="122"/>
  <c r="AQ181" i="122" s="1"/>
  <c r="C181" i="122"/>
  <c r="G181" i="122"/>
  <c r="CN180" i="122"/>
  <c r="AU181" i="122" s="1"/>
  <c r="CP180" i="122"/>
  <c r="AW181" i="122" s="1"/>
  <c r="I181" i="122"/>
  <c r="CK180" i="122"/>
  <c r="AR181" i="122" s="1"/>
  <c r="D181" i="122"/>
  <c r="DA180" i="122"/>
  <c r="BH181" i="122" s="1"/>
  <c r="T181" i="122"/>
  <c r="DB180" i="122"/>
  <c r="BI181" i="122" s="1"/>
  <c r="U181" i="122"/>
  <c r="CY180" i="122"/>
  <c r="BF181" i="122" s="1"/>
  <c r="R181" i="122"/>
  <c r="J181" i="122"/>
  <c r="CQ180" i="122"/>
  <c r="AX181" i="122" s="1"/>
  <c r="CI180" i="122"/>
  <c r="B181" i="122"/>
  <c r="BK181" i="122" l="1"/>
  <c r="BN181" i="122"/>
  <c r="BU181" i="122" s="1"/>
  <c r="DE180" i="122"/>
  <c r="AP181" i="122"/>
  <c r="BJ181" i="122" s="1"/>
  <c r="DC181" i="122" s="1"/>
  <c r="H182" i="122" l="1"/>
  <c r="CO181" i="122"/>
  <c r="AV182" i="122" s="1"/>
  <c r="BQ181" i="122"/>
  <c r="BW181" i="122"/>
  <c r="CC181" i="122"/>
  <c r="CB181" i="122"/>
  <c r="CA181" i="122"/>
  <c r="BX181" i="122"/>
  <c r="CE181" i="122"/>
  <c r="BR181" i="122"/>
  <c r="BZ181" i="122"/>
  <c r="BV181" i="122"/>
  <c r="CD181" i="122"/>
  <c r="BT181" i="122"/>
  <c r="BS181" i="122"/>
  <c r="CH181" i="122"/>
  <c r="CF181" i="122"/>
  <c r="CG181" i="122"/>
  <c r="BL182" i="122"/>
  <c r="DD181" i="122"/>
  <c r="BO181" i="122"/>
  <c r="BP181" i="122"/>
  <c r="BY181" i="122"/>
  <c r="DA181" i="122" l="1"/>
  <c r="BH182" i="122" s="1"/>
  <c r="T182" i="122"/>
  <c r="I182" i="122"/>
  <c r="CP181" i="122"/>
  <c r="AW182" i="122" s="1"/>
  <c r="O182" i="122"/>
  <c r="CV181" i="122"/>
  <c r="BC182" i="122" s="1"/>
  <c r="S182" i="122"/>
  <c r="CZ181" i="122"/>
  <c r="BG182" i="122" s="1"/>
  <c r="CT181" i="122"/>
  <c r="BA182" i="122" s="1"/>
  <c r="M182" i="122"/>
  <c r="P182" i="122"/>
  <c r="CW181" i="122"/>
  <c r="BD182" i="122" s="1"/>
  <c r="C182" i="122"/>
  <c r="CJ181" i="122"/>
  <c r="AQ182" i="122" s="1"/>
  <c r="U182" i="122"/>
  <c r="DB181" i="122"/>
  <c r="BI182" i="122" s="1"/>
  <c r="CL181" i="122"/>
  <c r="AS182" i="122" s="1"/>
  <c r="E182" i="122"/>
  <c r="CQ181" i="122"/>
  <c r="AX182" i="122" s="1"/>
  <c r="J182" i="122"/>
  <c r="R182" i="122"/>
  <c r="CY181" i="122"/>
  <c r="BF182" i="122" s="1"/>
  <c r="CK181" i="122"/>
  <c r="AR182" i="122" s="1"/>
  <c r="D182" i="122"/>
  <c r="CI181" i="122"/>
  <c r="B182" i="122"/>
  <c r="G182" i="122"/>
  <c r="CN181" i="122"/>
  <c r="AU182" i="122" s="1"/>
  <c r="CR181" i="122"/>
  <c r="AY182" i="122" s="1"/>
  <c r="K182" i="122"/>
  <c r="L182" i="122"/>
  <c r="CS181" i="122"/>
  <c r="AZ182" i="122" s="1"/>
  <c r="F182" i="122"/>
  <c r="CM181" i="122"/>
  <c r="AT182" i="122" s="1"/>
  <c r="Q182" i="122"/>
  <c r="CX181" i="122"/>
  <c r="BE182" i="122" s="1"/>
  <c r="CU181" i="122"/>
  <c r="BB182" i="122" s="1"/>
  <c r="N182" i="122"/>
  <c r="BK182" i="122" l="1"/>
  <c r="BN182" i="122"/>
  <c r="CB182" i="122" s="1"/>
  <c r="DE181" i="122"/>
  <c r="AP182" i="122"/>
  <c r="BJ182" i="122" s="1"/>
  <c r="DC182" i="122" s="1"/>
  <c r="CV182" i="122" l="1"/>
  <c r="BC183" i="122" s="1"/>
  <c r="O183" i="122"/>
  <c r="CG182" i="122"/>
  <c r="CD182" i="122"/>
  <c r="BZ182" i="122"/>
  <c r="BW182" i="122"/>
  <c r="BV182" i="122"/>
  <c r="BR182" i="122"/>
  <c r="BP182" i="122"/>
  <c r="BO182" i="122"/>
  <c r="CH182" i="122"/>
  <c r="CF182" i="122"/>
  <c r="BU182" i="122"/>
  <c r="CE182" i="122"/>
  <c r="CC182" i="122"/>
  <c r="DD182" i="122"/>
  <c r="BL183" i="122"/>
  <c r="CA182" i="122"/>
  <c r="BS182" i="122"/>
  <c r="BY182" i="122"/>
  <c r="BT182" i="122"/>
  <c r="BQ182" i="122"/>
  <c r="BX182" i="122"/>
  <c r="N183" i="122" l="1"/>
  <c r="CU182" i="122"/>
  <c r="BB183" i="122" s="1"/>
  <c r="S183" i="122"/>
  <c r="CZ182" i="122"/>
  <c r="BG183" i="122" s="1"/>
  <c r="CQ182" i="122"/>
  <c r="AX183" i="122" s="1"/>
  <c r="J183" i="122"/>
  <c r="CR182" i="122"/>
  <c r="AY183" i="122" s="1"/>
  <c r="K183" i="122"/>
  <c r="DB182" i="122"/>
  <c r="BI183" i="122" s="1"/>
  <c r="U183" i="122"/>
  <c r="M183" i="122"/>
  <c r="CT182" i="122"/>
  <c r="BA183" i="122" s="1"/>
  <c r="D183" i="122"/>
  <c r="CK182" i="122"/>
  <c r="AR183" i="122" s="1"/>
  <c r="B183" i="122"/>
  <c r="CI182" i="122"/>
  <c r="CX182" i="122"/>
  <c r="BE183" i="122" s="1"/>
  <c r="Q183" i="122"/>
  <c r="G183" i="122"/>
  <c r="CN182" i="122"/>
  <c r="AU183" i="122" s="1"/>
  <c r="P183" i="122"/>
  <c r="CW182" i="122"/>
  <c r="BD183" i="122" s="1"/>
  <c r="CJ182" i="122"/>
  <c r="AQ183" i="122" s="1"/>
  <c r="C183" i="122"/>
  <c r="T183" i="122"/>
  <c r="DA182" i="122"/>
  <c r="BH183" i="122" s="1"/>
  <c r="L183" i="122"/>
  <c r="CS182" i="122"/>
  <c r="AZ183" i="122" s="1"/>
  <c r="CY182" i="122"/>
  <c r="BF183" i="122" s="1"/>
  <c r="R183" i="122"/>
  <c r="CL182" i="122"/>
  <c r="AS183" i="122" s="1"/>
  <c r="E183" i="122"/>
  <c r="F183" i="122"/>
  <c r="CM182" i="122"/>
  <c r="AT183" i="122" s="1"/>
  <c r="H183" i="122"/>
  <c r="CO182" i="122"/>
  <c r="AV183" i="122" s="1"/>
  <c r="I183" i="122"/>
  <c r="CP182" i="122"/>
  <c r="AW183" i="122" s="1"/>
  <c r="BK183" i="122" l="1"/>
  <c r="DE182" i="122"/>
  <c r="AP183" i="122"/>
  <c r="BJ183" i="122" s="1"/>
  <c r="DC183" i="122" s="1"/>
  <c r="BN183" i="122"/>
  <c r="BP183" i="122" s="1"/>
  <c r="CJ183" i="122" l="1"/>
  <c r="AQ184" i="122" s="1"/>
  <c r="C184" i="122"/>
  <c r="BX183" i="122"/>
  <c r="BY183" i="122"/>
  <c r="BZ183" i="122"/>
  <c r="CC183" i="122"/>
  <c r="BR183" i="122"/>
  <c r="BS183" i="122"/>
  <c r="BW183" i="122"/>
  <c r="CG183" i="122"/>
  <c r="CA183" i="122"/>
  <c r="BV183" i="122"/>
  <c r="BU183" i="122"/>
  <c r="CD183" i="122"/>
  <c r="BT183" i="122"/>
  <c r="BQ183" i="122"/>
  <c r="BO183" i="122"/>
  <c r="CH183" i="122"/>
  <c r="CF183" i="122"/>
  <c r="CB183" i="122"/>
  <c r="BL184" i="122"/>
  <c r="DD183" i="122"/>
  <c r="CE183" i="122"/>
  <c r="CY183" i="122" l="1"/>
  <c r="BF184" i="122" s="1"/>
  <c r="R184" i="122"/>
  <c r="B184" i="122"/>
  <c r="CI183" i="122"/>
  <c r="CU183" i="122"/>
  <c r="BB184" i="122" s="1"/>
  <c r="N184" i="122"/>
  <c r="CT183" i="122"/>
  <c r="BA184" i="122" s="1"/>
  <c r="M184" i="122"/>
  <c r="CP183" i="122"/>
  <c r="AW184" i="122" s="1"/>
  <c r="I184" i="122"/>
  <c r="CK183" i="122"/>
  <c r="AR184" i="122" s="1"/>
  <c r="D184" i="122"/>
  <c r="DA183" i="122"/>
  <c r="BH184" i="122" s="1"/>
  <c r="T184" i="122"/>
  <c r="L184" i="122"/>
  <c r="CS183" i="122"/>
  <c r="AZ184" i="122" s="1"/>
  <c r="CW183" i="122"/>
  <c r="BD184" i="122" s="1"/>
  <c r="P184" i="122"/>
  <c r="G184" i="122"/>
  <c r="CN183" i="122"/>
  <c r="AU184" i="122" s="1"/>
  <c r="J184" i="122"/>
  <c r="CQ183" i="122"/>
  <c r="AX184" i="122" s="1"/>
  <c r="CR183" i="122"/>
  <c r="AY184" i="122" s="1"/>
  <c r="K184" i="122"/>
  <c r="U184" i="122"/>
  <c r="DB183" i="122"/>
  <c r="BI184" i="122" s="1"/>
  <c r="Q184" i="122"/>
  <c r="CX183" i="122"/>
  <c r="BE184" i="122" s="1"/>
  <c r="F184" i="122"/>
  <c r="CM183" i="122"/>
  <c r="AT184" i="122" s="1"/>
  <c r="O184" i="122"/>
  <c r="CV183" i="122"/>
  <c r="BC184" i="122" s="1"/>
  <c r="CZ183" i="122"/>
  <c r="BG184" i="122" s="1"/>
  <c r="S184" i="122"/>
  <c r="H184" i="122"/>
  <c r="CO183" i="122"/>
  <c r="AV184" i="122" s="1"/>
  <c r="CL183" i="122"/>
  <c r="AS184" i="122" s="1"/>
  <c r="E184" i="122"/>
  <c r="BK184" i="122" l="1"/>
  <c r="DE183" i="122"/>
  <c r="AP184" i="122"/>
  <c r="BJ184" i="122" s="1"/>
  <c r="DC184" i="122" s="1"/>
  <c r="BN184" i="122"/>
  <c r="CA184" i="122" s="1"/>
  <c r="N185" i="122" l="1"/>
  <c r="CU184" i="122"/>
  <c r="BB185" i="122" s="1"/>
  <c r="BV184" i="122"/>
  <c r="CG184" i="122"/>
  <c r="BY184" i="122"/>
  <c r="BS184" i="122"/>
  <c r="BZ184" i="122"/>
  <c r="CB184" i="122"/>
  <c r="BW184" i="122"/>
  <c r="CF184" i="122"/>
  <c r="BP184" i="122"/>
  <c r="BT184" i="122"/>
  <c r="BR184" i="122"/>
  <c r="CD184" i="122"/>
  <c r="BQ184" i="122"/>
  <c r="BX184" i="122"/>
  <c r="BL185" i="122"/>
  <c r="DD184" i="122"/>
  <c r="CC184" i="122"/>
  <c r="CH184" i="122"/>
  <c r="CE184" i="122"/>
  <c r="BO184" i="122"/>
  <c r="BU184" i="122"/>
  <c r="CO184" i="122" l="1"/>
  <c r="AV185" i="122" s="1"/>
  <c r="H185" i="122"/>
  <c r="CJ184" i="122"/>
  <c r="AQ185" i="122" s="1"/>
  <c r="C185" i="122"/>
  <c r="CS184" i="122"/>
  <c r="AZ185" i="122" s="1"/>
  <c r="L185" i="122"/>
  <c r="B185" i="122"/>
  <c r="CI184" i="122"/>
  <c r="CR184" i="122"/>
  <c r="AY185" i="122" s="1"/>
  <c r="K185" i="122"/>
  <c r="S185" i="122"/>
  <c r="CZ184" i="122"/>
  <c r="BG185" i="122" s="1"/>
  <c r="DA184" i="122"/>
  <c r="BH185" i="122" s="1"/>
  <c r="T185" i="122"/>
  <c r="F185" i="122"/>
  <c r="CM184" i="122"/>
  <c r="AT185" i="122" s="1"/>
  <c r="R185" i="122"/>
  <c r="CY184" i="122"/>
  <c r="BF185" i="122" s="1"/>
  <c r="CK184" i="122"/>
  <c r="AR185" i="122" s="1"/>
  <c r="D185" i="122"/>
  <c r="CQ184" i="122"/>
  <c r="AX185" i="122" s="1"/>
  <c r="J185" i="122"/>
  <c r="I185" i="122"/>
  <c r="CP184" i="122"/>
  <c r="AW185" i="122" s="1"/>
  <c r="G185" i="122"/>
  <c r="CN184" i="122"/>
  <c r="AU185" i="122" s="1"/>
  <c r="DB184" i="122"/>
  <c r="BI185" i="122" s="1"/>
  <c r="U185" i="122"/>
  <c r="CX184" i="122"/>
  <c r="BE185" i="122" s="1"/>
  <c r="Q185" i="122"/>
  <c r="CV184" i="122"/>
  <c r="BC185" i="122" s="1"/>
  <c r="O185" i="122"/>
  <c r="P185" i="122"/>
  <c r="CW184" i="122"/>
  <c r="BD185" i="122" s="1"/>
  <c r="CL184" i="122"/>
  <c r="AS185" i="122" s="1"/>
  <c r="E185" i="122"/>
  <c r="M185" i="122"/>
  <c r="CT184" i="122"/>
  <c r="BA185" i="122" s="1"/>
  <c r="DE184" i="122" l="1"/>
  <c r="AP185" i="122"/>
  <c r="BJ185" i="122" s="1"/>
  <c r="DC185" i="122" s="1"/>
  <c r="BK185" i="122"/>
  <c r="BN185" i="122"/>
  <c r="BR185" i="122" s="1"/>
  <c r="CL185" i="122" l="1"/>
  <c r="AS186" i="122" s="1"/>
  <c r="E186" i="122"/>
  <c r="BZ185" i="122"/>
  <c r="CB185" i="122"/>
  <c r="BP185" i="122"/>
  <c r="BU185" i="122"/>
  <c r="CH185" i="122"/>
  <c r="BX185" i="122"/>
  <c r="DD185" i="122"/>
  <c r="BL186" i="122"/>
  <c r="BV185" i="122"/>
  <c r="BW185" i="122"/>
  <c r="BO185" i="122"/>
  <c r="BY185" i="122"/>
  <c r="CF185" i="122"/>
  <c r="CA185" i="122"/>
  <c r="BT185" i="122"/>
  <c r="CG185" i="122"/>
  <c r="BS185" i="122"/>
  <c r="CE185" i="122"/>
  <c r="BQ185" i="122"/>
  <c r="CC185" i="122"/>
  <c r="CD185" i="122"/>
  <c r="Q186" i="122" l="1"/>
  <c r="CX185" i="122"/>
  <c r="BE186" i="122" s="1"/>
  <c r="CN185" i="122"/>
  <c r="AU186" i="122" s="1"/>
  <c r="G186" i="122"/>
  <c r="CP185" i="122"/>
  <c r="AW186" i="122" s="1"/>
  <c r="I186" i="122"/>
  <c r="C186" i="122"/>
  <c r="CJ185" i="122"/>
  <c r="AQ186" i="122" s="1"/>
  <c r="CW185" i="122"/>
  <c r="BD186" i="122" s="1"/>
  <c r="P186" i="122"/>
  <c r="CU185" i="122"/>
  <c r="BB186" i="122" s="1"/>
  <c r="N186" i="122"/>
  <c r="O186" i="122"/>
  <c r="CV185" i="122"/>
  <c r="BC186" i="122" s="1"/>
  <c r="DA185" i="122"/>
  <c r="BH186" i="122" s="1"/>
  <c r="T186" i="122"/>
  <c r="CK185" i="122"/>
  <c r="AR186" i="122" s="1"/>
  <c r="D186" i="122"/>
  <c r="S186" i="122"/>
  <c r="CZ185" i="122"/>
  <c r="BG186" i="122" s="1"/>
  <c r="CT185" i="122"/>
  <c r="BA186" i="122" s="1"/>
  <c r="M186" i="122"/>
  <c r="CQ185" i="122"/>
  <c r="AX186" i="122" s="1"/>
  <c r="J186" i="122"/>
  <c r="L186" i="122"/>
  <c r="CS185" i="122"/>
  <c r="AZ186" i="122" s="1"/>
  <c r="K186" i="122"/>
  <c r="CR185" i="122"/>
  <c r="AY186" i="122" s="1"/>
  <c r="H186" i="122"/>
  <c r="CO185" i="122"/>
  <c r="AV186" i="122" s="1"/>
  <c r="CY185" i="122"/>
  <c r="BF186" i="122" s="1"/>
  <c r="R186" i="122"/>
  <c r="CM185" i="122"/>
  <c r="AT186" i="122" s="1"/>
  <c r="F186" i="122"/>
  <c r="B186" i="122"/>
  <c r="CI185" i="122"/>
  <c r="DB185" i="122"/>
  <c r="BI186" i="122" s="1"/>
  <c r="U186" i="122"/>
  <c r="BK186" i="122" l="1"/>
  <c r="BN186" i="122"/>
  <c r="BS186" i="122" s="1"/>
  <c r="DE185" i="122"/>
  <c r="AP186" i="122"/>
  <c r="BJ186" i="122" s="1"/>
  <c r="DC186" i="122" s="1"/>
  <c r="BU186" i="122" l="1"/>
  <c r="BX186" i="122"/>
  <c r="CB186" i="122"/>
  <c r="CV186" i="122" s="1"/>
  <c r="BC187" i="122" s="1"/>
  <c r="BY186" i="122"/>
  <c r="CS186" i="122" s="1"/>
  <c r="AZ187" i="122" s="1"/>
  <c r="BT186" i="122"/>
  <c r="G187" i="122" s="1"/>
  <c r="F187" i="122"/>
  <c r="CM186" i="122"/>
  <c r="AT187" i="122" s="1"/>
  <c r="BL187" i="122"/>
  <c r="DD186" i="122"/>
  <c r="CE186" i="122"/>
  <c r="CC186" i="122"/>
  <c r="BV186" i="122"/>
  <c r="CG186" i="122"/>
  <c r="CD186" i="122"/>
  <c r="CH186" i="122"/>
  <c r="BQ186" i="122"/>
  <c r="BZ186" i="122"/>
  <c r="CR186" i="122"/>
  <c r="AY187" i="122" s="1"/>
  <c r="K187" i="122"/>
  <c r="BP186" i="122"/>
  <c r="CA186" i="122"/>
  <c r="BO186" i="122"/>
  <c r="O187" i="122"/>
  <c r="CO186" i="122"/>
  <c r="AV187" i="122" s="1"/>
  <c r="H187" i="122"/>
  <c r="CF186" i="122"/>
  <c r="BR186" i="122"/>
  <c r="BW186" i="122"/>
  <c r="CN186" i="122" l="1"/>
  <c r="AU187" i="122" s="1"/>
  <c r="L187" i="122"/>
  <c r="CY186" i="122"/>
  <c r="BF187" i="122" s="1"/>
  <c r="R187" i="122"/>
  <c r="CT186" i="122"/>
  <c r="BA187" i="122" s="1"/>
  <c r="M187" i="122"/>
  <c r="T187" i="122"/>
  <c r="DA186" i="122"/>
  <c r="BH187" i="122" s="1"/>
  <c r="P187" i="122"/>
  <c r="CW186" i="122"/>
  <c r="BD187" i="122" s="1"/>
  <c r="CL186" i="122"/>
  <c r="AS187" i="122" s="1"/>
  <c r="E187" i="122"/>
  <c r="CI186" i="122"/>
  <c r="B187" i="122"/>
  <c r="CK186" i="122"/>
  <c r="AR187" i="122" s="1"/>
  <c r="D187" i="122"/>
  <c r="CP186" i="122"/>
  <c r="AW187" i="122" s="1"/>
  <c r="I187" i="122"/>
  <c r="J187" i="122"/>
  <c r="CQ186" i="122"/>
  <c r="AX187" i="122" s="1"/>
  <c r="CZ186" i="122"/>
  <c r="BG187" i="122" s="1"/>
  <c r="S187" i="122"/>
  <c r="DB186" i="122"/>
  <c r="BI187" i="122" s="1"/>
  <c r="U187" i="122"/>
  <c r="N187" i="122"/>
  <c r="CU186" i="122"/>
  <c r="BB187" i="122" s="1"/>
  <c r="CJ186" i="122"/>
  <c r="AQ187" i="122" s="1"/>
  <c r="C187" i="122"/>
  <c r="Q187" i="122"/>
  <c r="CX186" i="122"/>
  <c r="BE187" i="122" s="1"/>
  <c r="BK187" i="122" l="1"/>
  <c r="BN187" i="122"/>
  <c r="BQ187" i="122" s="1"/>
  <c r="AP187" i="122"/>
  <c r="BJ187" i="122" s="1"/>
  <c r="DC187" i="122" s="1"/>
  <c r="DE186" i="122"/>
  <c r="CK187" i="122" l="1"/>
  <c r="AR188" i="122" s="1"/>
  <c r="D188" i="122"/>
  <c r="CD187" i="122"/>
  <c r="CC187" i="122"/>
  <c r="BP187" i="122"/>
  <c r="CG187" i="122"/>
  <c r="BO187" i="122"/>
  <c r="CF187" i="122"/>
  <c r="CB187" i="122"/>
  <c r="BX187" i="122"/>
  <c r="BT187" i="122"/>
  <c r="BY187" i="122"/>
  <c r="BS187" i="122"/>
  <c r="BU187" i="122"/>
  <c r="CA187" i="122"/>
  <c r="DD187" i="122"/>
  <c r="BL188" i="122"/>
  <c r="BV187" i="122"/>
  <c r="CE187" i="122"/>
  <c r="BW187" i="122"/>
  <c r="CH187" i="122"/>
  <c r="BR187" i="122"/>
  <c r="BZ187" i="122"/>
  <c r="DA187" i="122" l="1"/>
  <c r="BH188" i="122" s="1"/>
  <c r="T188" i="122"/>
  <c r="M188" i="122"/>
  <c r="CT187" i="122"/>
  <c r="BA188" i="122" s="1"/>
  <c r="G188" i="122"/>
  <c r="CN187" i="122"/>
  <c r="AU188" i="122" s="1"/>
  <c r="CJ187" i="122"/>
  <c r="AQ188" i="122" s="1"/>
  <c r="C188" i="122"/>
  <c r="E188" i="122"/>
  <c r="CL187" i="122"/>
  <c r="AS188" i="122" s="1"/>
  <c r="CR187" i="122"/>
  <c r="AY188" i="122" s="1"/>
  <c r="K188" i="122"/>
  <c r="P188" i="122"/>
  <c r="CW187" i="122"/>
  <c r="BD188" i="122" s="1"/>
  <c r="L188" i="122"/>
  <c r="CS187" i="122"/>
  <c r="AZ188" i="122" s="1"/>
  <c r="U188" i="122"/>
  <c r="DB187" i="122"/>
  <c r="BI188" i="122" s="1"/>
  <c r="CU187" i="122"/>
  <c r="BB188" i="122" s="1"/>
  <c r="N188" i="122"/>
  <c r="O188" i="122"/>
  <c r="CV187" i="122"/>
  <c r="BC188" i="122" s="1"/>
  <c r="Q188" i="122"/>
  <c r="CX187" i="122"/>
  <c r="BE188" i="122" s="1"/>
  <c r="CQ187" i="122"/>
  <c r="AX188" i="122" s="1"/>
  <c r="J188" i="122"/>
  <c r="H188" i="122"/>
  <c r="CO187" i="122"/>
  <c r="AV188" i="122" s="1"/>
  <c r="CZ187" i="122"/>
  <c r="BG188" i="122" s="1"/>
  <c r="S188" i="122"/>
  <c r="CP187" i="122"/>
  <c r="AW188" i="122" s="1"/>
  <c r="I188" i="122"/>
  <c r="CY187" i="122"/>
  <c r="BF188" i="122" s="1"/>
  <c r="R188" i="122"/>
  <c r="CM187" i="122"/>
  <c r="AT188" i="122" s="1"/>
  <c r="F188" i="122"/>
  <c r="CI187" i="122"/>
  <c r="B188" i="122"/>
  <c r="BN188" i="122" l="1"/>
  <c r="BK188" i="122"/>
  <c r="DE187" i="122"/>
  <c r="AP188" i="122"/>
  <c r="BJ188" i="122" s="1"/>
  <c r="DC188" i="122" s="1"/>
  <c r="CF188" i="122" l="1"/>
  <c r="BQ188" i="122"/>
  <c r="BP188" i="122"/>
  <c r="BY188" i="122"/>
  <c r="CD188" i="122"/>
  <c r="BR188" i="122"/>
  <c r="CC188" i="122"/>
  <c r="CA188" i="122"/>
  <c r="CB188" i="122"/>
  <c r="BX188" i="122"/>
  <c r="CG188" i="122"/>
  <c r="BS188" i="122"/>
  <c r="BW188" i="122"/>
  <c r="BU188" i="122"/>
  <c r="CH188" i="122"/>
  <c r="BV188" i="122"/>
  <c r="CE188" i="122"/>
  <c r="DD188" i="122"/>
  <c r="BL189" i="122"/>
  <c r="BZ188" i="122"/>
  <c r="BO188" i="122"/>
  <c r="BT188" i="122"/>
  <c r="R189" i="122" l="1"/>
  <c r="CY188" i="122"/>
  <c r="BF189" i="122" s="1"/>
  <c r="DA188" i="122"/>
  <c r="BH189" i="122" s="1"/>
  <c r="T189" i="122"/>
  <c r="Q189" i="122"/>
  <c r="CX188" i="122"/>
  <c r="BE189" i="122" s="1"/>
  <c r="CL188" i="122"/>
  <c r="AS189" i="122" s="1"/>
  <c r="E189" i="122"/>
  <c r="G189" i="122"/>
  <c r="CN188" i="122"/>
  <c r="AU189" i="122" s="1"/>
  <c r="CP188" i="122"/>
  <c r="AW189" i="122" s="1"/>
  <c r="I189" i="122"/>
  <c r="CR188" i="122"/>
  <c r="AY189" i="122" s="1"/>
  <c r="K189" i="122"/>
  <c r="L189" i="122"/>
  <c r="CS188" i="122"/>
  <c r="AZ189" i="122" s="1"/>
  <c r="CI188" i="122"/>
  <c r="B189" i="122"/>
  <c r="U189" i="122"/>
  <c r="DB188" i="122"/>
  <c r="BI189" i="122" s="1"/>
  <c r="CV188" i="122"/>
  <c r="BC189" i="122" s="1"/>
  <c r="O189" i="122"/>
  <c r="CJ188" i="122"/>
  <c r="AQ189" i="122" s="1"/>
  <c r="C189" i="122"/>
  <c r="CM188" i="122"/>
  <c r="AT189" i="122" s="1"/>
  <c r="F189" i="122"/>
  <c r="H189" i="122"/>
  <c r="CO188" i="122"/>
  <c r="AV189" i="122" s="1"/>
  <c r="CU188" i="122"/>
  <c r="BB189" i="122" s="1"/>
  <c r="N189" i="122"/>
  <c r="CK188" i="122"/>
  <c r="AR189" i="122" s="1"/>
  <c r="D189" i="122"/>
  <c r="CT188" i="122"/>
  <c r="BA189" i="122" s="1"/>
  <c r="M189" i="122"/>
  <c r="CQ188" i="122"/>
  <c r="AX189" i="122" s="1"/>
  <c r="J189" i="122"/>
  <c r="CW188" i="122"/>
  <c r="BD189" i="122" s="1"/>
  <c r="P189" i="122"/>
  <c r="CZ188" i="122"/>
  <c r="BG189" i="122" s="1"/>
  <c r="S189" i="122"/>
  <c r="BK189" i="122" l="1"/>
  <c r="AP189" i="122"/>
  <c r="BJ189" i="122" s="1"/>
  <c r="DC189" i="122" s="1"/>
  <c r="DE188" i="122"/>
  <c r="BN189" i="122"/>
  <c r="CF189" i="122" s="1"/>
  <c r="BV189" i="122" l="1"/>
  <c r="BX189" i="122"/>
  <c r="BT189" i="122"/>
  <c r="CA189" i="122"/>
  <c r="BP189" i="122"/>
  <c r="CE189" i="122"/>
  <c r="BS189" i="122"/>
  <c r="BY189" i="122"/>
  <c r="CD189" i="122"/>
  <c r="BR189" i="122"/>
  <c r="CH189" i="122"/>
  <c r="BQ189" i="122"/>
  <c r="CG189" i="122"/>
  <c r="BO189" i="122"/>
  <c r="CC189" i="122"/>
  <c r="CB189" i="122"/>
  <c r="BL190" i="122"/>
  <c r="DD189" i="122"/>
  <c r="S190" i="122"/>
  <c r="CZ189" i="122"/>
  <c r="BG190" i="122" s="1"/>
  <c r="BU189" i="122"/>
  <c r="BZ189" i="122"/>
  <c r="BW189" i="122"/>
  <c r="CQ189" i="122" l="1"/>
  <c r="AX190" i="122" s="1"/>
  <c r="J190" i="122"/>
  <c r="U190" i="122"/>
  <c r="DB189" i="122"/>
  <c r="BI190" i="122" s="1"/>
  <c r="C190" i="122"/>
  <c r="CJ189" i="122"/>
  <c r="AQ190" i="122" s="1"/>
  <c r="R190" i="122"/>
  <c r="CY189" i="122"/>
  <c r="BF190" i="122" s="1"/>
  <c r="CT189" i="122"/>
  <c r="BA190" i="122" s="1"/>
  <c r="M190" i="122"/>
  <c r="O190" i="122"/>
  <c r="CV189" i="122"/>
  <c r="BC190" i="122" s="1"/>
  <c r="CL189" i="122"/>
  <c r="AS190" i="122" s="1"/>
  <c r="E190" i="122"/>
  <c r="N190" i="122"/>
  <c r="CU189" i="122"/>
  <c r="BB190" i="122" s="1"/>
  <c r="CO189" i="122"/>
  <c r="AV190" i="122" s="1"/>
  <c r="H190" i="122"/>
  <c r="CW189" i="122"/>
  <c r="BD190" i="122" s="1"/>
  <c r="P190" i="122"/>
  <c r="Q190" i="122"/>
  <c r="CX189" i="122"/>
  <c r="BE190" i="122" s="1"/>
  <c r="CN189" i="122"/>
  <c r="AU190" i="122" s="1"/>
  <c r="G190" i="122"/>
  <c r="D190" i="122"/>
  <c r="CK189" i="122"/>
  <c r="AR190" i="122" s="1"/>
  <c r="B190" i="122"/>
  <c r="CI189" i="122"/>
  <c r="L190" i="122"/>
  <c r="CS189" i="122"/>
  <c r="AZ190" i="122" s="1"/>
  <c r="CR189" i="122"/>
  <c r="AY190" i="122" s="1"/>
  <c r="K190" i="122"/>
  <c r="DA189" i="122"/>
  <c r="BH190" i="122" s="1"/>
  <c r="T190" i="122"/>
  <c r="CM189" i="122"/>
  <c r="AT190" i="122" s="1"/>
  <c r="F190" i="122"/>
  <c r="CP189" i="122"/>
  <c r="AW190" i="122" s="1"/>
  <c r="I190" i="122"/>
  <c r="BK190" i="122" l="1"/>
  <c r="BN190" i="122"/>
  <c r="CF190" i="122" s="1"/>
  <c r="DE189" i="122"/>
  <c r="AP190" i="122"/>
  <c r="BJ190" i="122" s="1"/>
  <c r="DC190" i="122" s="1"/>
  <c r="S191" i="122" l="1"/>
  <c r="CZ190" i="122"/>
  <c r="BG191" i="122" s="1"/>
  <c r="BR190" i="122"/>
  <c r="BS190" i="122"/>
  <c r="BT190" i="122"/>
  <c r="BW190" i="122"/>
  <c r="CE190" i="122"/>
  <c r="CC190" i="122"/>
  <c r="CH190" i="122"/>
  <c r="BZ190" i="122"/>
  <c r="DD190" i="122"/>
  <c r="BL191" i="122"/>
  <c r="CA190" i="122"/>
  <c r="BP190" i="122"/>
  <c r="CD190" i="122"/>
  <c r="CB190" i="122"/>
  <c r="BU190" i="122"/>
  <c r="BQ190" i="122"/>
  <c r="BX190" i="122"/>
  <c r="BV190" i="122"/>
  <c r="CG190" i="122"/>
  <c r="BO190" i="122"/>
  <c r="BY190" i="122"/>
  <c r="G191" i="122" l="1"/>
  <c r="CN190" i="122"/>
  <c r="AU191" i="122" s="1"/>
  <c r="J191" i="122"/>
  <c r="CQ190" i="122"/>
  <c r="AX191" i="122" s="1"/>
  <c r="CM190" i="122"/>
  <c r="AT191" i="122" s="1"/>
  <c r="F191" i="122"/>
  <c r="H191" i="122"/>
  <c r="CO190" i="122"/>
  <c r="AV191" i="122" s="1"/>
  <c r="CV190" i="122"/>
  <c r="BC191" i="122" s="1"/>
  <c r="O191" i="122"/>
  <c r="U191" i="122"/>
  <c r="DB190" i="122"/>
  <c r="BI191" i="122" s="1"/>
  <c r="CL190" i="122"/>
  <c r="AS191" i="122" s="1"/>
  <c r="E191" i="122"/>
  <c r="CS190" i="122"/>
  <c r="AZ191" i="122" s="1"/>
  <c r="L191" i="122"/>
  <c r="CT190" i="122"/>
  <c r="BA191" i="122" s="1"/>
  <c r="M191" i="122"/>
  <c r="CX190" i="122"/>
  <c r="BE191" i="122" s="1"/>
  <c r="Q191" i="122"/>
  <c r="P191" i="122"/>
  <c r="CW190" i="122"/>
  <c r="BD191" i="122" s="1"/>
  <c r="D191" i="122"/>
  <c r="CK190" i="122"/>
  <c r="AR191" i="122" s="1"/>
  <c r="CI190" i="122"/>
  <c r="B191" i="122"/>
  <c r="DA190" i="122"/>
  <c r="BH191" i="122" s="1"/>
  <c r="T191" i="122"/>
  <c r="I191" i="122"/>
  <c r="CP190" i="122"/>
  <c r="AW191" i="122" s="1"/>
  <c r="C191" i="122"/>
  <c r="CJ190" i="122"/>
  <c r="AQ191" i="122" s="1"/>
  <c r="CR190" i="122"/>
  <c r="AY191" i="122" s="1"/>
  <c r="K191" i="122"/>
  <c r="N191" i="122"/>
  <c r="CU190" i="122"/>
  <c r="BB191" i="122" s="1"/>
  <c r="CY190" i="122"/>
  <c r="BF191" i="122" s="1"/>
  <c r="R191" i="122"/>
  <c r="BK191" i="122" l="1"/>
  <c r="BN191" i="122"/>
  <c r="CF191" i="122" s="1"/>
  <c r="CZ191" i="122" s="1"/>
  <c r="DE190" i="122"/>
  <c r="AP191" i="122"/>
  <c r="BJ191" i="122" s="1"/>
  <c r="DC191" i="122" s="1"/>
  <c r="DD191" i="122" s="1"/>
  <c r="BV191" i="122" l="1"/>
  <c r="CP191" i="122" s="1"/>
  <c r="BT191" i="122"/>
  <c r="CN191" i="122" s="1"/>
  <c r="BO191" i="122"/>
  <c r="CI191" i="122" s="1"/>
  <c r="CE191" i="122"/>
  <c r="CY191" i="122" s="1"/>
  <c r="CG191" i="122"/>
  <c r="DA191" i="122" s="1"/>
  <c r="BX191" i="122"/>
  <c r="CR191" i="122" s="1"/>
  <c r="CC191" i="122"/>
  <c r="CW191" i="122" s="1"/>
  <c r="BW191" i="122"/>
  <c r="CQ191" i="122" s="1"/>
  <c r="CH191" i="122"/>
  <c r="DB191" i="122" s="1"/>
  <c r="BQ191" i="122"/>
  <c r="CK191" i="122" s="1"/>
  <c r="BU191" i="122"/>
  <c r="CO191" i="122" s="1"/>
  <c r="BS191" i="122"/>
  <c r="CM191" i="122" s="1"/>
  <c r="BP191" i="122"/>
  <c r="CJ191" i="122" s="1"/>
  <c r="BZ191" i="122"/>
  <c r="CT191" i="122" s="1"/>
  <c r="CB191" i="122"/>
  <c r="CV191" i="122" s="1"/>
  <c r="BR191" i="122"/>
  <c r="CL191" i="122" s="1"/>
  <c r="CD191" i="122"/>
  <c r="CX191" i="122" s="1"/>
  <c r="BY191" i="122"/>
  <c r="CS191" i="122" s="1"/>
  <c r="CA191" i="122"/>
  <c r="CU191" i="122" s="1"/>
  <c r="DE191" i="122" l="1"/>
  <c r="DH66" i="122" s="1"/>
  <c r="H41" i="114" s="1"/>
  <c r="I41" i="114" s="1"/>
  <c r="O46" i="114" l="1" a="1"/>
  <c r="O46" i="1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jamie</author>
  </authors>
  <commentList>
    <comment ref="L63" authorId="0" shapeId="0" xr:uid="{6FE0462B-940D-4C72-895A-CA32D1F90A92}">
      <text>
        <r>
          <rPr>
            <b/>
            <sz val="9"/>
            <color indexed="81"/>
            <rFont val="Tahoma"/>
            <charset val="1"/>
          </rPr>
          <t>jamie:</t>
        </r>
        <r>
          <rPr>
            <sz val="9"/>
            <color indexed="81"/>
            <rFont val="Tahoma"/>
            <charset val="1"/>
          </rPr>
          <t xml:space="preserve">
Puur ter overzicht, ik gebruik de horizontale variant omdat het gemakkelijker in de formule is, maar ter overzicht is het gemakkelijker te bekijken in tabel formaat ipv array</t>
        </r>
      </text>
    </comment>
    <comment ref="S118" authorId="0" shapeId="0" xr:uid="{6AE1F703-4D8E-4237-8F28-0D2471736D2A}">
      <text>
        <r>
          <rPr>
            <b/>
            <sz val="9"/>
            <color indexed="81"/>
            <rFont val="Tahoma"/>
            <charset val="1"/>
          </rPr>
          <t>jamie:</t>
        </r>
        <r>
          <rPr>
            <sz val="9"/>
            <color indexed="81"/>
            <rFont val="Tahoma"/>
            <charset val="1"/>
          </rPr>
          <t xml:space="preserve">
4th location not needed to reach level 40</t>
        </r>
      </text>
    </comment>
    <comment ref="L244" authorId="0" shapeId="0" xr:uid="{EED6C478-EC36-4C66-B58D-37B15ADC9F8C}">
      <text>
        <r>
          <rPr>
            <b/>
            <sz val="9"/>
            <color indexed="81"/>
            <rFont val="Tahoma"/>
            <charset val="1"/>
          </rPr>
          <t>jamie:</t>
        </r>
        <r>
          <rPr>
            <sz val="9"/>
            <color indexed="81"/>
            <rFont val="Tahoma"/>
            <charset val="1"/>
          </rPr>
          <t xml:space="preserve">
verwijs naar oef. 2, want daar staan de exp berekend</t>
        </r>
      </text>
    </comment>
    <comment ref="M244" authorId="0" shapeId="0" xr:uid="{455203F3-E3BD-42EF-9CAD-1F33D07D82F5}">
      <text>
        <r>
          <rPr>
            <b/>
            <sz val="9"/>
            <color indexed="81"/>
            <rFont val="Tahoma"/>
            <charset val="1"/>
          </rPr>
          <t>jamie:</t>
        </r>
        <r>
          <rPr>
            <sz val="9"/>
            <color indexed="81"/>
            <rFont val="Tahoma"/>
            <charset val="1"/>
          </rPr>
          <t xml:space="preserve">
converteer Silver van oef. 3 naar goed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Jamie Wong</author>
  </authors>
  <commentList>
    <comment ref="H2" authorId="0" shapeId="0" xr:uid="{E7EB0062-94C6-47F0-9F05-4494BF4650A1}">
      <text>
        <r>
          <rPr>
            <sz val="11"/>
            <color theme="1"/>
            <rFont val="Calibri"/>
            <family val="2"/>
            <scheme val="minor"/>
          </rPr>
          <t>Jamie Wong:
Bereken hoeveel quests player moet doen om target te behalen</t>
        </r>
      </text>
    </comment>
    <comment ref="I2" authorId="0" shapeId="0" xr:uid="{66BACEFA-640C-40F7-849E-5DD091BABE81}">
      <text>
        <r>
          <rPr>
            <sz val="11"/>
            <color theme="1"/>
            <rFont val="Calibri"/>
            <family val="2"/>
            <scheme val="minor"/>
          </rPr>
          <t>Jamie Wong:
Bereken na quests wat tot. exp is</t>
        </r>
      </text>
    </comment>
    <comment ref="J2" authorId="0" shapeId="0" xr:uid="{DCB3AA79-A695-4563-8730-83F32DD9545B}">
      <text>
        <r>
          <rPr>
            <sz val="11"/>
            <color theme="1"/>
            <rFont val="Calibri"/>
            <family val="2"/>
            <scheme val="minor"/>
          </rPr>
          <t>Jamie Wong:
Bereken na quests hoeveel gold is verdiend</t>
        </r>
      </text>
    </comment>
    <comment ref="L2" authorId="0" shapeId="0" xr:uid="{0FC318FC-F4DA-40BC-A744-C25A7320B6AC}">
      <text>
        <r>
          <rPr>
            <sz val="11"/>
            <color theme="1"/>
            <rFont val="Calibri"/>
            <family val="2"/>
            <scheme val="minor"/>
          </rPr>
          <t>Jamie Wong:
niet nodig voor huidige oef, maar volgende oef. verwijst er naar, dus bereken het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Jamie Wong</author>
  </authors>
  <commentList>
    <comment ref="A32" authorId="0" shapeId="0" xr:uid="{82E3E027-1592-48DA-B79F-7E90355D7F75}">
      <text>
        <r>
          <rPr>
            <sz val="11"/>
            <color theme="1"/>
            <rFont val="Calibri"/>
            <family val="2"/>
            <scheme val="minor"/>
          </rPr>
          <t>Jamie Wong:
Tabel uit Dungeons (L5), maar dan fill down in kolom Dungeon#</t>
        </r>
      </text>
    </comment>
    <comment ref="O32" authorId="0" shapeId="0" xr:uid="{386D61E9-778F-452E-A904-5420FA96160E}">
      <text>
        <r>
          <rPr>
            <sz val="11"/>
            <color theme="1"/>
            <rFont val="Calibri"/>
            <family val="2"/>
            <scheme val="minor"/>
          </rPr>
          <t>Jamie Wong:
Zet hier de runnr van 1 tem 60 (het kon evengoed 61 zijn, want dat is max aantal dungeon run met de laagste exp totdat level 60 wordt bereikt)</t>
        </r>
      </text>
    </comment>
    <comment ref="S32" authorId="0" shapeId="0" xr:uid="{EF674537-4AD3-4600-AD91-E65E8B56D6CD}">
      <text>
        <r>
          <rPr>
            <sz val="11"/>
            <color theme="1"/>
            <rFont val="Calibri"/>
            <family val="2"/>
            <scheme val="minor"/>
          </rPr>
          <t>Jamie Wong:
Bereken obv huidige level welke dungeon player mag doen</t>
        </r>
      </text>
    </comment>
    <comment ref="T32" authorId="0" shapeId="0" xr:uid="{A63AB029-F058-4FA5-97BD-8500A098C238}">
      <text>
        <r>
          <rPr>
            <sz val="11"/>
            <color theme="1"/>
            <rFont val="Calibri"/>
            <family val="2"/>
            <scheme val="minor"/>
          </rPr>
          <t>Jamie Wong:
Running count van dungeon runs van huidige dungeon</t>
        </r>
      </text>
    </comment>
    <comment ref="AB32" authorId="0" shapeId="0" xr:uid="{8DF82C88-A51F-4A31-8D51-AE9BFC81E5FF}">
      <text>
        <r>
          <rPr>
            <sz val="11"/>
            <color theme="1"/>
            <rFont val="Calibri"/>
            <family val="2"/>
            <scheme val="minor"/>
          </rPr>
          <t>Jamie Wong:
Check of dat gewonnen weapon geschikt is voor huidige player, indien ja, zet hiernaast de weaponnaam</t>
        </r>
      </text>
    </comment>
    <comment ref="AD32" authorId="0" shapeId="0" xr:uid="{D7F61434-6ADC-4487-81FF-BD59702DCB80}">
      <text>
        <r>
          <rPr>
            <sz val="11"/>
            <color theme="1"/>
            <rFont val="Calibri"/>
            <family val="2"/>
            <scheme val="minor"/>
          </rPr>
          <t>Jamie Wong:
hulpkolom voor gebruikte weapon van vorige dungeonrun, dat maakt vergelijken makkelijker</t>
        </r>
      </text>
    </comment>
    <comment ref="AE32" authorId="0" shapeId="0" xr:uid="{2AAC805F-1729-48D2-BE98-0D3E8CA0891D}">
      <text>
        <r>
          <rPr>
            <sz val="11"/>
            <color theme="1"/>
            <rFont val="Calibri"/>
            <family val="2"/>
            <scheme val="minor"/>
          </rPr>
          <t>Jamie Wong:
Als het de eerste keer een weapon wordt verdiend, neem het over
Indien voor voltooiing huidige dungeonrun, geen geschikte weapon gewonnen wordt, behoud huidige</t>
        </r>
      </text>
    </comment>
    <comment ref="AF32" authorId="0" shapeId="0" xr:uid="{1F1C778F-723E-49E1-B004-6A15E1284585}">
      <text>
        <r>
          <rPr>
            <sz val="11"/>
            <color theme="1"/>
            <rFont val="Calibri"/>
            <family val="2"/>
            <scheme val="minor"/>
          </rPr>
          <t>Jamie Wong:
Neem new weapon over als het betere stats heeft dan prev weapon</t>
        </r>
      </text>
    </comment>
    <comment ref="AG32" authorId="0" shapeId="0" xr:uid="{AEB5FF14-E672-4B23-801C-BE42CF936073}">
      <text>
        <r>
          <rPr>
            <sz val="11"/>
            <color theme="1"/>
            <rFont val="Calibri"/>
            <family val="2"/>
            <scheme val="minor"/>
          </rPr>
          <t>Jamie Wong:
als er van oud naar nieuw weapon wordt geswitcht, verkoop oude weapon</t>
        </r>
      </text>
    </comment>
    <comment ref="A64" authorId="0" shapeId="0" xr:uid="{50EE6FAA-E8F4-4569-88C9-6C6D245F7093}">
      <text>
        <r>
          <rPr>
            <sz val="11"/>
            <color theme="1"/>
            <rFont val="Calibri"/>
            <family val="2"/>
            <scheme val="minor"/>
          </rPr>
          <t>Jamie Wong:
Hulptabel voor exp per level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Jamie Wong</author>
  </authors>
  <commentList>
    <comment ref="D2" authorId="0" shapeId="0" xr:uid="{62B47205-ED9E-411B-AB25-831CA180FC59}">
      <text>
        <r>
          <rPr>
            <sz val="11"/>
            <color theme="1"/>
            <rFont val="Calibri"/>
            <family val="2"/>
            <scheme val="minor"/>
          </rPr>
          <t>Jamie Wong:
Geef game stat en level uit vorige oef 5</t>
        </r>
      </text>
    </comment>
    <comment ref="F2" authorId="0" shapeId="0" xr:uid="{FBB40AFB-D4E1-4EC0-88C1-0298AFC945FA}">
      <text>
        <r>
          <rPr>
            <sz val="11"/>
            <color theme="1"/>
            <rFont val="Calibri"/>
            <family val="2"/>
            <scheme val="minor"/>
          </rPr>
          <t>Jamie Wong:
Zoek op uit de hulptbl van oef 6 wat de game stat, role, etc is obv class van huidige player</t>
        </r>
      </text>
    </comment>
    <comment ref="K2" authorId="0" shapeId="0" xr:uid="{2096D79A-0DE1-46D6-8DB4-983BE216876D}">
      <text>
        <r>
          <rPr>
            <sz val="11"/>
            <color theme="1"/>
            <rFont val="Calibri"/>
            <family val="2"/>
            <scheme val="minor"/>
          </rPr>
          <t>Jamie Wong:
Bereken wat de HP is</t>
        </r>
      </text>
    </comment>
    <comment ref="L2" authorId="0" shapeId="0" xr:uid="{3C671455-EF4B-4F11-A7ED-C0EDECBEF08E}">
      <text>
        <r>
          <rPr>
            <sz val="11"/>
            <color theme="1"/>
            <rFont val="Calibri"/>
            <family val="2"/>
            <scheme val="minor"/>
          </rPr>
          <t>Jamie Wong:
Bereken hoeveel damage of healing ze kunnen doen</t>
        </r>
      </text>
    </comment>
    <comment ref="N2" authorId="0" shapeId="0" xr:uid="{CA3F8358-5B89-4DC4-9177-D5EF001FA63D}">
      <text>
        <r>
          <rPr>
            <sz val="11"/>
            <color theme="1"/>
            <rFont val="Calibri"/>
            <family val="2"/>
            <scheme val="minor"/>
          </rPr>
          <t>Jamie Wong:
Bereken HP en healing/damage van tegenstander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jamie</author>
    <author>Jamie Wong</author>
  </authors>
  <commentList>
    <comment ref="L2" authorId="0" shapeId="0" xr:uid="{A6DA41FA-D516-4C66-AF01-124B741B1FE6}">
      <text>
        <r>
          <rPr>
            <sz val="11"/>
            <color theme="1"/>
            <rFont val="Calibri"/>
            <family val="2"/>
            <scheme val="minor"/>
          </rPr>
          <t>jamie:
Roos = HPS
Bereken de ranking bepaald volgens de regels via een datatabel functie en plak het hier</t>
        </r>
      </text>
    </comment>
    <comment ref="F35" authorId="1" shapeId="0" xr:uid="{C398777F-F822-4793-ADFE-FED84473804B}">
      <text>
        <r>
          <rPr>
            <sz val="11"/>
            <color theme="1"/>
            <rFont val="Calibri"/>
            <family val="2"/>
            <scheme val="minor"/>
          </rPr>
          <t>Jamie Wong:
Voorrang geven aan DPS</t>
        </r>
      </text>
    </comment>
    <comment ref="G35" authorId="1" shapeId="0" xr:uid="{7A79E5C1-979B-4CD8-A394-710DD101D57E}">
      <text>
        <r>
          <rPr>
            <sz val="11"/>
            <color theme="1"/>
            <rFont val="Calibri"/>
            <family val="2"/>
            <scheme val="minor"/>
          </rPr>
          <t>Jamie Wong:
Bereken rangnr van HP</t>
        </r>
      </text>
    </comment>
    <comment ref="H35" authorId="1" shapeId="0" xr:uid="{6EF5309D-2027-43AE-96CD-FC19C2FCA076}">
      <text>
        <r>
          <rPr>
            <sz val="11"/>
            <color theme="1"/>
            <rFont val="Calibri"/>
            <family val="2"/>
            <scheme val="minor"/>
          </rPr>
          <t>Jamie Wong:
Bereken rangnr van DPS/HPS</t>
        </r>
      </text>
    </comment>
    <comment ref="I35" authorId="1" shapeId="0" xr:uid="{C3DF4B88-B3E5-42FC-A173-3CAB2A1ACA4B}">
      <text>
        <r>
          <rPr>
            <sz val="11"/>
            <color theme="1"/>
            <rFont val="Calibri"/>
            <family val="2"/>
            <scheme val="minor"/>
          </rPr>
          <t>Jamie Wong:
Gebruik dalende Indexnr als tiebreaker</t>
        </r>
      </text>
    </comment>
    <comment ref="J35" authorId="1" shapeId="0" xr:uid="{E9AE853C-31DE-4FF5-880F-D622B0E1C2D7}">
      <text>
        <r>
          <rPr>
            <sz val="11"/>
            <color theme="1"/>
            <rFont val="Calibri"/>
            <family val="2"/>
            <scheme val="minor"/>
          </rPr>
          <t>Jamie Wong:
gebruik deze value als sortcriteria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jamie</author>
  </authors>
  <commentList>
    <comment ref="BN65" authorId="0" shapeId="0" xr:uid="{8C7EC3A1-0716-4056-AD3E-CC5C2E4A0762}">
      <text>
        <r>
          <rPr>
            <sz val="11"/>
            <color theme="1"/>
            <rFont val="Calibri"/>
            <family val="2"/>
            <scheme val="minor"/>
          </rPr>
          <t>jamie:
Puur voor debuggen, ik wil weten welke player aangevallen gaat worden</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<sst xmlns="http://schemas.openxmlformats.org/spreadsheetml/2006/main" count="4531" uniqueCount="1160">
  <si>
    <t>Microsoft Excel World Championship 2024</t>
  </si>
  <si>
    <t>World of Warcraft</t>
  </si>
  <si>
    <t>Case Authors</t>
  </si>
  <si>
    <t>David Fortin &amp; 
Andrew Grigolyunovich</t>
  </si>
  <si>
    <t>Instructions</t>
  </si>
  <si>
    <r>
      <rPr>
        <b/>
        <sz val="12"/>
        <color theme="1"/>
        <rFont val="Calibri"/>
        <family val="2"/>
        <scheme val="minor"/>
      </rPr>
      <t xml:space="preserve">World of Warcraft - 20 Year Anniversary!
</t>
    </r>
    <r>
      <rPr>
        <sz val="12"/>
        <color theme="1"/>
        <rFont val="Calibri"/>
        <family val="2"/>
        <scheme val="minor"/>
      </rPr>
      <t xml:space="preserve">World of Warcraft (WoW) is one of the biggest Massive Multiplayer Online (MMO) games out there. It's been created in 2004 and there are two factions: The Horde and The Alliance. Each faction has its unique races (Orcs, Trolls, etc. in the horde by instance) and humans. In WoW, the goal is to level up your character through quests and dungeons. As you level up, your character gains new skills, unlocks different spells, can grind gold to buy goods and resources and also can learn professions.
</t>
    </r>
    <r>
      <rPr>
        <b/>
        <sz val="12"/>
        <color theme="1"/>
        <rFont val="Calibri"/>
        <family val="2"/>
        <scheme val="minor"/>
      </rPr>
      <t xml:space="preserve">The Story
</t>
    </r>
    <r>
      <rPr>
        <sz val="12"/>
        <color theme="1"/>
        <rFont val="Calibri"/>
        <family val="2"/>
        <scheme val="minor"/>
      </rPr>
      <t xml:space="preserve">20 friends have signed up to start their exciting journey in the World of Warcraft. They have chosen their characters from different races and classes. Now they have made their first steps in the game and are about to go big upgrading their characters to higher levels, getting cool artifacts, armor and weapons, as well as battle and raid experience. All the examples in this case will be based on another player, David.
</t>
    </r>
    <r>
      <rPr>
        <b/>
        <sz val="12"/>
        <color theme="1"/>
        <rFont val="Calibri"/>
        <family val="2"/>
        <scheme val="minor"/>
      </rPr>
      <t>Unusual Case Rules</t>
    </r>
    <r>
      <rPr>
        <sz val="12"/>
        <color theme="1"/>
        <rFont val="Calibri"/>
        <family val="2"/>
        <scheme val="minor"/>
      </rPr>
      <t xml:space="preserve">
Unlike other Excel Esports cases, you will have to follow the 20 characters throughout all 7 levels of the case. Questions # 1, 21, 41, 61, 81, 101 and 121 all deal with Player 1, questions # 2, 22, 42, 62, 82, 102 and 122 all deal with Player 2, and so on. In addition to just answering a level's question, you will also have to keep track of the players' other important stats. For example, on Level 2 players get Experience Points (XP) by completing quests, but they also get some gold while doing so. You will need to keep track of this gold, as you will need this to solve Level 3. </t>
    </r>
    <r>
      <rPr>
        <b/>
        <sz val="12"/>
        <color theme="1"/>
        <rFont val="Calibri"/>
        <family val="2"/>
        <scheme val="minor"/>
      </rPr>
      <t>NB:</t>
    </r>
    <r>
      <rPr>
        <sz val="12"/>
        <color theme="1"/>
        <rFont val="Calibri"/>
        <family val="2"/>
        <scheme val="minor"/>
      </rPr>
      <t xml:space="preserve"> It is impossible to solve </t>
    </r>
    <r>
      <rPr>
        <b/>
        <i/>
        <sz val="12"/>
        <color theme="1"/>
        <rFont val="Calibri"/>
        <family val="2"/>
        <scheme val="minor"/>
      </rPr>
      <t>most</t>
    </r>
    <r>
      <rPr>
        <sz val="12"/>
        <color theme="1"/>
        <rFont val="Calibri"/>
        <family val="2"/>
        <scheme val="minor"/>
      </rPr>
      <t xml:space="preserve"> of the levels without correctly solving previous levels first.
</t>
    </r>
    <r>
      <rPr>
        <b/>
        <sz val="12"/>
        <color theme="1"/>
        <rFont val="Calibri"/>
        <family val="2"/>
        <scheme val="minor"/>
      </rPr>
      <t xml:space="preserve">Keeping Track Of The Stats
</t>
    </r>
    <r>
      <rPr>
        <sz val="12"/>
        <color theme="1"/>
        <rFont val="Calibri"/>
        <family val="2"/>
        <scheme val="minor"/>
      </rPr>
      <t xml:space="preserve">On Levels 1-7, you should keep track of the players' XP (experience points) and gold.
On Levels 4-7, you should keep track of the players' Game Stat (Intelligence, Armor, Strength or Agility - 1 stat for each player).
On Levels 6-7, you should keep track of the players' Combat Stat (DPS or HPS - Damage per Second or Healing per Second, depending on the player's class).
</t>
    </r>
    <r>
      <rPr>
        <b/>
        <sz val="12"/>
        <color theme="1"/>
        <rFont val="Calibri"/>
        <family val="2"/>
        <scheme val="minor"/>
      </rPr>
      <t>Note:</t>
    </r>
    <r>
      <rPr>
        <sz val="12"/>
        <color theme="1"/>
        <rFont val="Calibri"/>
        <family val="2"/>
        <scheme val="minor"/>
      </rPr>
      <t xml:space="preserve"> the numbers, parameters, stat calculation methods, etc. contained in this case study, were simplified compared to the actual World of Warcraft. This was done with the goal of adjusting the case study for the short 30- or 40-minute format of the Microsoft Excel World Championship. However, the case authors tried to keep the original parameters of the World of Warcraft as much as possible.</t>
    </r>
  </si>
  <si>
    <t>Bonus Questions</t>
  </si>
  <si>
    <t>To make the game more exciting, we have created 5 bonus questions for you.</t>
  </si>
  <si>
    <t>The points for the bonus questions will be only available to the first 10, 8, 6, 3 and 1 player respectively. I.e., only the first 10 players will be eligible for Bonus Q1, while Bonus Q5 will be available only to the very first player who gets the answer correctly.</t>
  </si>
  <si>
    <t>Game #</t>
  </si>
  <si>
    <t>Relates to Level #</t>
  </si>
  <si>
    <t>Points</t>
  </si>
  <si>
    <t>Available to</t>
  </si>
  <si>
    <t>Race</t>
  </si>
  <si>
    <t>Class</t>
  </si>
  <si>
    <t>Answer</t>
  </si>
  <si>
    <t>Question</t>
  </si>
  <si>
    <t>Uitleg</t>
  </si>
  <si>
    <t>Bonus 1</t>
  </si>
  <si>
    <t>Level 1</t>
  </si>
  <si>
    <t>10 players</t>
  </si>
  <si>
    <t>n.a.</t>
  </si>
  <si>
    <r>
      <rPr>
        <b/>
        <sz val="12"/>
        <color theme="7" tint="-0.499984740745262"/>
        <rFont val="Roboto"/>
      </rPr>
      <t>How many Experience Points (XP) does a player need to gather in the World of Warcraft to obtain Experience Level 40?</t>
    </r>
    <r>
      <rPr>
        <sz val="12"/>
        <color theme="7" tint="-0.499984740745262"/>
        <rFont val="Roboto"/>
      </rPr>
      <t xml:space="preserve"> 
Round your answer UP to the closest integer!</t>
    </r>
  </si>
  <si>
    <t>Gebruik hulptabel wat de nodige exp per level is en verwijs naar level 40</t>
  </si>
  <si>
    <t>Bonus 2</t>
  </si>
  <si>
    <t>Level 3</t>
  </si>
  <si>
    <t>8 players</t>
  </si>
  <si>
    <r>
      <rPr>
        <b/>
        <sz val="12"/>
        <color theme="7" tint="-0.499984740745262"/>
        <rFont val="Roboto"/>
      </rPr>
      <t>On the "Quests (L2)" tab, how many letters "W" are there in the quest names?</t>
    </r>
    <r>
      <rPr>
        <sz val="12"/>
        <color theme="7" tint="-0.499984740745262"/>
        <rFont val="Roboto"/>
      </rPr>
      <t xml:space="preserve"> Consider both uppercase and lowercase (W and w).</t>
    </r>
  </si>
  <si>
    <t>Bereken length van questnamen en bereken nog een keer door de w te verwijderen, het verschil is het antwoord</t>
  </si>
  <si>
    <t>Bonus 3</t>
  </si>
  <si>
    <t>Level 6</t>
  </si>
  <si>
    <t>6 players</t>
  </si>
  <si>
    <r>
      <rPr>
        <b/>
        <sz val="12"/>
        <color theme="7" tint="-0.499984740745262"/>
        <rFont val="Roboto"/>
      </rPr>
      <t>What is the total Health Pool of all the 20 players</t>
    </r>
    <r>
      <rPr>
        <sz val="12"/>
        <color theme="7" tint="-0.499984740745262"/>
        <rFont val="Roboto"/>
      </rPr>
      <t xml:space="preserve"> according to Level 6 rules? 
By that time they have all reached Experience Level 60.</t>
    </r>
  </si>
  <si>
    <t>Sommeer de total HP van alle players in oef 6</t>
  </si>
  <si>
    <t>Bonus 4</t>
  </si>
  <si>
    <t>Level 7</t>
  </si>
  <si>
    <t>3 players</t>
  </si>
  <si>
    <r>
      <rPr>
        <b/>
        <sz val="12"/>
        <color theme="7" tint="-0.499984740745262"/>
        <rFont val="Roboto"/>
      </rPr>
      <t>What is the total XP of all the 20 players as they finish their fights on Level 7?</t>
    </r>
    <r>
      <rPr>
        <sz val="12"/>
        <color theme="7" tint="-0.499984740745262"/>
        <rFont val="Roboto"/>
      </rPr>
      <t xml:space="preserve"> 
Note that the players gain experience from all the raids they took part in (also as allies) and defeated the boss. Do not include Example7.</t>
    </r>
  </si>
  <si>
    <t>Sommeer exp uit oef 5 (oef 6 geeft geen exp) en check of in oef 7 de boss wordt verslagen, zo ja, sommeer dat ook</t>
  </si>
  <si>
    <t>Bonus 5</t>
  </si>
  <si>
    <t>1 player</t>
  </si>
  <si>
    <r>
      <t xml:space="preserve">All the 20 players go for a raid into the legendary Molten Core to fight against the almighty Ragnaros (Level 7 rules). 
</t>
    </r>
    <r>
      <rPr>
        <b/>
        <sz val="12"/>
        <color theme="7" tint="-0.499984740745262"/>
        <rFont val="Roboto"/>
      </rPr>
      <t xml:space="preserve">How many seconds will the battle last? </t>
    </r>
    <r>
      <rPr>
        <sz val="12"/>
        <color theme="7" tint="-0.499984740745262"/>
        <rFont val="Roboto"/>
      </rPr>
      <t>Hint: even after successfully completing L7 raids, players' HP hasn't changed.</t>
    </r>
  </si>
  <si>
    <t>Zie sheet Bonus #5</t>
  </si>
  <si>
    <t>Questions</t>
  </si>
  <si>
    <t>Very Easy</t>
  </si>
  <si>
    <t>SETTING UP</t>
  </si>
  <si>
    <t>Current Score</t>
  </si>
  <si>
    <t>In WoW, players start their journey at Experience Level 1 with 0 Experience Points (XP).</t>
  </si>
  <si>
    <t>They need to gather 400 XP to go from Experience Level 1 to Experience Level 2.</t>
  </si>
  <si>
    <t>Then each subsequent Experience Level requires 12.5% more XP.</t>
  </si>
  <si>
    <t>E.g., it requires an additional 450XP to go from Experience Level 2 to 3, an additional 506.25 XP from 3 to 4, etc.</t>
  </si>
  <si>
    <t>Do not round these points at any time.</t>
  </si>
  <si>
    <t>By the time we start our calculations, our players have already spent some time in the game and earned their first Experience Points.</t>
  </si>
  <si>
    <t>What Experience Level is each of these players at, according to the current XP points they have?</t>
  </si>
  <si>
    <t>Uitleg:</t>
  </si>
  <si>
    <t>Game #1 Hint: The correct answer is between 9 and 14.</t>
  </si>
  <si>
    <t>Maak hulptabel per level wat de exp. is (tot level 100) en hoeveel exp. Nodig is tot de volgende level</t>
  </si>
  <si>
    <t>Game #2 Hint: The correct answer is between 6 and 11.</t>
  </si>
  <si>
    <t>gebruk index match, met matchlookup type "less than..."</t>
  </si>
  <si>
    <t>Game #3 Hint: The correct answer is between 3 and 8.</t>
  </si>
  <si>
    <t>At Level Start</t>
  </si>
  <si>
    <t>Question #</t>
  </si>
  <si>
    <t>Level</t>
  </si>
  <si>
    <t>Player #</t>
  </si>
  <si>
    <t>XP</t>
  </si>
  <si>
    <t>Example1</t>
  </si>
  <si>
    <t>David</t>
  </si>
  <si>
    <t>Orc</t>
  </si>
  <si>
    <t>Warlock</t>
  </si>
  <si>
    <t>Total Exp</t>
  </si>
  <si>
    <t>Needed Exp to level up</t>
  </si>
  <si>
    <t>Warrior</t>
  </si>
  <si>
    <t>Troll</t>
  </si>
  <si>
    <t>Priest</t>
  </si>
  <si>
    <t>Undead</t>
  </si>
  <si>
    <t>Tauren</t>
  </si>
  <si>
    <t>Hunter</t>
  </si>
  <si>
    <t>Rogue</t>
  </si>
  <si>
    <t>Shaman</t>
  </si>
  <si>
    <t>Mage</t>
  </si>
  <si>
    <t>Druid</t>
  </si>
  <si>
    <t>Level 2</t>
  </si>
  <si>
    <t>Easy</t>
  </si>
  <si>
    <t>LEVELING UP</t>
  </si>
  <si>
    <t>Location #</t>
  </si>
  <si>
    <t>Location 1</t>
  </si>
  <si>
    <t>Durotar</t>
  </si>
  <si>
    <t>Tirisfal Glades</t>
  </si>
  <si>
    <t>Mulgore</t>
  </si>
  <si>
    <t>The goal on Level 2 is to level up all of your characters up to Experience Level 40!</t>
  </si>
  <si>
    <t>Location 2</t>
  </si>
  <si>
    <t>The Barrens</t>
  </si>
  <si>
    <t>Silverpine Forest</t>
  </si>
  <si>
    <r>
      <t xml:space="preserve">On the </t>
    </r>
    <r>
      <rPr>
        <b/>
        <i/>
        <sz val="11"/>
        <rFont val="Roboto"/>
      </rPr>
      <t>"Quests (L2)"</t>
    </r>
    <r>
      <rPr>
        <b/>
        <sz val="11"/>
        <rFont val="Roboto"/>
      </rPr>
      <t xml:space="preserve"> tab, you'll find a list of quests.</t>
    </r>
  </si>
  <si>
    <t>Location 3</t>
  </si>
  <si>
    <t>Ashenvale</t>
  </si>
  <si>
    <t>Each quest grants a different amount of XP and some gold.</t>
  </si>
  <si>
    <t>Location 4</t>
  </si>
  <si>
    <t>Stonetalon Mountains</t>
  </si>
  <si>
    <t>Hillsbrad Foothills</t>
  </si>
  <si>
    <t>Location 5</t>
  </si>
  <si>
    <t>Thousand Needles</t>
  </si>
  <si>
    <t>Arathi Highlands</t>
  </si>
  <si>
    <t>MONEY RULES:</t>
  </si>
  <si>
    <t>Location 6</t>
  </si>
  <si>
    <t>Desolace</t>
  </si>
  <si>
    <t>1 Gold Coin is equal to 100 Silver Coins.</t>
  </si>
  <si>
    <t>1.00 = 1 Gold, 0.55 = 55 Silver, so 1.55 would mean 1 Gold 55 Silver or 155 Silver.</t>
  </si>
  <si>
    <t>QUEST RULES:</t>
  </si>
  <si>
    <t>Each player starts to complete quests sequentially, based on their current location.</t>
  </si>
  <si>
    <t>As players complete all the quests in the current location, they move to the next location, based on their Race (see schedule above).</t>
  </si>
  <si>
    <t>They will continue completing quests and switching locations as needed, until they reach Experience Level 40, when they stop immediately.</t>
  </si>
  <si>
    <t>Example2:</t>
  </si>
  <si>
    <r>
      <rPr>
        <sz val="11"/>
        <rFont val="Roboto"/>
      </rPr>
      <t xml:space="preserve">Player David </t>
    </r>
    <r>
      <rPr>
        <sz val="11"/>
        <color theme="1"/>
        <rFont val="Roboto"/>
      </rPr>
      <t>is located in Durotar and has already accumulated 908 XP and 28.78 Gold.</t>
    </r>
  </si>
  <si>
    <t>He will first complete the "Hidden Enemies" quest (DUR-1) for 5,000 XP and 27 Silver.</t>
  </si>
  <si>
    <t>He will then complete the "Burning Blade Medallion" quest (DUR-2) for 5,200 XP and 15 Silver.</t>
  </si>
  <si>
    <r>
      <t>After completing all the 20 quests in Durotar,</t>
    </r>
    <r>
      <rPr>
        <sz val="11"/>
        <rFont val="Roboto"/>
      </rPr>
      <t xml:space="preserve"> Player David</t>
    </r>
    <r>
      <rPr>
        <sz val="11"/>
        <color theme="1"/>
        <rFont val="Roboto"/>
      </rPr>
      <t xml:space="preserve"> will still not have enough XP to reach Level 40.</t>
    </r>
  </si>
  <si>
    <t>He would move to the next location, The Barrens, according to his race (Orc), and start doing quests there.</t>
  </si>
  <si>
    <t>Player David would reach Experience Level 40 after completing the quest "Fallen Sky Lake" in the Ashenvale location (ASH-16).</t>
  </si>
  <si>
    <t>He would have 315,908 XP and 57.25 Gold Coins (5725 Silver Coins) by that time.</t>
  </si>
  <si>
    <t>Bereken huidige level obv Exp</t>
  </si>
  <si>
    <t>How much money do your characters have as they get to Experience Level 40?</t>
  </si>
  <si>
    <t>Bereken exp voorwaarde level 40 (zie tabel boven)</t>
  </si>
  <si>
    <t>Note that at the start of the level, the players have already accumulated some gold.</t>
  </si>
  <si>
    <t>Bereken hoeveelheid exp en goud als ze alle quests doen per locatie (voor locaties 1 tem 3)</t>
  </si>
  <si>
    <t>Provide your answer in Silver Coins (e.g., 123.45 Gold = 12345 Silver)</t>
  </si>
  <si>
    <t>Bereken voor locatie 1 tem 3 welke ze volledig moeten uitdoen</t>
  </si>
  <si>
    <t>Bereken running sum van exp en gold per locatie in sheet Quests (L2)</t>
  </si>
  <si>
    <t>Game #21 Hint: The correct answer is between 5500 and 5600.</t>
  </si>
  <si>
    <t>Voor de laatste locatie, bereken hoeveel quests ze moeten doen totdat ze level 40 behalen</t>
  </si>
  <si>
    <t>Game #22 Hint: The correct answer is between 5400 and 5500.</t>
  </si>
  <si>
    <t>Bereken #voltooide quests en bijhorende exp en gold</t>
  </si>
  <si>
    <t>Game #23 Hint: The correct answer is between 5600 and 5700.</t>
  </si>
  <si>
    <t>Gold Collected</t>
  </si>
  <si>
    <t>Current Location</t>
  </si>
  <si>
    <t>Current level</t>
  </si>
  <si>
    <t>Total exp after completing first location</t>
  </si>
  <si>
    <t>Total gold after completing first location</t>
  </si>
  <si>
    <t>2nd location</t>
  </si>
  <si>
    <t>Total exp after completing 2nd location</t>
  </si>
  <si>
    <t>Total gold after completing 2nd location</t>
  </si>
  <si>
    <t>3rd location</t>
  </si>
  <si>
    <t>Total exp after completing 3rd location</t>
  </si>
  <si>
    <t>Total gold after completing 3rd location</t>
  </si>
  <si>
    <t>How many locations to completely finish?</t>
  </si>
  <si>
    <t>Exp after finishing locations completly</t>
  </si>
  <si>
    <t>Exp left till level 40</t>
  </si>
  <si>
    <t>Name of location to be started</t>
  </si>
  <si>
    <t>Nr of quest left</t>
  </si>
  <si>
    <t>Exp from quest</t>
  </si>
  <si>
    <t>Gold from quest</t>
  </si>
  <si>
    <t>Tot. Gold</t>
  </si>
  <si>
    <t>Tot. Exp</t>
  </si>
  <si>
    <t>Example2</t>
  </si>
  <si>
    <t>Medium</t>
  </si>
  <si>
    <t>MINING UP</t>
  </si>
  <si>
    <t>Resource</t>
  </si>
  <si>
    <t>The goal on Level 3 is to buy your mount to move faster throughout the open world!</t>
  </si>
  <si>
    <t>Copper</t>
  </si>
  <si>
    <t>Tin</t>
  </si>
  <si>
    <t>Iron</t>
  </si>
  <si>
    <t>Mithril</t>
  </si>
  <si>
    <t>Thorium</t>
  </si>
  <si>
    <t>A mount costs 90 gold. You have already acquired some of the gold in the previous levels.</t>
  </si>
  <si>
    <t>You want to use your mining skill to get ore and sell it at the auction house to get the remaining gold in order to buy your mount.</t>
  </si>
  <si>
    <t>In this case study we use just 5 of the many resources available in the game - Copper, Tin, Iron, Mithril and Thorium.</t>
  </si>
  <si>
    <t>MINING RULES:</t>
  </si>
  <si>
    <t>For each of the 20 players, you start mining at the designated date, mine for a week, then sell ore, and then repeat until you get the 90 units of gold.</t>
  </si>
  <si>
    <t>You have to sell your mined ore in "stacks". A stack contains 20 units of ore.</t>
  </si>
  <si>
    <t>Your ore is sold on the final day of the week it is mined. Any remaining surplus of ore is carried forward.</t>
  </si>
  <si>
    <r>
      <t xml:space="preserve">Resource prices for each date are provided in </t>
    </r>
    <r>
      <rPr>
        <b/>
        <i/>
        <sz val="11"/>
        <rFont val="Roboto"/>
      </rPr>
      <t xml:space="preserve">"Ore Prices (L3)" </t>
    </r>
    <r>
      <rPr>
        <b/>
        <sz val="11"/>
        <rFont val="Roboto"/>
      </rPr>
      <t>tab.</t>
    </r>
  </si>
  <si>
    <t>You need to STOP mining after the exact number of weeks that you get the required amount of gold to buy your mount.</t>
  </si>
  <si>
    <t>In our case study, player XP does not change from mining.</t>
  </si>
  <si>
    <t>EXAMPLE:</t>
  </si>
  <si>
    <t>In Example3, Player David starts with 57.25 Gold Coins accrued from the previous levels.</t>
  </si>
  <si>
    <t>He starts mining Copper on January 1, 2024.</t>
  </si>
  <si>
    <t>He will mine 999 units of Copper ore by January 7.</t>
  </si>
  <si>
    <t>999 units of ore = 49.95 stacks of ore.</t>
  </si>
  <si>
    <t>Player David sells 49 stacks for 0.22 Gold per stack and keeps 0.95 stacks of Copper ore.</t>
  </si>
  <si>
    <t>Player David gets 49 x 0.22 = 10.78 additional gold and now his running balance is 68.03 gold.</t>
  </si>
  <si>
    <t>On Week 2 Player David mines an additional 354 units of Copper ore, which is 17.7 stacks (his running total is 18.65 stacks).</t>
  </si>
  <si>
    <t>On January 14, 2024, Player David sells 18 stacks of Copper ore for 3.24 Gold and carries 0.65 stacks forward.</t>
  </si>
  <si>
    <t>Carry over huidige goudsaldo van vorige oef.</t>
  </si>
  <si>
    <t>...</t>
  </si>
  <si>
    <t>Converteer kleuren naar oretype</t>
  </si>
  <si>
    <t xml:space="preserve">At the end of week 4, Player David sells 29 stacks of Iron for 25.52 Gold. </t>
  </si>
  <si>
    <t>Bereken hist. Prijs van ore per type ore</t>
  </si>
  <si>
    <t>Now his total balance is 111.69 Gold (which is enough to buy a mount for 90 Gold) and he stops mining.</t>
  </si>
  <si>
    <t>Bereken hoeveel stacks verkocht kunnen worden per week en wat de leftover saldo is</t>
  </si>
  <si>
    <t>After the purchase Player David has 111.69 - 90.00 = 21.69 Gold = 2169 Silver.</t>
  </si>
  <si>
    <t>Bereken running sum van leftover saldo</t>
  </si>
  <si>
    <t>Eens ze &gt;=1 kunnen ze aan de huidige hist. Prijs verkocht worden</t>
  </si>
  <si>
    <t>How much money did each player have at the end of the week, that was enough to buy the mount for 90 gold?</t>
  </si>
  <si>
    <t>Bereken inkomst van verkoop huidige stacks en verkoop van carryforward leftover saldo</t>
  </si>
  <si>
    <t>Provide your answer in Silver Coins AFTER the mount was bought (e.g., 1.25 Gold = 125 Silver).</t>
  </si>
  <si>
    <t>Bereken de min. Week waar inkomsten &gt;= 90 gold</t>
  </si>
  <si>
    <t>Bereken wat de tot. Waarde is - 90 gold</t>
  </si>
  <si>
    <t>Game #41 Hint: The correct answer is between 700 and 800.</t>
  </si>
  <si>
    <t>Game #42 Hint: The correct answer is between 1600 and 1700.</t>
  </si>
  <si>
    <t>Game #43 Hint: The correct answer is between 200 and 300.</t>
  </si>
  <si>
    <t>Mining Schedule and Units Mined (20 Units = 1 Stack)</t>
  </si>
  <si>
    <t>Type of ore</t>
  </si>
  <si>
    <t>Price of ore at week end</t>
  </si>
  <si>
    <t>Stacks mined</t>
  </si>
  <si>
    <t>Stacks sold</t>
  </si>
  <si>
    <t>Stacks not sold</t>
  </si>
  <si>
    <t>Stacks carry forward</t>
  </si>
  <si>
    <t>Stacks left that can be sold</t>
  </si>
  <si>
    <t>Stack left net</t>
  </si>
  <si>
    <t>Gold income</t>
  </si>
  <si>
    <t>Running Sum Gold</t>
  </si>
  <si>
    <t>Buy mount after week</t>
  </si>
  <si>
    <t>Amount after purchase mount</t>
  </si>
  <si>
    <t>Mining Start Date</t>
  </si>
  <si>
    <t>Week 1</t>
  </si>
  <si>
    <t>Week 2</t>
  </si>
  <si>
    <t>Week 3</t>
  </si>
  <si>
    <t>Week 4</t>
  </si>
  <si>
    <t>Week 5</t>
  </si>
  <si>
    <t>Example3</t>
  </si>
  <si>
    <t>Based on L2</t>
  </si>
  <si>
    <t>Level 4</t>
  </si>
  <si>
    <t>GETTING GAME STATS UP</t>
  </si>
  <si>
    <t>Game Stat</t>
  </si>
  <si>
    <t>Target</t>
  </si>
  <si>
    <t>Strength</t>
  </si>
  <si>
    <t>Your character has reached level 40 and needs to gear up with items to meet specific Game Stat requirements.</t>
  </si>
  <si>
    <t>Intellect</t>
  </si>
  <si>
    <t>Each class of characters (e.g., Priests, Hunters, etc.) has specific stat requirements to meet (see the table).</t>
  </si>
  <si>
    <t>Armor</t>
  </si>
  <si>
    <t>This is done by completing more quests and getting equipment items.</t>
  </si>
  <si>
    <t>Agility</t>
  </si>
  <si>
    <t>At the start, all players Game Stats = 0.</t>
  </si>
  <si>
    <t>The objective is to acquire the necessary equipment by completing quests that will boost the required stat.</t>
  </si>
  <si>
    <t>Additionally, each quest grants XP and gold. Keep track of those for the future levels.</t>
  </si>
  <si>
    <t>QUEST SELECTION RULES:</t>
  </si>
  <si>
    <t>Start with the available quest that gives an item that brings the highest amount of the desired stat for the player.</t>
  </si>
  <si>
    <t>You can travel between locations without restrictions.</t>
  </si>
  <si>
    <t>In case of 2 quests bringing the same amount of the desired stat, start with the quest that gives higher XP.</t>
  </si>
  <si>
    <t>Stop as soon as you have reached the required stat target.</t>
  </si>
  <si>
    <r>
      <t>You are provided a quest list and an item list in the tab</t>
    </r>
    <r>
      <rPr>
        <b/>
        <i/>
        <sz val="11"/>
        <color theme="1"/>
        <rFont val="Roboto"/>
      </rPr>
      <t xml:space="preserve"> "More Quests &amp; Items (L4)"</t>
    </r>
  </si>
  <si>
    <t>Ignore the item slots in your calculations. They are provided for reference only.</t>
  </si>
  <si>
    <t>Example4:</t>
  </si>
  <si>
    <t>Player David is a Warlock, so he needs to get his Intellect to 80 points.</t>
  </si>
  <si>
    <t>He starts by completing the "Warlock's Whistle" quest, as the quest gives an item that raises his intellect the most.</t>
  </si>
  <si>
    <t>Voor sheet uitleg, zie sheet L4 Calc</t>
  </si>
  <si>
    <t>This quest gives him an item Dreadmist Robes, that raises his Intellect to 30.</t>
  </si>
  <si>
    <t>Also, he gets 3,950 XP and 0.90 gold for completing the quest.</t>
  </si>
  <si>
    <t>Then Player David completes "A Grim Discovery" and "Mistvale Giblets".</t>
  </si>
  <si>
    <t>Both quests give items that provide 20 Intellect, but "A Grim Discovery" gives more XP, so David completes it first.</t>
  </si>
  <si>
    <t>After the 3 quests, David has 70 Intellect, as well as he has earned 15,210 XP and 3.05 gold.</t>
  </si>
  <si>
    <t>Finally, Player David needs to decide between the 4 quests that give an item that brings 15 Intellect.</t>
  </si>
  <si>
    <t>Of those, "The Stones That Bind Us" gives more XP, so David prioritizes it.</t>
  </si>
  <si>
    <t>Upon completion, he gets an item "Dreadmist Mask" (15 Intellect). He now has 85 Intellect, so he stops doing quests.</t>
  </si>
  <si>
    <t>He has also earned 20,460 XP and 3.70 gold over all the quests on this level.</t>
  </si>
  <si>
    <t>His XP now is 336,368. His accumulated Gold is now 25.39.</t>
  </si>
  <si>
    <t>How much XP will each player have after reaching the stat target?</t>
  </si>
  <si>
    <t>Game #61 Hint: The correct answer ends with …970.</t>
  </si>
  <si>
    <t>Game #62 Hint: The correct answer ends with …822.</t>
  </si>
  <si>
    <t>Game #63 Hint: The correct answer ends with …660.</t>
  </si>
  <si>
    <t>After compl. Quests</t>
  </si>
  <si>
    <t>Current item</t>
  </si>
  <si>
    <t>Game stat</t>
  </si>
  <si>
    <t>Tot. Game stat</t>
  </si>
  <si>
    <t>Example4</t>
  </si>
  <si>
    <t>Based on L3</t>
  </si>
  <si>
    <t>Level 5</t>
  </si>
  <si>
    <t>DUNGEONS</t>
  </si>
  <si>
    <t>Your goal here is to reach Experience Level 60 by completing dungeons. See the "Dungeons (L5)" tab.</t>
  </si>
  <si>
    <t>Completing each dungeon grants a set amount of XP and provides a weapon.</t>
  </si>
  <si>
    <t>Zie sheet L5 Calc</t>
  </si>
  <si>
    <t>Each dungeon has a minimum Experience Level requirement that players must meet before they can enter the dungeon.</t>
  </si>
  <si>
    <t>You can repeat a dungeon multiple times until your player reaches the level required for the next dungeon.</t>
  </si>
  <si>
    <t>Players always choose to complete an available dungeon that gives the maximum amount of XP.</t>
  </si>
  <si>
    <t>Every time they complete a dungeon, in addition to XP, they get a different weapon as a reward.</t>
  </si>
  <si>
    <t>If a player completes Scarlet Monastery 4 times, then he gets 1x Ravager then 1x Torturing Poker then 1x Illusionary Rod then another time Ravager. (Sequence)</t>
  </si>
  <si>
    <t>Weapons are class-specific and give additional stats. A Mage can't use an X'caliboar that is a weapon for Warriors, so he just sells it.</t>
  </si>
  <si>
    <t>Players can carry only one weapon and have to prioritize. They always keep the best possible weapon their class can use.</t>
  </si>
  <si>
    <t>If a Warrior gets a weapon that grants 50 Armor, then keeps doing dungeons and gets another one that gives 80 Armor, he has to sell the previous and equip the new one. No ties are possible here.</t>
  </si>
  <si>
    <t>Example5:</t>
  </si>
  <si>
    <t>Player David starts at Experience Level 40 with 336,368 XP. His goal is to reach Experience Level 60.</t>
  </si>
  <si>
    <t>The only available dungeon for him is Scarlet Monastery (min XP Level 37).</t>
  </si>
  <si>
    <t>He completes this dungeon, gets 50,000 XP, 1.00 gold and a Ravager</t>
  </si>
  <si>
    <t>David is a Warlock, but only Warriors can use a Ravager. So, David sells the item for another 2.20 gold.</t>
  </si>
  <si>
    <t>Now he is on Experience Level 41 and can do the "Razorfen Downs" dungeon.</t>
  </si>
  <si>
    <t>He visits it twice, both times getting 55,000 XP and 1.50 gold.</t>
  </si>
  <si>
    <t>Also, on his first visit to "Razorfen Downs" David gets an X'Caliboar (used by Warriors), which is useless to him as well (sells for 3.40 gold).</t>
  </si>
  <si>
    <t>On his second visit, he gets a Vanquisher's Sword (used by Hunters), which he also sells.</t>
  </si>
  <si>
    <t>Overall, David goes to dungeons 34 times before reaching XP Level 60.</t>
  </si>
  <si>
    <t>By that time his XP has risen to 3,401,368 and he has accumulated 241.39 Gold (24139 Silver).</t>
  </si>
  <si>
    <t>Of all the items he gets from dungeons, he sells all but keeps the "Headmaster's Charge" which brings him an additional 115 Intellect (200 in total).</t>
  </si>
  <si>
    <t>How much money will each player have after reaching Experience Level 60?</t>
  </si>
  <si>
    <t>Game #81 Hint: The correct answer ends with …66.</t>
  </si>
  <si>
    <t>Game #82 Hint: The correct answer ends with …20.</t>
  </si>
  <si>
    <t>Game #83 Hint: The correct answer ends with …13.</t>
  </si>
  <si>
    <t>Game Stat Level</t>
  </si>
  <si>
    <t>Example5</t>
  </si>
  <si>
    <t>Based on L4</t>
  </si>
  <si>
    <t>1-ON-1 BATTLES</t>
  </si>
  <si>
    <t>Role</t>
  </si>
  <si>
    <t>Combat Stat</t>
  </si>
  <si>
    <t>Combat Multiplier</t>
  </si>
  <si>
    <t>HP %</t>
  </si>
  <si>
    <t>Healer</t>
  </si>
  <si>
    <t>HPS</t>
  </si>
  <si>
    <t>Our players are now level 60 and equipped with their brand-new weapons! It is time to test them in battles!</t>
  </si>
  <si>
    <t>We will first do Player vs. Player battles for training.</t>
  </si>
  <si>
    <t>Damage</t>
  </si>
  <si>
    <t>DPS</t>
  </si>
  <si>
    <t>COMBAT STATS (HPS or DPS):</t>
  </si>
  <si>
    <t>Depending on the Class, Players have a role, either Healer or Damage Dealer.</t>
  </si>
  <si>
    <t>In group battles and raids Healers (Shamans and Priests) keep their group alive by casting healing spells.</t>
  </si>
  <si>
    <t>Player stats (Strength, Intellect, Armor, Agility) are transformed to combat stats for battles (HPS or DPS).</t>
  </si>
  <si>
    <t>Healers have the combat stats of healing per second (HPS).</t>
  </si>
  <si>
    <t>HPS = Healing per Second</t>
  </si>
  <si>
    <t>For the damage dealers, their combat stats are Damage Per Second (DPS).</t>
  </si>
  <si>
    <t>DPS = Damage per Second</t>
  </si>
  <si>
    <t>Determine battle stats according to the multipliers table.</t>
  </si>
  <si>
    <t>Battle Stat = Game Stat x Combat Multiplier</t>
  </si>
  <si>
    <t>E.g., Player David is a Warlock with Intellect 200. He will have a DPS of 200 x 2.5 = 500 DPS.</t>
  </si>
  <si>
    <t>Zie sheet L6 Calc</t>
  </si>
  <si>
    <t>HEALTH POOL (HP):</t>
  </si>
  <si>
    <t>Calculate the health pool for every character based on the formula:</t>
  </si>
  <si>
    <t>HP = (Experience Level * 50 points) x Class's HP %</t>
  </si>
  <si>
    <t>During battles, the health pool decreases with the damage received. But it gets fully refilled until the next battle starts.</t>
  </si>
  <si>
    <t>BATTLE RULES:</t>
  </si>
  <si>
    <t>Battles in WoW are calculated on a Per-Second basis. For simplicity, you can assume that battles happen in rounds and each round is 1 second long.</t>
  </si>
  <si>
    <t>Every second Damage Dealers (Warriors, Hunters, etc.) deal damage to the opponent, reducing their HP by the amount of their DPS.</t>
  </si>
  <si>
    <t>Every second Healers (Shamans and Priests) heal themselves, increasing their HP by the amount of their HPS.</t>
  </si>
  <si>
    <t>Healers do not deal damage to their opponents, so the outcome of their battles is always a victory for their opponents. It's just how long they will last healing themselves.</t>
  </si>
  <si>
    <r>
      <rPr>
        <b/>
        <sz val="11"/>
        <rFont val="Roboto"/>
      </rPr>
      <t>Note:</t>
    </r>
    <r>
      <rPr>
        <sz val="11"/>
        <rFont val="Roboto"/>
      </rPr>
      <t xml:space="preserve"> Damage and Healing happen simultaneously during each second.</t>
    </r>
  </si>
  <si>
    <r>
      <rPr>
        <b/>
        <sz val="11"/>
        <rFont val="Roboto"/>
      </rPr>
      <t>E.g.,</t>
    </r>
    <r>
      <rPr>
        <sz val="11"/>
        <rFont val="Roboto"/>
      </rPr>
      <t xml:space="preserve"> if a healer has 300 HP remaining, gets 400 damage from the opponent, he still stays alive at the end of the second if he heals himself by e.g., 200  HP.</t>
    </r>
  </si>
  <si>
    <t>Example6:</t>
  </si>
  <si>
    <t>David (Warlock) fights against Player 1 (Warrior).</t>
  </si>
  <si>
    <t>David's Health pool is (XP Level 60 x 50 pts) x 80% Class HP% = 3,000 x 80% = 2,400 HP.</t>
  </si>
  <si>
    <t>Player 1's Health pool is (XP Level 60 x 50 pts) x 115% Class HP% = 3,000 x 115% = 3,450 HP.</t>
  </si>
  <si>
    <t>David's Damage per Second is 200 Intellect x 2.5 Combat Multiplier = 500 DPS.</t>
  </si>
  <si>
    <t>Player 1's Damage per Second is 476 Armor x 1.0 Combat Multiplier = 476 DPS.</t>
  </si>
  <si>
    <t>During the 1st second of the battle, David deals 500 damage to Player 1, while Player 1 deals 476 damage to David.</t>
  </si>
  <si>
    <t>After 1 second of the battle their remaining HP is 2,400 - 476 = 1,924 for David and 3,450 - 500 = 2,950 for Player 1.</t>
  </si>
  <si>
    <t>This continues for 6 seconds. The battle ends after David's gets down to -456.</t>
  </si>
  <si>
    <t>Player 1 still has 450 HP remaining after 6 seconds of the battle.</t>
  </si>
  <si>
    <t>After the battle, their HP is refilled to the initial levels before the next battle starts.</t>
  </si>
  <si>
    <t>How many seconds will each battle last? Round your answer up to the nearest second.</t>
  </si>
  <si>
    <t>Assume XP and Gold haven't changed as a result of this round.</t>
  </si>
  <si>
    <t>Game #101 Hint: The correct answer is between 10 and 20.</t>
  </si>
  <si>
    <t>Game #102 Hint: The correct answer is between 20 and 30.</t>
  </si>
  <si>
    <t>Game #103 Hint: The correct answer is between 0 and 10.</t>
  </si>
  <si>
    <t>Opponent</t>
  </si>
  <si>
    <t>Example6</t>
  </si>
  <si>
    <t>Player 1</t>
  </si>
  <si>
    <t>Based on L5</t>
  </si>
  <si>
    <t>Player 2</t>
  </si>
  <si>
    <t>Player 20</t>
  </si>
  <si>
    <t>Player 13</t>
  </si>
  <si>
    <t>Player 11</t>
  </si>
  <si>
    <t>Player 4</t>
  </si>
  <si>
    <t>Player 10</t>
  </si>
  <si>
    <t>Player 3</t>
  </si>
  <si>
    <t>Player 16</t>
  </si>
  <si>
    <t>Player 5</t>
  </si>
  <si>
    <t>Player 17</t>
  </si>
  <si>
    <t>Hard</t>
  </si>
  <si>
    <t>RAIDS</t>
  </si>
  <si>
    <t>Boss</t>
  </si>
  <si>
    <t>HP</t>
  </si>
  <si>
    <t>XP Granted</t>
  </si>
  <si>
    <t>Gold Granted</t>
  </si>
  <si>
    <t>Lucifron</t>
  </si>
  <si>
    <t>Now the players are ready to go for raids!</t>
  </si>
  <si>
    <t>Magmadar</t>
  </si>
  <si>
    <t>In a raid, players form a group of allies that collectively try to defeat a boss.</t>
  </si>
  <si>
    <t>Gehennas</t>
  </si>
  <si>
    <t>All the Damage Dealers (that are still alive) deal damage to the Boss simultaneously.</t>
  </si>
  <si>
    <t>Garr</t>
  </si>
  <si>
    <t>The Boss can only deal damage to one player at a time.</t>
  </si>
  <si>
    <t>Baron Geddon</t>
  </si>
  <si>
    <t>All the Healers (that are still alive) heal the player that is being attacked.</t>
  </si>
  <si>
    <t>Shazzrah</t>
  </si>
  <si>
    <t>Sulfuron Harbinger</t>
  </si>
  <si>
    <t>The players strategically take spots around the boss that maximize their chances of winning.</t>
  </si>
  <si>
    <t>Golemagg</t>
  </si>
  <si>
    <t>As a result, the Boss is able to attack the players in the following sequence:</t>
  </si>
  <si>
    <t>Majordomo</t>
  </si>
  <si>
    <t>Players that deal damage.</t>
  </si>
  <si>
    <t>Ragnaros</t>
  </si>
  <si>
    <t>Of those - players that have the highest HP.</t>
  </si>
  <si>
    <t>Of those - players that have the lowest DPS.</t>
  </si>
  <si>
    <t>Then - players that heal with the highest HP and, if equal, with the lowest HPS.</t>
  </si>
  <si>
    <t>Assume that during each second the Boss can attack only 1 player.</t>
  </si>
  <si>
    <t>If such a player's HP goes below 0, the Boss can attack the next player only at the start of the next second.</t>
  </si>
  <si>
    <t>zie sheet L7 Calc</t>
  </si>
  <si>
    <t>Example7:</t>
  </si>
  <si>
    <t>David, together with Player 1, Player 2, Player 3 and Player 4 go for a raid against Lucifron.</t>
  </si>
  <si>
    <t>They strategically take their spots around Lucifron so that he attacks in the following order:</t>
  </si>
  <si>
    <t>Player 1, then Player 4, then David, then Player 3, then Player 2.</t>
  </si>
  <si>
    <t>The raid's combined DPS is 1,952 and the combined HPS is 305.</t>
  </si>
  <si>
    <t>At the first second of the battle the raid deals 1,952 damage to Lucifron and his HP goes to 20,000 - 1,952 = 18,048</t>
  </si>
  <si>
    <t>Simultaneously, Lucifron deals 1,100 damage to Player 1, of which 305 is healed by the raid's players.</t>
  </si>
  <si>
    <t>Player 1's HP decreases to 3,450 - 1,100 + 305 = 2,655 HP. Other player HP is unchanged.</t>
  </si>
  <si>
    <t>After 5 seconds of such battle, Player 1 gets defeated, but he still makes his damage to Lucifron during the 5th second.</t>
  </si>
  <si>
    <t>At this point, Lucifron's HP is down to 10,240 HP.</t>
  </si>
  <si>
    <t>Starting from the 6th second of the battle, the raid's combined DPS is 1,952 - 476 (DPS of Player 1) = 1,476.</t>
  </si>
  <si>
    <t>The battle is over after 13 seconds when Lucifron is defeated.</t>
  </si>
  <si>
    <t>By that time only David, Player 2 and Player 3 remain undefeated.</t>
  </si>
  <si>
    <t>If this was not an example game, ALL the players (also the defeated ones) would have received 150,000 XP and 2,200 Gold each.</t>
  </si>
  <si>
    <t>Game #121 Hint: The correct answer is between 19 and 24.</t>
  </si>
  <si>
    <t>Game #122 Hint: The correct answer is between 17 and 22.</t>
  </si>
  <si>
    <t>Game #123 Hint: The correct answer is between 15 and 20.</t>
  </si>
  <si>
    <t>DPS/HPS</t>
  </si>
  <si>
    <t>Boss to Defeat</t>
  </si>
  <si>
    <t>Ally 1</t>
  </si>
  <si>
    <t>Ally 2</t>
  </si>
  <si>
    <t>Ally 3</t>
  </si>
  <si>
    <t>Ally 4</t>
  </si>
  <si>
    <t>Example7</t>
  </si>
  <si>
    <t>Based on L6</t>
  </si>
  <si>
    <t>Player 9</t>
  </si>
  <si>
    <t>Player 8</t>
  </si>
  <si>
    <t>Player 18</t>
  </si>
  <si>
    <t>Player 14</t>
  </si>
  <si>
    <t>Player 6</t>
  </si>
  <si>
    <t>Player 15</t>
  </si>
  <si>
    <t>Player 12</t>
  </si>
  <si>
    <t>Player 7</t>
  </si>
  <si>
    <t>Player 19</t>
  </si>
  <si>
    <t>List of Quests</t>
  </si>
  <si>
    <t>Quest ID</t>
  </si>
  <si>
    <t>Location</t>
  </si>
  <si>
    <t>Quest Name</t>
  </si>
  <si>
    <t>Running Sum Exp location</t>
  </si>
  <si>
    <t>Running Sum Gold location</t>
  </si>
  <si>
    <t>Running Sum count</t>
  </si>
  <si>
    <t>ARA-01</t>
  </si>
  <si>
    <t>Worth Its Weight in Gold</t>
  </si>
  <si>
    <t>ARA-02</t>
  </si>
  <si>
    <t>The Princess Trapped</t>
  </si>
  <si>
    <t>ARA-03</t>
  </si>
  <si>
    <t>Trelane's Defenses</t>
  </si>
  <si>
    <t>ARA-04</t>
  </si>
  <si>
    <t>The Broken Sigil</t>
  </si>
  <si>
    <t>ARA-05</t>
  </si>
  <si>
    <t>Stones of Binding</t>
  </si>
  <si>
    <t>ARA-06</t>
  </si>
  <si>
    <t>Foul Magics</t>
  </si>
  <si>
    <t>ARA-07</t>
  </si>
  <si>
    <t>Call to Arms</t>
  </si>
  <si>
    <t>ARA-08</t>
  </si>
  <si>
    <t>To Steal From Thieves</t>
  </si>
  <si>
    <t>ARA-09</t>
  </si>
  <si>
    <t>Sigil of Thoradin</t>
  </si>
  <si>
    <t>ARA-10</t>
  </si>
  <si>
    <t>Hints of a New Plague?</t>
  </si>
  <si>
    <t>ARA-11</t>
  </si>
  <si>
    <t>The Real Threat</t>
  </si>
  <si>
    <t>ARA-12</t>
  </si>
  <si>
    <t>Crushridge Warmongers</t>
  </si>
  <si>
    <t>ARA-13</t>
  </si>
  <si>
    <t>Breaking the Keystone</t>
  </si>
  <si>
    <t>ARA-14</t>
  </si>
  <si>
    <t>The Traitor Orc</t>
  </si>
  <si>
    <t>ARA-15</t>
  </si>
  <si>
    <t>WANTED: Marez Cowl</t>
  </si>
  <si>
    <t>ARA-16</t>
  </si>
  <si>
    <t>Myzrael's Allies</t>
  </si>
  <si>
    <t>ARA-17</t>
  </si>
  <si>
    <t>Malin's Request</t>
  </si>
  <si>
    <t>ARA-18</t>
  </si>
  <si>
    <t>The Thandol Span</t>
  </si>
  <si>
    <t>ARA-19</t>
  </si>
  <si>
    <t>Stone Tokens</t>
  </si>
  <si>
    <t>ARA-20</t>
  </si>
  <si>
    <t>Wanted! Otto and Falconcrest</t>
  </si>
  <si>
    <t>ASH-01</t>
  </si>
  <si>
    <t>Warsong Supplies</t>
  </si>
  <si>
    <t>ASH-02</t>
  </si>
  <si>
    <t>Ashenvale Outrunners</t>
  </si>
  <si>
    <t>ASH-03</t>
  </si>
  <si>
    <t>The Zoram Strand</t>
  </si>
  <si>
    <t>ASH-04</t>
  </si>
  <si>
    <t>Stonetalon Standstill</t>
  </si>
  <si>
    <t>ASH-05</t>
  </si>
  <si>
    <t>Satyr Horns</t>
  </si>
  <si>
    <t>ASH-06</t>
  </si>
  <si>
    <t>Torek's Assault</t>
  </si>
  <si>
    <t>ASH-07</t>
  </si>
  <si>
    <t>The Howling Vale</t>
  </si>
  <si>
    <t>ASH-08</t>
  </si>
  <si>
    <t>Ordanus</t>
  </si>
  <si>
    <t>ASH-09</t>
  </si>
  <si>
    <t>Ruuzel</t>
  </si>
  <si>
    <t>ASH-10</t>
  </si>
  <si>
    <t>Bathran's Hair</t>
  </si>
  <si>
    <t>ASH-11</t>
  </si>
  <si>
    <t>The Lost Pages</t>
  </si>
  <si>
    <t>ASH-12</t>
  </si>
  <si>
    <t>Raene's Cleansing</t>
  </si>
  <si>
    <t>ASH-13</t>
  </si>
  <si>
    <t>Freedom to Ruul</t>
  </si>
  <si>
    <t>ASH-14</t>
  </si>
  <si>
    <t>Vile Satyr! Dryads in Danger</t>
  </si>
  <si>
    <t>ASH-15</t>
  </si>
  <si>
    <t>Between a Rock and a Thistlefur</t>
  </si>
  <si>
    <t>ASH-16</t>
  </si>
  <si>
    <t>Fallen Sky Lake</t>
  </si>
  <si>
    <t>ASH-17</t>
  </si>
  <si>
    <t>The Ancient Statuette</t>
  </si>
  <si>
    <t>ASH-18</t>
  </si>
  <si>
    <t>A Helping Hand</t>
  </si>
  <si>
    <t>ASH-19</t>
  </si>
  <si>
    <t>Diabolical Plans</t>
  </si>
  <si>
    <t>ASH-20</t>
  </si>
  <si>
    <t>Return to Vahlarriel</t>
  </si>
  <si>
    <t>BAR-01</t>
  </si>
  <si>
    <t>Crossroads Conscription</t>
  </si>
  <si>
    <t>BAR-02</t>
  </si>
  <si>
    <t>The Forgotten Pools</t>
  </si>
  <si>
    <t>BAR-03</t>
  </si>
  <si>
    <t>Disrupt the Attacks</t>
  </si>
  <si>
    <t>BAR-04</t>
  </si>
  <si>
    <t>Raptor Horns</t>
  </si>
  <si>
    <t>BAR-05</t>
  </si>
  <si>
    <t>The Stagnant Oasis</t>
  </si>
  <si>
    <t>BAR-06</t>
  </si>
  <si>
    <t>Centaur Bracers</t>
  </si>
  <si>
    <t>BAR-07</t>
  </si>
  <si>
    <t>Lost in Battle</t>
  </si>
  <si>
    <t>BAR-08</t>
  </si>
  <si>
    <t>Prowlers of the Barrens</t>
  </si>
  <si>
    <t>BAR-09</t>
  </si>
  <si>
    <t>The Zhevra</t>
  </si>
  <si>
    <t>BAR-10</t>
  </si>
  <si>
    <t>Kolkar Leaders</t>
  </si>
  <si>
    <t>BAR-11</t>
  </si>
  <si>
    <t>Fungal Spores</t>
  </si>
  <si>
    <t>BAR-12</t>
  </si>
  <si>
    <t>Apothecary Helbrim</t>
  </si>
  <si>
    <t>BAR-13</t>
  </si>
  <si>
    <t>Samophlange</t>
  </si>
  <si>
    <t>BAR-14</t>
  </si>
  <si>
    <t>Harpy Raiders</t>
  </si>
  <si>
    <t>BAR-15</t>
  </si>
  <si>
    <t>Ignition</t>
  </si>
  <si>
    <t>BAR-16</t>
  </si>
  <si>
    <t>Miner's Fortune</t>
  </si>
  <si>
    <t>BAR-17</t>
  </si>
  <si>
    <t>Verog the Dervish</t>
  </si>
  <si>
    <t>BAR-18</t>
  </si>
  <si>
    <t>Weapons of Choice</t>
  </si>
  <si>
    <t>BAR-19</t>
  </si>
  <si>
    <t>The Harvester</t>
  </si>
  <si>
    <t>BAR-20</t>
  </si>
  <si>
    <t>The Venture Co.</t>
  </si>
  <si>
    <t>DES-01</t>
  </si>
  <si>
    <t>Centaur Bounty</t>
  </si>
  <si>
    <t>DES-02</t>
  </si>
  <si>
    <t>Scepter of Light</t>
  </si>
  <si>
    <t>DES-03</t>
  </si>
  <si>
    <t>Gelkis Alliance</t>
  </si>
  <si>
    <t>DES-04</t>
  </si>
  <si>
    <t>Khan Dez'hepah</t>
  </si>
  <si>
    <t>DES-05</t>
  </si>
  <si>
    <t>Reagents for Reclaimers</t>
  </si>
  <si>
    <t>DES-06</t>
  </si>
  <si>
    <t>The Corrupter</t>
  </si>
  <si>
    <t>DES-07</t>
  </si>
  <si>
    <t>Down the Scarlet Path</t>
  </si>
  <si>
    <t>DES-08</t>
  </si>
  <si>
    <t>Kodo Roundup</t>
  </si>
  <si>
    <t>DES-09</t>
  </si>
  <si>
    <t>The Burning of Spirits</t>
  </si>
  <si>
    <t>DES-10</t>
  </si>
  <si>
    <t>Nothing But the Truth</t>
  </si>
  <si>
    <t>DES-11</t>
  </si>
  <si>
    <t>Other Fish to Fry</t>
  </si>
  <si>
    <t>DES-12</t>
  </si>
  <si>
    <t>Vahlarriel's Search</t>
  </si>
  <si>
    <t>DES-13</t>
  </si>
  <si>
    <t>Bone Collector</t>
  </si>
  <si>
    <t>DES-14</t>
  </si>
  <si>
    <t>Befouled by Satyr</t>
  </si>
  <si>
    <t>DES-15</t>
  </si>
  <si>
    <t>Alliance Relations</t>
  </si>
  <si>
    <t>DES-16</t>
  </si>
  <si>
    <t>Ghost-o-plasm Round Up</t>
  </si>
  <si>
    <t>DES-17</t>
  </si>
  <si>
    <t>DES-18</t>
  </si>
  <si>
    <t>Hand of Iruxos</t>
  </si>
  <si>
    <t>DES-19</t>
  </si>
  <si>
    <t>The Hatecrest Threat</t>
  </si>
  <si>
    <t>DES-20</t>
  </si>
  <si>
    <t>The Scepter of Light</t>
  </si>
  <si>
    <t>DUR-01</t>
  </si>
  <si>
    <t>Hidden Enemies</t>
  </si>
  <si>
    <t>DUR-02</t>
  </si>
  <si>
    <t>Burning Blade Medallion</t>
  </si>
  <si>
    <t>DUR-03</t>
  </si>
  <si>
    <t>Encroachment</t>
  </si>
  <si>
    <t>DUR-04</t>
  </si>
  <si>
    <t>Zalazane</t>
  </si>
  <si>
    <t>DUR-05</t>
  </si>
  <si>
    <t>Thwarting Kolkar Aggression</t>
  </si>
  <si>
    <t>DUR-06</t>
  </si>
  <si>
    <t>Vanquish the Betrayers</t>
  </si>
  <si>
    <t>DUR-07</t>
  </si>
  <si>
    <t>Dark Storms</t>
  </si>
  <si>
    <t>DUR-08</t>
  </si>
  <si>
    <t>Skull Rock</t>
  </si>
  <si>
    <t>DUR-09</t>
  </si>
  <si>
    <t>Minshina's Skull</t>
  </si>
  <si>
    <t>DUR-10</t>
  </si>
  <si>
    <t>A Peon's Burden</t>
  </si>
  <si>
    <t>DUR-11</t>
  </si>
  <si>
    <t>Practical Prey</t>
  </si>
  <si>
    <t>DUR-12</t>
  </si>
  <si>
    <t>Breaking the Chain</t>
  </si>
  <si>
    <t>DUR-13</t>
  </si>
  <si>
    <t>Sen'jin Supplies</t>
  </si>
  <si>
    <t>DUR-14</t>
  </si>
  <si>
    <t>Report to Sen'jin Village</t>
  </si>
  <si>
    <t>DUR-15</t>
  </si>
  <si>
    <t>DUR-16</t>
  </si>
  <si>
    <t>The Admiral's Orders</t>
  </si>
  <si>
    <t>DUR-17</t>
  </si>
  <si>
    <t>Winds in the Desert</t>
  </si>
  <si>
    <t>DUR-18</t>
  </si>
  <si>
    <t>Rite of Strength</t>
  </si>
  <si>
    <t>DUR-19</t>
  </si>
  <si>
    <t>Call of Fire</t>
  </si>
  <si>
    <t>DUR-20</t>
  </si>
  <si>
    <t>Lazy Peons</t>
  </si>
  <si>
    <t>HIL-01</t>
  </si>
  <si>
    <t>Battle of Hillsbrad</t>
  </si>
  <si>
    <t>HIL-02</t>
  </si>
  <si>
    <t>WANTED: Syndicate Personnel</t>
  </si>
  <si>
    <t>HIL-03</t>
  </si>
  <si>
    <t>Dangerous!</t>
  </si>
  <si>
    <t>HIL-04</t>
  </si>
  <si>
    <t>Elixir of Suffering</t>
  </si>
  <si>
    <t>HIL-05</t>
  </si>
  <si>
    <t>Souvenirs of Death</t>
  </si>
  <si>
    <t>HIL-06</t>
  </si>
  <si>
    <t>Battle of Hillsbrad Fields</t>
  </si>
  <si>
    <t>HIL-07</t>
  </si>
  <si>
    <t>The Hammer May Fall</t>
  </si>
  <si>
    <t>HIL-08</t>
  </si>
  <si>
    <t>Helcular's Revenge</t>
  </si>
  <si>
    <t>HIL-09</t>
  </si>
  <si>
    <t>Syndicate Assassins</t>
  </si>
  <si>
    <t>HIL-10</t>
  </si>
  <si>
    <t>Elixir of Pain</t>
  </si>
  <si>
    <t>HIL-11</t>
  </si>
  <si>
    <t>Foreboding Plans</t>
  </si>
  <si>
    <t>HIL-12</t>
  </si>
  <si>
    <t>Southshore</t>
  </si>
  <si>
    <t>HIL-13</t>
  </si>
  <si>
    <t>Crushridge Bounty</t>
  </si>
  <si>
    <t>HIL-14</t>
  </si>
  <si>
    <t>Infiltration</t>
  </si>
  <si>
    <t>HIL-15</t>
  </si>
  <si>
    <t>WANTED: Baron Vardus</t>
  </si>
  <si>
    <t>HIL-16</t>
  </si>
  <si>
    <t>The Rescue</t>
  </si>
  <si>
    <t>HIL-17</t>
  </si>
  <si>
    <t>Humbert's Sword</t>
  </si>
  <si>
    <t>HIL-18</t>
  </si>
  <si>
    <t>The Missing Diplomat</t>
  </si>
  <si>
    <t>HIL-19</t>
  </si>
  <si>
    <t>Preserving Knowledge</t>
  </si>
  <si>
    <t>HIL-20</t>
  </si>
  <si>
    <t>The Human Condition</t>
  </si>
  <si>
    <t>MUL-01</t>
  </si>
  <si>
    <t>Dangers of the Windfury</t>
  </si>
  <si>
    <t>MUL-02</t>
  </si>
  <si>
    <t>Wildmane Totem</t>
  </si>
  <si>
    <t>MUL-03</t>
  </si>
  <si>
    <t>The Hunt Begins</t>
  </si>
  <si>
    <t>MUL-04</t>
  </si>
  <si>
    <t>Swoop Hunting</t>
  </si>
  <si>
    <t>MUL-05</t>
  </si>
  <si>
    <t>The Ravaged Caravan</t>
  </si>
  <si>
    <t>MUL-06</t>
  </si>
  <si>
    <t>A Sacred Burial</t>
  </si>
  <si>
    <t>MUL-07</t>
  </si>
  <si>
    <t>Rite of Vision</t>
  </si>
  <si>
    <t>MUL-08</t>
  </si>
  <si>
    <t>Mazzranache</t>
  </si>
  <si>
    <t>MUL-09</t>
  </si>
  <si>
    <t>Dwarven Digging</t>
  </si>
  <si>
    <t>MUL-10</t>
  </si>
  <si>
    <t>Poison Water</t>
  </si>
  <si>
    <t>MUL-11</t>
  </si>
  <si>
    <t>Rites of the Earthmother</t>
  </si>
  <si>
    <t>MUL-12</t>
  </si>
  <si>
    <t>Winterhoof Cleansing</t>
  </si>
  <si>
    <t>MUL-13</t>
  </si>
  <si>
    <t>The Battleboars</t>
  </si>
  <si>
    <t>MUL-14</t>
  </si>
  <si>
    <t>Kyle's Gone Missing!</t>
  </si>
  <si>
    <t>MUL-15</t>
  </si>
  <si>
    <t>Sharing the Land</t>
  </si>
  <si>
    <t>MUL-16</t>
  </si>
  <si>
    <t>MUL-17</t>
  </si>
  <si>
    <t>Thunderhorn Cleansing</t>
  </si>
  <si>
    <t>MUL-18</t>
  </si>
  <si>
    <t>Rites of Strength</t>
  </si>
  <si>
    <t>MUL-19</t>
  </si>
  <si>
    <t>The Restless Earth</t>
  </si>
  <si>
    <t>MUL-20</t>
  </si>
  <si>
    <t>Journey into Thunder Bluff</t>
  </si>
  <si>
    <t>SIL-01</t>
  </si>
  <si>
    <t>The Dead Fields</t>
  </si>
  <si>
    <t>SIL-02</t>
  </si>
  <si>
    <t>Arugal's Folly</t>
  </si>
  <si>
    <t>SIL-03</t>
  </si>
  <si>
    <t>The Decrepit Ferry</t>
  </si>
  <si>
    <t>SIL-04</t>
  </si>
  <si>
    <t>Deathstalkers in Shadow</t>
  </si>
  <si>
    <t>SIL-05</t>
  </si>
  <si>
    <t>Lost Deathstalkers</t>
  </si>
  <si>
    <t>SIL-06</t>
  </si>
  <si>
    <t>Border Crossings</t>
  </si>
  <si>
    <t>SIL-07</t>
  </si>
  <si>
    <t>Prove Your Worth</t>
  </si>
  <si>
    <t>SIL-08</t>
  </si>
  <si>
    <t>The Engraved Ring</t>
  </si>
  <si>
    <t>SIL-09</t>
  </si>
  <si>
    <t>Rot Hide Clues</t>
  </si>
  <si>
    <t>SIL-10</t>
  </si>
  <si>
    <t>Skittering Blood</t>
  </si>
  <si>
    <t>SIL-11</t>
  </si>
  <si>
    <t>Worgen in the Woods</t>
  </si>
  <si>
    <t>SIL-12</t>
  </si>
  <si>
    <t>The Weaver</t>
  </si>
  <si>
    <t>SIL-13</t>
  </si>
  <si>
    <t>The Dark Lady's Call</t>
  </si>
  <si>
    <t>SIL-14</t>
  </si>
  <si>
    <t>Agamand Heirlooms</t>
  </si>
  <si>
    <t>SIL-15</t>
  </si>
  <si>
    <t>Rot Hide Ichor</t>
  </si>
  <si>
    <t>SIL-16</t>
  </si>
  <si>
    <t>Forsaken Duties</t>
  </si>
  <si>
    <t>SIL-17</t>
  </si>
  <si>
    <t>The Skittering Dark</t>
  </si>
  <si>
    <t>SIL-18</t>
  </si>
  <si>
    <t>Arugal Must Die</t>
  </si>
  <si>
    <t>SIL-19</t>
  </si>
  <si>
    <t>The Weeping Cave</t>
  </si>
  <si>
    <t>SIL-20</t>
  </si>
  <si>
    <t>Trial of the Sea Lion</t>
  </si>
  <si>
    <t>STO-01</t>
  </si>
  <si>
    <t>A Gnome's Respite</t>
  </si>
  <si>
    <t>STO-02</t>
  </si>
  <si>
    <t>Boulderslide Ravine</t>
  </si>
  <si>
    <t>STO-03</t>
  </si>
  <si>
    <t>Goblin Invaders</t>
  </si>
  <si>
    <t>STO-04</t>
  </si>
  <si>
    <t>Super Reaper 6000</t>
  </si>
  <si>
    <t>STO-05</t>
  </si>
  <si>
    <t>STO-06</t>
  </si>
  <si>
    <t>Earthen Arise</t>
  </si>
  <si>
    <t>STO-07</t>
  </si>
  <si>
    <t>Elemental War</t>
  </si>
  <si>
    <t>STO-08</t>
  </si>
  <si>
    <t>Cycle of Rebirth</t>
  </si>
  <si>
    <t>STO-09</t>
  </si>
  <si>
    <t>Protect Kaya</t>
  </si>
  <si>
    <t>STO-10</t>
  </si>
  <si>
    <t>Harpies Threaten</t>
  </si>
  <si>
    <t>STO-11</t>
  </si>
  <si>
    <t>Jin'Zil's Forest Magic</t>
  </si>
  <si>
    <t>STO-12</t>
  </si>
  <si>
    <t>An Ally in Need</t>
  </si>
  <si>
    <t>STO-13</t>
  </si>
  <si>
    <t>Trouble in the Deeps</t>
  </si>
  <si>
    <t>STO-14</t>
  </si>
  <si>
    <t>Deepmoss Spider Eggs</t>
  </si>
  <si>
    <t>STO-15</t>
  </si>
  <si>
    <t>Arachnophobia</t>
  </si>
  <si>
    <t>STO-16</t>
  </si>
  <si>
    <t>Avenge My Village</t>
  </si>
  <si>
    <t>STO-17</t>
  </si>
  <si>
    <t>Reclaiming the Charred Vale</t>
  </si>
  <si>
    <t>STO-18</t>
  </si>
  <si>
    <t>On Guard in Stonetalon</t>
  </si>
  <si>
    <t>STO-19</t>
  </si>
  <si>
    <t>Shadoweaver</t>
  </si>
  <si>
    <t>STO-20</t>
  </si>
  <si>
    <t>Corrosion Prevention</t>
  </si>
  <si>
    <t>THN-01</t>
  </si>
  <si>
    <t>The Sacred Flame</t>
  </si>
  <si>
    <t>THN-02</t>
  </si>
  <si>
    <t>Steelsnap</t>
  </si>
  <si>
    <t>THN-03</t>
  </si>
  <si>
    <t>Hypercapacitor Gizmo</t>
  </si>
  <si>
    <t>THN-04</t>
  </si>
  <si>
    <t>Test of Endurance</t>
  </si>
  <si>
    <t>THN-05</t>
  </si>
  <si>
    <t>Free at Last</t>
  </si>
  <si>
    <t>THN-06</t>
  </si>
  <si>
    <t>Galak Messenger</t>
  </si>
  <si>
    <t>THN-07</t>
  </si>
  <si>
    <t>The Crone of the Kraul</t>
  </si>
  <si>
    <t>THN-08</t>
  </si>
  <si>
    <t>A Different Approach</t>
  </si>
  <si>
    <t>THN-09</t>
  </si>
  <si>
    <t>Wind Rider</t>
  </si>
  <si>
    <t>THN-10</t>
  </si>
  <si>
    <t>Wanted - Arnak Grimtotem</t>
  </si>
  <si>
    <t>THN-11</t>
  </si>
  <si>
    <t>Salt Flat Venom</t>
  </si>
  <si>
    <t>THN-12</t>
  </si>
  <si>
    <t>Parts for Kravel</t>
  </si>
  <si>
    <t>THN-13</t>
  </si>
  <si>
    <t>Hemet Nesingwary Jr.</t>
  </si>
  <si>
    <t>THN-14</t>
  </si>
  <si>
    <t>Rocket Car Parts</t>
  </si>
  <si>
    <t>THN-15</t>
  </si>
  <si>
    <t>Encrusted Tail Fins</t>
  </si>
  <si>
    <t>THN-16</t>
  </si>
  <si>
    <t>Hardened Shells</t>
  </si>
  <si>
    <t>THN-17</t>
  </si>
  <si>
    <t>The Swarm Grows</t>
  </si>
  <si>
    <t>THN-18</t>
  </si>
  <si>
    <t>Message to Freewind Post</t>
  </si>
  <si>
    <t>THN-19</t>
  </si>
  <si>
    <t>Sacred Fire</t>
  </si>
  <si>
    <t>THN-20</t>
  </si>
  <si>
    <t>Grimtotem Spying</t>
  </si>
  <si>
    <t>TIR-01</t>
  </si>
  <si>
    <t>A New Plague</t>
  </si>
  <si>
    <t>TIR-02</t>
  </si>
  <si>
    <t>At War With The Scarlet Crusade</t>
  </si>
  <si>
    <t>TIR-03</t>
  </si>
  <si>
    <t>TIR-04</t>
  </si>
  <si>
    <t>Deaths in the Family</t>
  </si>
  <si>
    <t>TIR-05</t>
  </si>
  <si>
    <t>The Haunted Mills</t>
  </si>
  <si>
    <t>TIR-06</t>
  </si>
  <si>
    <t>Graverobbers</t>
  </si>
  <si>
    <t>TIR-07</t>
  </si>
  <si>
    <t>Doom Weed</t>
  </si>
  <si>
    <t>TIR-08</t>
  </si>
  <si>
    <t>Fields of Grief</t>
  </si>
  <si>
    <t>TIR-09</t>
  </si>
  <si>
    <t>The Prodigal Lich</t>
  </si>
  <si>
    <t>TIR-10</t>
  </si>
  <si>
    <t>The Lich's Identity</t>
  </si>
  <si>
    <t>TIR-11</t>
  </si>
  <si>
    <t>Maggot Eye</t>
  </si>
  <si>
    <t>TIR-12</t>
  </si>
  <si>
    <t>Delivery to Silverpine Forest</t>
  </si>
  <si>
    <t>TIR-13</t>
  </si>
  <si>
    <t>The Chill of Death</t>
  </si>
  <si>
    <t>TIR-14</t>
  </si>
  <si>
    <t>Return to the Magistrate</t>
  </si>
  <si>
    <t>TIR-15</t>
  </si>
  <si>
    <t>A Letter Undelivered</t>
  </si>
  <si>
    <t>TIR-16</t>
  </si>
  <si>
    <t>Speak with Sevren</t>
  </si>
  <si>
    <t>TIR-17</t>
  </si>
  <si>
    <t>Rear Guard Patrol</t>
  </si>
  <si>
    <t>TIR-18</t>
  </si>
  <si>
    <t>A Rogue's Deal</t>
  </si>
  <si>
    <t>TIR-19</t>
  </si>
  <si>
    <t>Journey to Hillsbrad Foothills</t>
  </si>
  <si>
    <t>TIR-20</t>
  </si>
  <si>
    <t>Resting with the Dead</t>
  </si>
  <si>
    <t>Resource Prices</t>
  </si>
  <si>
    <t>Prices provided for 1 STACK (20 ores)</t>
  </si>
  <si>
    <t>Date</t>
  </si>
  <si>
    <t>List of Items</t>
  </si>
  <si>
    <t>Quest #</t>
  </si>
  <si>
    <t>Item Granted</t>
  </si>
  <si>
    <t>Available to Class</t>
  </si>
  <si>
    <t>Stat</t>
  </si>
  <si>
    <t>Amount of Stats</t>
  </si>
  <si>
    <t>Order of quest</t>
  </si>
  <si>
    <t>Runnning total stats</t>
  </si>
  <si>
    <t>Runnning total XP</t>
  </si>
  <si>
    <t>Runnning total gold</t>
  </si>
  <si>
    <t>Item #</t>
  </si>
  <si>
    <t>Item Name</t>
  </si>
  <si>
    <t>Slot</t>
  </si>
  <si>
    <t>Badlands</t>
  </si>
  <si>
    <t>To Steal from Thieves</t>
  </si>
  <si>
    <t>Shadowcraft Pants</t>
  </si>
  <si>
    <t>Valor Helm</t>
  </si>
  <si>
    <t>Head</t>
  </si>
  <si>
    <t>Marg Speaks</t>
  </si>
  <si>
    <t>Wildheart Vest</t>
  </si>
  <si>
    <t>Valor Shoulders</t>
  </si>
  <si>
    <t>Shoulders</t>
  </si>
  <si>
    <t>Dustwallow Marsh</t>
  </si>
  <si>
    <t>Marked for Death</t>
  </si>
  <si>
    <t>Wildheart Cowl</t>
  </si>
  <si>
    <t>Valor Chestplate</t>
  </si>
  <si>
    <t>Chest</t>
  </si>
  <si>
    <t>Hinterlands</t>
  </si>
  <si>
    <t>Saving Sharpbeak</t>
  </si>
  <si>
    <t>Wildheart Boots</t>
  </si>
  <si>
    <t>Valor Gauntlets</t>
  </si>
  <si>
    <t>Hands</t>
  </si>
  <si>
    <t>A Troubling Breeze</t>
  </si>
  <si>
    <t>Wildheart Spaulders</t>
  </si>
  <si>
    <t>Valor Belt</t>
  </si>
  <si>
    <t>Waist</t>
  </si>
  <si>
    <t>Stranglethorn Vale</t>
  </si>
  <si>
    <t>Colonel Kurzen</t>
  </si>
  <si>
    <t>Shadowcraft Gloves</t>
  </si>
  <si>
    <t>Valor Legplates</t>
  </si>
  <si>
    <t>Legs</t>
  </si>
  <si>
    <t>Theramore Spies</t>
  </si>
  <si>
    <t>Shadowcraft Bracers</t>
  </si>
  <si>
    <t>Valor Boots</t>
  </si>
  <si>
    <t>Feet</t>
  </si>
  <si>
    <t>Sharptalon's Claw</t>
  </si>
  <si>
    <t>Shadowcraft Belt</t>
  </si>
  <si>
    <t>Valor Bracers</t>
  </si>
  <si>
    <t>Wrist</t>
  </si>
  <si>
    <t>Wetlands</t>
  </si>
  <si>
    <t>Sully Balloo's Letter</t>
  </si>
  <si>
    <t>Beaststalker's Tunic</t>
  </si>
  <si>
    <t>Dreadmist Mask</t>
  </si>
  <si>
    <t>Warlock, Priest, Mage</t>
  </si>
  <si>
    <t>Talon of Tethis</t>
  </si>
  <si>
    <t>Beaststalker's Cap</t>
  </si>
  <si>
    <t>Dreadmist Mantle</t>
  </si>
  <si>
    <t>Western Plaguelands</t>
  </si>
  <si>
    <t>Return to Chillwind Camp</t>
  </si>
  <si>
    <t>Beaststalker's Mantle</t>
  </si>
  <si>
    <t>Dreadmist Robes</t>
  </si>
  <si>
    <t>Feralas</t>
  </si>
  <si>
    <t>The Mark of Quality</t>
  </si>
  <si>
    <t>Beaststalker's Boots</t>
  </si>
  <si>
    <t>Dreadmist Gloves</t>
  </si>
  <si>
    <t>Gerenzo's Orders</t>
  </si>
  <si>
    <t>Beaststalker's Gloves</t>
  </si>
  <si>
    <t>Dreadmist Belt</t>
  </si>
  <si>
    <t>The Karnitol Shipwreck</t>
  </si>
  <si>
    <t>Beaststalker's Bindings</t>
  </si>
  <si>
    <t>Dreadmist Leggings</t>
  </si>
  <si>
    <t>Big Game Hunter</t>
  </si>
  <si>
    <t>Earthfury Vestments</t>
  </si>
  <si>
    <t>Dreadmist Sandals</t>
  </si>
  <si>
    <t>The Green Hills of Stranglethorn</t>
  </si>
  <si>
    <t>Earthfury Helmet</t>
  </si>
  <si>
    <t>Dreadmist Bracers</t>
  </si>
  <si>
    <t>Summoning Shadra</t>
  </si>
  <si>
    <t>Earthfury Boots</t>
  </si>
  <si>
    <t>Devout Crown</t>
  </si>
  <si>
    <t>The Mind's Eye</t>
  </si>
  <si>
    <t>Earthfury Legguards</t>
  </si>
  <si>
    <t>Devout Mantle</t>
  </si>
  <si>
    <t>Swamp of Sorrows</t>
  </si>
  <si>
    <t>The Temple of Atal’Hakkar</t>
  </si>
  <si>
    <t>Earthfury Gauntlets</t>
  </si>
  <si>
    <t>Devout Robes</t>
  </si>
  <si>
    <t>Earthfury Bracers</t>
  </si>
  <si>
    <t>Devout Gloves</t>
  </si>
  <si>
    <t>Hostile Takeover</t>
  </si>
  <si>
    <t>Earthfury Epaulets</t>
  </si>
  <si>
    <t>Devout Belt</t>
  </si>
  <si>
    <t>Earthfury Belt</t>
  </si>
  <si>
    <t>Devout Skirt</t>
  </si>
  <si>
    <t>Warlock's Whistle</t>
  </si>
  <si>
    <t>Devout Sandals</t>
  </si>
  <si>
    <t>A Grim Discovery</t>
  </si>
  <si>
    <t>Magister's Crown</t>
  </si>
  <si>
    <t>Devout Bracers</t>
  </si>
  <si>
    <t>Mistvale Giblets</t>
  </si>
  <si>
    <t>Magister's Mantle</t>
  </si>
  <si>
    <t>Blasted Lands</t>
  </si>
  <si>
    <t>The Stones That Bind Us</t>
  </si>
  <si>
    <t>The Black Shield</t>
  </si>
  <si>
    <t>Magister's Gloves</t>
  </si>
  <si>
    <t>Magister's Robes</t>
  </si>
  <si>
    <t>Tiger Mastery</t>
  </si>
  <si>
    <t>Magister's Boots</t>
  </si>
  <si>
    <t>Magister's Belt</t>
  </si>
  <si>
    <t>Raising Spirits</t>
  </si>
  <si>
    <t>Magister's Leggings</t>
  </si>
  <si>
    <t>Orgrimmar</t>
  </si>
  <si>
    <t>The Shattered Hand</t>
  </si>
  <si>
    <t>Sunken Treasure</t>
  </si>
  <si>
    <t>Magister's Bindings</t>
  </si>
  <si>
    <t>Venture Company Mining</t>
  </si>
  <si>
    <t>Supply and Demand</t>
  </si>
  <si>
    <t>The Altar of Zul</t>
  </si>
  <si>
    <t>Return to Tymor</t>
  </si>
  <si>
    <t>Beaststalker's Belt</t>
  </si>
  <si>
    <t>Broken Alliances</t>
  </si>
  <si>
    <t>Beaststalker's Pants</t>
  </si>
  <si>
    <t>Raptor Mastery</t>
  </si>
  <si>
    <t>Druid, Rogue</t>
  </si>
  <si>
    <t>Wildheart Gloves</t>
  </si>
  <si>
    <t>Wildheart Belt</t>
  </si>
  <si>
    <t>Wildheart Kilt</t>
  </si>
  <si>
    <t>Wildheart Bracers</t>
  </si>
  <si>
    <t>Shadowcraft Cap</t>
  </si>
  <si>
    <t>Shadowcraft Spaulders</t>
  </si>
  <si>
    <t>Shadowcraft Tunic</t>
  </si>
  <si>
    <t>Shadowcraft Boots</t>
  </si>
  <si>
    <t>List of Dungeons</t>
  </si>
  <si>
    <t>Dungeon #</t>
  </si>
  <si>
    <t>Visit #</t>
  </si>
  <si>
    <t>Dungeon Name</t>
  </si>
  <si>
    <t>Min Level</t>
  </si>
  <si>
    <t>Gear Reward (Weapons)</t>
  </si>
  <si>
    <t>Sales Price</t>
  </si>
  <si>
    <t>Stats</t>
  </si>
  <si>
    <t>Stats Amount</t>
  </si>
  <si>
    <t>1, 4, 7,…</t>
  </si>
  <si>
    <t>Scarlet Monastery</t>
  </si>
  <si>
    <t>Ravager</t>
  </si>
  <si>
    <t>2, 5, 8,…</t>
  </si>
  <si>
    <t>Torturing Poker</t>
  </si>
  <si>
    <t>3, 6, 9,…</t>
  </si>
  <si>
    <t>Illusionary Rod</t>
  </si>
  <si>
    <t>Warlock, Mage</t>
  </si>
  <si>
    <t>Razorfen Downs</t>
  </si>
  <si>
    <t>X'caliboar</t>
  </si>
  <si>
    <t>Vanquisher's Sword</t>
  </si>
  <si>
    <t>Plaguerot Sprig</t>
  </si>
  <si>
    <t>Maraudon</t>
  </si>
  <si>
    <t>Princess Theradras' Scepter</t>
  </si>
  <si>
    <t>Gatorbite Axe</t>
  </si>
  <si>
    <t>Inventor's Focal Sword</t>
  </si>
  <si>
    <t>Zul'Farrak</t>
  </si>
  <si>
    <t>Zum'rah's Vexing Cane</t>
  </si>
  <si>
    <t>The Hand of Antu'sul</t>
  </si>
  <si>
    <t>Diabolic Skiver</t>
  </si>
  <si>
    <t>Uldaman</t>
  </si>
  <si>
    <t xml:space="preserve">Stoneslayer </t>
  </si>
  <si>
    <t>Ironshod Bludgeon</t>
  </si>
  <si>
    <t>Grimlok's Charge</t>
  </si>
  <si>
    <t>The Temple of Atal'Hakkar</t>
  </si>
  <si>
    <t>Dragon's Call</t>
  </si>
  <si>
    <t>Eater of the Damned</t>
  </si>
  <si>
    <t>Dragon's Cry</t>
  </si>
  <si>
    <t>Blackrock Depths</t>
  </si>
  <si>
    <t>Pyric Caduceus</t>
  </si>
  <si>
    <t>Kindling Stave</t>
  </si>
  <si>
    <t>Guiding Stave of Wisdom</t>
  </si>
  <si>
    <t>Scholomance</t>
  </si>
  <si>
    <t>Witchblade</t>
  </si>
  <si>
    <t>Frightskull Shaft</t>
  </si>
  <si>
    <t>Headmaster's Charge</t>
  </si>
  <si>
    <t>Stratholme</t>
  </si>
  <si>
    <t>Bone Slicing Hatchet</t>
  </si>
  <si>
    <t>Skullforge Reaver</t>
  </si>
  <si>
    <t>Hammer of the grand Crusader</t>
  </si>
  <si>
    <t>Dire Maul</t>
  </si>
  <si>
    <t>Satyr's Bow</t>
  </si>
  <si>
    <t>Fiendish Machete</t>
  </si>
  <si>
    <t>Quel'dorai Channeling Rod</t>
  </si>
  <si>
    <t>Player</t>
  </si>
  <si>
    <t>Current exp</t>
  </si>
  <si>
    <t>Current Gold</t>
  </si>
  <si>
    <t>Quests till target</t>
  </si>
  <si>
    <t>Exp acq.</t>
  </si>
  <si>
    <t>gold acq.</t>
  </si>
  <si>
    <t>Current game stat</t>
  </si>
  <si>
    <t>Bereken wat de huidige exp en gold is van player uit de vorige oef</t>
  </si>
  <si>
    <t>Bereken game stat en target door index match met hulptabel</t>
  </si>
  <si>
    <t>Voeg hulpkolommen toe in sheet More Quests en Item (L4) voor questorder en running total van stats, exp en gold</t>
  </si>
  <si>
    <t>bereken hoeveel quests voltooid moeten worden</t>
  </si>
  <si>
    <t>Bereken daarna de verdiende exp en gold</t>
  </si>
  <si>
    <t>Finaal tel verdiende Exp en huidige exp voordat quests zijn gestart</t>
  </si>
  <si>
    <t>Voeg ook tot. gold, curr. item, curr. game stat en curr. level toe, want die kolommen zijn later nodig</t>
  </si>
  <si>
    <t>Datatbl</t>
  </si>
  <si>
    <t>Runs needed till level 60</t>
  </si>
  <si>
    <t>Gold</t>
  </si>
  <si>
    <t>Current weapon</t>
  </si>
  <si>
    <t>Current Game Stat</t>
  </si>
  <si>
    <t>Current Level</t>
  </si>
  <si>
    <t>uitleg:</t>
  </si>
  <si>
    <t>Maak tabel aan per run van dungeon</t>
  </si>
  <si>
    <t>Hou rekening dat na elke dungeonrun er exp wordt verdiend en dat level omhoog kan gaan en dus ook een betere dungeon</t>
  </si>
  <si>
    <t>Bereken wat de verdiende exp, gold en weapon is voor huidige dungeonrun</t>
  </si>
  <si>
    <t>Bereken stats van verdiende weapon</t>
  </si>
  <si>
    <t>Bereken of dat verdiende weapon past bij huidige player en of het betere stats heeft</t>
  </si>
  <si>
    <t>Zo ja, verkoop oude weapon</t>
  </si>
  <si>
    <t>Behoud running total exp en gold</t>
  </si>
  <si>
    <t>Bereken wat de min. vereiste dungeonruns is om level 60 te bereiken</t>
  </si>
  <si>
    <t>Gebruik datatabel functie om deze scenarios te berekenen voor elke player</t>
  </si>
  <si>
    <t>De runnr waarbij level &gt;=60, is het antwoord</t>
  </si>
  <si>
    <t>Scenarios</t>
  </si>
  <si>
    <t>Weapon usable</t>
  </si>
  <si>
    <t>Weapon switch?</t>
  </si>
  <si>
    <t>Remark</t>
  </si>
  <si>
    <t>""</t>
  </si>
  <si>
    <t>not possible</t>
  </si>
  <si>
    <t>sell new</t>
  </si>
  <si>
    <t>sell old</t>
  </si>
  <si>
    <t>Current level = 40, needed level is 60</t>
  </si>
  <si>
    <t>Exp needed till level 60</t>
  </si>
  <si>
    <t>ID</t>
  </si>
  <si>
    <t>#dungeon run at lowest dungeon</t>
  </si>
  <si>
    <t>Before starting dungeon!</t>
  </si>
  <si>
    <t>Bereken wat de beloning is door huidige dungeon te voltooien</t>
  </si>
  <si>
    <t>After dungeonrun</t>
  </si>
  <si>
    <t>Runnr</t>
  </si>
  <si>
    <t>Current dungeon</t>
  </si>
  <si>
    <t>Dungeon runnr</t>
  </si>
  <si>
    <t>New weapon</t>
  </si>
  <si>
    <t>Prev weapon</t>
  </si>
  <si>
    <t>Weapon to be sold</t>
  </si>
  <si>
    <t>Total exp</t>
  </si>
  <si>
    <t>Total gold</t>
  </si>
  <si>
    <t>RT Acc. Gold</t>
  </si>
  <si>
    <t>Maak hulptabel aan met de stats van huidige player en hun tegenstander</t>
  </si>
  <si>
    <t>Er zijn geen scenarios waarbij 2 healers tegen mekaar vechten (anders gaan ze eindeloos vechten)</t>
  </si>
  <si>
    <t>Maak datatabel aan voor elke seconde</t>
  </si>
  <si>
    <t>Bereken wat HP van player en tegenstander</t>
  </si>
  <si>
    <t>Bereken hoeveel healing/damage van player en tegenstander is</t>
  </si>
  <si>
    <t>Bereken na de battle wat de HP is van player en tegenstander</t>
  </si>
  <si>
    <t>Bereken wanneer player of tegenstander HP &lt;= 0 is, de seconde van deze rij is het antwoord</t>
  </si>
  <si>
    <t>Before battle</t>
  </si>
  <si>
    <t>After battle</t>
  </si>
  <si>
    <t>Battle finished in?</t>
  </si>
  <si>
    <t>SecondID</t>
  </si>
  <si>
    <t>Battle finish?</t>
  </si>
  <si>
    <t>Boss attack order</t>
  </si>
  <si>
    <t>First</t>
  </si>
  <si>
    <t>2nd</t>
  </si>
  <si>
    <t>3rd</t>
  </si>
  <si>
    <t>4th</t>
  </si>
  <si>
    <t>5th</t>
  </si>
  <si>
    <t>Bereken volgorde van allies dat de Boss gaat aanvallen via een datatable functie</t>
  </si>
  <si>
    <t>Hou rekening met de volgorde beschreven volgens de regels</t>
  </si>
  <si>
    <t>Daarna maak datatabel aan per seconde en track de Hp van elke player en de boss</t>
  </si>
  <si>
    <t>Track de stats voor en na de aanval</t>
  </si>
  <si>
    <t>Bereken welke player uitgeschakeld wordt en welke volgende player wordt aangevallen</t>
  </si>
  <si>
    <t>Bereken de seconde waarbij ofwel de gehele playersparty is uitgeschakeld of dat de boss wordt verslagen, dat is het antwoord</t>
  </si>
  <si>
    <t>Ranking allies</t>
  </si>
  <si>
    <t>just in case of ties</t>
  </si>
  <si>
    <t>Combat Stat order</t>
  </si>
  <si>
    <t>HP order</t>
  </si>
  <si>
    <t>DPS/HPS order</t>
  </si>
  <si>
    <t>Row</t>
  </si>
  <si>
    <t>Custom value to sort</t>
  </si>
  <si>
    <t>Rank</t>
  </si>
  <si>
    <t>Player itself</t>
  </si>
  <si>
    <t>Player ID</t>
  </si>
  <si>
    <t>Players</t>
  </si>
  <si>
    <t>#seconds lasted</t>
  </si>
  <si>
    <t>Boss defeated?</t>
  </si>
  <si>
    <t>Seconds</t>
  </si>
  <si>
    <t>Total DPS</t>
  </si>
  <si>
    <t>Total HPS</t>
  </si>
  <si>
    <t>Boss HP</t>
  </si>
  <si>
    <t>Boss DPS</t>
  </si>
  <si>
    <t>Deal/heal damage to player</t>
  </si>
  <si>
    <t>Dead?</t>
  </si>
  <si>
    <t>Party defeated?</t>
  </si>
  <si>
    <t>hetzelfde als oef 6, maar dan is de datatabel groter voor deze vraag, want het gaat over 20 players</t>
  </si>
  <si>
    <t>Sort order</t>
  </si>
  <si>
    <t>Player attack seq.</t>
  </si>
  <si>
    <t>Player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</si>
</sst>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_-;\-* #,##0_-;_-* &quot;-&quot;??_-;_-@_-"/>
    <numFmt numFmtId="166" formatCode="#,##0.00;\(#,##0.00\);\-"/>
    <numFmt numFmtId="167" formatCode="#,##0.0;\(#,##0.0\);\-"/>
    <numFmt numFmtId="168" formatCode="dd\-mmm\-yyyy"/>
    <numFmt numFmtId="169" formatCode="#,##0.0"/>
    <numFmt numFmtId="170" formatCode="0.0"/>
    <numFmt numFmtId="171" formatCode="_-* #,##0.00\ _€_-;\-* #,##0.00\ _€_-;_-* &quot;-&quot;??\ _€_-;_-@_-"/>
    <numFmt numFmtId="172" formatCode="_(* #,##0_);_(* \(#,##0\);_(* &quot;-&quot;??_);_(@_)"/>
  </numFmts>
  <fonts count="41">
    <font>
      <sz val="11"/>
      <color theme="1"/>
      <name val="Calibri"/>
      <family val="2"/>
      <scheme val="minor"/>
    </font>
    <font>
      <sz val="11"/>
      <color theme="1"/>
      <name val="Roboto"/>
    </font>
    <font>
      <b/>
      <sz val="12"/>
      <color theme="7" tint="-0.499984740745262"/>
      <name val="Roboto"/>
    </font>
    <font>
      <sz val="12"/>
      <color theme="7" tint="-0.499984740745262"/>
      <name val="Roboto"/>
    </font>
    <font>
      <b/>
      <sz val="18"/>
      <color theme="0"/>
      <name val="Roboto"/>
    </font>
    <font>
      <b/>
      <sz val="14"/>
      <color theme="0"/>
      <name val="Roboto"/>
    </font>
    <font>
      <sz val="11"/>
      <color theme="7" tint="-0.499984740745262"/>
      <name val="Roboto"/>
    </font>
    <font>
      <b/>
      <sz val="11"/>
      <name val="Roboto"/>
    </font>
    <font>
      <b/>
      <sz val="11"/>
      <color theme="1"/>
      <name val="Roboto"/>
    </font>
    <font>
      <b/>
      <sz val="20"/>
      <color theme="0"/>
      <name val="Roboto"/>
    </font>
    <font>
      <b/>
      <sz val="11"/>
      <color theme="0"/>
      <name val="Roboto"/>
    </font>
    <font>
      <sz val="11"/>
      <name val="Roboto"/>
    </font>
    <font>
      <i/>
      <sz val="10"/>
      <color theme="1"/>
      <name val="Roboto"/>
    </font>
    <font>
      <u/>
      <sz val="11"/>
      <color theme="10"/>
      <name val="Calibri"/>
      <family val="2"/>
      <scheme val="minor"/>
    </font>
    <font>
      <b/>
      <sz val="14"/>
      <name val="Roboto"/>
    </font>
    <font>
      <sz val="12"/>
      <name val="Roboto"/>
    </font>
    <font>
      <sz val="12"/>
      <color theme="1"/>
      <name val="Roboto"/>
    </font>
    <font>
      <b/>
      <sz val="12"/>
      <color theme="1"/>
      <name val="Roboto"/>
    </font>
    <font>
      <sz val="11"/>
      <color theme="1"/>
      <name val="Calibri"/>
      <family val="2"/>
      <scheme val="minor"/>
    </font>
    <font>
      <sz val="11"/>
      <color theme="0"/>
      <name val="Roboto"/>
    </font>
    <font>
      <b/>
      <sz val="20"/>
      <color theme="1"/>
      <name val="Roboto"/>
    </font>
    <font>
      <b/>
      <i/>
      <sz val="11"/>
      <color theme="1"/>
      <name val="Roboto"/>
    </font>
    <font>
      <sz val="10"/>
      <color theme="1"/>
      <name val="Roboto"/>
    </font>
    <font>
      <b/>
      <sz val="10"/>
      <color theme="1"/>
      <name val="Roboto"/>
    </font>
    <font>
      <b/>
      <sz val="10"/>
      <color theme="0"/>
      <name val="Roboto"/>
    </font>
    <font>
      <sz val="8"/>
      <name val="Calibri"/>
      <family val="2"/>
      <scheme val="minor"/>
    </font>
    <font>
      <sz val="10"/>
      <color rgb="FFFF0000"/>
      <name val="Roboto"/>
    </font>
    <font>
      <b/>
      <sz val="10"/>
      <color rgb="FFFF0000"/>
      <name val="Roboto"/>
    </font>
    <font>
      <b/>
      <i/>
      <sz val="11"/>
      <name val="Roboto"/>
    </font>
    <font>
      <b/>
      <sz val="18"/>
      <color theme="0"/>
      <name val="Robotech gp"/>
    </font>
    <font>
      <b/>
      <sz val="24"/>
      <color theme="0"/>
      <name val="Robotech gp"/>
    </font>
    <font>
      <b/>
      <sz val="48"/>
      <color theme="0"/>
      <name val="RoBOTECH GP"/>
    </font>
    <font>
      <sz val="12"/>
      <color theme="1"/>
      <name val="Calibri"/>
      <family val="2"/>
      <scheme val="minor"/>
    </font>
    <font>
      <b/>
      <sz val="12"/>
      <color theme="1"/>
      <name val="Calibri"/>
      <family val="2"/>
      <scheme val="minor"/>
    </font>
    <font>
      <b/>
      <i/>
      <sz val="12"/>
      <color theme="1"/>
      <name val="Calibri"/>
      <family val="2"/>
      <scheme val="minor"/>
    </font>
    <font>
      <b/>
      <sz val="18"/>
      <color theme="0"/>
      <name val="ROBOTECH GP"/>
      <family val="2"/>
    </font>
    <font>
      <b/>
      <sz val="36"/>
      <color theme="1"/>
      <name val="ROBOTECH GP"/>
      <family val="2"/>
    </font>
    <font>
      <sz val="9"/>
      <color indexed="81"/>
      <name val="Tahoma"/>
      <charset val="1"/>
    </font>
    <font>
      <b/>
      <sz val="9"/>
      <color indexed="81"/>
      <name val="Tahoma"/>
      <charset val="1"/>
    </font>
    <font>
      <b/>
      <sz val="11"/>
      <color rgb="FF000000"/>
      <name val="Roboto"/>
    </font>
    <font>
      <sz val="11"/>
      <color rgb="FF000000"/>
      <name val="Calibri"/>
      <family val="2"/>
      <scheme val="minor"/>
    </font>
  </fonts>
  <fills count="19">
    <fill>
      <patternFill patternType="none"/>
    </fill>
    <fill>
      <patternFill patternType="gray125"/>
    </fill>
    <fill>
      <patternFill patternType="solid">
        <fgColor theme="0"/>
        <bgColor indexed="64"/>
      </patternFill>
    </fill>
    <fill>
      <patternFill patternType="solid">
        <fgColor rgb="FF228AB8"/>
        <bgColor indexed="64"/>
      </patternFill>
    </fill>
    <fill>
      <patternFill patternType="solid">
        <fgColor rgb="FF006837"/>
        <bgColor indexed="64"/>
      </patternFill>
    </fill>
    <fill>
      <patternFill patternType="solid">
        <fgColor theme="9" tint="0.79998168889431442"/>
        <bgColor indexed="64"/>
      </patternFill>
    </fill>
    <fill>
      <patternFill patternType="solid">
        <fgColor rgb="FF007B00"/>
        <bgColor indexed="64"/>
      </patternFill>
    </fill>
    <fill>
      <gradientFill>
        <stop position="0">
          <color rgb="FF007B00"/>
        </stop>
        <stop position="1">
          <color rgb="FF020024"/>
        </stop>
      </gradientFill>
    </fill>
    <fill>
      <patternFill patternType="solid">
        <fgColor theme="0" tint="-0.149998474074526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1"/>
        <bgColor indexed="64"/>
      </patternFill>
    </fill>
    <fill>
      <patternFill patternType="solid">
        <fgColor rgb="FF9966FF"/>
        <bgColor indexed="64"/>
      </patternFill>
    </fill>
    <fill>
      <patternFill patternType="solid">
        <fgColor rgb="FFFFC00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s>
  <borders count="2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13" fillId="0" borderId="0" applyNumberFormat="0" applyFill="0" applyBorder="0" applyAlignment="0" applyProtection="0"/>
    <xf numFmtId="164" fontId="18" fillId="0" borderId="0" applyFont="0" applyFill="0" applyBorder="0" applyAlignment="0" applyProtection="0"/>
    <xf numFmtId="9" fontId="18" fillId="0" borderId="0" applyFont="0" applyFill="0" applyBorder="0" applyAlignment="0" applyProtection="0"/>
    <xf numFmtId="0" fontId="13" fillId="0" borderId="0" applyNumberFormat="0" applyFill="0" applyBorder="0" applyAlignment="0" applyProtection="0"/>
  </cellStyleXfs>
  <cellXfs count="180">
    <xf numFmtId="0" fontId="0" fillId="0" borderId="0" xfId="0"/>
    <xf numFmtId="3" fontId="10" fillId="3" borderId="17" xfId="0" applyNumberFormat="1" applyFont="1" applyFill="1" applyBorder="1" applyAlignment="1">
      <alignment horizontal="center" vertical="center"/>
    </xf>
    <xf numFmtId="0" fontId="3"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xf>
    <xf numFmtId="3" fontId="10" fillId="3" borderId="18" xfId="0" applyNumberFormat="1" applyFont="1" applyFill="1" applyBorder="1" applyAlignment="1">
      <alignment horizontal="center" vertical="center"/>
    </xf>
    <xf numFmtId="3" fontId="10" fillId="3" borderId="19" xfId="0" applyNumberFormat="1" applyFont="1" applyFill="1" applyBorder="1" applyAlignment="1">
      <alignment horizontal="center" vertical="center"/>
    </xf>
    <xf numFmtId="3" fontId="10" fillId="3" borderId="20" xfId="0" applyNumberFormat="1" applyFont="1" applyFill="1" applyBorder="1" applyAlignment="1">
      <alignment horizontal="center" vertical="center"/>
    </xf>
    <xf numFmtId="0" fontId="1" fillId="9"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9" fillId="11" borderId="1" xfId="0" applyFont="1" applyFill="1" applyBorder="1" applyAlignment="1">
      <alignment horizontal="center" vertical="center"/>
    </xf>
    <xf numFmtId="0" fontId="1" fillId="12" borderId="1" xfId="0" applyFont="1" applyFill="1" applyBorder="1" applyAlignment="1">
      <alignment horizontal="center" vertical="center" wrapText="1"/>
    </xf>
    <xf numFmtId="0" fontId="22" fillId="0" borderId="0" xfId="0" applyFont="1"/>
    <xf numFmtId="0" fontId="23" fillId="0" borderId="15" xfId="0" applyFont="1" applyBorder="1" applyAlignment="1">
      <alignment horizontal="left"/>
    </xf>
    <xf numFmtId="0" fontId="23" fillId="0" borderId="15" xfId="0" applyFont="1" applyBorder="1" applyAlignment="1">
      <alignment horizontal="right"/>
    </xf>
    <xf numFmtId="0" fontId="23" fillId="0" borderId="0" xfId="0" applyFont="1"/>
    <xf numFmtId="3" fontId="22" fillId="0" borderId="0" xfId="0" applyNumberFormat="1" applyFont="1"/>
    <xf numFmtId="4" fontId="22" fillId="0" borderId="0" xfId="0" applyNumberFormat="1" applyFont="1"/>
    <xf numFmtId="166" fontId="22" fillId="0" borderId="0" xfId="0" applyNumberFormat="1" applyFont="1"/>
    <xf numFmtId="167" fontId="22" fillId="0" borderId="0" xfId="0" applyNumberFormat="1" applyFont="1"/>
    <xf numFmtId="0" fontId="8" fillId="0" borderId="0" xfId="0" applyFont="1"/>
    <xf numFmtId="0" fontId="23" fillId="0" borderId="15" xfId="0" applyFont="1" applyBorder="1" applyAlignment="1">
      <alignment horizontal="center"/>
    </xf>
    <xf numFmtId="0" fontId="23" fillId="9"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4" fillId="11" borderId="1" xfId="0" applyFont="1" applyFill="1" applyBorder="1" applyAlignment="1">
      <alignment horizontal="center" vertical="center"/>
    </xf>
    <xf numFmtId="0" fontId="23" fillId="12"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168" fontId="22" fillId="0" borderId="0" xfId="0" applyNumberFormat="1" applyFont="1" applyAlignment="1">
      <alignment horizontal="center"/>
    </xf>
    <xf numFmtId="4" fontId="22" fillId="0" borderId="0" xfId="0" applyNumberFormat="1" applyFont="1" applyAlignment="1">
      <alignment horizontal="center"/>
    </xf>
    <xf numFmtId="0" fontId="22" fillId="0" borderId="0" xfId="0" applyFont="1" applyAlignment="1">
      <alignment horizontal="center"/>
    </xf>
    <xf numFmtId="3" fontId="22" fillId="0" borderId="0" xfId="0" applyNumberFormat="1" applyFont="1" applyAlignment="1">
      <alignment horizontal="center"/>
    </xf>
    <xf numFmtId="1" fontId="22" fillId="0" borderId="0" xfId="0" applyNumberFormat="1" applyFont="1" applyAlignment="1">
      <alignment horizontal="center"/>
    </xf>
    <xf numFmtId="4" fontId="22" fillId="0" borderId="0" xfId="0" applyNumberFormat="1" applyFont="1" applyAlignment="1">
      <alignment horizontal="left"/>
    </xf>
    <xf numFmtId="0" fontId="22" fillId="0" borderId="0" xfId="0" applyFont="1" applyAlignment="1">
      <alignment horizontal="left"/>
    </xf>
    <xf numFmtId="0" fontId="6" fillId="5" borderId="1" xfId="0" applyFont="1" applyFill="1" applyBorder="1" applyAlignment="1">
      <alignment horizontal="center" vertical="center"/>
    </xf>
    <xf numFmtId="169" fontId="22" fillId="0" borderId="0" xfId="0" applyNumberFormat="1" applyFont="1" applyAlignment="1">
      <alignment horizontal="center"/>
    </xf>
    <xf numFmtId="0" fontId="22" fillId="0" borderId="15" xfId="0" applyFont="1" applyBorder="1" applyAlignment="1">
      <alignment horizontal="center"/>
    </xf>
    <xf numFmtId="166" fontId="22" fillId="0" borderId="15" xfId="0" applyNumberFormat="1" applyFont="1" applyBorder="1"/>
    <xf numFmtId="167" fontId="22" fillId="0" borderId="15" xfId="0" applyNumberFormat="1" applyFont="1" applyBorder="1"/>
    <xf numFmtId="1" fontId="22" fillId="0" borderId="15" xfId="0" applyNumberFormat="1" applyFont="1" applyBorder="1" applyAlignment="1">
      <alignment horizontal="center"/>
    </xf>
    <xf numFmtId="3" fontId="22" fillId="0" borderId="15" xfId="0" applyNumberFormat="1" applyFont="1" applyBorder="1" applyAlignment="1">
      <alignment horizontal="center"/>
    </xf>
    <xf numFmtId="0" fontId="10" fillId="3" borderId="17" xfId="0" applyFont="1" applyFill="1" applyBorder="1" applyAlignment="1">
      <alignment horizontal="center" vertical="center"/>
    </xf>
    <xf numFmtId="0" fontId="10" fillId="3" borderId="17" xfId="0" applyFont="1" applyFill="1" applyBorder="1" applyAlignment="1">
      <alignment horizontal="center" vertical="center" wrapText="1"/>
    </xf>
    <xf numFmtId="0" fontId="10" fillId="3" borderId="26" xfId="0" applyFont="1" applyFill="1" applyBorder="1" applyAlignment="1">
      <alignment horizontal="centerContinuous" vertical="center"/>
    </xf>
    <xf numFmtId="0" fontId="10" fillId="3" borderId="27" xfId="0" applyFont="1" applyFill="1" applyBorder="1" applyAlignment="1">
      <alignment horizontal="centerContinuous" vertical="center"/>
    </xf>
    <xf numFmtId="0" fontId="10" fillId="3" borderId="28" xfId="0" applyFont="1" applyFill="1" applyBorder="1" applyAlignment="1">
      <alignment horizontal="centerContinuous" vertical="center"/>
    </xf>
    <xf numFmtId="1" fontId="4" fillId="4" borderId="2" xfId="0" applyNumberFormat="1" applyFont="1" applyFill="1" applyBorder="1" applyAlignment="1">
      <alignment horizontal="center" vertical="center"/>
    </xf>
    <xf numFmtId="0" fontId="5" fillId="6" borderId="17" xfId="0" applyFont="1" applyFill="1" applyBorder="1" applyAlignment="1">
      <alignment horizontal="center" vertical="center"/>
    </xf>
    <xf numFmtId="0" fontId="12" fillId="5" borderId="17" xfId="0" applyFont="1" applyFill="1" applyBorder="1" applyAlignment="1">
      <alignment horizontal="center" vertical="center"/>
    </xf>
    <xf numFmtId="0" fontId="1" fillId="0" borderId="0" xfId="0" applyFont="1" applyAlignment="1">
      <alignment vertical="center"/>
    </xf>
    <xf numFmtId="0" fontId="6" fillId="5" borderId="22" xfId="0" applyFont="1" applyFill="1" applyBorder="1" applyAlignment="1">
      <alignment horizontal="left" vertical="center"/>
    </xf>
    <xf numFmtId="0" fontId="1" fillId="0" borderId="0" xfId="0" applyFont="1"/>
    <xf numFmtId="3" fontId="1" fillId="0" borderId="0" xfId="0" applyNumberFormat="1" applyFont="1"/>
    <xf numFmtId="0" fontId="11" fillId="0" borderId="0" xfId="0" applyFont="1"/>
    <xf numFmtId="0" fontId="20" fillId="0" borderId="0" xfId="0" applyFont="1"/>
    <xf numFmtId="0" fontId="1" fillId="0" borderId="0" xfId="0" applyFont="1" applyAlignment="1">
      <alignment vertical="top" wrapText="1"/>
    </xf>
    <xf numFmtId="3" fontId="1" fillId="0" borderId="0" xfId="0" applyNumberFormat="1" applyFont="1" applyAlignment="1">
      <alignment vertical="top" wrapText="1"/>
    </xf>
    <xf numFmtId="0" fontId="7" fillId="0" borderId="0" xfId="0" applyFont="1" applyAlignment="1">
      <alignment vertical="top" wrapText="1"/>
    </xf>
    <xf numFmtId="0" fontId="1" fillId="0" borderId="0" xfId="0" applyFont="1" applyAlignment="1">
      <alignment horizontal="center"/>
    </xf>
    <xf numFmtId="0" fontId="14" fillId="0" borderId="0" xfId="1" applyFont="1" applyFill="1" applyBorder="1" applyAlignment="1"/>
    <xf numFmtId="0" fontId="7" fillId="0" borderId="0" xfId="0" applyFont="1" applyAlignment="1">
      <alignment vertical="top"/>
    </xf>
    <xf numFmtId="0" fontId="7" fillId="0" borderId="0" xfId="0" applyFont="1" applyAlignment="1">
      <alignment horizontal="left" vertical="top"/>
    </xf>
    <xf numFmtId="3" fontId="1" fillId="0" borderId="0" xfId="0" applyNumberFormat="1" applyFont="1" applyAlignment="1">
      <alignment horizontal="center"/>
    </xf>
    <xf numFmtId="0" fontId="1" fillId="0" borderId="0" xfId="0" applyFont="1" applyAlignment="1">
      <alignment horizontal="center" vertical="center"/>
    </xf>
    <xf numFmtId="0" fontId="6" fillId="0" borderId="22" xfId="0" applyFont="1" applyBorder="1" applyAlignment="1">
      <alignment horizontal="center" vertical="center" wrapText="1"/>
    </xf>
    <xf numFmtId="0" fontId="3" fillId="0" borderId="22" xfId="0" applyFont="1" applyBorder="1" applyAlignment="1">
      <alignment horizontal="center" vertical="center" wrapText="1"/>
    </xf>
    <xf numFmtId="0" fontId="2" fillId="0" borderId="22"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xf>
    <xf numFmtId="0" fontId="9" fillId="0" borderId="0" xfId="0" applyFont="1"/>
    <xf numFmtId="3" fontId="9" fillId="0" borderId="0" xfId="0" applyNumberFormat="1" applyFont="1"/>
    <xf numFmtId="0" fontId="8" fillId="0" borderId="0" xfId="0" applyFont="1" applyAlignment="1">
      <alignment horizontal="left" vertical="center"/>
    </xf>
    <xf numFmtId="0" fontId="8" fillId="0" borderId="0" xfId="0" applyFont="1" applyAlignment="1">
      <alignment horizontal="left"/>
    </xf>
    <xf numFmtId="0" fontId="7" fillId="0" borderId="0" xfId="0" applyFont="1" applyAlignment="1">
      <alignment horizontal="left"/>
    </xf>
    <xf numFmtId="0" fontId="2" fillId="0" borderId="3" xfId="0" applyFont="1" applyBorder="1" applyAlignment="1">
      <alignment horizontal="center" vertical="center"/>
    </xf>
    <xf numFmtId="0" fontId="3" fillId="0" borderId="0" xfId="0" applyFont="1" applyAlignment="1">
      <alignment horizontal="center"/>
    </xf>
    <xf numFmtId="3" fontId="6" fillId="0" borderId="1" xfId="0" applyNumberFormat="1" applyFont="1" applyBorder="1" applyAlignment="1">
      <alignment horizontal="center" vertical="center" wrapText="1"/>
    </xf>
    <xf numFmtId="165" fontId="3" fillId="0" borderId="0" xfId="2" applyNumberFormat="1" applyFont="1" applyFill="1" applyAlignment="1">
      <alignment horizontal="center"/>
    </xf>
    <xf numFmtId="0" fontId="11" fillId="0" borderId="0" xfId="0" applyFont="1" applyAlignment="1">
      <alignment horizontal="left"/>
    </xf>
    <xf numFmtId="0" fontId="8" fillId="0" borderId="0" xfId="0" applyFont="1" applyAlignment="1">
      <alignment horizontal="center"/>
    </xf>
    <xf numFmtId="0" fontId="6" fillId="0" borderId="1" xfId="0" applyFont="1" applyBorder="1" applyAlignment="1">
      <alignment horizontal="left" vertical="center"/>
    </xf>
    <xf numFmtId="0" fontId="3" fillId="0" borderId="0" xfId="0" applyFont="1" applyAlignment="1">
      <alignment horizontal="center" vertical="center" wrapText="1"/>
    </xf>
    <xf numFmtId="0" fontId="2" fillId="0" borderId="0" xfId="0" applyFont="1" applyAlignment="1">
      <alignment horizontal="center" vertical="center"/>
    </xf>
    <xf numFmtId="1" fontId="1" fillId="0" borderId="0" xfId="0" applyNumberFormat="1" applyFont="1"/>
    <xf numFmtId="3" fontId="4" fillId="0" borderId="0" xfId="0" applyNumberFormat="1" applyFont="1" applyAlignment="1">
      <alignment horizontal="center" vertical="center"/>
    </xf>
    <xf numFmtId="3" fontId="11" fillId="0" borderId="0" xfId="0" applyNumberFormat="1" applyFont="1"/>
    <xf numFmtId="4" fontId="6"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4" fontId="3" fillId="0" borderId="0" xfId="0" applyNumberFormat="1" applyFont="1" applyAlignment="1">
      <alignment horizontal="center"/>
    </xf>
    <xf numFmtId="0" fontId="16" fillId="0" borderId="0" xfId="0" applyFont="1"/>
    <xf numFmtId="0" fontId="11" fillId="0" borderId="0" xfId="0" applyFont="1" applyAlignment="1">
      <alignment horizontal="center"/>
    </xf>
    <xf numFmtId="0" fontId="15" fillId="0" borderId="0" xfId="0" applyFont="1"/>
    <xf numFmtId="0" fontId="17" fillId="0" borderId="0" xfId="0" applyFont="1"/>
    <xf numFmtId="168" fontId="6" fillId="0" borderId="1" xfId="0" applyNumberFormat="1" applyFont="1" applyBorder="1" applyAlignment="1">
      <alignment horizontal="center" vertical="center" wrapText="1"/>
    </xf>
    <xf numFmtId="168" fontId="3" fillId="0" borderId="0" xfId="0" applyNumberFormat="1" applyFont="1" applyAlignment="1">
      <alignment horizontal="center"/>
    </xf>
    <xf numFmtId="0" fontId="16" fillId="0" borderId="0" xfId="0" applyFont="1" applyAlignment="1">
      <alignment vertical="center"/>
    </xf>
    <xf numFmtId="0" fontId="17" fillId="0" borderId="0" xfId="0" applyFont="1" applyAlignment="1">
      <alignment vertical="center"/>
    </xf>
    <xf numFmtId="0" fontId="1" fillId="0" borderId="0" xfId="0" applyFont="1" applyAlignment="1">
      <alignment horizontal="left"/>
    </xf>
    <xf numFmtId="0" fontId="16" fillId="0" borderId="0" xfId="0" applyFont="1" applyAlignment="1">
      <alignment horizontal="left"/>
    </xf>
    <xf numFmtId="0" fontId="26" fillId="0" borderId="0" xfId="0" applyFont="1"/>
    <xf numFmtId="167" fontId="26" fillId="0" borderId="0" xfId="0" applyNumberFormat="1" applyFont="1"/>
    <xf numFmtId="167" fontId="27" fillId="0" borderId="0" xfId="0" applyNumberFormat="1" applyFont="1"/>
    <xf numFmtId="0" fontId="7" fillId="0" borderId="0" xfId="0" applyFont="1"/>
    <xf numFmtId="0" fontId="6" fillId="0" borderId="0" xfId="0" applyFont="1" applyAlignment="1">
      <alignment horizontal="left" vertical="center"/>
    </xf>
    <xf numFmtId="170" fontId="6" fillId="0" borderId="1" xfId="0" applyNumberFormat="1" applyFont="1" applyBorder="1" applyAlignment="1">
      <alignment horizontal="center" vertical="center"/>
    </xf>
    <xf numFmtId="9" fontId="6" fillId="0" borderId="1" xfId="0" applyNumberFormat="1" applyFont="1" applyBorder="1" applyAlignment="1">
      <alignment horizontal="center" vertical="center"/>
    </xf>
    <xf numFmtId="0" fontId="16" fillId="0" borderId="0" xfId="0" applyFont="1" applyAlignment="1">
      <alignment horizontal="center"/>
    </xf>
    <xf numFmtId="0" fontId="7" fillId="0" borderId="0" xfId="0" applyFont="1" applyAlignment="1">
      <alignment horizontal="left" indent="1"/>
    </xf>
    <xf numFmtId="3" fontId="6" fillId="0" borderId="1" xfId="0" applyNumberFormat="1" applyFont="1" applyBorder="1" applyAlignment="1">
      <alignment horizontal="center" vertical="center"/>
    </xf>
    <xf numFmtId="0" fontId="16" fillId="0" borderId="0" xfId="0" applyFont="1" applyAlignment="1">
      <alignment horizontal="center" vertical="center"/>
    </xf>
    <xf numFmtId="164" fontId="1" fillId="0" borderId="0" xfId="2" applyFont="1"/>
    <xf numFmtId="164" fontId="11" fillId="0" borderId="0" xfId="2" applyFont="1"/>
    <xf numFmtId="0" fontId="1" fillId="0" borderId="0" xfId="0" applyFont="1" applyAlignment="1">
      <alignment wrapText="1"/>
    </xf>
    <xf numFmtId="0" fontId="11" fillId="0" borderId="0" xfId="0" applyFont="1" applyAlignment="1">
      <alignment wrapText="1"/>
    </xf>
    <xf numFmtId="171" fontId="11" fillId="0" borderId="0" xfId="0" applyNumberFormat="1" applyFont="1"/>
    <xf numFmtId="4" fontId="11" fillId="0" borderId="0" xfId="0" applyNumberFormat="1" applyFont="1"/>
    <xf numFmtId="4" fontId="16" fillId="0" borderId="0" xfId="0" applyNumberFormat="1" applyFont="1"/>
    <xf numFmtId="2" fontId="11" fillId="0" borderId="0" xfId="0" applyNumberFormat="1" applyFont="1"/>
    <xf numFmtId="1" fontId="11" fillId="0" borderId="0" xfId="0" applyNumberFormat="1" applyFont="1"/>
    <xf numFmtId="4" fontId="6" fillId="0" borderId="0" xfId="0" applyNumberFormat="1" applyFont="1" applyAlignment="1">
      <alignment horizontal="center" vertical="center" wrapText="1"/>
    </xf>
    <xf numFmtId="172" fontId="0" fillId="0" borderId="0" xfId="2" applyNumberFormat="1" applyFont="1"/>
    <xf numFmtId="0" fontId="4" fillId="7" borderId="0" xfId="0" applyFont="1" applyFill="1" applyAlignment="1">
      <alignment horizontal="center" vertical="center"/>
    </xf>
    <xf numFmtId="0" fontId="23" fillId="0" borderId="0" xfId="0" applyFont="1" applyAlignment="1">
      <alignment horizontal="left"/>
    </xf>
    <xf numFmtId="2" fontId="22" fillId="0" borderId="0" xfId="0" applyNumberFormat="1" applyFont="1" applyAlignment="1">
      <alignment horizontal="center"/>
    </xf>
    <xf numFmtId="0" fontId="0" fillId="0" borderId="0" xfId="0" quotePrefix="1"/>
    <xf numFmtId="172" fontId="0" fillId="0" borderId="0" xfId="0" applyNumberFormat="1"/>
    <xf numFmtId="2" fontId="0" fillId="0" borderId="0" xfId="2" applyNumberFormat="1" applyFont="1"/>
    <xf numFmtId="164" fontId="0" fillId="0" borderId="0" xfId="2" applyFont="1"/>
    <xf numFmtId="4" fontId="0" fillId="0" borderId="0" xfId="0" applyNumberFormat="1"/>
    <xf numFmtId="171" fontId="0" fillId="0" borderId="0" xfId="0" applyNumberFormat="1"/>
    <xf numFmtId="0" fontId="0" fillId="13" borderId="0" xfId="0" applyFill="1"/>
    <xf numFmtId="0" fontId="0" fillId="5" borderId="0" xfId="0" applyFill="1"/>
    <xf numFmtId="0" fontId="0" fillId="14" borderId="0" xfId="0" applyFill="1"/>
    <xf numFmtId="0" fontId="24" fillId="7" borderId="12" xfId="0" applyFont="1" applyFill="1" applyBorder="1" applyAlignment="1">
      <alignment horizontal="center" vertical="center"/>
    </xf>
    <xf numFmtId="0" fontId="24" fillId="7" borderId="0" xfId="0" applyFont="1" applyFill="1" applyAlignment="1">
      <alignment horizontal="center" vertical="center"/>
    </xf>
    <xf numFmtId="9" fontId="0" fillId="0" borderId="0" xfId="3" applyFont="1"/>
    <xf numFmtId="0" fontId="0" fillId="15" borderId="0" xfId="0" applyFill="1"/>
    <xf numFmtId="0" fontId="0" fillId="16" borderId="0" xfId="0" applyFill="1"/>
    <xf numFmtId="0" fontId="0" fillId="17" borderId="0" xfId="0" applyFill="1"/>
    <xf numFmtId="0" fontId="0" fillId="9" borderId="0" xfId="0" applyFill="1"/>
    <xf numFmtId="3" fontId="0" fillId="0" borderId="0" xfId="0" applyNumberFormat="1"/>
    <xf numFmtId="3" fontId="0" fillId="16" borderId="0" xfId="0" applyNumberFormat="1" applyFill="1"/>
    <xf numFmtId="172" fontId="22" fillId="0" borderId="0" xfId="2" applyNumberFormat="1" applyFont="1"/>
    <xf numFmtId="0" fontId="39" fillId="18" borderId="17" xfId="0" applyFont="1" applyFill="1" applyBorder="1" applyAlignment="1">
      <alignment horizontal="center" vertical="center"/>
    </xf>
    <xf numFmtId="0" fontId="13" fillId="0" borderId="0" xfId="4"/>
    <xf numFmtId="0" fontId="40" fillId="18" borderId="0" xfId="0" applyFont="1" applyFill="1"/>
    <xf numFmtId="0" fontId="13" fillId="0" borderId="0" xfId="4" applyFill="1"/>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6" xfId="0" applyFont="1" applyFill="1" applyBorder="1" applyAlignment="1">
      <alignment horizontal="center" vertical="center"/>
    </xf>
    <xf numFmtId="0" fontId="35" fillId="7" borderId="4" xfId="0" applyFont="1" applyFill="1" applyBorder="1" applyAlignment="1">
      <alignment horizontal="center" vertical="center"/>
    </xf>
    <xf numFmtId="0" fontId="35" fillId="7" borderId="6" xfId="0" applyFont="1" applyFill="1" applyBorder="1" applyAlignment="1">
      <alignment horizontal="center" vertical="center"/>
    </xf>
    <xf numFmtId="3" fontId="36" fillId="2" borderId="7" xfId="0" applyNumberFormat="1" applyFont="1" applyFill="1" applyBorder="1" applyAlignment="1">
      <alignment horizontal="center" vertical="center"/>
    </xf>
    <xf numFmtId="3" fontId="36" fillId="2" borderId="9" xfId="0" applyNumberFormat="1" applyFont="1" applyFill="1" applyBorder="1" applyAlignment="1">
      <alignment horizontal="center" vertical="center"/>
    </xf>
    <xf numFmtId="3" fontId="36" fillId="2" borderId="12" xfId="0" applyNumberFormat="1" applyFont="1" applyFill="1" applyBorder="1" applyAlignment="1">
      <alignment horizontal="center" vertical="center"/>
    </xf>
    <xf numFmtId="3" fontId="36" fillId="2" borderId="13" xfId="0" applyNumberFormat="1" applyFont="1" applyFill="1" applyBorder="1" applyAlignment="1">
      <alignment horizontal="center" vertical="center"/>
    </xf>
    <xf numFmtId="3" fontId="36" fillId="2" borderId="14" xfId="0" applyNumberFormat="1" applyFont="1" applyFill="1" applyBorder="1" applyAlignment="1">
      <alignment horizontal="center" vertical="center"/>
    </xf>
    <xf numFmtId="3" fontId="36" fillId="2" borderId="16" xfId="0" applyNumberFormat="1" applyFont="1" applyFill="1" applyBorder="1" applyAlignment="1">
      <alignment horizontal="center" vertical="center"/>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25" xfId="0" applyFont="1" applyBorder="1" applyAlignment="1">
      <alignment horizontal="left" vertical="center" wrapText="1"/>
    </xf>
    <xf numFmtId="0" fontId="3" fillId="0" borderId="3"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2" fillId="0" borderId="7" xfId="0" applyFont="1" applyBorder="1" applyAlignment="1">
      <alignment horizontal="left" vertical="top" wrapText="1"/>
    </xf>
    <xf numFmtId="0" fontId="32" fillId="0" borderId="8" xfId="0" applyFont="1" applyBorder="1" applyAlignment="1">
      <alignment horizontal="left" vertical="top" wrapText="1"/>
    </xf>
    <xf numFmtId="0" fontId="32" fillId="0" borderId="9" xfId="0" applyFont="1" applyBorder="1" applyAlignment="1">
      <alignment horizontal="left" vertical="top" wrapText="1"/>
    </xf>
    <xf numFmtId="0" fontId="32" fillId="0" borderId="12" xfId="0" applyFont="1" applyBorder="1" applyAlignment="1">
      <alignment horizontal="left" vertical="top" wrapText="1"/>
    </xf>
    <xf numFmtId="0" fontId="32" fillId="0" borderId="0" xfId="0" applyFont="1" applyAlignment="1">
      <alignment horizontal="left" vertical="top" wrapText="1"/>
    </xf>
    <xf numFmtId="0" fontId="32" fillId="0" borderId="13" xfId="0" applyFont="1" applyBorder="1" applyAlignment="1">
      <alignment horizontal="left" vertical="top" wrapText="1"/>
    </xf>
    <xf numFmtId="0" fontId="32" fillId="0" borderId="14" xfId="0" applyFont="1" applyBorder="1" applyAlignment="1">
      <alignment horizontal="left" vertical="top" wrapText="1"/>
    </xf>
    <xf numFmtId="0" fontId="32" fillId="0" borderId="15" xfId="0" applyFont="1" applyBorder="1" applyAlignment="1">
      <alignment horizontal="left" vertical="top" wrapText="1"/>
    </xf>
    <xf numFmtId="0" fontId="32" fillId="0" borderId="16" xfId="0" applyFont="1" applyBorder="1" applyAlignment="1">
      <alignment horizontal="left" vertical="top" wrapText="1"/>
    </xf>
    <xf numFmtId="0" fontId="31" fillId="7" borderId="21" xfId="0" applyFont="1" applyFill="1" applyBorder="1" applyAlignment="1">
      <alignment horizontal="center" vertical="center"/>
    </xf>
    <xf numFmtId="0" fontId="30" fillId="7" borderId="21" xfId="0" applyFont="1" applyFill="1" applyBorder="1" applyAlignment="1">
      <alignment horizontal="center" vertical="center"/>
    </xf>
    <xf numFmtId="0" fontId="29" fillId="7" borderId="21" xfId="0" applyFont="1" applyFill="1" applyBorder="1" applyAlignment="1">
      <alignment horizontal="center" vertical="center"/>
    </xf>
    <xf numFmtId="0" fontId="29" fillId="7" borderId="4" xfId="0" applyFont="1" applyFill="1" applyBorder="1" applyAlignment="1">
      <alignment horizontal="center" vertical="center" wrapText="1"/>
    </xf>
    <xf numFmtId="0" fontId="29" fillId="7" borderId="6" xfId="0" applyFont="1" applyFill="1" applyBorder="1" applyAlignment="1">
      <alignment horizontal="center" vertical="center" wrapText="1"/>
    </xf>
  </cellXfs>
  <cellStyles count="5">
    <cellStyle name="Comma" xfId="2" builtinId="3"/>
    <cellStyle name="Hyperlink" xfId="4" builtinId="8"/>
    <cellStyle name="Hyperlink 2" xfId="1" xr:uid="{C1B9BA85-4C62-429F-905A-EBA90D38020B}"/>
    <cellStyle name="Normal" xfId="0" builtinId="0"/>
    <cellStyle name="Percent" xfId="3" builtinId="5"/>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A3A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A3A3"/>
      <color rgb="FF006837"/>
      <color rgb="FFCC9900"/>
      <color rgb="FFCC3399"/>
      <color rgb="FFFFCCFF"/>
      <color rgb="FFFF7D7D"/>
      <color rgb="FFFFC5C5"/>
      <color rgb="FF29B77A"/>
      <color rgb="FFFF0000"/>
      <color rgb="FF228A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4</xdr:row>
      <xdr:rowOff>0</xdr:rowOff>
    </xdr:from>
    <xdr:to>
      <xdr:col>16</xdr:col>
      <xdr:colOff>13607</xdr:colOff>
      <xdr:row>11</xdr:row>
      <xdr:rowOff>652</xdr:rowOff>
    </xdr:to>
    <xdr:pic>
      <xdr:nvPicPr>
        <xdr:cNvPr id="2" name="Picture 1">
          <a:extLst>
            <a:ext uri="{FF2B5EF4-FFF2-40B4-BE49-F238E27FC236}">
              <a16:creationId xmlns:a16="http://schemas.microsoft.com/office/drawing/2014/main" id="{6D5E2355-7672-434A-84DA-4B22F355C1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668500" y="1562100"/>
          <a:ext cx="2947307" cy="2943877"/>
        </a:xfrm>
        <a:prstGeom prst="rect">
          <a:avLst/>
        </a:prstGeom>
      </xdr:spPr>
    </xdr:pic>
    <xdr:clientData/>
  </xdr:twoCellAnchor>
  <xdr:twoCellAnchor editAs="oneCell">
    <xdr:from>
      <xdr:col>1</xdr:col>
      <xdr:colOff>1699</xdr:colOff>
      <xdr:row>4</xdr:row>
      <xdr:rowOff>11906</xdr:rowOff>
    </xdr:from>
    <xdr:to>
      <xdr:col>13</xdr:col>
      <xdr:colOff>11906</xdr:colOff>
      <xdr:row>11</xdr:row>
      <xdr:rowOff>340950</xdr:rowOff>
    </xdr:to>
    <xdr:pic>
      <xdr:nvPicPr>
        <xdr:cNvPr id="3" name="Picture 2">
          <a:extLst>
            <a:ext uri="{FF2B5EF4-FFF2-40B4-BE49-F238E27FC236}">
              <a16:creationId xmlns:a16="http://schemas.microsoft.com/office/drawing/2014/main" id="{A46DBE4D-B348-46C7-8ED3-F2C6A8562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249" y="1574006"/>
          <a:ext cx="12926107" cy="32722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4</xdr:row>
      <xdr:rowOff>0</xdr:rowOff>
    </xdr:from>
    <xdr:to>
      <xdr:col>16</xdr:col>
      <xdr:colOff>13607</xdr:colOff>
      <xdr:row>11</xdr:row>
      <xdr:rowOff>652</xdr:rowOff>
    </xdr:to>
    <xdr:pic>
      <xdr:nvPicPr>
        <xdr:cNvPr id="5" name="Picture 4">
          <a:extLst>
            <a:ext uri="{FF2B5EF4-FFF2-40B4-BE49-F238E27FC236}">
              <a16:creationId xmlns:a16="http://schemas.microsoft.com/office/drawing/2014/main" id="{F1892E40-4E0C-AC12-C4E4-8FF2A606A0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478000" y="1646464"/>
          <a:ext cx="2952750" cy="2960206"/>
        </a:xfrm>
        <a:prstGeom prst="rect">
          <a:avLst/>
        </a:prstGeom>
      </xdr:spPr>
    </xdr:pic>
    <xdr:clientData/>
  </xdr:twoCellAnchor>
  <xdr:twoCellAnchor editAs="oneCell">
    <xdr:from>
      <xdr:col>1</xdr:col>
      <xdr:colOff>1699</xdr:colOff>
      <xdr:row>4</xdr:row>
      <xdr:rowOff>11906</xdr:rowOff>
    </xdr:from>
    <xdr:to>
      <xdr:col>13</xdr:col>
      <xdr:colOff>11906</xdr:colOff>
      <xdr:row>11</xdr:row>
      <xdr:rowOff>340950</xdr:rowOff>
    </xdr:to>
    <xdr:pic>
      <xdr:nvPicPr>
        <xdr:cNvPr id="7" name="Picture 6">
          <a:extLst>
            <a:ext uri="{FF2B5EF4-FFF2-40B4-BE49-F238E27FC236}">
              <a16:creationId xmlns:a16="http://schemas.microsoft.com/office/drawing/2014/main" id="{D41ECC16-6908-FEAA-C216-6E8BDDDA12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2" y="1571625"/>
          <a:ext cx="12916582" cy="32579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D686-CC71-4847-B6F7-701E86A5DDDB}">
  <sheetPr codeName="Sheet1">
    <tabColor theme="8" tint="0.79998168889431442"/>
  </sheetPr>
  <dimension ref="A1:DU468"/>
  <sheetViews>
    <sheetView tabSelected="1" topLeftCell="A412" zoomScale="70" zoomScaleNormal="70" workbookViewId="0">
      <selection activeCell="J420" sqref="J420"/>
    </sheetView>
  </sheetViews>
  <sheetFormatPr defaultColWidth="8.5703125" defaultRowHeight="15" outlineLevelRow="1"/>
  <cols>
    <col min="1" max="1" width="3.140625" style="52" customWidth="1"/>
    <col min="2" max="2" width="13.85546875" style="59" customWidth="1"/>
    <col min="3" max="3" width="13" style="59" customWidth="1"/>
    <col min="4" max="4" width="22" style="59" customWidth="1"/>
    <col min="5" max="7" width="12.140625" style="59" customWidth="1"/>
    <col min="8" max="8" width="24.140625" style="63" customWidth="1"/>
    <col min="9" max="9" width="6" style="59" bestFit="1" customWidth="1"/>
    <col min="10" max="10" width="19.140625" style="52" bestFit="1" customWidth="1"/>
    <col min="11" max="13" width="19.7109375" style="52" bestFit="1" customWidth="1"/>
    <col min="14" max="14" width="23.140625" style="52" bestFit="1" customWidth="1"/>
    <col min="15" max="16" width="22" style="52" customWidth="1"/>
    <col min="17" max="20" width="19.7109375" style="52" bestFit="1" customWidth="1"/>
    <col min="21" max="21" width="19.7109375" style="54" bestFit="1" customWidth="1"/>
    <col min="22" max="22" width="19.7109375" style="54" customWidth="1"/>
    <col min="23" max="23" width="19.7109375" style="54" bestFit="1" customWidth="1"/>
    <col min="24" max="24" width="15.7109375" style="54" bestFit="1" customWidth="1"/>
    <col min="25" max="26" width="13.85546875" style="54" bestFit="1" customWidth="1"/>
    <col min="27" max="27" width="14.28515625" style="54" bestFit="1" customWidth="1"/>
    <col min="28" max="28" width="14.42578125" style="54" bestFit="1" customWidth="1"/>
    <col min="29" max="29" width="8.5703125" style="54"/>
    <col min="30" max="30" width="9.140625" style="54" bestFit="1" customWidth="1"/>
    <col min="31" max="63" width="8.5703125" style="54"/>
    <col min="64" max="64" width="9.5703125" style="54" bestFit="1" customWidth="1"/>
    <col min="65" max="68" width="10" style="54" bestFit="1" customWidth="1"/>
    <col min="69" max="69" width="21.85546875" style="54" bestFit="1" customWidth="1"/>
    <col min="70" max="70" width="29.42578125" style="54" bestFit="1" customWidth="1"/>
    <col min="71" max="16384" width="8.5703125" style="54"/>
  </cols>
  <sheetData>
    <row r="1" spans="2:20" ht="15" customHeight="1">
      <c r="B1" s="52"/>
      <c r="C1" s="52"/>
      <c r="D1" s="52"/>
      <c r="E1" s="52"/>
      <c r="F1" s="52"/>
      <c r="G1" s="52"/>
      <c r="H1" s="53"/>
      <c r="I1" s="52"/>
    </row>
    <row r="2" spans="2:20" ht="60.6" customHeight="1">
      <c r="B2" s="175" t="s">
        <v>0</v>
      </c>
      <c r="C2" s="175"/>
      <c r="D2" s="175"/>
      <c r="E2" s="175"/>
      <c r="F2" s="175"/>
      <c r="G2" s="175"/>
      <c r="H2" s="175"/>
      <c r="I2" s="175"/>
      <c r="J2" s="175"/>
      <c r="K2" s="175"/>
      <c r="L2" s="175"/>
      <c r="M2" s="175"/>
      <c r="N2" s="175"/>
      <c r="O2" s="175"/>
      <c r="P2" s="175"/>
    </row>
    <row r="3" spans="2:20" ht="15" customHeight="1">
      <c r="B3" s="52"/>
      <c r="C3" s="52"/>
      <c r="D3" s="52"/>
      <c r="E3" s="52"/>
      <c r="F3" s="52"/>
      <c r="G3" s="52"/>
      <c r="H3" s="53"/>
      <c r="I3" s="52"/>
    </row>
    <row r="4" spans="2:20" ht="33.6" customHeight="1">
      <c r="B4" s="176" t="s">
        <v>1</v>
      </c>
      <c r="C4" s="176"/>
      <c r="D4" s="176"/>
      <c r="E4" s="176"/>
      <c r="F4" s="176"/>
      <c r="G4" s="176"/>
      <c r="H4" s="176"/>
      <c r="I4" s="176"/>
      <c r="J4" s="176"/>
      <c r="K4" s="176"/>
      <c r="L4" s="176"/>
      <c r="M4" s="176"/>
      <c r="O4" s="177" t="s">
        <v>2</v>
      </c>
      <c r="P4" s="177"/>
      <c r="Q4" s="55"/>
      <c r="R4" s="55"/>
      <c r="S4" s="55"/>
      <c r="T4" s="55"/>
    </row>
    <row r="5" spans="2:20" ht="33.6" customHeight="1">
      <c r="B5" s="52"/>
      <c r="C5" s="52"/>
      <c r="D5" s="52"/>
      <c r="E5" s="52"/>
      <c r="F5" s="52"/>
      <c r="G5" s="52"/>
      <c r="H5" s="53"/>
      <c r="I5" s="52"/>
      <c r="N5" s="55"/>
      <c r="O5" s="55"/>
      <c r="P5" s="55"/>
      <c r="Q5" s="55"/>
      <c r="R5" s="55"/>
      <c r="S5" s="55"/>
      <c r="T5" s="55"/>
    </row>
    <row r="6" spans="2:20" ht="33.6" customHeight="1">
      <c r="B6" s="52"/>
      <c r="C6" s="52"/>
      <c r="D6" s="52"/>
      <c r="E6" s="52"/>
      <c r="F6" s="52"/>
      <c r="G6" s="52"/>
      <c r="H6" s="53"/>
      <c r="I6" s="52"/>
      <c r="N6" s="55"/>
      <c r="O6" s="55"/>
      <c r="P6" s="55"/>
      <c r="Q6" s="55"/>
      <c r="R6" s="55"/>
      <c r="S6" s="55"/>
      <c r="T6" s="55"/>
    </row>
    <row r="7" spans="2:20" ht="33.6" customHeight="1">
      <c r="B7" s="52"/>
      <c r="C7" s="52"/>
      <c r="D7" s="52"/>
      <c r="E7" s="52"/>
      <c r="F7" s="52"/>
      <c r="G7" s="52"/>
      <c r="H7" s="53"/>
      <c r="I7" s="52"/>
      <c r="N7" s="55"/>
      <c r="O7" s="55"/>
      <c r="P7" s="55"/>
      <c r="Q7" s="55"/>
      <c r="R7" s="55"/>
      <c r="S7" s="55"/>
      <c r="T7" s="55"/>
    </row>
    <row r="8" spans="2:20" ht="33.6" customHeight="1">
      <c r="B8" s="52"/>
      <c r="C8" s="52"/>
      <c r="D8" s="52"/>
      <c r="E8" s="52"/>
      <c r="F8" s="52"/>
      <c r="G8" s="52"/>
      <c r="H8" s="53"/>
      <c r="I8" s="52"/>
      <c r="N8" s="55"/>
      <c r="O8" s="55"/>
      <c r="P8" s="55"/>
      <c r="Q8" s="55"/>
      <c r="R8" s="55"/>
      <c r="S8" s="55"/>
      <c r="T8" s="55"/>
    </row>
    <row r="9" spans="2:20" ht="33.6" customHeight="1">
      <c r="B9" s="52"/>
      <c r="C9" s="52"/>
      <c r="D9" s="52"/>
      <c r="E9" s="52"/>
      <c r="F9" s="52"/>
      <c r="G9" s="52"/>
      <c r="H9" s="53"/>
      <c r="I9" s="52"/>
      <c r="N9" s="55"/>
      <c r="O9" s="55"/>
      <c r="P9" s="55"/>
      <c r="Q9" s="55"/>
      <c r="R9" s="55"/>
      <c r="S9" s="55"/>
      <c r="T9" s="55"/>
    </row>
    <row r="10" spans="2:20" ht="33.6" customHeight="1">
      <c r="B10" s="52"/>
      <c r="C10" s="52"/>
      <c r="D10" s="52"/>
      <c r="E10" s="52"/>
      <c r="F10" s="52"/>
      <c r="G10" s="52"/>
      <c r="H10" s="53"/>
      <c r="I10" s="52"/>
      <c r="N10" s="55"/>
      <c r="O10" s="55"/>
      <c r="P10" s="55"/>
      <c r="Q10" s="55"/>
      <c r="R10" s="55"/>
      <c r="S10" s="55"/>
      <c r="T10" s="55"/>
    </row>
    <row r="11" spans="2:20" ht="33.75" customHeight="1">
      <c r="B11" s="52"/>
      <c r="C11" s="52"/>
      <c r="D11" s="52"/>
      <c r="E11" s="52"/>
      <c r="F11" s="52"/>
      <c r="G11" s="52"/>
      <c r="H11" s="53"/>
      <c r="I11" s="52"/>
      <c r="Q11" s="55"/>
      <c r="R11" s="55"/>
      <c r="S11" s="55"/>
      <c r="T11" s="55"/>
    </row>
    <row r="12" spans="2:20" ht="54" customHeight="1">
      <c r="B12" s="52"/>
      <c r="C12" s="52"/>
      <c r="D12" s="52"/>
      <c r="E12" s="52"/>
      <c r="F12" s="52"/>
      <c r="G12" s="52"/>
      <c r="H12" s="53"/>
      <c r="I12" s="52"/>
      <c r="O12" s="178" t="s">
        <v>3</v>
      </c>
      <c r="P12" s="179"/>
      <c r="Q12" s="55"/>
      <c r="R12" s="55"/>
      <c r="S12" s="55"/>
      <c r="T12" s="55"/>
    </row>
    <row r="13" spans="2:20" ht="15" customHeight="1">
      <c r="B13" s="52"/>
      <c r="C13" s="52"/>
      <c r="D13" s="52"/>
      <c r="E13" s="52"/>
      <c r="F13" s="52"/>
      <c r="G13" s="52"/>
      <c r="H13" s="53"/>
      <c r="I13" s="52"/>
      <c r="R13" s="55"/>
      <c r="S13" s="55"/>
      <c r="T13" s="55"/>
    </row>
    <row r="14" spans="2:20" ht="21.75" customHeight="1">
      <c r="B14" s="177" t="s">
        <v>4</v>
      </c>
      <c r="C14" s="177"/>
      <c r="D14" s="177"/>
      <c r="E14" s="177"/>
      <c r="F14" s="177"/>
      <c r="G14" s="177"/>
      <c r="H14" s="177"/>
      <c r="I14" s="177"/>
      <c r="J14" s="177"/>
      <c r="K14" s="177"/>
      <c r="L14" s="177"/>
      <c r="M14" s="177"/>
      <c r="N14" s="177"/>
      <c r="O14" s="177"/>
      <c r="P14" s="177"/>
    </row>
    <row r="15" spans="2:20" ht="25.5" customHeight="1">
      <c r="B15" s="166" t="s">
        <v>5</v>
      </c>
      <c r="C15" s="167"/>
      <c r="D15" s="167"/>
      <c r="E15" s="167"/>
      <c r="F15" s="167"/>
      <c r="G15" s="167"/>
      <c r="H15" s="167"/>
      <c r="I15" s="167"/>
      <c r="J15" s="167"/>
      <c r="K15" s="167"/>
      <c r="L15" s="167"/>
      <c r="M15" s="167"/>
      <c r="N15" s="167"/>
      <c r="O15" s="167"/>
      <c r="P15" s="168"/>
    </row>
    <row r="16" spans="2:20" ht="25.5" customHeight="1">
      <c r="B16" s="169"/>
      <c r="C16" s="170"/>
      <c r="D16" s="170"/>
      <c r="E16" s="170"/>
      <c r="F16" s="170"/>
      <c r="G16" s="170"/>
      <c r="H16" s="170"/>
      <c r="I16" s="170"/>
      <c r="J16" s="170"/>
      <c r="K16" s="170"/>
      <c r="L16" s="170"/>
      <c r="M16" s="170"/>
      <c r="N16" s="170"/>
      <c r="O16" s="170"/>
      <c r="P16" s="171"/>
    </row>
    <row r="17" spans="2:16" ht="25.5" customHeight="1">
      <c r="B17" s="169"/>
      <c r="C17" s="170"/>
      <c r="D17" s="170"/>
      <c r="E17" s="170"/>
      <c r="F17" s="170"/>
      <c r="G17" s="170"/>
      <c r="H17" s="170"/>
      <c r="I17" s="170"/>
      <c r="J17" s="170"/>
      <c r="K17" s="170"/>
      <c r="L17" s="170"/>
      <c r="M17" s="170"/>
      <c r="N17" s="170"/>
      <c r="O17" s="170"/>
      <c r="P17" s="171"/>
    </row>
    <row r="18" spans="2:16" ht="25.5" customHeight="1">
      <c r="B18" s="169"/>
      <c r="C18" s="170"/>
      <c r="D18" s="170"/>
      <c r="E18" s="170"/>
      <c r="F18" s="170"/>
      <c r="G18" s="170"/>
      <c r="H18" s="170"/>
      <c r="I18" s="170"/>
      <c r="J18" s="170"/>
      <c r="K18" s="170"/>
      <c r="L18" s="170"/>
      <c r="M18" s="170"/>
      <c r="N18" s="170"/>
      <c r="O18" s="170"/>
      <c r="P18" s="171"/>
    </row>
    <row r="19" spans="2:16" ht="25.5" customHeight="1">
      <c r="B19" s="169"/>
      <c r="C19" s="170"/>
      <c r="D19" s="170"/>
      <c r="E19" s="170"/>
      <c r="F19" s="170"/>
      <c r="G19" s="170"/>
      <c r="H19" s="170"/>
      <c r="I19" s="170"/>
      <c r="J19" s="170"/>
      <c r="K19" s="170"/>
      <c r="L19" s="170"/>
      <c r="M19" s="170"/>
      <c r="N19" s="170"/>
      <c r="O19" s="170"/>
      <c r="P19" s="171"/>
    </row>
    <row r="20" spans="2:16" ht="25.5" customHeight="1">
      <c r="B20" s="169"/>
      <c r="C20" s="170"/>
      <c r="D20" s="170"/>
      <c r="E20" s="170"/>
      <c r="F20" s="170"/>
      <c r="G20" s="170"/>
      <c r="H20" s="170"/>
      <c r="I20" s="170"/>
      <c r="J20" s="170"/>
      <c r="K20" s="170"/>
      <c r="L20" s="170"/>
      <c r="M20" s="170"/>
      <c r="N20" s="170"/>
      <c r="O20" s="170"/>
      <c r="P20" s="171"/>
    </row>
    <row r="21" spans="2:16" ht="25.5" customHeight="1">
      <c r="B21" s="169"/>
      <c r="C21" s="170"/>
      <c r="D21" s="170"/>
      <c r="E21" s="170"/>
      <c r="F21" s="170"/>
      <c r="G21" s="170"/>
      <c r="H21" s="170"/>
      <c r="I21" s="170"/>
      <c r="J21" s="170"/>
      <c r="K21" s="170"/>
      <c r="L21" s="170"/>
      <c r="M21" s="170"/>
      <c r="N21" s="170"/>
      <c r="O21" s="170"/>
      <c r="P21" s="171"/>
    </row>
    <row r="22" spans="2:16" ht="25.5" customHeight="1">
      <c r="B22" s="169"/>
      <c r="C22" s="170"/>
      <c r="D22" s="170"/>
      <c r="E22" s="170"/>
      <c r="F22" s="170"/>
      <c r="G22" s="170"/>
      <c r="H22" s="170"/>
      <c r="I22" s="170"/>
      <c r="J22" s="170"/>
      <c r="K22" s="170"/>
      <c r="L22" s="170"/>
      <c r="M22" s="170"/>
      <c r="N22" s="170"/>
      <c r="O22" s="170"/>
      <c r="P22" s="171"/>
    </row>
    <row r="23" spans="2:16" ht="25.5" customHeight="1">
      <c r="B23" s="169"/>
      <c r="C23" s="170"/>
      <c r="D23" s="170"/>
      <c r="E23" s="170"/>
      <c r="F23" s="170"/>
      <c r="G23" s="170"/>
      <c r="H23" s="170"/>
      <c r="I23" s="170"/>
      <c r="J23" s="170"/>
      <c r="K23" s="170"/>
      <c r="L23" s="170"/>
      <c r="M23" s="170"/>
      <c r="N23" s="170"/>
      <c r="O23" s="170"/>
      <c r="P23" s="171"/>
    </row>
    <row r="24" spans="2:16" ht="25.5" customHeight="1">
      <c r="B24" s="169"/>
      <c r="C24" s="170"/>
      <c r="D24" s="170"/>
      <c r="E24" s="170"/>
      <c r="F24" s="170"/>
      <c r="G24" s="170"/>
      <c r="H24" s="170"/>
      <c r="I24" s="170"/>
      <c r="J24" s="170"/>
      <c r="K24" s="170"/>
      <c r="L24" s="170"/>
      <c r="M24" s="170"/>
      <c r="N24" s="170"/>
      <c r="O24" s="170"/>
      <c r="P24" s="171"/>
    </row>
    <row r="25" spans="2:16" ht="25.5" customHeight="1">
      <c r="B25" s="169"/>
      <c r="C25" s="170"/>
      <c r="D25" s="170"/>
      <c r="E25" s="170"/>
      <c r="F25" s="170"/>
      <c r="G25" s="170"/>
      <c r="H25" s="170"/>
      <c r="I25" s="170"/>
      <c r="J25" s="170"/>
      <c r="K25" s="170"/>
      <c r="L25" s="170"/>
      <c r="M25" s="170"/>
      <c r="N25" s="170"/>
      <c r="O25" s="170"/>
      <c r="P25" s="171"/>
    </row>
    <row r="26" spans="2:16" ht="25.5" customHeight="1">
      <c r="B26" s="169"/>
      <c r="C26" s="170"/>
      <c r="D26" s="170"/>
      <c r="E26" s="170"/>
      <c r="F26" s="170"/>
      <c r="G26" s="170"/>
      <c r="H26" s="170"/>
      <c r="I26" s="170"/>
      <c r="J26" s="170"/>
      <c r="K26" s="170"/>
      <c r="L26" s="170"/>
      <c r="M26" s="170"/>
      <c r="N26" s="170"/>
      <c r="O26" s="170"/>
      <c r="P26" s="171"/>
    </row>
    <row r="27" spans="2:16" ht="25.5" customHeight="1">
      <c r="B27" s="169"/>
      <c r="C27" s="170"/>
      <c r="D27" s="170"/>
      <c r="E27" s="170"/>
      <c r="F27" s="170"/>
      <c r="G27" s="170"/>
      <c r="H27" s="170"/>
      <c r="I27" s="170"/>
      <c r="J27" s="170"/>
      <c r="K27" s="170"/>
      <c r="L27" s="170"/>
      <c r="M27" s="170"/>
      <c r="N27" s="170"/>
      <c r="O27" s="170"/>
      <c r="P27" s="171"/>
    </row>
    <row r="28" spans="2:16" ht="25.5" customHeight="1">
      <c r="B28" s="169"/>
      <c r="C28" s="170"/>
      <c r="D28" s="170"/>
      <c r="E28" s="170"/>
      <c r="F28" s="170"/>
      <c r="G28" s="170"/>
      <c r="H28" s="170"/>
      <c r="I28" s="170"/>
      <c r="J28" s="170"/>
      <c r="K28" s="170"/>
      <c r="L28" s="170"/>
      <c r="M28" s="170"/>
      <c r="N28" s="170"/>
      <c r="O28" s="170"/>
      <c r="P28" s="171"/>
    </row>
    <row r="29" spans="2:16" ht="25.5" customHeight="1">
      <c r="B29" s="172"/>
      <c r="C29" s="173"/>
      <c r="D29" s="173"/>
      <c r="E29" s="173"/>
      <c r="F29" s="173"/>
      <c r="G29" s="173"/>
      <c r="H29" s="173"/>
      <c r="I29" s="173"/>
      <c r="J29" s="173"/>
      <c r="K29" s="173"/>
      <c r="L29" s="173"/>
      <c r="M29" s="173"/>
      <c r="N29" s="173"/>
      <c r="O29" s="173"/>
      <c r="P29" s="174"/>
    </row>
    <row r="30" spans="2:16" ht="15" customHeight="1">
      <c r="B30" s="56"/>
      <c r="C30" s="56"/>
      <c r="D30" s="56"/>
      <c r="E30" s="56"/>
      <c r="F30" s="56"/>
      <c r="G30" s="56"/>
      <c r="H30" s="57"/>
      <c r="I30" s="56"/>
      <c r="J30" s="56"/>
      <c r="K30" s="56"/>
      <c r="L30" s="56"/>
      <c r="M30" s="56"/>
      <c r="N30" s="56"/>
      <c r="O30" s="56"/>
    </row>
    <row r="31" spans="2:16" ht="21.75" customHeight="1">
      <c r="B31" s="149" t="s">
        <v>6</v>
      </c>
      <c r="C31" s="150"/>
      <c r="D31" s="150"/>
      <c r="E31" s="150"/>
      <c r="F31" s="150"/>
      <c r="G31" s="150"/>
      <c r="H31" s="150"/>
      <c r="I31" s="150"/>
      <c r="J31" s="150"/>
      <c r="K31" s="150"/>
      <c r="L31" s="150"/>
      <c r="M31" s="150"/>
      <c r="N31" s="150"/>
      <c r="O31" s="150"/>
      <c r="P31" s="151"/>
    </row>
    <row r="32" spans="2:16" ht="14.25" customHeight="1">
      <c r="D32" s="56"/>
      <c r="E32" s="56"/>
      <c r="F32" s="56"/>
      <c r="G32" s="56"/>
      <c r="H32" s="57"/>
      <c r="I32" s="56"/>
      <c r="J32" s="56"/>
      <c r="K32" s="56"/>
      <c r="L32" s="56"/>
      <c r="M32" s="56"/>
      <c r="N32" s="56"/>
      <c r="O32" s="56"/>
      <c r="P32" s="60"/>
    </row>
    <row r="33" spans="2:20" ht="14.25" customHeight="1">
      <c r="B33" s="61" t="s">
        <v>7</v>
      </c>
      <c r="C33" s="58"/>
      <c r="D33" s="58"/>
      <c r="E33" s="58"/>
      <c r="F33" s="58"/>
      <c r="G33" s="58"/>
      <c r="H33" s="58"/>
      <c r="I33" s="58"/>
      <c r="J33" s="58"/>
      <c r="K33" s="58"/>
      <c r="L33" s="58"/>
      <c r="M33" s="58"/>
      <c r="N33" s="58"/>
      <c r="O33" s="58"/>
      <c r="P33" s="58"/>
      <c r="Q33" s="58"/>
      <c r="R33" s="58"/>
      <c r="S33" s="58"/>
      <c r="T33" s="58"/>
    </row>
    <row r="34" spans="2:20" ht="14.25" customHeight="1">
      <c r="B34" s="61" t="s">
        <v>8</v>
      </c>
      <c r="C34" s="58"/>
      <c r="D34" s="58"/>
      <c r="E34" s="58"/>
      <c r="F34" s="58"/>
      <c r="G34" s="58"/>
      <c r="H34" s="58"/>
      <c r="I34" s="58"/>
      <c r="J34" s="58"/>
      <c r="K34" s="58"/>
      <c r="L34" s="58"/>
      <c r="M34" s="58"/>
      <c r="N34" s="58"/>
      <c r="O34" s="58"/>
      <c r="P34" s="58"/>
      <c r="Q34" s="58"/>
      <c r="R34" s="58"/>
      <c r="S34" s="58"/>
      <c r="T34" s="58"/>
    </row>
    <row r="35" spans="2:20" ht="14.25" customHeight="1" thickBot="1">
      <c r="B35" s="62"/>
      <c r="P35" s="60"/>
    </row>
    <row r="36" spans="2:20" ht="30.75" thickBot="1">
      <c r="B36" s="42" t="s">
        <v>9</v>
      </c>
      <c r="C36" s="43" t="s">
        <v>10</v>
      </c>
      <c r="D36" s="42" t="s">
        <v>11</v>
      </c>
      <c r="E36" s="42" t="s">
        <v>12</v>
      </c>
      <c r="F36" s="42" t="s">
        <v>13</v>
      </c>
      <c r="G36" s="42" t="s">
        <v>14</v>
      </c>
      <c r="H36" s="42" t="s">
        <v>15</v>
      </c>
      <c r="J36" s="44" t="s">
        <v>16</v>
      </c>
      <c r="K36" s="45"/>
      <c r="L36" s="45"/>
      <c r="M36" s="45"/>
      <c r="N36" s="45"/>
      <c r="O36" s="45"/>
      <c r="P36" s="46"/>
      <c r="Q36" s="52" t="s">
        <v>17</v>
      </c>
    </row>
    <row r="37" spans="2:20" ht="33.75" customHeight="1">
      <c r="B37" s="65" t="s">
        <v>18</v>
      </c>
      <c r="C37" s="66" t="s">
        <v>19</v>
      </c>
      <c r="D37" s="67">
        <v>100</v>
      </c>
      <c r="E37" s="68" t="s">
        <v>20</v>
      </c>
      <c r="F37" s="2" t="s">
        <v>21</v>
      </c>
      <c r="G37" s="2" t="s">
        <v>21</v>
      </c>
      <c r="H37" s="47">
        <f>ROUNDUP(Q82,0)</f>
        <v>313100</v>
      </c>
      <c r="I37" s="111">
        <f>IF(ISBLANK(H37),0,IF(H37=Answers!H37,1,-1))</f>
        <v>1</v>
      </c>
      <c r="J37" s="160" t="s">
        <v>22</v>
      </c>
      <c r="K37" s="161"/>
      <c r="L37" s="161"/>
      <c r="M37" s="161"/>
      <c r="N37" s="161"/>
      <c r="O37" s="161"/>
      <c r="P37" s="162"/>
      <c r="Q37" s="52" t="s">
        <v>23</v>
      </c>
    </row>
    <row r="38" spans="2:20" ht="33.75" customHeight="1">
      <c r="B38" s="69" t="s">
        <v>24</v>
      </c>
      <c r="C38" s="68" t="s">
        <v>25</v>
      </c>
      <c r="D38" s="70">
        <v>125</v>
      </c>
      <c r="E38" s="68" t="s">
        <v>26</v>
      </c>
      <c r="F38" s="2" t="s">
        <v>21</v>
      </c>
      <c r="G38" s="2" t="s">
        <v>21</v>
      </c>
      <c r="H38" s="47">
        <f>SUMPRODUCT(LEN('Quests (L2)'!D5:D224)-LEN(SUBSTITUTE(LOWER('Quests (L2)'!D5:D224),"w","")))</f>
        <v>45</v>
      </c>
      <c r="I38" s="111">
        <f>IF(ISBLANK(H38),0,IF(H38=Answers!H38,1,-1))</f>
        <v>1</v>
      </c>
      <c r="J38" s="163" t="s">
        <v>27</v>
      </c>
      <c r="K38" s="164"/>
      <c r="L38" s="164"/>
      <c r="M38" s="164"/>
      <c r="N38" s="164"/>
      <c r="O38" s="164"/>
      <c r="P38" s="165"/>
      <c r="Q38" s="52" t="s">
        <v>28</v>
      </c>
    </row>
    <row r="39" spans="2:20" ht="33.75" customHeight="1">
      <c r="B39" s="69" t="s">
        <v>29</v>
      </c>
      <c r="C39" s="68" t="s">
        <v>30</v>
      </c>
      <c r="D39" s="70">
        <v>150</v>
      </c>
      <c r="E39" s="68" t="s">
        <v>31</v>
      </c>
      <c r="F39" s="2" t="s">
        <v>21</v>
      </c>
      <c r="G39" s="2" t="s">
        <v>21</v>
      </c>
      <c r="H39" s="47" t="e">
        <f>SUM('L6 Calc'!K4:K23)</f>
        <v>#N/A</v>
      </c>
      <c r="I39" s="111" t="e">
        <f>IF(ISBLANK(H39),0,IF(H39=Answers!H39,1,-1))</f>
        <v>#N/A</v>
      </c>
      <c r="J39" s="163" t="s">
        <v>32</v>
      </c>
      <c r="K39" s="164"/>
      <c r="L39" s="164"/>
      <c r="M39" s="164"/>
      <c r="N39" s="164"/>
      <c r="O39" s="164"/>
      <c r="P39" s="165"/>
      <c r="Q39" s="52" t="s">
        <v>33</v>
      </c>
    </row>
    <row r="40" spans="2:20" ht="33.75" customHeight="1">
      <c r="B40" s="69" t="s">
        <v>34</v>
      </c>
      <c r="C40" s="68" t="s">
        <v>35</v>
      </c>
      <c r="D40" s="70">
        <v>175</v>
      </c>
      <c r="E40" s="68" t="s">
        <v>36</v>
      </c>
      <c r="F40" s="2" t="s">
        <v>21</v>
      </c>
      <c r="G40" s="2" t="s">
        <v>21</v>
      </c>
      <c r="H40" s="47" t="e">
        <f>SUM('L5 Calc'!Q4:Q23)+SUMPRODUCT(('L7 Calc'!AP67:AP86)*('L7 Calc'!S4:S23))*5</f>
        <v>#N/A</v>
      </c>
      <c r="I40" s="111" t="e">
        <f>IF(ISBLANK(H40),0,IF(H40=Answers!H40,1,-1))</f>
        <v>#N/A</v>
      </c>
      <c r="J40" s="163" t="s">
        <v>37</v>
      </c>
      <c r="K40" s="164"/>
      <c r="L40" s="164"/>
      <c r="M40" s="164"/>
      <c r="N40" s="164"/>
      <c r="O40" s="164"/>
      <c r="P40" s="165"/>
      <c r="Q40" s="52" t="s">
        <v>38</v>
      </c>
    </row>
    <row r="41" spans="2:20" ht="33.75" customHeight="1">
      <c r="B41" s="69" t="s">
        <v>39</v>
      </c>
      <c r="C41" s="68" t="s">
        <v>35</v>
      </c>
      <c r="D41" s="70">
        <v>10</v>
      </c>
      <c r="E41" s="68" t="s">
        <v>40</v>
      </c>
      <c r="F41" s="2" t="s">
        <v>21</v>
      </c>
      <c r="G41" s="2" t="s">
        <v>21</v>
      </c>
      <c r="H41" s="47">
        <f>'Bonus #5'!DH66</f>
        <v>1000</v>
      </c>
      <c r="I41" s="111">
        <f>IF(ISBLANK(H41),0,IF(H41=Answers!H41,1,-1))</f>
        <v>-1</v>
      </c>
      <c r="J41" s="163" t="s">
        <v>41</v>
      </c>
      <c r="K41" s="164"/>
      <c r="L41" s="164"/>
      <c r="M41" s="164"/>
      <c r="N41" s="164"/>
      <c r="O41" s="164"/>
      <c r="P41" s="165"/>
      <c r="Q41" s="146" t="s">
        <v>42</v>
      </c>
    </row>
    <row r="42" spans="2:20" ht="15" customHeight="1">
      <c r="B42" s="52"/>
      <c r="C42" s="52"/>
      <c r="D42" s="52"/>
      <c r="E42" s="52"/>
      <c r="F42" s="52"/>
      <c r="G42" s="52"/>
      <c r="H42" s="53"/>
    </row>
    <row r="43" spans="2:20" ht="21" customHeight="1">
      <c r="B43" s="149" t="s">
        <v>43</v>
      </c>
      <c r="C43" s="150"/>
      <c r="D43" s="150"/>
      <c r="E43" s="150"/>
      <c r="F43" s="150"/>
      <c r="G43" s="150"/>
      <c r="H43" s="150"/>
      <c r="I43" s="150"/>
      <c r="J43" s="150"/>
      <c r="K43" s="150"/>
      <c r="L43" s="150"/>
      <c r="M43" s="150"/>
      <c r="N43" s="150"/>
      <c r="O43" s="150"/>
      <c r="P43" s="151"/>
    </row>
    <row r="44" spans="2:20" ht="14.25" customHeight="1" thickBot="1">
      <c r="B44" s="71"/>
      <c r="C44" s="71"/>
      <c r="D44" s="71"/>
      <c r="E44" s="71"/>
      <c r="F44" s="71"/>
      <c r="G44" s="71"/>
      <c r="H44" s="72"/>
      <c r="I44" s="71"/>
      <c r="J44" s="71"/>
      <c r="K44" s="71"/>
      <c r="L44" s="71"/>
      <c r="M44" s="71"/>
      <c r="Q44" s="71"/>
      <c r="R44" s="71"/>
      <c r="S44" s="71"/>
      <c r="T44" s="71"/>
    </row>
    <row r="45" spans="2:20" ht="25.5" customHeight="1" thickBot="1">
      <c r="B45" s="48" t="s">
        <v>19</v>
      </c>
      <c r="C45" s="49" t="s">
        <v>44</v>
      </c>
      <c r="D45" s="73" t="s">
        <v>45</v>
      </c>
      <c r="E45" s="73"/>
      <c r="F45" s="73"/>
      <c r="G45" s="73"/>
      <c r="O45" s="152" t="s">
        <v>46</v>
      </c>
      <c r="P45" s="153"/>
    </row>
    <row r="46" spans="2:20" ht="15" customHeight="1">
      <c r="O46" s="154" t="e" cm="1">
        <f t="array" ref="O46">SUMPRODUCT(--(I:I=1),D:D)</f>
        <v>#N/A</v>
      </c>
      <c r="P46" s="155"/>
    </row>
    <row r="47" spans="2:20" ht="15" customHeight="1">
      <c r="B47" s="75" t="s">
        <v>47</v>
      </c>
      <c r="O47" s="156"/>
      <c r="P47" s="157"/>
    </row>
    <row r="48" spans="2:20" ht="15" customHeight="1">
      <c r="B48" s="75" t="s">
        <v>48</v>
      </c>
      <c r="O48" s="158"/>
      <c r="P48" s="159"/>
    </row>
    <row r="49" spans="2:125" ht="15" customHeight="1">
      <c r="B49" s="75" t="s">
        <v>49</v>
      </c>
    </row>
    <row r="50" spans="2:125" ht="15" customHeight="1">
      <c r="B50" s="75" t="s">
        <v>50</v>
      </c>
    </row>
    <row r="51" spans="2:125" ht="15" customHeight="1">
      <c r="B51" s="75" t="s">
        <v>51</v>
      </c>
      <c r="J51" s="74"/>
    </row>
    <row r="52" spans="2:125" ht="15" customHeight="1">
      <c r="B52" s="75"/>
      <c r="J52" s="74"/>
    </row>
    <row r="53" spans="2:125" ht="15" customHeight="1">
      <c r="B53" s="75" t="s">
        <v>52</v>
      </c>
      <c r="J53" s="74"/>
    </row>
    <row r="54" spans="2:125" ht="15" customHeight="1">
      <c r="B54" s="75"/>
      <c r="J54" s="74"/>
    </row>
    <row r="55" spans="2:125" ht="15" customHeight="1">
      <c r="B55" s="75" t="s">
        <v>53</v>
      </c>
      <c r="J55" s="74"/>
    </row>
    <row r="56" spans="2:125" ht="15" customHeight="1">
      <c r="B56" s="75"/>
      <c r="J56" s="74"/>
      <c r="L56" s="52" t="s">
        <v>54</v>
      </c>
    </row>
    <row r="57" spans="2:125" ht="15" customHeight="1">
      <c r="B57" s="75"/>
      <c r="C57" s="50" t="s">
        <v>55</v>
      </c>
      <c r="J57" s="74"/>
      <c r="L57" s="52" t="s">
        <v>56</v>
      </c>
    </row>
    <row r="58" spans="2:125" ht="15" customHeight="1">
      <c r="B58" s="75"/>
      <c r="C58" s="50" t="s">
        <v>57</v>
      </c>
      <c r="J58" s="74"/>
      <c r="L58" s="52" t="s">
        <v>58</v>
      </c>
    </row>
    <row r="59" spans="2:125" ht="15" customHeight="1">
      <c r="B59" s="75"/>
      <c r="C59" s="50" t="s">
        <v>59</v>
      </c>
      <c r="J59" s="74"/>
    </row>
    <row r="60" spans="2:125" ht="15" customHeight="1" thickBot="1">
      <c r="B60" s="75"/>
      <c r="J60" s="74" t="s">
        <v>60</v>
      </c>
    </row>
    <row r="61" spans="2:125" ht="25.5" customHeight="1" thickBot="1">
      <c r="B61" s="42" t="s">
        <v>61</v>
      </c>
      <c r="C61" s="42" t="s">
        <v>62</v>
      </c>
      <c r="D61" s="42" t="s">
        <v>11</v>
      </c>
      <c r="E61" s="42" t="s">
        <v>63</v>
      </c>
      <c r="F61" s="42" t="s">
        <v>13</v>
      </c>
      <c r="G61" s="42" t="s">
        <v>14</v>
      </c>
      <c r="H61" s="42" t="s">
        <v>15</v>
      </c>
      <c r="J61" s="42" t="s">
        <v>64</v>
      </c>
      <c r="R61" s="54"/>
      <c r="S61" s="54"/>
      <c r="T61" s="54"/>
    </row>
    <row r="62" spans="2:125">
      <c r="B62" s="52"/>
      <c r="C62" s="52"/>
      <c r="D62" s="52"/>
      <c r="E62" s="52"/>
      <c r="F62" s="52"/>
      <c r="G62" s="52"/>
      <c r="H62" s="53"/>
      <c r="J62" s="59"/>
      <c r="R62" s="54"/>
      <c r="S62" s="54"/>
      <c r="T62" s="54"/>
    </row>
    <row r="63" spans="2:125" ht="23.25">
      <c r="B63" s="69" t="s">
        <v>65</v>
      </c>
      <c r="C63" s="68">
        <v>1</v>
      </c>
      <c r="D63" s="70">
        <v>0</v>
      </c>
      <c r="E63" s="2" t="s">
        <v>66</v>
      </c>
      <c r="F63" s="3" t="s">
        <v>67</v>
      </c>
      <c r="G63" s="3" t="s">
        <v>68</v>
      </c>
      <c r="H63" s="47">
        <v>3</v>
      </c>
      <c r="I63" s="111">
        <f>IF(ISBLANK(H63),0,IF(H63=Answers!H63,1,-1))</f>
        <v>1</v>
      </c>
      <c r="J63" s="78">
        <v>908</v>
      </c>
      <c r="L63" s="52" t="s">
        <v>62</v>
      </c>
      <c r="M63" s="52" t="s">
        <v>69</v>
      </c>
      <c r="N63" s="52" t="s">
        <v>70</v>
      </c>
      <c r="P63" s="52" t="s">
        <v>62</v>
      </c>
      <c r="Q63" s="52" t="s">
        <v>69</v>
      </c>
      <c r="R63" s="52" t="s">
        <v>70</v>
      </c>
      <c r="S63" s="54"/>
      <c r="T63" s="52" t="s">
        <v>62</v>
      </c>
      <c r="U63" s="52" t="s">
        <v>69</v>
      </c>
      <c r="V63" s="52" t="s">
        <v>70</v>
      </c>
      <c r="Y63" s="54" t="s">
        <v>62</v>
      </c>
      <c r="Z63" s="54">
        <v>1</v>
      </c>
      <c r="AA63" s="54">
        <v>2</v>
      </c>
      <c r="AB63" s="54">
        <v>3</v>
      </c>
      <c r="AC63" s="54">
        <v>4</v>
      </c>
      <c r="AD63" s="54">
        <v>5</v>
      </c>
      <c r="AE63" s="54">
        <v>6</v>
      </c>
      <c r="AF63" s="54">
        <v>7</v>
      </c>
      <c r="AG63" s="54">
        <v>8</v>
      </c>
      <c r="AH63" s="54">
        <v>9</v>
      </c>
      <c r="AI63" s="54">
        <v>10</v>
      </c>
      <c r="AJ63" s="54">
        <v>11</v>
      </c>
      <c r="AK63" s="54">
        <v>12</v>
      </c>
      <c r="AL63" s="54">
        <v>13</v>
      </c>
      <c r="AM63" s="54">
        <v>14</v>
      </c>
      <c r="AN63" s="54">
        <v>15</v>
      </c>
      <c r="AO63" s="54">
        <v>16</v>
      </c>
      <c r="AP63" s="54">
        <v>17</v>
      </c>
      <c r="AQ63" s="54">
        <v>18</v>
      </c>
      <c r="AR63" s="54">
        <v>19</v>
      </c>
      <c r="AS63" s="54">
        <v>20</v>
      </c>
      <c r="AT63" s="54">
        <v>21</v>
      </c>
      <c r="AU63" s="54">
        <v>22</v>
      </c>
      <c r="AV63" s="54">
        <v>23</v>
      </c>
      <c r="AW63" s="54">
        <v>24</v>
      </c>
      <c r="AX63" s="54">
        <v>25</v>
      </c>
      <c r="AY63" s="54">
        <v>26</v>
      </c>
      <c r="AZ63" s="54">
        <v>27</v>
      </c>
      <c r="BA63" s="54">
        <v>28</v>
      </c>
      <c r="BB63" s="54">
        <v>29</v>
      </c>
      <c r="BC63" s="54">
        <v>30</v>
      </c>
      <c r="BD63" s="54">
        <v>31</v>
      </c>
      <c r="BE63" s="54">
        <v>32</v>
      </c>
      <c r="BF63" s="54">
        <v>33</v>
      </c>
      <c r="BG63" s="54">
        <v>34</v>
      </c>
      <c r="BH63" s="54">
        <v>35</v>
      </c>
      <c r="BI63" s="54">
        <v>36</v>
      </c>
      <c r="BJ63" s="54">
        <v>37</v>
      </c>
      <c r="BK63" s="54">
        <v>38</v>
      </c>
      <c r="BL63" s="54">
        <v>39</v>
      </c>
      <c r="BM63" s="54">
        <v>40</v>
      </c>
      <c r="BN63" s="54">
        <v>41</v>
      </c>
      <c r="BO63" s="54">
        <v>42</v>
      </c>
      <c r="BP63" s="54">
        <v>43</v>
      </c>
      <c r="BQ63" s="54">
        <v>44</v>
      </c>
      <c r="BR63" s="54">
        <v>45</v>
      </c>
      <c r="BS63" s="54">
        <v>46</v>
      </c>
      <c r="BT63" s="54">
        <v>47</v>
      </c>
      <c r="BU63" s="54">
        <v>48</v>
      </c>
      <c r="BV63" s="54">
        <v>49</v>
      </c>
      <c r="BW63" s="54">
        <v>50</v>
      </c>
      <c r="BX63" s="54">
        <v>51</v>
      </c>
      <c r="BY63" s="54">
        <v>52</v>
      </c>
      <c r="BZ63" s="54">
        <v>53</v>
      </c>
      <c r="CA63" s="54">
        <v>54</v>
      </c>
      <c r="CB63" s="54">
        <v>55</v>
      </c>
      <c r="CC63" s="54">
        <v>56</v>
      </c>
      <c r="CD63" s="54">
        <v>57</v>
      </c>
      <c r="CE63" s="54">
        <v>58</v>
      </c>
      <c r="CF63" s="54">
        <v>59</v>
      </c>
      <c r="CG63" s="54">
        <v>60</v>
      </c>
      <c r="CH63" s="54">
        <v>61</v>
      </c>
      <c r="CI63" s="54">
        <v>62</v>
      </c>
      <c r="CJ63" s="54">
        <v>63</v>
      </c>
      <c r="CK63" s="54">
        <v>64</v>
      </c>
      <c r="CL63" s="54">
        <v>65</v>
      </c>
      <c r="CM63" s="54">
        <v>66</v>
      </c>
      <c r="CN63" s="54">
        <v>67</v>
      </c>
      <c r="CO63" s="54">
        <v>68</v>
      </c>
      <c r="CP63" s="54">
        <v>69</v>
      </c>
      <c r="CQ63" s="54">
        <v>70</v>
      </c>
      <c r="CR63" s="54">
        <v>71</v>
      </c>
      <c r="CS63" s="54">
        <v>72</v>
      </c>
      <c r="CT63" s="54">
        <v>73</v>
      </c>
      <c r="CU63" s="54">
        <v>74</v>
      </c>
      <c r="CV63" s="54">
        <v>75</v>
      </c>
      <c r="CW63" s="54">
        <v>76</v>
      </c>
      <c r="CX63" s="54">
        <v>77</v>
      </c>
      <c r="CY63" s="54">
        <v>78</v>
      </c>
      <c r="CZ63" s="54">
        <v>79</v>
      </c>
      <c r="DA63" s="54">
        <v>80</v>
      </c>
      <c r="DB63" s="54">
        <v>81</v>
      </c>
      <c r="DC63" s="54">
        <v>82</v>
      </c>
      <c r="DD63" s="54">
        <v>83</v>
      </c>
      <c r="DE63" s="54">
        <v>84</v>
      </c>
      <c r="DF63" s="54">
        <v>85</v>
      </c>
      <c r="DG63" s="54">
        <v>86</v>
      </c>
      <c r="DH63" s="54">
        <v>87</v>
      </c>
      <c r="DI63" s="54">
        <v>88</v>
      </c>
      <c r="DJ63" s="54">
        <v>89</v>
      </c>
      <c r="DK63" s="54">
        <v>90</v>
      </c>
      <c r="DL63" s="54">
        <v>91</v>
      </c>
      <c r="DM63" s="54">
        <v>92</v>
      </c>
      <c r="DN63" s="54">
        <v>93</v>
      </c>
      <c r="DO63" s="54">
        <v>94</v>
      </c>
      <c r="DP63" s="54">
        <v>95</v>
      </c>
      <c r="DQ63" s="54">
        <v>96</v>
      </c>
      <c r="DR63" s="54">
        <v>97</v>
      </c>
      <c r="DS63" s="54">
        <v>98</v>
      </c>
      <c r="DT63" s="54">
        <v>99</v>
      </c>
      <c r="DU63" s="54">
        <v>100</v>
      </c>
    </row>
    <row r="64" spans="2:125" ht="15" customHeight="1">
      <c r="B64" s="52"/>
      <c r="C64" s="52"/>
      <c r="D64" s="52"/>
      <c r="E64" s="52"/>
      <c r="F64" s="77"/>
      <c r="G64" s="77"/>
      <c r="H64" s="53"/>
      <c r="J64" s="79"/>
      <c r="L64" s="52">
        <v>1</v>
      </c>
      <c r="M64" s="112">
        <v>0</v>
      </c>
      <c r="N64" s="112">
        <v>400</v>
      </c>
      <c r="P64" s="52">
        <v>22</v>
      </c>
      <c r="Q64" s="112">
        <f>M84+N84</f>
        <v>34762.337832817124</v>
      </c>
      <c r="R64" s="113">
        <f>N84*1.125</f>
        <v>4745.2922291021405</v>
      </c>
      <c r="S64" s="54"/>
      <c r="T64" s="54">
        <v>43</v>
      </c>
      <c r="U64" s="116">
        <f>Q84+R84</f>
        <v>447155.96679154318</v>
      </c>
      <c r="V64" s="116">
        <f>R84*1.125</f>
        <v>56294.495848942897</v>
      </c>
      <c r="Y64" s="52" t="s">
        <v>69</v>
      </c>
      <c r="Z64" s="54">
        <v>0</v>
      </c>
      <c r="AA64" s="54">
        <f>Z64+Z65</f>
        <v>400</v>
      </c>
      <c r="AB64" s="54">
        <f t="shared" ref="AB64:CM64" si="0">AA64+AA65</f>
        <v>850</v>
      </c>
      <c r="AC64" s="54">
        <f t="shared" si="0"/>
        <v>1356.25</v>
      </c>
      <c r="AD64" s="54">
        <f t="shared" si="0"/>
        <v>1925.78125</v>
      </c>
      <c r="AE64" s="54">
        <f t="shared" si="0"/>
        <v>2566.50390625</v>
      </c>
      <c r="AF64" s="54">
        <f t="shared" si="0"/>
        <v>3287.31689453125</v>
      </c>
      <c r="AG64" s="54">
        <f t="shared" si="0"/>
        <v>4098.2315063476563</v>
      </c>
      <c r="AH64" s="54">
        <f t="shared" si="0"/>
        <v>5010.5104446411133</v>
      </c>
      <c r="AI64" s="54">
        <f t="shared" si="0"/>
        <v>6036.8242502212524</v>
      </c>
      <c r="AJ64" s="54">
        <f t="shared" si="0"/>
        <v>7191.427281498909</v>
      </c>
      <c r="AK64" s="54">
        <f t="shared" si="0"/>
        <v>8490.3556916862726</v>
      </c>
      <c r="AL64" s="54">
        <f t="shared" si="0"/>
        <v>9951.6501531470567</v>
      </c>
      <c r="AM64" s="54">
        <f t="shared" si="0"/>
        <v>11595.606422290439</v>
      </c>
      <c r="AN64" s="54">
        <f t="shared" si="0"/>
        <v>13445.057225076744</v>
      </c>
      <c r="AO64" s="54">
        <f t="shared" si="0"/>
        <v>15525.689378211337</v>
      </c>
      <c r="AP64" s="54">
        <f t="shared" si="0"/>
        <v>17866.400550487753</v>
      </c>
      <c r="AQ64" s="54">
        <f t="shared" si="0"/>
        <v>20499.700619298721</v>
      </c>
      <c r="AR64" s="54">
        <f t="shared" si="0"/>
        <v>23462.163196711062</v>
      </c>
      <c r="AS64" s="54">
        <f t="shared" si="0"/>
        <v>26794.933596299947</v>
      </c>
      <c r="AT64" s="54">
        <f t="shared" si="0"/>
        <v>30544.300295837442</v>
      </c>
      <c r="AU64" s="54">
        <f t="shared" si="0"/>
        <v>34762.337832817124</v>
      </c>
      <c r="AV64" s="54">
        <f t="shared" si="0"/>
        <v>39507.630061919263</v>
      </c>
      <c r="AW64" s="54">
        <f t="shared" si="0"/>
        <v>44846.083819659172</v>
      </c>
      <c r="AX64" s="54">
        <f t="shared" si="0"/>
        <v>50851.844297116571</v>
      </c>
      <c r="AY64" s="54">
        <f t="shared" si="0"/>
        <v>57608.324834256142</v>
      </c>
      <c r="AZ64" s="54">
        <f t="shared" si="0"/>
        <v>65209.36543853816</v>
      </c>
      <c r="BA64" s="54">
        <f t="shared" si="0"/>
        <v>73760.536118355434</v>
      </c>
      <c r="BB64" s="54">
        <f t="shared" si="0"/>
        <v>83380.603133149867</v>
      </c>
      <c r="BC64" s="54">
        <f t="shared" si="0"/>
        <v>94203.178524793606</v>
      </c>
      <c r="BD64" s="54">
        <f t="shared" si="0"/>
        <v>106378.5758403928</v>
      </c>
      <c r="BE64" s="54">
        <f t="shared" si="0"/>
        <v>120075.89782044191</v>
      </c>
      <c r="BF64" s="54">
        <f t="shared" si="0"/>
        <v>135485.38504799714</v>
      </c>
      <c r="BG64" s="54">
        <f t="shared" si="0"/>
        <v>152821.05817899678</v>
      </c>
      <c r="BH64" s="54">
        <f t="shared" si="0"/>
        <v>172323.69045137137</v>
      </c>
      <c r="BI64" s="54">
        <f t="shared" si="0"/>
        <v>194264.1517577928</v>
      </c>
      <c r="BJ64" s="54">
        <f t="shared" si="0"/>
        <v>218947.1707275169</v>
      </c>
      <c r="BK64" s="54">
        <f t="shared" si="0"/>
        <v>246715.56706845653</v>
      </c>
      <c r="BL64" s="54">
        <f t="shared" si="0"/>
        <v>277955.01295201358</v>
      </c>
      <c r="BM64" s="54">
        <f t="shared" si="0"/>
        <v>313099.38957101526</v>
      </c>
      <c r="BN64" s="54">
        <f t="shared" si="0"/>
        <v>352636.81326739216</v>
      </c>
      <c r="BO64" s="54">
        <f t="shared" si="0"/>
        <v>397116.41492581618</v>
      </c>
      <c r="BP64" s="54">
        <f t="shared" si="0"/>
        <v>447155.96679154318</v>
      </c>
      <c r="BQ64" s="54">
        <f t="shared" si="0"/>
        <v>503450.46264048608</v>
      </c>
      <c r="BR64" s="54">
        <f t="shared" si="0"/>
        <v>566781.77047054679</v>
      </c>
      <c r="BS64" s="54">
        <f t="shared" si="0"/>
        <v>638029.49177936511</v>
      </c>
      <c r="BT64" s="54">
        <f t="shared" si="0"/>
        <v>718183.17825178569</v>
      </c>
      <c r="BU64" s="54">
        <f t="shared" si="0"/>
        <v>808356.07553325896</v>
      </c>
      <c r="BV64" s="54">
        <f t="shared" si="0"/>
        <v>909800.5849749163</v>
      </c>
      <c r="BW64" s="54">
        <f t="shared" si="0"/>
        <v>1023925.6580967809</v>
      </c>
      <c r="BX64" s="54">
        <f t="shared" si="0"/>
        <v>1152316.3653588784</v>
      </c>
      <c r="BY64" s="54">
        <f t="shared" si="0"/>
        <v>1296755.9110287381</v>
      </c>
      <c r="BZ64" s="54">
        <f t="shared" si="0"/>
        <v>1459250.3999073305</v>
      </c>
      <c r="CA64" s="54">
        <f t="shared" si="0"/>
        <v>1642056.6998957468</v>
      </c>
      <c r="CB64" s="54">
        <f t="shared" si="0"/>
        <v>1847713.7873827151</v>
      </c>
      <c r="CC64" s="54">
        <f t="shared" si="0"/>
        <v>2079078.0108055545</v>
      </c>
      <c r="CD64" s="54">
        <f t="shared" si="0"/>
        <v>2339362.7621562486</v>
      </c>
      <c r="CE64" s="54">
        <f t="shared" si="0"/>
        <v>2632183.1074257796</v>
      </c>
      <c r="CF64" s="54">
        <f t="shared" si="0"/>
        <v>2961605.995854002</v>
      </c>
      <c r="CG64" s="54">
        <f t="shared" si="0"/>
        <v>3332206.7453357521</v>
      </c>
      <c r="CH64" s="54">
        <f t="shared" si="0"/>
        <v>3749132.5885027209</v>
      </c>
      <c r="CI64" s="54">
        <f t="shared" si="0"/>
        <v>4218174.1620655609</v>
      </c>
      <c r="CJ64" s="54">
        <f t="shared" si="0"/>
        <v>4745845.9323237557</v>
      </c>
      <c r="CK64" s="54">
        <f t="shared" si="0"/>
        <v>5339476.6738642249</v>
      </c>
      <c r="CL64" s="54">
        <f t="shared" si="0"/>
        <v>6007311.2580972528</v>
      </c>
      <c r="CM64" s="54">
        <f t="shared" si="0"/>
        <v>6758625.1653594095</v>
      </c>
      <c r="CN64" s="54">
        <f t="shared" ref="CN64:DU64" si="1">CM64+CM65</f>
        <v>7603853.3110293355</v>
      </c>
      <c r="CO64" s="54">
        <f t="shared" si="1"/>
        <v>8554734.9749080017</v>
      </c>
      <c r="CP64" s="54">
        <f t="shared" si="1"/>
        <v>9624476.846771501</v>
      </c>
      <c r="CQ64" s="54">
        <f t="shared" si="1"/>
        <v>10827936.45261794</v>
      </c>
      <c r="CR64" s="54">
        <f t="shared" si="1"/>
        <v>12181828.509195182</v>
      </c>
      <c r="CS64" s="54">
        <f t="shared" si="1"/>
        <v>13704957.07284458</v>
      </c>
      <c r="CT64" s="54">
        <f t="shared" si="1"/>
        <v>15418476.706950152</v>
      </c>
      <c r="CU64" s="54">
        <f t="shared" si="1"/>
        <v>17346186.29531892</v>
      </c>
      <c r="CV64" s="54">
        <f t="shared" si="1"/>
        <v>19514859.582233787</v>
      </c>
      <c r="CW64" s="54">
        <f t="shared" si="1"/>
        <v>21954617.03001301</v>
      </c>
      <c r="CX64" s="54">
        <f t="shared" si="1"/>
        <v>24699344.158764638</v>
      </c>
      <c r="CY64" s="54">
        <f t="shared" si="1"/>
        <v>27787162.178610217</v>
      </c>
      <c r="CZ64" s="54">
        <f t="shared" si="1"/>
        <v>31260957.450936493</v>
      </c>
      <c r="DA64" s="54">
        <f t="shared" si="1"/>
        <v>35168977.132303551</v>
      </c>
      <c r="DB64" s="54">
        <f t="shared" si="1"/>
        <v>39565499.273841493</v>
      </c>
      <c r="DC64" s="54">
        <f t="shared" si="1"/>
        <v>44511586.68307168</v>
      </c>
      <c r="DD64" s="54">
        <f t="shared" si="1"/>
        <v>50075935.018455639</v>
      </c>
      <c r="DE64" s="54">
        <f t="shared" si="1"/>
        <v>56335826.895762593</v>
      </c>
      <c r="DF64" s="54">
        <f t="shared" si="1"/>
        <v>63378205.257732913</v>
      </c>
      <c r="DG64" s="54">
        <f t="shared" si="1"/>
        <v>71300880.914949521</v>
      </c>
      <c r="DH64" s="54">
        <f t="shared" si="1"/>
        <v>80213891.029318213</v>
      </c>
      <c r="DI64" s="54">
        <f t="shared" si="1"/>
        <v>90241027.40798299</v>
      </c>
      <c r="DJ64" s="54">
        <f t="shared" si="1"/>
        <v>101521555.83398086</v>
      </c>
      <c r="DK64" s="54">
        <f t="shared" si="1"/>
        <v>114212150.31322846</v>
      </c>
      <c r="DL64" s="54">
        <f t="shared" si="1"/>
        <v>128489069.10238202</v>
      </c>
      <c r="DM64" s="54">
        <f t="shared" si="1"/>
        <v>144550602.74017978</v>
      </c>
      <c r="DN64" s="54">
        <f t="shared" si="1"/>
        <v>162619828.08270225</v>
      </c>
      <c r="DO64" s="54">
        <f t="shared" si="1"/>
        <v>182947706.59304002</v>
      </c>
      <c r="DP64" s="54">
        <f t="shared" si="1"/>
        <v>205816569.91717002</v>
      </c>
      <c r="DQ64" s="54">
        <f t="shared" si="1"/>
        <v>231544041.15681627</v>
      </c>
      <c r="DR64" s="54">
        <f t="shared" si="1"/>
        <v>260487446.3014183</v>
      </c>
      <c r="DS64" s="54">
        <f t="shared" si="1"/>
        <v>293048777.08909559</v>
      </c>
      <c r="DT64" s="54">
        <f t="shared" si="1"/>
        <v>329680274.22523254</v>
      </c>
      <c r="DU64" s="54">
        <f t="shared" si="1"/>
        <v>370890708.50338662</v>
      </c>
    </row>
    <row r="65" spans="2:125" ht="23.25">
      <c r="B65" s="68">
        <v>1</v>
      </c>
      <c r="C65" s="68">
        <v>1</v>
      </c>
      <c r="D65" s="76">
        <v>7</v>
      </c>
      <c r="E65" s="2">
        <v>1</v>
      </c>
      <c r="F65" s="3" t="s">
        <v>67</v>
      </c>
      <c r="G65" s="3" t="s">
        <v>71</v>
      </c>
      <c r="H65" s="47">
        <f>INDEX($L$64:$L$84,MATCH(J65,M64:M84,1))</f>
        <v>10</v>
      </c>
      <c r="I65" s="111">
        <f>IF(ISBLANK(H65),0,IF(H65=Answers!H65,1,-1))</f>
        <v>1</v>
      </c>
      <c r="J65" s="78">
        <v>6945</v>
      </c>
      <c r="L65" s="52">
        <v>2</v>
      </c>
      <c r="M65" s="112">
        <f>M64+N64</f>
        <v>400</v>
      </c>
      <c r="N65" s="112">
        <f>N64*1.125</f>
        <v>450</v>
      </c>
      <c r="P65" s="52">
        <v>23</v>
      </c>
      <c r="Q65" s="112">
        <f>Q64+R64</f>
        <v>39507.630061919263</v>
      </c>
      <c r="R65" s="113">
        <f>R64*1.125</f>
        <v>5338.4537577399078</v>
      </c>
      <c r="S65" s="54"/>
      <c r="T65" s="54">
        <v>44</v>
      </c>
      <c r="U65" s="116">
        <f>U64+V64</f>
        <v>503450.46264048608</v>
      </c>
      <c r="V65" s="116">
        <f>V64*1.125</f>
        <v>63331.307830060759</v>
      </c>
      <c r="Y65" s="52" t="s">
        <v>70</v>
      </c>
      <c r="Z65" s="54">
        <v>400</v>
      </c>
      <c r="AA65" s="54">
        <f>Z65*1.125</f>
        <v>450</v>
      </c>
      <c r="AB65" s="54">
        <f t="shared" ref="AB65:CM65" si="2">AA65*1.125</f>
        <v>506.25</v>
      </c>
      <c r="AC65" s="54">
        <f t="shared" si="2"/>
        <v>569.53125</v>
      </c>
      <c r="AD65" s="54">
        <f t="shared" si="2"/>
        <v>640.72265625</v>
      </c>
      <c r="AE65" s="54">
        <f t="shared" si="2"/>
        <v>720.81298828125</v>
      </c>
      <c r="AF65" s="54">
        <f t="shared" si="2"/>
        <v>810.91461181640625</v>
      </c>
      <c r="AG65" s="54">
        <f t="shared" si="2"/>
        <v>912.27893829345703</v>
      </c>
      <c r="AH65" s="54">
        <f t="shared" si="2"/>
        <v>1026.3138055801392</v>
      </c>
      <c r="AI65" s="54">
        <f t="shared" si="2"/>
        <v>1154.6030312776566</v>
      </c>
      <c r="AJ65" s="54">
        <f t="shared" si="2"/>
        <v>1298.9284101873636</v>
      </c>
      <c r="AK65" s="54">
        <f t="shared" si="2"/>
        <v>1461.2944614607841</v>
      </c>
      <c r="AL65" s="54">
        <f t="shared" si="2"/>
        <v>1643.9562691433821</v>
      </c>
      <c r="AM65" s="54">
        <f t="shared" si="2"/>
        <v>1849.4508027863048</v>
      </c>
      <c r="AN65" s="54">
        <f t="shared" si="2"/>
        <v>2080.632153134593</v>
      </c>
      <c r="AO65" s="54">
        <f t="shared" si="2"/>
        <v>2340.7111722764171</v>
      </c>
      <c r="AP65" s="54">
        <f t="shared" si="2"/>
        <v>2633.3000688109692</v>
      </c>
      <c r="AQ65" s="54">
        <f t="shared" si="2"/>
        <v>2962.4625774123401</v>
      </c>
      <c r="AR65" s="54">
        <f t="shared" si="2"/>
        <v>3332.7703995888828</v>
      </c>
      <c r="AS65" s="54">
        <f t="shared" si="2"/>
        <v>3749.3666995374933</v>
      </c>
      <c r="AT65" s="54">
        <f t="shared" si="2"/>
        <v>4218.0375369796802</v>
      </c>
      <c r="AU65" s="54">
        <f t="shared" si="2"/>
        <v>4745.2922291021405</v>
      </c>
      <c r="AV65" s="54">
        <f t="shared" si="2"/>
        <v>5338.4537577399078</v>
      </c>
      <c r="AW65" s="54">
        <f t="shared" si="2"/>
        <v>6005.7604774573965</v>
      </c>
      <c r="AX65" s="54">
        <f t="shared" si="2"/>
        <v>6756.4805371395714</v>
      </c>
      <c r="AY65" s="54">
        <f t="shared" si="2"/>
        <v>7601.0406042820177</v>
      </c>
      <c r="AZ65" s="54">
        <f t="shared" si="2"/>
        <v>8551.1706798172709</v>
      </c>
      <c r="BA65" s="54">
        <f t="shared" si="2"/>
        <v>9620.0670147944293</v>
      </c>
      <c r="BB65" s="54">
        <f t="shared" si="2"/>
        <v>10822.575391643733</v>
      </c>
      <c r="BC65" s="54">
        <f t="shared" si="2"/>
        <v>12175.397315599201</v>
      </c>
      <c r="BD65" s="54">
        <f t="shared" si="2"/>
        <v>13697.321980049101</v>
      </c>
      <c r="BE65" s="54">
        <f t="shared" si="2"/>
        <v>15409.487227555239</v>
      </c>
      <c r="BF65" s="54">
        <f t="shared" si="2"/>
        <v>17335.673130999643</v>
      </c>
      <c r="BG65" s="54">
        <f t="shared" si="2"/>
        <v>19502.632272374598</v>
      </c>
      <c r="BH65" s="54">
        <f t="shared" si="2"/>
        <v>21940.461306421421</v>
      </c>
      <c r="BI65" s="54">
        <f t="shared" si="2"/>
        <v>24683.0189697241</v>
      </c>
      <c r="BJ65" s="54">
        <f t="shared" si="2"/>
        <v>27768.396340939613</v>
      </c>
      <c r="BK65" s="54">
        <f t="shared" si="2"/>
        <v>31239.445883557066</v>
      </c>
      <c r="BL65" s="54">
        <f t="shared" si="2"/>
        <v>35144.376619001698</v>
      </c>
      <c r="BM65" s="54">
        <f t="shared" si="2"/>
        <v>39537.423696376907</v>
      </c>
      <c r="BN65" s="54">
        <f t="shared" si="2"/>
        <v>44479.601658424021</v>
      </c>
      <c r="BO65" s="54">
        <f t="shared" si="2"/>
        <v>50039.551865727022</v>
      </c>
      <c r="BP65" s="54">
        <f t="shared" si="2"/>
        <v>56294.495848942897</v>
      </c>
      <c r="BQ65" s="54">
        <f t="shared" si="2"/>
        <v>63331.307830060759</v>
      </c>
      <c r="BR65" s="54">
        <f t="shared" si="2"/>
        <v>71247.721308818349</v>
      </c>
      <c r="BS65" s="54">
        <f t="shared" si="2"/>
        <v>80153.686472420639</v>
      </c>
      <c r="BT65" s="54">
        <f t="shared" si="2"/>
        <v>90172.897281473211</v>
      </c>
      <c r="BU65" s="54">
        <f t="shared" si="2"/>
        <v>101444.50944165737</v>
      </c>
      <c r="BV65" s="54">
        <f t="shared" si="2"/>
        <v>114125.07312186454</v>
      </c>
      <c r="BW65" s="54">
        <f t="shared" si="2"/>
        <v>128390.70726209761</v>
      </c>
      <c r="BX65" s="54">
        <f t="shared" si="2"/>
        <v>144439.5456698598</v>
      </c>
      <c r="BY65" s="54">
        <f t="shared" si="2"/>
        <v>162494.48887859227</v>
      </c>
      <c r="BZ65" s="54">
        <f t="shared" si="2"/>
        <v>182806.29998841631</v>
      </c>
      <c r="CA65" s="54">
        <f t="shared" si="2"/>
        <v>205657.08748696835</v>
      </c>
      <c r="CB65" s="54">
        <f t="shared" si="2"/>
        <v>231364.22342283939</v>
      </c>
      <c r="CC65" s="54">
        <f t="shared" si="2"/>
        <v>260284.75135069431</v>
      </c>
      <c r="CD65" s="54">
        <f t="shared" si="2"/>
        <v>292820.34526953107</v>
      </c>
      <c r="CE65" s="54">
        <f t="shared" si="2"/>
        <v>329422.88842822245</v>
      </c>
      <c r="CF65" s="54">
        <f t="shared" si="2"/>
        <v>370600.74948175024</v>
      </c>
      <c r="CG65" s="54">
        <f t="shared" si="2"/>
        <v>416925.84316696902</v>
      </c>
      <c r="CH65" s="54">
        <f t="shared" si="2"/>
        <v>469041.57356284012</v>
      </c>
      <c r="CI65" s="54">
        <f t="shared" si="2"/>
        <v>527671.77025819512</v>
      </c>
      <c r="CJ65" s="54">
        <f t="shared" si="2"/>
        <v>593630.74154046946</v>
      </c>
      <c r="CK65" s="54">
        <f t="shared" si="2"/>
        <v>667834.58423302812</v>
      </c>
      <c r="CL65" s="54">
        <f t="shared" si="2"/>
        <v>751313.9072621566</v>
      </c>
      <c r="CM65" s="54">
        <f t="shared" si="2"/>
        <v>845228.14566992619</v>
      </c>
      <c r="CN65" s="54">
        <f t="shared" ref="CN65:DU65" si="3">CM65*1.125</f>
        <v>950881.66387866694</v>
      </c>
      <c r="CO65" s="54">
        <f t="shared" si="3"/>
        <v>1069741.8718635002</v>
      </c>
      <c r="CP65" s="54">
        <f t="shared" si="3"/>
        <v>1203459.6058464376</v>
      </c>
      <c r="CQ65" s="54">
        <f t="shared" si="3"/>
        <v>1353892.0565772424</v>
      </c>
      <c r="CR65" s="54">
        <f t="shared" si="3"/>
        <v>1523128.5636493978</v>
      </c>
      <c r="CS65" s="54">
        <f t="shared" si="3"/>
        <v>1713519.6341055725</v>
      </c>
      <c r="CT65" s="54">
        <f t="shared" si="3"/>
        <v>1927709.588368769</v>
      </c>
      <c r="CU65" s="54">
        <f t="shared" si="3"/>
        <v>2168673.286914865</v>
      </c>
      <c r="CV65" s="54">
        <f t="shared" si="3"/>
        <v>2439757.4477792233</v>
      </c>
      <c r="CW65" s="54">
        <f t="shared" si="3"/>
        <v>2744727.1287516262</v>
      </c>
      <c r="CX65" s="54">
        <f t="shared" si="3"/>
        <v>3087818.0198455798</v>
      </c>
      <c r="CY65" s="54">
        <f t="shared" si="3"/>
        <v>3473795.2723262771</v>
      </c>
      <c r="CZ65" s="54">
        <f t="shared" si="3"/>
        <v>3908019.6813670616</v>
      </c>
      <c r="DA65" s="54">
        <f t="shared" si="3"/>
        <v>4396522.1415379439</v>
      </c>
      <c r="DB65" s="54">
        <f t="shared" si="3"/>
        <v>4946087.4092301866</v>
      </c>
      <c r="DC65" s="54">
        <f t="shared" si="3"/>
        <v>5564348.33538396</v>
      </c>
      <c r="DD65" s="54">
        <f t="shared" si="3"/>
        <v>6259891.8773069549</v>
      </c>
      <c r="DE65" s="54">
        <f t="shared" si="3"/>
        <v>7042378.3619703241</v>
      </c>
      <c r="DF65" s="54">
        <f t="shared" si="3"/>
        <v>7922675.6572166141</v>
      </c>
      <c r="DG65" s="54">
        <f t="shared" si="3"/>
        <v>8913010.1143686902</v>
      </c>
      <c r="DH65" s="54">
        <f t="shared" si="3"/>
        <v>10027136.378664777</v>
      </c>
      <c r="DI65" s="54">
        <f t="shared" si="3"/>
        <v>11280528.425997874</v>
      </c>
      <c r="DJ65" s="54">
        <f t="shared" si="3"/>
        <v>12690594.479247607</v>
      </c>
      <c r="DK65" s="54">
        <f t="shared" si="3"/>
        <v>14276918.789153557</v>
      </c>
      <c r="DL65" s="54">
        <f t="shared" si="3"/>
        <v>16061533.637797752</v>
      </c>
      <c r="DM65" s="54">
        <f t="shared" si="3"/>
        <v>18069225.342522472</v>
      </c>
      <c r="DN65" s="54">
        <f t="shared" si="3"/>
        <v>20327878.510337781</v>
      </c>
      <c r="DO65" s="54">
        <f t="shared" si="3"/>
        <v>22868863.324130002</v>
      </c>
      <c r="DP65" s="54">
        <f t="shared" si="3"/>
        <v>25727471.239646252</v>
      </c>
      <c r="DQ65" s="54">
        <f t="shared" si="3"/>
        <v>28943405.144602034</v>
      </c>
      <c r="DR65" s="54">
        <f t="shared" si="3"/>
        <v>32561330.787677288</v>
      </c>
      <c r="DS65" s="54">
        <f t="shared" si="3"/>
        <v>36631497.136136949</v>
      </c>
      <c r="DT65" s="54">
        <f t="shared" si="3"/>
        <v>41210434.278154068</v>
      </c>
      <c r="DU65" s="54">
        <f t="shared" si="3"/>
        <v>46361738.562923327</v>
      </c>
    </row>
    <row r="66" spans="2:125" ht="23.25">
      <c r="B66" s="68">
        <v>2</v>
      </c>
      <c r="C66" s="68">
        <v>1</v>
      </c>
      <c r="D66" s="76">
        <v>7</v>
      </c>
      <c r="E66" s="2">
        <v>2</v>
      </c>
      <c r="F66" s="3" t="s">
        <v>72</v>
      </c>
      <c r="G66" s="3" t="s">
        <v>73</v>
      </c>
      <c r="H66" s="47">
        <f t="shared" ref="H66:H84" si="4">INDEX($Z$63:$DU$63,0,MATCH(J66,$Z$64:$DU$64,1))</f>
        <v>10</v>
      </c>
      <c r="I66" s="111">
        <f>IF(ISBLANK(H66),0,IF(H66=Answers!H66,1,-1))</f>
        <v>1</v>
      </c>
      <c r="J66" s="78">
        <v>6612</v>
      </c>
      <c r="L66" s="52">
        <v>3</v>
      </c>
      <c r="M66" s="112">
        <f t="shared" ref="M66:M84" si="5">M65+N65</f>
        <v>850</v>
      </c>
      <c r="N66" s="112">
        <f t="shared" ref="N66:N84" si="6">N65*1.125</f>
        <v>506.25</v>
      </c>
      <c r="P66" s="52">
        <v>24</v>
      </c>
      <c r="Q66" s="112">
        <f t="shared" ref="Q66:Q84" si="7">Q65+R65</f>
        <v>44846.083819659172</v>
      </c>
      <c r="R66" s="113">
        <f t="shared" ref="R66:R84" si="8">R65*1.125</f>
        <v>6005.7604774573965</v>
      </c>
      <c r="S66" s="54"/>
      <c r="T66" s="54">
        <v>45</v>
      </c>
      <c r="U66" s="116">
        <f t="shared" ref="U66:U81" si="9">U65+V65</f>
        <v>566781.77047054679</v>
      </c>
      <c r="V66" s="116">
        <f t="shared" ref="V66:V81" si="10">V65*1.125</f>
        <v>71247.721308818349</v>
      </c>
    </row>
    <row r="67" spans="2:125" ht="23.25">
      <c r="B67" s="68">
        <v>3</v>
      </c>
      <c r="C67" s="68">
        <v>1</v>
      </c>
      <c r="D67" s="76">
        <v>7</v>
      </c>
      <c r="E67" s="2">
        <v>3</v>
      </c>
      <c r="F67" s="3" t="s">
        <v>74</v>
      </c>
      <c r="G67" s="3" t="s">
        <v>68</v>
      </c>
      <c r="H67" s="47">
        <f t="shared" si="4"/>
        <v>4</v>
      </c>
      <c r="I67" s="111">
        <f>IF(ISBLANK(H67),0,IF(H67=Answers!H67,1,-1))</f>
        <v>1</v>
      </c>
      <c r="J67" s="78">
        <v>1500</v>
      </c>
      <c r="L67" s="52">
        <v>4</v>
      </c>
      <c r="M67" s="112">
        <f t="shared" si="5"/>
        <v>1356.25</v>
      </c>
      <c r="N67" s="112">
        <f t="shared" si="6"/>
        <v>569.53125</v>
      </c>
      <c r="P67" s="52">
        <v>25</v>
      </c>
      <c r="Q67" s="112">
        <f t="shared" si="7"/>
        <v>50851.844297116571</v>
      </c>
      <c r="R67" s="113">
        <f t="shared" si="8"/>
        <v>6756.4805371395714</v>
      </c>
      <c r="S67" s="54"/>
      <c r="T67" s="54">
        <v>46</v>
      </c>
      <c r="U67" s="116">
        <f t="shared" si="9"/>
        <v>638029.49177936511</v>
      </c>
      <c r="V67" s="116">
        <f t="shared" si="10"/>
        <v>80153.686472420639</v>
      </c>
    </row>
    <row r="68" spans="2:125" ht="23.25">
      <c r="B68" s="68">
        <v>4</v>
      </c>
      <c r="C68" s="68">
        <v>1</v>
      </c>
      <c r="D68" s="76">
        <v>7</v>
      </c>
      <c r="E68" s="2">
        <v>4</v>
      </c>
      <c r="F68" s="3" t="s">
        <v>75</v>
      </c>
      <c r="G68" s="3" t="s">
        <v>71</v>
      </c>
      <c r="H68" s="47">
        <f t="shared" si="4"/>
        <v>9</v>
      </c>
      <c r="I68" s="111">
        <f>IF(ISBLANK(H68),0,IF(H68=Answers!H68,1,-1))</f>
        <v>1</v>
      </c>
      <c r="J68" s="78">
        <v>5191</v>
      </c>
      <c r="L68" s="52">
        <v>5</v>
      </c>
      <c r="M68" s="112">
        <f t="shared" si="5"/>
        <v>1925.78125</v>
      </c>
      <c r="N68" s="112">
        <f t="shared" si="6"/>
        <v>640.72265625</v>
      </c>
      <c r="P68" s="52">
        <v>26</v>
      </c>
      <c r="Q68" s="112">
        <f t="shared" si="7"/>
        <v>57608.324834256142</v>
      </c>
      <c r="R68" s="113">
        <f t="shared" si="8"/>
        <v>7601.0406042820177</v>
      </c>
      <c r="S68" s="54"/>
      <c r="T68" s="54">
        <v>47</v>
      </c>
      <c r="U68" s="116">
        <f t="shared" si="9"/>
        <v>718183.17825178569</v>
      </c>
      <c r="V68" s="116">
        <f t="shared" si="10"/>
        <v>90172.897281473211</v>
      </c>
    </row>
    <row r="69" spans="2:125" ht="23.25">
      <c r="B69" s="68">
        <v>5</v>
      </c>
      <c r="C69" s="68">
        <v>1</v>
      </c>
      <c r="D69" s="76">
        <v>7</v>
      </c>
      <c r="E69" s="2">
        <v>5</v>
      </c>
      <c r="F69" s="3" t="s">
        <v>75</v>
      </c>
      <c r="G69" s="3" t="s">
        <v>76</v>
      </c>
      <c r="H69" s="47">
        <f t="shared" si="4"/>
        <v>8</v>
      </c>
      <c r="I69" s="111">
        <f>IF(ISBLANK(H69),0,IF(H69=Answers!H69,1,-1))</f>
        <v>1</v>
      </c>
      <c r="J69" s="78">
        <v>4777</v>
      </c>
      <c r="L69" s="52">
        <v>6</v>
      </c>
      <c r="M69" s="112">
        <f t="shared" si="5"/>
        <v>2566.50390625</v>
      </c>
      <c r="N69" s="112">
        <f t="shared" si="6"/>
        <v>720.81298828125</v>
      </c>
      <c r="P69" s="52">
        <v>27</v>
      </c>
      <c r="Q69" s="112">
        <f t="shared" si="7"/>
        <v>65209.36543853816</v>
      </c>
      <c r="R69" s="113">
        <f t="shared" si="8"/>
        <v>8551.1706798172709</v>
      </c>
      <c r="S69" s="54"/>
      <c r="T69" s="54">
        <v>48</v>
      </c>
      <c r="U69" s="116">
        <f t="shared" si="9"/>
        <v>808356.07553325896</v>
      </c>
      <c r="V69" s="116">
        <f t="shared" si="10"/>
        <v>101444.50944165737</v>
      </c>
    </row>
    <row r="70" spans="2:125" ht="23.25">
      <c r="B70" s="68">
        <v>6</v>
      </c>
      <c r="C70" s="68">
        <v>1</v>
      </c>
      <c r="D70" s="76">
        <v>7</v>
      </c>
      <c r="E70" s="2">
        <v>6</v>
      </c>
      <c r="F70" s="3" t="s">
        <v>74</v>
      </c>
      <c r="G70" s="3" t="s">
        <v>73</v>
      </c>
      <c r="H70" s="47">
        <f t="shared" si="4"/>
        <v>8</v>
      </c>
      <c r="I70" s="111">
        <f>IF(ISBLANK(H70),0,IF(H70=Answers!H70,1,-1))</f>
        <v>1</v>
      </c>
      <c r="J70" s="78">
        <v>4229</v>
      </c>
      <c r="L70" s="52">
        <v>7</v>
      </c>
      <c r="M70" s="112">
        <f t="shared" si="5"/>
        <v>3287.31689453125</v>
      </c>
      <c r="N70" s="112">
        <f t="shared" si="6"/>
        <v>810.91461181640625</v>
      </c>
      <c r="P70" s="52">
        <v>28</v>
      </c>
      <c r="Q70" s="112">
        <f t="shared" si="7"/>
        <v>73760.536118355434</v>
      </c>
      <c r="R70" s="113">
        <f t="shared" si="8"/>
        <v>9620.0670147944293</v>
      </c>
      <c r="S70" s="54"/>
      <c r="T70" s="54">
        <v>49</v>
      </c>
      <c r="U70" s="116">
        <f t="shared" si="9"/>
        <v>909800.5849749163</v>
      </c>
      <c r="V70" s="116">
        <f t="shared" si="10"/>
        <v>114125.07312186454</v>
      </c>
    </row>
    <row r="71" spans="2:125" ht="23.25">
      <c r="B71" s="68">
        <v>7</v>
      </c>
      <c r="C71" s="68">
        <v>1</v>
      </c>
      <c r="D71" s="76">
        <v>7</v>
      </c>
      <c r="E71" s="2">
        <v>7</v>
      </c>
      <c r="F71" s="3" t="s">
        <v>72</v>
      </c>
      <c r="G71" s="3" t="s">
        <v>76</v>
      </c>
      <c r="H71" s="47">
        <f t="shared" si="4"/>
        <v>11</v>
      </c>
      <c r="I71" s="111">
        <f>IF(ISBLANK(H71),0,IF(H71=Answers!H71,1,-1))</f>
        <v>1</v>
      </c>
      <c r="J71" s="78">
        <v>7365</v>
      </c>
      <c r="L71" s="52">
        <v>8</v>
      </c>
      <c r="M71" s="112">
        <f t="shared" si="5"/>
        <v>4098.2315063476563</v>
      </c>
      <c r="N71" s="112">
        <f t="shared" si="6"/>
        <v>912.27893829345703</v>
      </c>
      <c r="P71" s="52">
        <v>29</v>
      </c>
      <c r="Q71" s="112">
        <f t="shared" si="7"/>
        <v>83380.603133149867</v>
      </c>
      <c r="R71" s="113">
        <f t="shared" si="8"/>
        <v>10822.575391643733</v>
      </c>
      <c r="S71" s="54"/>
      <c r="T71" s="54">
        <v>50</v>
      </c>
      <c r="U71" s="116">
        <f t="shared" si="9"/>
        <v>1023925.6580967809</v>
      </c>
      <c r="V71" s="116">
        <f t="shared" si="10"/>
        <v>128390.70726209761</v>
      </c>
    </row>
    <row r="72" spans="2:125" ht="23.25">
      <c r="B72" s="68">
        <v>8</v>
      </c>
      <c r="C72" s="68">
        <v>1</v>
      </c>
      <c r="D72" s="76">
        <v>7</v>
      </c>
      <c r="E72" s="2">
        <v>8</v>
      </c>
      <c r="F72" s="3" t="s">
        <v>67</v>
      </c>
      <c r="G72" s="3" t="s">
        <v>77</v>
      </c>
      <c r="H72" s="47">
        <f t="shared" si="4"/>
        <v>9</v>
      </c>
      <c r="I72" s="111">
        <f>IF(ISBLANK(H72),0,IF(H72=Answers!H72,1,-1))</f>
        <v>1</v>
      </c>
      <c r="J72" s="78">
        <v>5739</v>
      </c>
      <c r="L72" s="52">
        <v>9</v>
      </c>
      <c r="M72" s="112">
        <f t="shared" si="5"/>
        <v>5010.5104446411133</v>
      </c>
      <c r="N72" s="112">
        <f t="shared" si="6"/>
        <v>1026.3138055801392</v>
      </c>
      <c r="P72" s="52">
        <v>30</v>
      </c>
      <c r="Q72" s="112">
        <f t="shared" si="7"/>
        <v>94203.178524793606</v>
      </c>
      <c r="R72" s="113">
        <f t="shared" si="8"/>
        <v>12175.397315599201</v>
      </c>
      <c r="S72" s="54"/>
      <c r="T72" s="54">
        <v>51</v>
      </c>
      <c r="U72" s="116">
        <f t="shared" si="9"/>
        <v>1152316.3653588784</v>
      </c>
      <c r="V72" s="116">
        <f t="shared" si="10"/>
        <v>144439.5456698598</v>
      </c>
    </row>
    <row r="73" spans="2:125" ht="23.25">
      <c r="B73" s="68">
        <v>9</v>
      </c>
      <c r="C73" s="68">
        <v>1</v>
      </c>
      <c r="D73" s="76">
        <v>7</v>
      </c>
      <c r="E73" s="2">
        <v>9</v>
      </c>
      <c r="F73" s="3" t="s">
        <v>67</v>
      </c>
      <c r="G73" s="3" t="s">
        <v>78</v>
      </c>
      <c r="H73" s="47">
        <f t="shared" si="4"/>
        <v>10</v>
      </c>
      <c r="I73" s="111">
        <f>IF(ISBLANK(H73),0,IF(H73=Answers!H73,1,-1))</f>
        <v>1</v>
      </c>
      <c r="J73" s="78">
        <v>7158</v>
      </c>
      <c r="L73" s="52">
        <v>10</v>
      </c>
      <c r="M73" s="112">
        <f t="shared" si="5"/>
        <v>6036.8242502212524</v>
      </c>
      <c r="N73" s="112">
        <f t="shared" si="6"/>
        <v>1154.6030312776566</v>
      </c>
      <c r="P73" s="52">
        <v>31</v>
      </c>
      <c r="Q73" s="112">
        <f t="shared" si="7"/>
        <v>106378.5758403928</v>
      </c>
      <c r="R73" s="113">
        <f t="shared" si="8"/>
        <v>13697.321980049101</v>
      </c>
      <c r="S73" s="54"/>
      <c r="T73" s="54">
        <v>52</v>
      </c>
      <c r="U73" s="116">
        <f t="shared" si="9"/>
        <v>1296755.9110287381</v>
      </c>
      <c r="V73" s="116">
        <f t="shared" si="10"/>
        <v>162494.48887859227</v>
      </c>
    </row>
    <row r="74" spans="2:125" ht="23.25">
      <c r="B74" s="68">
        <v>10</v>
      </c>
      <c r="C74" s="68">
        <v>1</v>
      </c>
      <c r="D74" s="76">
        <v>7</v>
      </c>
      <c r="E74" s="2">
        <v>10</v>
      </c>
      <c r="F74" s="3" t="s">
        <v>74</v>
      </c>
      <c r="G74" s="3" t="s">
        <v>79</v>
      </c>
      <c r="H74" s="47">
        <f t="shared" si="4"/>
        <v>6</v>
      </c>
      <c r="I74" s="111">
        <f>IF(ISBLANK(H74),0,IF(H74=Answers!H74,1,-1))</f>
        <v>1</v>
      </c>
      <c r="J74" s="78">
        <v>3250</v>
      </c>
      <c r="L74" s="52">
        <v>11</v>
      </c>
      <c r="M74" s="112">
        <f t="shared" si="5"/>
        <v>7191.427281498909</v>
      </c>
      <c r="N74" s="112">
        <f t="shared" si="6"/>
        <v>1298.9284101873636</v>
      </c>
      <c r="P74" s="52">
        <v>32</v>
      </c>
      <c r="Q74" s="112">
        <f t="shared" si="7"/>
        <v>120075.89782044191</v>
      </c>
      <c r="R74" s="113">
        <f t="shared" si="8"/>
        <v>15409.487227555239</v>
      </c>
      <c r="S74" s="54"/>
      <c r="T74" s="54">
        <v>53</v>
      </c>
      <c r="U74" s="116">
        <f t="shared" si="9"/>
        <v>1459250.3999073305</v>
      </c>
      <c r="V74" s="116">
        <f t="shared" si="10"/>
        <v>182806.29998841631</v>
      </c>
    </row>
    <row r="75" spans="2:125" ht="23.25">
      <c r="B75" s="68">
        <v>11</v>
      </c>
      <c r="C75" s="68">
        <v>1</v>
      </c>
      <c r="D75" s="76">
        <v>7</v>
      </c>
      <c r="E75" s="2">
        <v>11</v>
      </c>
      <c r="F75" s="3" t="s">
        <v>67</v>
      </c>
      <c r="G75" s="3" t="s">
        <v>68</v>
      </c>
      <c r="H75" s="47">
        <f t="shared" si="4"/>
        <v>10</v>
      </c>
      <c r="I75" s="111">
        <f>IF(ISBLANK(H75),0,IF(H75=Answers!H75,1,-1))</f>
        <v>1</v>
      </c>
      <c r="J75" s="78">
        <v>6212</v>
      </c>
      <c r="L75" s="52">
        <v>12</v>
      </c>
      <c r="M75" s="112">
        <f t="shared" si="5"/>
        <v>8490.3556916862726</v>
      </c>
      <c r="N75" s="112">
        <f t="shared" si="6"/>
        <v>1461.2944614607841</v>
      </c>
      <c r="P75" s="52">
        <v>33</v>
      </c>
      <c r="Q75" s="112">
        <f t="shared" si="7"/>
        <v>135485.38504799714</v>
      </c>
      <c r="R75" s="113">
        <f t="shared" si="8"/>
        <v>17335.673130999643</v>
      </c>
      <c r="S75" s="54"/>
      <c r="T75" s="54">
        <v>54</v>
      </c>
      <c r="U75" s="116">
        <f t="shared" si="9"/>
        <v>1642056.6998957468</v>
      </c>
      <c r="V75" s="116">
        <f t="shared" si="10"/>
        <v>205657.08748696835</v>
      </c>
    </row>
    <row r="76" spans="2:125" ht="23.25">
      <c r="B76" s="68">
        <v>12</v>
      </c>
      <c r="C76" s="68">
        <v>1</v>
      </c>
      <c r="D76" s="76">
        <v>7</v>
      </c>
      <c r="E76" s="2">
        <v>12</v>
      </c>
      <c r="F76" s="3" t="s">
        <v>72</v>
      </c>
      <c r="G76" s="3" t="s">
        <v>71</v>
      </c>
      <c r="H76" s="47">
        <f t="shared" si="4"/>
        <v>11</v>
      </c>
      <c r="I76" s="111">
        <f>IF(ISBLANK(H76),0,IF(H76=Answers!H76,1,-1))</f>
        <v>1</v>
      </c>
      <c r="J76" s="78">
        <v>7492</v>
      </c>
      <c r="L76" s="52">
        <v>13</v>
      </c>
      <c r="M76" s="112">
        <f t="shared" si="5"/>
        <v>9951.6501531470567</v>
      </c>
      <c r="N76" s="112">
        <f t="shared" si="6"/>
        <v>1643.9562691433821</v>
      </c>
      <c r="P76" s="52">
        <v>34</v>
      </c>
      <c r="Q76" s="112">
        <f t="shared" si="7"/>
        <v>152821.05817899678</v>
      </c>
      <c r="R76" s="113">
        <f t="shared" si="8"/>
        <v>19502.632272374598</v>
      </c>
      <c r="S76" s="54"/>
      <c r="T76" s="54">
        <v>55</v>
      </c>
      <c r="U76" s="116">
        <f t="shared" si="9"/>
        <v>1847713.7873827151</v>
      </c>
      <c r="V76" s="116">
        <f t="shared" si="10"/>
        <v>231364.22342283939</v>
      </c>
    </row>
    <row r="77" spans="2:125" ht="23.25">
      <c r="B77" s="68">
        <v>13</v>
      </c>
      <c r="C77" s="68">
        <v>1</v>
      </c>
      <c r="D77" s="76">
        <v>7</v>
      </c>
      <c r="E77" s="2">
        <v>13</v>
      </c>
      <c r="F77" s="3" t="s">
        <v>74</v>
      </c>
      <c r="G77" s="3" t="s">
        <v>77</v>
      </c>
      <c r="H77" s="47">
        <f t="shared" si="4"/>
        <v>7</v>
      </c>
      <c r="I77" s="111">
        <f>IF(ISBLANK(H77),0,IF(H77=Answers!H77,1,-1))</f>
        <v>1</v>
      </c>
      <c r="J77" s="78">
        <v>3971</v>
      </c>
      <c r="L77" s="52">
        <v>14</v>
      </c>
      <c r="M77" s="112">
        <f t="shared" si="5"/>
        <v>11595.606422290439</v>
      </c>
      <c r="N77" s="112">
        <f t="shared" si="6"/>
        <v>1849.4508027863048</v>
      </c>
      <c r="P77" s="52">
        <v>35</v>
      </c>
      <c r="Q77" s="112">
        <f t="shared" si="7"/>
        <v>172323.69045137137</v>
      </c>
      <c r="R77" s="113">
        <f t="shared" si="8"/>
        <v>21940.461306421421</v>
      </c>
      <c r="S77" s="54"/>
      <c r="T77" s="54">
        <v>56</v>
      </c>
      <c r="U77" s="116">
        <f t="shared" si="9"/>
        <v>2079078.0108055545</v>
      </c>
      <c r="V77" s="116">
        <f t="shared" si="10"/>
        <v>260284.75135069431</v>
      </c>
    </row>
    <row r="78" spans="2:125" ht="23.25">
      <c r="B78" s="68">
        <v>14</v>
      </c>
      <c r="C78" s="68">
        <v>1</v>
      </c>
      <c r="D78" s="76">
        <v>7</v>
      </c>
      <c r="E78" s="2">
        <v>14</v>
      </c>
      <c r="F78" s="3" t="s">
        <v>72</v>
      </c>
      <c r="G78" s="3" t="s">
        <v>79</v>
      </c>
      <c r="H78" s="47">
        <f t="shared" si="4"/>
        <v>10</v>
      </c>
      <c r="I78" s="111">
        <f>IF(ISBLANK(H78),0,IF(H78=Answers!H78,1,-1))</f>
        <v>1</v>
      </c>
      <c r="J78" s="78">
        <v>6783</v>
      </c>
      <c r="L78" s="52">
        <v>15</v>
      </c>
      <c r="M78" s="112">
        <f t="shared" si="5"/>
        <v>13445.057225076744</v>
      </c>
      <c r="N78" s="112">
        <f t="shared" si="6"/>
        <v>2080.632153134593</v>
      </c>
      <c r="P78" s="52">
        <v>36</v>
      </c>
      <c r="Q78" s="112">
        <f t="shared" si="7"/>
        <v>194264.1517577928</v>
      </c>
      <c r="R78" s="113">
        <f t="shared" si="8"/>
        <v>24683.0189697241</v>
      </c>
      <c r="S78" s="54"/>
      <c r="T78" s="54">
        <v>57</v>
      </c>
      <c r="U78" s="116">
        <f t="shared" si="9"/>
        <v>2339362.7621562486</v>
      </c>
      <c r="V78" s="116">
        <f t="shared" si="10"/>
        <v>292820.34526953107</v>
      </c>
    </row>
    <row r="79" spans="2:125" ht="23.25">
      <c r="B79" s="68">
        <v>15</v>
      </c>
      <c r="C79" s="68">
        <v>1</v>
      </c>
      <c r="D79" s="76">
        <v>7</v>
      </c>
      <c r="E79" s="2">
        <v>15</v>
      </c>
      <c r="F79" s="3" t="s">
        <v>75</v>
      </c>
      <c r="G79" s="3" t="s">
        <v>78</v>
      </c>
      <c r="H79" s="47">
        <f t="shared" si="4"/>
        <v>10</v>
      </c>
      <c r="I79" s="111">
        <f>IF(ISBLANK(H79),0,IF(H79=Answers!H79,1,-1))</f>
        <v>1</v>
      </c>
      <c r="J79" s="78">
        <v>6297</v>
      </c>
      <c r="L79" s="52">
        <v>16</v>
      </c>
      <c r="M79" s="112">
        <f t="shared" si="5"/>
        <v>15525.689378211337</v>
      </c>
      <c r="N79" s="112">
        <f t="shared" si="6"/>
        <v>2340.7111722764171</v>
      </c>
      <c r="P79" s="52">
        <v>37</v>
      </c>
      <c r="Q79" s="112">
        <f t="shared" si="7"/>
        <v>218947.1707275169</v>
      </c>
      <c r="R79" s="113">
        <f t="shared" si="8"/>
        <v>27768.396340939613</v>
      </c>
      <c r="S79" s="54"/>
      <c r="T79" s="54">
        <v>58</v>
      </c>
      <c r="U79" s="116">
        <f t="shared" si="9"/>
        <v>2632183.1074257796</v>
      </c>
      <c r="V79" s="116">
        <f t="shared" si="10"/>
        <v>329422.88842822245</v>
      </c>
    </row>
    <row r="80" spans="2:125" ht="23.25">
      <c r="B80" s="68">
        <v>16</v>
      </c>
      <c r="C80" s="68">
        <v>1</v>
      </c>
      <c r="D80" s="76">
        <v>7</v>
      </c>
      <c r="E80" s="2">
        <v>16</v>
      </c>
      <c r="F80" s="3" t="s">
        <v>72</v>
      </c>
      <c r="G80" s="3" t="s">
        <v>78</v>
      </c>
      <c r="H80" s="47">
        <f t="shared" si="4"/>
        <v>9</v>
      </c>
      <c r="I80" s="111">
        <f>IF(ISBLANK(H80),0,IF(H80=Answers!H80,1,-1))</f>
        <v>1</v>
      </c>
      <c r="J80" s="78">
        <v>5589</v>
      </c>
      <c r="L80" s="52">
        <v>17</v>
      </c>
      <c r="M80" s="112">
        <f t="shared" si="5"/>
        <v>17866.400550487753</v>
      </c>
      <c r="N80" s="112">
        <f t="shared" si="6"/>
        <v>2633.3000688109692</v>
      </c>
      <c r="P80" s="52">
        <v>38</v>
      </c>
      <c r="Q80" s="112">
        <f t="shared" si="7"/>
        <v>246715.56706845653</v>
      </c>
      <c r="R80" s="113">
        <f t="shared" si="8"/>
        <v>31239.445883557066</v>
      </c>
      <c r="S80" s="54"/>
      <c r="T80" s="54">
        <v>59</v>
      </c>
      <c r="U80" s="116">
        <f t="shared" si="9"/>
        <v>2961605.995854002</v>
      </c>
      <c r="V80" s="116">
        <f t="shared" si="10"/>
        <v>370600.74948175024</v>
      </c>
    </row>
    <row r="81" spans="2:22" ht="23.25">
      <c r="B81" s="68">
        <v>17</v>
      </c>
      <c r="C81" s="68">
        <v>1</v>
      </c>
      <c r="D81" s="76">
        <v>7</v>
      </c>
      <c r="E81" s="2">
        <v>17</v>
      </c>
      <c r="F81" s="3" t="s">
        <v>74</v>
      </c>
      <c r="G81" s="3" t="s">
        <v>77</v>
      </c>
      <c r="H81" s="47">
        <f t="shared" si="4"/>
        <v>9</v>
      </c>
      <c r="I81" s="111">
        <f>IF(ISBLANK(H81),0,IF(H81=Answers!H81,1,-1))</f>
        <v>1</v>
      </c>
      <c r="J81" s="78">
        <v>5266</v>
      </c>
      <c r="L81" s="52">
        <v>18</v>
      </c>
      <c r="M81" s="112">
        <f t="shared" si="5"/>
        <v>20499.700619298721</v>
      </c>
      <c r="N81" s="112">
        <f t="shared" si="6"/>
        <v>2962.4625774123401</v>
      </c>
      <c r="P81" s="52">
        <v>39</v>
      </c>
      <c r="Q81" s="112">
        <f t="shared" si="7"/>
        <v>277955.01295201358</v>
      </c>
      <c r="R81" s="113">
        <f t="shared" si="8"/>
        <v>35144.376619001698</v>
      </c>
      <c r="S81" s="54"/>
      <c r="T81" s="54">
        <v>60</v>
      </c>
      <c r="U81" s="116">
        <f t="shared" si="9"/>
        <v>3332206.7453357521</v>
      </c>
      <c r="V81" s="116">
        <f t="shared" si="10"/>
        <v>416925.84316696902</v>
      </c>
    </row>
    <row r="82" spans="2:22" ht="23.25">
      <c r="B82" s="68">
        <v>18</v>
      </c>
      <c r="C82" s="68">
        <v>1</v>
      </c>
      <c r="D82" s="76">
        <v>7</v>
      </c>
      <c r="E82" s="2">
        <v>18</v>
      </c>
      <c r="F82" s="3" t="s">
        <v>72</v>
      </c>
      <c r="G82" s="3" t="s">
        <v>73</v>
      </c>
      <c r="H82" s="47">
        <f t="shared" si="4"/>
        <v>7</v>
      </c>
      <c r="I82" s="111">
        <f>IF(ISBLANK(H82),0,IF(H82=Answers!H82,1,-1))</f>
        <v>1</v>
      </c>
      <c r="J82" s="78">
        <v>3966</v>
      </c>
      <c r="L82" s="52">
        <v>19</v>
      </c>
      <c r="M82" s="112">
        <f t="shared" si="5"/>
        <v>23462.163196711062</v>
      </c>
      <c r="N82" s="112">
        <f t="shared" si="6"/>
        <v>3332.7703995888828</v>
      </c>
      <c r="P82" s="52">
        <v>40</v>
      </c>
      <c r="Q82" s="112">
        <f t="shared" si="7"/>
        <v>313099.38957101526</v>
      </c>
      <c r="R82" s="113">
        <f t="shared" si="8"/>
        <v>39537.423696376907</v>
      </c>
      <c r="S82" s="54"/>
      <c r="T82" s="54"/>
    </row>
    <row r="83" spans="2:22" ht="23.25">
      <c r="B83" s="68">
        <v>19</v>
      </c>
      <c r="C83" s="68">
        <v>1</v>
      </c>
      <c r="D83" s="76">
        <v>7</v>
      </c>
      <c r="E83" s="2">
        <v>19</v>
      </c>
      <c r="F83" s="3" t="s">
        <v>72</v>
      </c>
      <c r="G83" s="3" t="s">
        <v>73</v>
      </c>
      <c r="H83" s="47">
        <f t="shared" si="4"/>
        <v>8</v>
      </c>
      <c r="I83" s="111">
        <f>IF(ISBLANK(H83),0,IF(H83=Answers!H83,1,-1))</f>
        <v>1</v>
      </c>
      <c r="J83" s="78">
        <v>4640</v>
      </c>
      <c r="L83" s="52">
        <v>20</v>
      </c>
      <c r="M83" s="112">
        <f t="shared" si="5"/>
        <v>26794.933596299947</v>
      </c>
      <c r="N83" s="112">
        <f t="shared" si="6"/>
        <v>3749.3666995374933</v>
      </c>
      <c r="P83" s="52">
        <v>41</v>
      </c>
      <c r="Q83" s="112">
        <f t="shared" si="7"/>
        <v>352636.81326739216</v>
      </c>
      <c r="R83" s="113">
        <f t="shared" si="8"/>
        <v>44479.601658424021</v>
      </c>
      <c r="S83" s="54"/>
      <c r="T83" s="54"/>
    </row>
    <row r="84" spans="2:22" ht="23.25">
      <c r="B84" s="68">
        <v>20</v>
      </c>
      <c r="C84" s="68">
        <v>1</v>
      </c>
      <c r="D84" s="76">
        <v>7</v>
      </c>
      <c r="E84" s="2">
        <v>20</v>
      </c>
      <c r="F84" s="3" t="s">
        <v>75</v>
      </c>
      <c r="G84" s="3" t="s">
        <v>80</v>
      </c>
      <c r="H84" s="47">
        <f t="shared" si="4"/>
        <v>12</v>
      </c>
      <c r="I84" s="111">
        <f>IF(ISBLANK(H84),0,IF(H84=Answers!H84,1,-1))</f>
        <v>1</v>
      </c>
      <c r="J84" s="78">
        <v>9500</v>
      </c>
      <c r="L84" s="52">
        <v>21</v>
      </c>
      <c r="M84" s="112">
        <f t="shared" si="5"/>
        <v>30544.300295837442</v>
      </c>
      <c r="N84" s="112">
        <f t="shared" si="6"/>
        <v>4218.0375369796802</v>
      </c>
      <c r="P84" s="52">
        <v>42</v>
      </c>
      <c r="Q84" s="112">
        <f t="shared" si="7"/>
        <v>397116.41492581618</v>
      </c>
      <c r="R84" s="113">
        <f t="shared" si="8"/>
        <v>50039.551865727022</v>
      </c>
      <c r="S84" s="54"/>
      <c r="T84" s="54"/>
    </row>
    <row r="85" spans="2:22">
      <c r="B85" s="52"/>
      <c r="C85" s="52"/>
      <c r="D85" s="52"/>
      <c r="E85" s="52"/>
      <c r="F85" s="52"/>
      <c r="G85" s="52"/>
      <c r="H85" s="53"/>
    </row>
    <row r="86" spans="2:22" ht="15" customHeight="1" thickBot="1">
      <c r="B86" s="52"/>
      <c r="C86" s="52"/>
      <c r="D86" s="52"/>
      <c r="E86" s="52"/>
      <c r="F86" s="52"/>
      <c r="G86" s="52"/>
      <c r="H86" s="53"/>
    </row>
    <row r="87" spans="2:22" ht="25.5" customHeight="1" thickBot="1">
      <c r="B87" s="48" t="s">
        <v>81</v>
      </c>
      <c r="C87" s="49" t="s">
        <v>82</v>
      </c>
      <c r="D87" s="73" t="s">
        <v>83</v>
      </c>
      <c r="E87" s="73"/>
      <c r="F87" s="73"/>
      <c r="G87" s="73"/>
      <c r="H87" s="53"/>
      <c r="J87" s="42" t="s">
        <v>84</v>
      </c>
      <c r="K87" s="42" t="s">
        <v>67</v>
      </c>
      <c r="L87" s="42" t="s">
        <v>72</v>
      </c>
      <c r="M87" s="42" t="s">
        <v>74</v>
      </c>
      <c r="N87" s="42" t="s">
        <v>75</v>
      </c>
    </row>
    <row r="88" spans="2:22">
      <c r="B88" s="75"/>
      <c r="C88" s="52"/>
      <c r="D88" s="52"/>
      <c r="E88" s="52"/>
      <c r="F88" s="52"/>
      <c r="G88" s="52"/>
      <c r="H88" s="53"/>
      <c r="J88" s="51" t="s">
        <v>85</v>
      </c>
      <c r="K88" s="82" t="s">
        <v>86</v>
      </c>
      <c r="L88" s="82" t="s">
        <v>86</v>
      </c>
      <c r="M88" s="82" t="s">
        <v>87</v>
      </c>
      <c r="N88" s="82" t="s">
        <v>88</v>
      </c>
    </row>
    <row r="89" spans="2:22">
      <c r="B89" s="75" t="s">
        <v>89</v>
      </c>
      <c r="C89" s="52"/>
      <c r="D89" s="52"/>
      <c r="E89" s="52"/>
      <c r="F89" s="52"/>
      <c r="G89" s="52"/>
      <c r="H89" s="53"/>
      <c r="J89" s="4" t="s">
        <v>90</v>
      </c>
      <c r="K89" s="82" t="s">
        <v>91</v>
      </c>
      <c r="L89" s="82" t="s">
        <v>91</v>
      </c>
      <c r="M89" s="82" t="s">
        <v>92</v>
      </c>
      <c r="N89" s="82" t="s">
        <v>91</v>
      </c>
    </row>
    <row r="90" spans="2:22">
      <c r="B90" s="75" t="s">
        <v>93</v>
      </c>
      <c r="C90" s="52"/>
      <c r="D90" s="52"/>
      <c r="E90" s="52"/>
      <c r="F90" s="52"/>
      <c r="G90" s="52"/>
      <c r="H90" s="53"/>
      <c r="J90" s="4" t="s">
        <v>94</v>
      </c>
      <c r="K90" s="82" t="s">
        <v>95</v>
      </c>
      <c r="L90" s="82" t="s">
        <v>95</v>
      </c>
      <c r="M90" s="82" t="s">
        <v>95</v>
      </c>
      <c r="N90" s="82" t="s">
        <v>95</v>
      </c>
    </row>
    <row r="91" spans="2:22">
      <c r="B91" s="75" t="s">
        <v>96</v>
      </c>
      <c r="C91" s="52"/>
      <c r="D91" s="52"/>
      <c r="E91" s="52"/>
      <c r="F91" s="52"/>
      <c r="G91" s="52"/>
      <c r="H91" s="53"/>
      <c r="J91" s="4" t="s">
        <v>97</v>
      </c>
      <c r="K91" s="82" t="s">
        <v>98</v>
      </c>
      <c r="L91" s="82" t="s">
        <v>98</v>
      </c>
      <c r="M91" s="82" t="s">
        <v>99</v>
      </c>
      <c r="N91" s="82" t="s">
        <v>98</v>
      </c>
    </row>
    <row r="92" spans="2:22">
      <c r="E92" s="52"/>
      <c r="F92" s="52"/>
      <c r="G92" s="52"/>
      <c r="H92" s="53"/>
      <c r="J92" s="4" t="s">
        <v>100</v>
      </c>
      <c r="K92" s="82" t="s">
        <v>101</v>
      </c>
      <c r="L92" s="82" t="s">
        <v>101</v>
      </c>
      <c r="M92" s="82" t="s">
        <v>102</v>
      </c>
      <c r="N92" s="82" t="s">
        <v>101</v>
      </c>
    </row>
    <row r="93" spans="2:22">
      <c r="B93" s="74" t="s">
        <v>103</v>
      </c>
      <c r="E93" s="52"/>
      <c r="F93" s="52"/>
      <c r="G93" s="52"/>
      <c r="H93" s="53"/>
      <c r="J93" s="4" t="s">
        <v>104</v>
      </c>
      <c r="K93" s="82" t="s">
        <v>105</v>
      </c>
      <c r="L93" s="82" t="s">
        <v>105</v>
      </c>
      <c r="M93" s="82" t="s">
        <v>21</v>
      </c>
      <c r="N93" s="82" t="s">
        <v>105</v>
      </c>
    </row>
    <row r="94" spans="2:22">
      <c r="B94" s="75" t="s">
        <v>106</v>
      </c>
      <c r="C94" s="52"/>
      <c r="D94" s="52"/>
      <c r="E94" s="52"/>
      <c r="F94" s="52"/>
      <c r="G94" s="52"/>
      <c r="H94" s="53"/>
      <c r="J94" s="54"/>
      <c r="K94" s="54"/>
      <c r="L94" s="54"/>
      <c r="M94" s="54"/>
      <c r="N94" s="54"/>
    </row>
    <row r="95" spans="2:22">
      <c r="B95" s="75" t="s">
        <v>107</v>
      </c>
      <c r="C95" s="52"/>
      <c r="D95" s="52"/>
      <c r="E95" s="52"/>
      <c r="F95" s="52"/>
      <c r="G95" s="52"/>
      <c r="H95" s="53"/>
    </row>
    <row r="96" spans="2:22">
      <c r="B96" s="75"/>
      <c r="C96" s="52"/>
      <c r="D96" s="52"/>
      <c r="E96" s="52"/>
      <c r="F96" s="52"/>
      <c r="G96" s="52"/>
      <c r="H96" s="53"/>
    </row>
    <row r="97" spans="2:14">
      <c r="B97" s="74" t="s">
        <v>108</v>
      </c>
      <c r="C97" s="52"/>
      <c r="D97" s="52"/>
      <c r="E97" s="52"/>
      <c r="F97" s="52"/>
      <c r="G97" s="52"/>
      <c r="H97" s="53"/>
    </row>
    <row r="98" spans="2:14">
      <c r="B98" s="75" t="s">
        <v>109</v>
      </c>
      <c r="C98" s="52"/>
      <c r="D98" s="52"/>
      <c r="E98" s="52"/>
      <c r="F98" s="52"/>
      <c r="G98" s="52"/>
      <c r="H98" s="53"/>
    </row>
    <row r="99" spans="2:14">
      <c r="B99" s="75" t="s">
        <v>110</v>
      </c>
      <c r="C99" s="52"/>
      <c r="D99" s="52"/>
      <c r="E99" s="52"/>
      <c r="F99" s="52"/>
      <c r="G99" s="52"/>
      <c r="H99" s="53"/>
    </row>
    <row r="100" spans="2:14">
      <c r="B100" s="75" t="s">
        <v>111</v>
      </c>
      <c r="C100" s="52"/>
      <c r="D100" s="52"/>
      <c r="E100" s="52"/>
      <c r="F100" s="52"/>
      <c r="G100" s="52"/>
      <c r="H100" s="53"/>
    </row>
    <row r="101" spans="2:14">
      <c r="B101" s="75"/>
      <c r="C101" s="52"/>
      <c r="D101" s="52"/>
      <c r="E101" s="52"/>
      <c r="F101" s="52"/>
      <c r="G101" s="52"/>
      <c r="H101" s="53"/>
    </row>
    <row r="102" spans="2:14">
      <c r="B102" s="75" t="s">
        <v>112</v>
      </c>
      <c r="C102" s="52" t="s">
        <v>113</v>
      </c>
      <c r="D102" s="52"/>
      <c r="E102" s="52"/>
      <c r="F102" s="52"/>
      <c r="G102" s="52"/>
      <c r="H102" s="53"/>
    </row>
    <row r="103" spans="2:14" outlineLevel="1">
      <c r="B103" s="75"/>
      <c r="C103" s="52" t="s">
        <v>114</v>
      </c>
      <c r="D103" s="52"/>
      <c r="E103" s="52"/>
      <c r="F103" s="52"/>
      <c r="G103" s="52"/>
      <c r="H103" s="53"/>
    </row>
    <row r="104" spans="2:14" outlineLevel="1">
      <c r="B104" s="75"/>
      <c r="C104" s="52" t="s">
        <v>115</v>
      </c>
      <c r="D104" s="52"/>
      <c r="E104" s="52"/>
      <c r="F104" s="52"/>
      <c r="G104" s="52"/>
      <c r="H104" s="53"/>
    </row>
    <row r="105" spans="2:14" outlineLevel="1">
      <c r="B105" s="75"/>
      <c r="C105" s="52" t="s">
        <v>116</v>
      </c>
      <c r="D105" s="52"/>
      <c r="E105" s="52"/>
      <c r="F105" s="52"/>
      <c r="G105" s="52"/>
      <c r="H105" s="53"/>
    </row>
    <row r="106" spans="2:14" outlineLevel="1">
      <c r="B106" s="75"/>
      <c r="C106" s="52" t="s">
        <v>117</v>
      </c>
      <c r="D106" s="52"/>
      <c r="G106" s="52"/>
      <c r="H106" s="53"/>
    </row>
    <row r="107" spans="2:14" outlineLevel="1">
      <c r="B107" s="75"/>
      <c r="C107" s="52" t="s">
        <v>118</v>
      </c>
      <c r="D107" s="52"/>
      <c r="G107" s="52"/>
      <c r="H107" s="53"/>
    </row>
    <row r="108" spans="2:14" outlineLevel="1">
      <c r="B108" s="75"/>
      <c r="C108" s="52" t="s">
        <v>119</v>
      </c>
      <c r="D108" s="52"/>
      <c r="G108" s="52"/>
      <c r="H108" s="53"/>
      <c r="N108" s="52" t="s">
        <v>54</v>
      </c>
    </row>
    <row r="109" spans="2:14">
      <c r="B109" s="75"/>
      <c r="C109" s="52"/>
      <c r="D109" s="52"/>
      <c r="G109" s="52"/>
      <c r="H109" s="53"/>
      <c r="N109" s="52" t="s">
        <v>120</v>
      </c>
    </row>
    <row r="110" spans="2:14">
      <c r="B110" s="75" t="s">
        <v>121</v>
      </c>
      <c r="C110" s="52"/>
      <c r="D110" s="52"/>
      <c r="E110" s="52"/>
      <c r="F110" s="52"/>
      <c r="G110" s="52"/>
      <c r="H110" s="53"/>
      <c r="N110" s="52" t="s">
        <v>122</v>
      </c>
    </row>
    <row r="111" spans="2:14">
      <c r="B111" s="80" t="s">
        <v>123</v>
      </c>
      <c r="C111" s="52"/>
      <c r="D111" s="52"/>
      <c r="E111" s="52"/>
      <c r="F111" s="52"/>
      <c r="G111" s="52"/>
      <c r="H111" s="53"/>
      <c r="N111" s="52" t="s">
        <v>124</v>
      </c>
    </row>
    <row r="112" spans="2:14">
      <c r="B112" s="80" t="s">
        <v>125</v>
      </c>
      <c r="C112" s="52"/>
      <c r="D112" s="52"/>
      <c r="E112" s="52"/>
      <c r="F112" s="52"/>
      <c r="G112" s="52"/>
      <c r="H112" s="53"/>
      <c r="N112" s="52" t="s">
        <v>126</v>
      </c>
    </row>
    <row r="113" spans="2:30">
      <c r="B113" s="80"/>
      <c r="C113" s="52"/>
      <c r="D113" s="52"/>
      <c r="E113" s="52"/>
      <c r="F113" s="52"/>
      <c r="G113" s="52"/>
      <c r="H113" s="53"/>
      <c r="O113" s="52" t="s">
        <v>127</v>
      </c>
    </row>
    <row r="114" spans="2:30">
      <c r="B114" s="80"/>
      <c r="C114" s="50" t="s">
        <v>128</v>
      </c>
      <c r="D114" s="52"/>
      <c r="E114" s="52"/>
      <c r="F114" s="52"/>
      <c r="G114" s="52"/>
      <c r="H114" s="53"/>
      <c r="O114" s="52" t="s">
        <v>129</v>
      </c>
    </row>
    <row r="115" spans="2:30">
      <c r="B115" s="80"/>
      <c r="C115" s="50" t="s">
        <v>130</v>
      </c>
      <c r="D115" s="52"/>
      <c r="E115" s="52"/>
      <c r="F115" s="52"/>
      <c r="G115" s="52"/>
      <c r="H115" s="53"/>
      <c r="N115" s="52" t="s">
        <v>131</v>
      </c>
    </row>
    <row r="116" spans="2:30">
      <c r="B116" s="80"/>
      <c r="C116" s="50" t="s">
        <v>132</v>
      </c>
      <c r="D116" s="52"/>
      <c r="E116" s="52"/>
      <c r="F116" s="52"/>
      <c r="G116" s="52"/>
      <c r="H116" s="53"/>
    </row>
    <row r="117" spans="2:30" ht="15.75" thickBot="1">
      <c r="B117" s="75"/>
      <c r="C117" s="52"/>
      <c r="D117" s="52"/>
      <c r="E117" s="52"/>
      <c r="F117" s="52"/>
      <c r="G117" s="52"/>
      <c r="H117" s="53"/>
      <c r="J117" s="74" t="s">
        <v>60</v>
      </c>
      <c r="P117" s="81"/>
      <c r="Q117" s="81"/>
      <c r="R117" s="81"/>
      <c r="S117" s="81"/>
      <c r="T117" s="81"/>
    </row>
    <row r="118" spans="2:30" ht="52.5" customHeight="1" thickBot="1">
      <c r="B118" s="42" t="s">
        <v>9</v>
      </c>
      <c r="C118" s="42" t="s">
        <v>62</v>
      </c>
      <c r="D118" s="42" t="s">
        <v>11</v>
      </c>
      <c r="E118" s="42" t="s">
        <v>63</v>
      </c>
      <c r="F118" s="42" t="s">
        <v>13</v>
      </c>
      <c r="G118" s="42" t="s">
        <v>14</v>
      </c>
      <c r="H118" s="42" t="s">
        <v>15</v>
      </c>
      <c r="J118" s="1" t="s">
        <v>64</v>
      </c>
      <c r="K118" s="1" t="s">
        <v>133</v>
      </c>
      <c r="L118" s="1" t="s">
        <v>134</v>
      </c>
      <c r="M118" s="54" t="s">
        <v>135</v>
      </c>
      <c r="N118" s="114" t="s">
        <v>136</v>
      </c>
      <c r="O118" s="114" t="s">
        <v>137</v>
      </c>
      <c r="P118" s="52" t="s">
        <v>138</v>
      </c>
      <c r="Q118" s="114" t="s">
        <v>139</v>
      </c>
      <c r="R118" s="114" t="s">
        <v>140</v>
      </c>
      <c r="S118" s="52" t="s">
        <v>141</v>
      </c>
      <c r="T118" s="114" t="s">
        <v>142</v>
      </c>
      <c r="U118" s="114" t="s">
        <v>143</v>
      </c>
      <c r="V118" s="115" t="s">
        <v>144</v>
      </c>
      <c r="W118" s="115" t="s">
        <v>145</v>
      </c>
      <c r="X118" s="54" t="s">
        <v>146</v>
      </c>
      <c r="Y118" s="54" t="s">
        <v>147</v>
      </c>
      <c r="Z118" s="54" t="s">
        <v>148</v>
      </c>
      <c r="AA118" s="54" t="s">
        <v>149</v>
      </c>
      <c r="AB118" s="54" t="s">
        <v>150</v>
      </c>
      <c r="AC118" s="54" t="s">
        <v>151</v>
      </c>
      <c r="AD118" s="54" t="s">
        <v>152</v>
      </c>
    </row>
    <row r="119" spans="2:30">
      <c r="B119" s="52"/>
      <c r="C119" s="52"/>
      <c r="D119" s="52"/>
      <c r="E119" s="52"/>
      <c r="F119" s="52"/>
      <c r="G119" s="52"/>
      <c r="H119" s="53"/>
      <c r="J119" s="59"/>
      <c r="M119" s="54"/>
    </row>
    <row r="120" spans="2:30" ht="23.25" customHeight="1">
      <c r="B120" s="68" t="s">
        <v>153</v>
      </c>
      <c r="C120" s="68">
        <v>2</v>
      </c>
      <c r="D120" s="76">
        <v>0</v>
      </c>
      <c r="E120" s="2" t="s">
        <v>66</v>
      </c>
      <c r="F120" s="3" t="s">
        <v>67</v>
      </c>
      <c r="G120" s="3" t="s">
        <v>68</v>
      </c>
      <c r="H120" s="47">
        <v>5725</v>
      </c>
      <c r="I120" s="111">
        <f>IF(ISBLANK(H120),0,IF(H120=Answers!H120,1,-1))</f>
        <v>1</v>
      </c>
      <c r="J120" s="78">
        <v>908</v>
      </c>
      <c r="K120" s="88">
        <v>28.779999999999994</v>
      </c>
      <c r="L120" s="89" t="s">
        <v>86</v>
      </c>
      <c r="M120" s="54">
        <f>INDEX($Z$63:$DU$63,MATCH(J120,$Z$64:$DU$64,1))</f>
        <v>3</v>
      </c>
      <c r="N120" s="52">
        <f>SUMIF('Quests (L2)'!$C$5:$C$224,Case!L120,'Quests (L2)'!$E$5:$E$224)</f>
        <v>100200</v>
      </c>
      <c r="O120" s="52">
        <f>SUMIF('Quests (L2)'!$C$5:$C$224,Case!L120,'Quests (L2)'!$F$5:$F$224)</f>
        <v>9.7399999999999984</v>
      </c>
      <c r="P120" s="52" t="str">
        <f>INDEX($K$89:$N$89,MATCH(F120,$K$87:$N$87,0))</f>
        <v>The Barrens</v>
      </c>
      <c r="Q120" s="52">
        <f>SUMIF('Quests (L2)'!$C$5:$C$224,Case!P120,'Quests (L2)'!$E$5:$E$224)</f>
        <v>114300</v>
      </c>
      <c r="R120" s="52">
        <f>SUMIF('Quests (L2)'!$C$5:$C$224,Case!P120,'Quests (L2)'!$F$5:$F$224)</f>
        <v>11.34</v>
      </c>
      <c r="S120" s="52" t="str">
        <f>INDEX($K$90:$N$90,MATCH(F120,$K$87:$N$87,0))</f>
        <v>Ashenvale</v>
      </c>
      <c r="T120" s="52">
        <f>SUMIF('Quests (L2)'!$C$5:$C$224,Case!S120,'Quests (L2)'!$E$5:$E$224)</f>
        <v>126300</v>
      </c>
      <c r="U120" s="52">
        <f>SUMIF('Quests (L2)'!$C$5:$C$224,Case!S120,'Quests (L2)'!$F$5:$F$224)</f>
        <v>9.4300000000000015</v>
      </c>
      <c r="V120" s="54">
        <f>_xlfn.IFS((J120+N120+Q120+T120)&lt;=$Q$82,3,(J120+N120+Q120)&lt;=$Q$82,2,(J120+N120)&lt;=$Q$82,1,TRUE,0)</f>
        <v>2</v>
      </c>
      <c r="W120" s="87">
        <f>J120+_xlfn.IFS(V120=3,SUM(N120,Q120,T120),V120=2,SUM(N120,Q120),V120=1,N120,TRUE,0)</f>
        <v>215408</v>
      </c>
      <c r="X120" s="116">
        <f>$Q$82-W120</f>
        <v>97691.389571015257</v>
      </c>
      <c r="Y120" s="54" t="str">
        <f>INDEX($K$88:$N$93,V120+1,MATCH(F120,$K$87:$N$87,0))</f>
        <v>Ashenvale</v>
      </c>
      <c r="Z120" s="54">
        <f>SUMPRODUCT(NOT('Quests (L2)'!$G$25:$G$44&gt;=Case!$X120)*1)+1</f>
        <v>16</v>
      </c>
      <c r="AA120" s="54">
        <f>INDEX('Quests (L2)'!$G$25:$G$44,MATCH(Case!Z120,'Quests (L2)'!$I$25:$I$44,0))</f>
        <v>100500</v>
      </c>
      <c r="AB120" s="54">
        <f>INDEX('Quests (L2)'!$H$25:$H$44,MATCH(Case!Z120,'Quests (L2)'!$I$25:$I$44,0))</f>
        <v>7.3900000000000006</v>
      </c>
      <c r="AC120" s="117">
        <f>K120+_xlfn.IFS(V120=3,SUM(O120,R120,U120),V120=2,SUM(O120,R120),V120=1,O120,TRUE,0)+AB120</f>
        <v>57.249999999999993</v>
      </c>
      <c r="AD120" s="87">
        <f>W120+AA120</f>
        <v>315908</v>
      </c>
    </row>
    <row r="121" spans="2:30" ht="15" customHeight="1">
      <c r="B121" s="52"/>
      <c r="C121" s="52"/>
      <c r="D121" s="52"/>
      <c r="E121" s="52"/>
      <c r="F121" s="77"/>
      <c r="G121" s="77"/>
      <c r="H121" s="85"/>
      <c r="J121" s="79"/>
      <c r="K121" s="90"/>
      <c r="L121" s="77"/>
      <c r="M121" s="54"/>
      <c r="U121" s="52"/>
    </row>
    <row r="122" spans="2:30" ht="23.25" customHeight="1">
      <c r="B122" s="68">
        <v>21</v>
      </c>
      <c r="C122" s="68">
        <f>C120</f>
        <v>2</v>
      </c>
      <c r="D122" s="76">
        <v>8</v>
      </c>
      <c r="E122" s="2">
        <v>1</v>
      </c>
      <c r="F122" s="3" t="s">
        <v>67</v>
      </c>
      <c r="G122" s="3" t="s">
        <v>71</v>
      </c>
      <c r="H122" s="47">
        <f>AC122*100</f>
        <v>5554.9999999999982</v>
      </c>
      <c r="I122" s="111">
        <f>IF(ISBLANK(H122),0,IF(H122=Answers!H122,1,-1))</f>
        <v>1</v>
      </c>
      <c r="J122" s="78">
        <v>6945</v>
      </c>
      <c r="K122" s="88">
        <v>27.419999999999991</v>
      </c>
      <c r="L122" s="89" t="s">
        <v>86</v>
      </c>
      <c r="M122" s="54">
        <f>INDEX($Z$63:$DU$63,MATCH(J122,$Z$64:$DU$64,1))</f>
        <v>10</v>
      </c>
      <c r="N122" s="52">
        <f>SUMIF('Quests (L2)'!$C$5:$C$224,Case!L122,'Quests (L2)'!$E$5:$E$224)</f>
        <v>100200</v>
      </c>
      <c r="O122" s="52">
        <f>SUMIF('Quests (L2)'!$C$5:$C$224,Case!L122,'Quests (L2)'!$F$5:$F$224)</f>
        <v>9.7399999999999984</v>
      </c>
      <c r="P122" s="52" t="str">
        <f t="shared" ref="P122" si="11">INDEX($K$89:$N$89,MATCH(F122,$K$87:$N$87,0))</f>
        <v>The Barrens</v>
      </c>
      <c r="Q122" s="52">
        <f>SUMIF('Quests (L2)'!$C$5:$C$224,Case!P122,'Quests (L2)'!$E$5:$E$224)</f>
        <v>114300</v>
      </c>
      <c r="R122" s="52">
        <f>SUMIF('Quests (L2)'!$C$5:$C$224,Case!P122,'Quests (L2)'!$F$5:$F$224)</f>
        <v>11.34</v>
      </c>
      <c r="S122" s="52" t="str">
        <f t="shared" ref="S122" si="12">INDEX($K$90:$N$90,MATCH(F122,$K$87:$N$87,0))</f>
        <v>Ashenvale</v>
      </c>
      <c r="T122" s="52">
        <f>SUMIF('Quests (L2)'!$C$5:$C$224,Case!S122,'Quests (L2)'!$E$5:$E$224)</f>
        <v>126300</v>
      </c>
      <c r="U122" s="52">
        <f>SUMIF('Quests (L2)'!$C$5:$C$224,Case!S122,'Quests (L2)'!$F$5:$F$224)</f>
        <v>9.4300000000000015</v>
      </c>
      <c r="V122" s="54">
        <f t="shared" ref="V122" si="13">_xlfn.IFS((J122+N122+Q122+T122)&lt;=$Q$82,3,(J122+N122+Q122)&lt;=$Q$82,2,(J122+N122)&lt;=$Q$82,1,TRUE,0)</f>
        <v>2</v>
      </c>
      <c r="W122" s="87">
        <f>J122+_xlfn.IFS(V122=3,SUM(N122,Q122,T122),V122=2,SUM(N122,Q122),V122=1,N122,TRUE,0)</f>
        <v>221445</v>
      </c>
      <c r="X122" s="116">
        <f>$Q$82-W122</f>
        <v>91654.389571015257</v>
      </c>
      <c r="Y122" s="54" t="str">
        <f>INDEX($K$88:$N$93,V122+1,MATCH(F122,$K$87:$N$87,0))</f>
        <v>Ashenvale</v>
      </c>
      <c r="Z122" s="54">
        <f>SUMPRODUCT(NOT('Quests (L2)'!$G$25:$G$44&gt;=Case!$X122)*1)+1</f>
        <v>15</v>
      </c>
      <c r="AA122" s="54">
        <f>INDEX('Quests (L2)'!$G$25:$G$44,MATCH(Case!Z122,'Quests (L2)'!$I$25:$I$44,0))</f>
        <v>94500</v>
      </c>
      <c r="AB122" s="54">
        <f>INDEX('Quests (L2)'!$H$25:$H$44,MATCH(Case!Z122,'Quests (L2)'!$I$25:$I$44,0))</f>
        <v>7.0500000000000007</v>
      </c>
      <c r="AC122" s="117">
        <f>K122+_xlfn.IFS(V122=3,SUM(O122,R122,U122),V122=2,SUM(O122,R122),V122=1,O122,TRUE,0)+AB122</f>
        <v>55.549999999999983</v>
      </c>
      <c r="AD122" s="87">
        <f>W122+AA122</f>
        <v>315945</v>
      </c>
    </row>
    <row r="123" spans="2:30" ht="23.25" customHeight="1">
      <c r="B123" s="68">
        <v>22</v>
      </c>
      <c r="C123" s="68">
        <f>C122</f>
        <v>2</v>
      </c>
      <c r="D123" s="76">
        <v>8</v>
      </c>
      <c r="E123" s="2">
        <v>2</v>
      </c>
      <c r="F123" s="3" t="s">
        <v>72</v>
      </c>
      <c r="G123" s="3" t="s">
        <v>73</v>
      </c>
      <c r="H123" s="47">
        <f t="shared" ref="H123:H141" si="14">AC123*100</f>
        <v>5459.9999999999991</v>
      </c>
      <c r="I123" s="111">
        <f>IF(ISBLANK(H123),0,IF(H123=Answers!H123,1,-1))</f>
        <v>1</v>
      </c>
      <c r="J123" s="78">
        <v>6612</v>
      </c>
      <c r="K123" s="88">
        <v>26.469999999999992</v>
      </c>
      <c r="L123" s="89" t="s">
        <v>86</v>
      </c>
      <c r="M123" s="54">
        <f t="shared" ref="M123:M141" si="15">INDEX($Z$63:$DU$63,MATCH(J123,$Z$64:$DU$64,1))</f>
        <v>10</v>
      </c>
      <c r="N123" s="52">
        <f>SUMIF('Quests (L2)'!$C$5:$C$224,Case!L123,'Quests (L2)'!$E$5:$E$224)</f>
        <v>100200</v>
      </c>
      <c r="O123" s="52">
        <f>SUMIF('Quests (L2)'!$C$5:$C$224,Case!L123,'Quests (L2)'!$F$5:$F$224)</f>
        <v>9.7399999999999984</v>
      </c>
      <c r="P123" s="52" t="str">
        <f t="shared" ref="P123:P141" si="16">INDEX($K$89:$N$89,MATCH(F123,$K$87:$N$87,0))</f>
        <v>The Barrens</v>
      </c>
      <c r="Q123" s="52">
        <f>SUMIF('Quests (L2)'!$C$5:$C$224,Case!P123,'Quests (L2)'!$E$5:$E$224)</f>
        <v>114300</v>
      </c>
      <c r="R123" s="52">
        <f>SUMIF('Quests (L2)'!$C$5:$C$224,Case!P123,'Quests (L2)'!$F$5:$F$224)</f>
        <v>11.34</v>
      </c>
      <c r="S123" s="52" t="str">
        <f t="shared" ref="S123:S141" si="17">INDEX($K$90:$N$90,MATCH(F123,$K$87:$N$87,0))</f>
        <v>Ashenvale</v>
      </c>
      <c r="T123" s="52">
        <f>SUMIF('Quests (L2)'!$C$5:$C$224,Case!S123,'Quests (L2)'!$E$5:$E$224)</f>
        <v>126300</v>
      </c>
      <c r="U123" s="52">
        <f>SUMIF('Quests (L2)'!$C$5:$C$224,Case!S123,'Quests (L2)'!$F$5:$F$224)</f>
        <v>9.4300000000000015</v>
      </c>
      <c r="V123" s="54">
        <f t="shared" ref="V123:V141" si="18">_xlfn.IFS((J123+N123+Q123+T123)&lt;=$Q$82,3,(J123+N123+Q123)&lt;=$Q$82,2,(J123+N123)&lt;=$Q$82,1,TRUE,0)</f>
        <v>2</v>
      </c>
      <c r="W123" s="87">
        <f t="shared" ref="W123:W141" si="19">J123+_xlfn.IFS(V123=3,SUM(N123,Q123,T123),V123=2,SUM(N123,Q123),V123=1,N123,TRUE,0)</f>
        <v>221112</v>
      </c>
      <c r="X123" s="116">
        <f t="shared" ref="X123:X141" si="20">$Q$82-W123</f>
        <v>91987.389571015257</v>
      </c>
      <c r="Y123" s="54" t="str">
        <f t="shared" ref="Y123:Y141" si="21">INDEX($K$88:$N$93,V123+1,MATCH(F123,$K$87:$N$87,0))</f>
        <v>Ashenvale</v>
      </c>
      <c r="Z123" s="54">
        <f>SUMPRODUCT(NOT('Quests (L2)'!$G$25:$G$44&gt;=Case!$X123)*1)+1</f>
        <v>15</v>
      </c>
      <c r="AA123" s="54">
        <f>INDEX('Quests (L2)'!$G$25:$G$44,MATCH(Case!Z123,'Quests (L2)'!$I$25:$I$44,0))</f>
        <v>94500</v>
      </c>
      <c r="AB123" s="54">
        <f>INDEX('Quests (L2)'!$H$25:$H$44,MATCH(Case!Z123,'Quests (L2)'!$I$25:$I$44,0))</f>
        <v>7.0500000000000007</v>
      </c>
      <c r="AC123" s="117">
        <f t="shared" ref="AC123:AC141" si="22">K123+_xlfn.IFS(V123=3,SUM(O123,R123,U123),V123=2,SUM(O123,R123),V123=1,O123,TRUE,0)+AB123</f>
        <v>54.599999999999994</v>
      </c>
      <c r="AD123" s="87">
        <f t="shared" ref="AD123:AD141" si="23">W123+AA123</f>
        <v>315612</v>
      </c>
    </row>
    <row r="124" spans="2:30" ht="23.25" customHeight="1">
      <c r="B124" s="68">
        <v>23</v>
      </c>
      <c r="C124" s="68">
        <f t="shared" ref="C124:C141" si="24">C123</f>
        <v>2</v>
      </c>
      <c r="D124" s="76">
        <v>8</v>
      </c>
      <c r="E124" s="2">
        <v>3</v>
      </c>
      <c r="F124" s="3" t="s">
        <v>74</v>
      </c>
      <c r="G124" s="3" t="s">
        <v>68</v>
      </c>
      <c r="H124" s="47">
        <f t="shared" si="14"/>
        <v>5614</v>
      </c>
      <c r="I124" s="111">
        <f>IF(ISBLANK(H124),0,IF(H124=Answers!H124,1,-1))</f>
        <v>1</v>
      </c>
      <c r="J124" s="78">
        <v>1500</v>
      </c>
      <c r="K124" s="88">
        <v>27.819999999999997</v>
      </c>
      <c r="L124" s="89" t="s">
        <v>87</v>
      </c>
      <c r="M124" s="54">
        <f t="shared" si="15"/>
        <v>4</v>
      </c>
      <c r="N124" s="52">
        <f>SUMIF('Quests (L2)'!$C$5:$C$224,Case!L124,'Quests (L2)'!$E$5:$E$224)</f>
        <v>95500</v>
      </c>
      <c r="O124" s="52">
        <f>SUMIF('Quests (L2)'!$C$5:$C$224,Case!L124,'Quests (L2)'!$F$5:$F$224)</f>
        <v>9.8600000000000012</v>
      </c>
      <c r="P124" s="52" t="str">
        <f t="shared" si="16"/>
        <v>Silverpine Forest</v>
      </c>
      <c r="Q124" s="52">
        <f>SUMIF('Quests (L2)'!$C$5:$C$224,Case!P124,'Quests (L2)'!$E$5:$E$224)</f>
        <v>106900</v>
      </c>
      <c r="R124" s="52">
        <f>SUMIF('Quests (L2)'!$C$5:$C$224,Case!P124,'Quests (L2)'!$F$5:$F$224)</f>
        <v>10.34</v>
      </c>
      <c r="S124" s="52" t="str">
        <f t="shared" si="17"/>
        <v>Ashenvale</v>
      </c>
      <c r="T124" s="52">
        <f>SUMIF('Quests (L2)'!$C$5:$C$224,Case!S124,'Quests (L2)'!$E$5:$E$224)</f>
        <v>126300</v>
      </c>
      <c r="U124" s="52">
        <f>SUMIF('Quests (L2)'!$C$5:$C$224,Case!S124,'Quests (L2)'!$F$5:$F$224)</f>
        <v>9.4300000000000015</v>
      </c>
      <c r="V124" s="54">
        <f t="shared" si="18"/>
        <v>2</v>
      </c>
      <c r="W124" s="87">
        <f t="shared" si="19"/>
        <v>203900</v>
      </c>
      <c r="X124" s="116">
        <f t="shared" si="20"/>
        <v>109199.38957101526</v>
      </c>
      <c r="Y124" s="54" t="str">
        <f t="shared" si="21"/>
        <v>Ashenvale</v>
      </c>
      <c r="Z124" s="54">
        <f>SUMPRODUCT(NOT('Quests (L2)'!$G$25:$G$44&gt;=Case!$X124)*1)+1</f>
        <v>18</v>
      </c>
      <c r="AA124" s="54">
        <f>INDEX('Quests (L2)'!$G$25:$G$44,MATCH(Case!Z124,'Quests (L2)'!$I$25:$I$44,0))</f>
        <v>113300</v>
      </c>
      <c r="AB124" s="54">
        <f>INDEX('Quests (L2)'!$H$25:$H$44,MATCH(Case!Z124,'Quests (L2)'!$I$25:$I$44,0))</f>
        <v>8.120000000000001</v>
      </c>
      <c r="AC124" s="117">
        <f t="shared" si="22"/>
        <v>56.14</v>
      </c>
      <c r="AD124" s="87">
        <f t="shared" si="23"/>
        <v>317200</v>
      </c>
    </row>
    <row r="125" spans="2:30" ht="23.25" customHeight="1">
      <c r="B125" s="68">
        <v>24</v>
      </c>
      <c r="C125" s="68">
        <f t="shared" si="24"/>
        <v>2</v>
      </c>
      <c r="D125" s="76">
        <v>8</v>
      </c>
      <c r="E125" s="2">
        <v>4</v>
      </c>
      <c r="F125" s="3" t="s">
        <v>75</v>
      </c>
      <c r="G125" s="3" t="s">
        <v>71</v>
      </c>
      <c r="H125" s="47">
        <f t="shared" si="14"/>
        <v>5916</v>
      </c>
      <c r="I125" s="111">
        <f>IF(ISBLANK(H125),0,IF(H125=Answers!H125,1,-1))</f>
        <v>1</v>
      </c>
      <c r="J125" s="78">
        <v>5191</v>
      </c>
      <c r="K125" s="88">
        <v>27.749999999999989</v>
      </c>
      <c r="L125" s="89" t="s">
        <v>88</v>
      </c>
      <c r="M125" s="54">
        <f t="shared" si="15"/>
        <v>9</v>
      </c>
      <c r="N125" s="52">
        <f>SUMIF('Quests (L2)'!$C$5:$C$224,Case!L125,'Quests (L2)'!$E$5:$E$224)</f>
        <v>94700</v>
      </c>
      <c r="O125" s="52">
        <f>SUMIF('Quests (L2)'!$C$5:$C$224,Case!L125,'Quests (L2)'!$F$5:$F$224)</f>
        <v>12.680000000000007</v>
      </c>
      <c r="P125" s="52" t="str">
        <f t="shared" si="16"/>
        <v>The Barrens</v>
      </c>
      <c r="Q125" s="52">
        <f>SUMIF('Quests (L2)'!$C$5:$C$224,Case!P125,'Quests (L2)'!$E$5:$E$224)</f>
        <v>114300</v>
      </c>
      <c r="R125" s="52">
        <f>SUMIF('Quests (L2)'!$C$5:$C$224,Case!P125,'Quests (L2)'!$F$5:$F$224)</f>
        <v>11.34</v>
      </c>
      <c r="S125" s="52" t="str">
        <f t="shared" si="17"/>
        <v>Ashenvale</v>
      </c>
      <c r="T125" s="52">
        <f>SUMIF('Quests (L2)'!$C$5:$C$224,Case!S125,'Quests (L2)'!$E$5:$E$224)</f>
        <v>126300</v>
      </c>
      <c r="U125" s="52">
        <f>SUMIF('Quests (L2)'!$C$5:$C$224,Case!S125,'Quests (L2)'!$F$5:$F$224)</f>
        <v>9.4300000000000015</v>
      </c>
      <c r="V125" s="54">
        <f t="shared" si="18"/>
        <v>2</v>
      </c>
      <c r="W125" s="87">
        <f t="shared" si="19"/>
        <v>214191</v>
      </c>
      <c r="X125" s="116">
        <f t="shared" si="20"/>
        <v>98908.389571015257</v>
      </c>
      <c r="Y125" s="54" t="str">
        <f t="shared" si="21"/>
        <v>Ashenvale</v>
      </c>
      <c r="Z125" s="54">
        <f>SUMPRODUCT(NOT('Quests (L2)'!$G$25:$G$44&gt;=Case!$X125)*1)+1</f>
        <v>16</v>
      </c>
      <c r="AA125" s="54">
        <f>INDEX('Quests (L2)'!$G$25:$G$44,MATCH(Case!Z125,'Quests (L2)'!$I$25:$I$44,0))</f>
        <v>100500</v>
      </c>
      <c r="AB125" s="54">
        <f>INDEX('Quests (L2)'!$H$25:$H$44,MATCH(Case!Z125,'Quests (L2)'!$I$25:$I$44,0))</f>
        <v>7.3900000000000006</v>
      </c>
      <c r="AC125" s="117">
        <f t="shared" si="22"/>
        <v>59.16</v>
      </c>
      <c r="AD125" s="87">
        <f t="shared" si="23"/>
        <v>314691</v>
      </c>
    </row>
    <row r="126" spans="2:30" ht="23.25" customHeight="1">
      <c r="B126" s="68">
        <v>25</v>
      </c>
      <c r="C126" s="68">
        <f t="shared" si="24"/>
        <v>2</v>
      </c>
      <c r="D126" s="76">
        <v>8</v>
      </c>
      <c r="E126" s="2">
        <v>5</v>
      </c>
      <c r="F126" s="3" t="s">
        <v>75</v>
      </c>
      <c r="G126" s="3" t="s">
        <v>76</v>
      </c>
      <c r="H126" s="47">
        <f t="shared" si="14"/>
        <v>5952</v>
      </c>
      <c r="I126" s="111">
        <f>IF(ISBLANK(H126),0,IF(H126=Answers!H126,1,-1))</f>
        <v>1</v>
      </c>
      <c r="J126" s="78">
        <v>4777</v>
      </c>
      <c r="K126" s="88">
        <v>28.109999999999992</v>
      </c>
      <c r="L126" s="89" t="s">
        <v>88</v>
      </c>
      <c r="M126" s="54">
        <f t="shared" si="15"/>
        <v>8</v>
      </c>
      <c r="N126" s="52">
        <f>SUMIF('Quests (L2)'!$C$5:$C$224,Case!L126,'Quests (L2)'!$E$5:$E$224)</f>
        <v>94700</v>
      </c>
      <c r="O126" s="52">
        <f>SUMIF('Quests (L2)'!$C$5:$C$224,Case!L126,'Quests (L2)'!$F$5:$F$224)</f>
        <v>12.680000000000007</v>
      </c>
      <c r="P126" s="52" t="str">
        <f t="shared" si="16"/>
        <v>The Barrens</v>
      </c>
      <c r="Q126" s="52">
        <f>SUMIF('Quests (L2)'!$C$5:$C$224,Case!P126,'Quests (L2)'!$E$5:$E$224)</f>
        <v>114300</v>
      </c>
      <c r="R126" s="52">
        <f>SUMIF('Quests (L2)'!$C$5:$C$224,Case!P126,'Quests (L2)'!$F$5:$F$224)</f>
        <v>11.34</v>
      </c>
      <c r="S126" s="52" t="str">
        <f t="shared" si="17"/>
        <v>Ashenvale</v>
      </c>
      <c r="T126" s="52">
        <f>SUMIF('Quests (L2)'!$C$5:$C$224,Case!S126,'Quests (L2)'!$E$5:$E$224)</f>
        <v>126300</v>
      </c>
      <c r="U126" s="52">
        <f>SUMIF('Quests (L2)'!$C$5:$C$224,Case!S126,'Quests (L2)'!$F$5:$F$224)</f>
        <v>9.4300000000000015</v>
      </c>
      <c r="V126" s="54">
        <f t="shared" si="18"/>
        <v>2</v>
      </c>
      <c r="W126" s="87">
        <f t="shared" si="19"/>
        <v>213777</v>
      </c>
      <c r="X126" s="116">
        <f t="shared" si="20"/>
        <v>99322.389571015257</v>
      </c>
      <c r="Y126" s="54" t="str">
        <f t="shared" si="21"/>
        <v>Ashenvale</v>
      </c>
      <c r="Z126" s="54">
        <f>SUMPRODUCT(NOT('Quests (L2)'!$G$25:$G$44&gt;=Case!$X126)*1)+1</f>
        <v>16</v>
      </c>
      <c r="AA126" s="54">
        <f>INDEX('Quests (L2)'!$G$25:$G$44,MATCH(Case!Z126,'Quests (L2)'!$I$25:$I$44,0))</f>
        <v>100500</v>
      </c>
      <c r="AB126" s="54">
        <f>INDEX('Quests (L2)'!$H$25:$H$44,MATCH(Case!Z126,'Quests (L2)'!$I$25:$I$44,0))</f>
        <v>7.3900000000000006</v>
      </c>
      <c r="AC126" s="117">
        <f t="shared" si="22"/>
        <v>59.519999999999996</v>
      </c>
      <c r="AD126" s="87">
        <f t="shared" si="23"/>
        <v>314277</v>
      </c>
    </row>
    <row r="127" spans="2:30" ht="23.25" customHeight="1">
      <c r="B127" s="68">
        <v>26</v>
      </c>
      <c r="C127" s="68">
        <f t="shared" si="24"/>
        <v>2</v>
      </c>
      <c r="D127" s="76">
        <v>8</v>
      </c>
      <c r="E127" s="2">
        <v>6</v>
      </c>
      <c r="F127" s="3" t="s">
        <v>74</v>
      </c>
      <c r="G127" s="3" t="s">
        <v>73</v>
      </c>
      <c r="H127" s="47">
        <f t="shared" si="14"/>
        <v>5361</v>
      </c>
      <c r="I127" s="111">
        <f>IF(ISBLANK(H127),0,IF(H127=Answers!H127,1,-1))</f>
        <v>1</v>
      </c>
      <c r="J127" s="78">
        <v>4229</v>
      </c>
      <c r="K127" s="88">
        <v>25.759999999999998</v>
      </c>
      <c r="L127" s="89" t="s">
        <v>87</v>
      </c>
      <c r="M127" s="54">
        <f t="shared" si="15"/>
        <v>8</v>
      </c>
      <c r="N127" s="52">
        <f>SUMIF('Quests (L2)'!$C$5:$C$224,Case!L127,'Quests (L2)'!$E$5:$E$224)</f>
        <v>95500</v>
      </c>
      <c r="O127" s="52">
        <f>SUMIF('Quests (L2)'!$C$5:$C$224,Case!L127,'Quests (L2)'!$F$5:$F$224)</f>
        <v>9.8600000000000012</v>
      </c>
      <c r="P127" s="52" t="str">
        <f t="shared" si="16"/>
        <v>Silverpine Forest</v>
      </c>
      <c r="Q127" s="52">
        <f>SUMIF('Quests (L2)'!$C$5:$C$224,Case!P127,'Quests (L2)'!$E$5:$E$224)</f>
        <v>106900</v>
      </c>
      <c r="R127" s="52">
        <f>SUMIF('Quests (L2)'!$C$5:$C$224,Case!P127,'Quests (L2)'!$F$5:$F$224)</f>
        <v>10.34</v>
      </c>
      <c r="S127" s="52" t="str">
        <f t="shared" si="17"/>
        <v>Ashenvale</v>
      </c>
      <c r="T127" s="52">
        <f>SUMIF('Quests (L2)'!$C$5:$C$224,Case!S127,'Quests (L2)'!$E$5:$E$224)</f>
        <v>126300</v>
      </c>
      <c r="U127" s="52">
        <f>SUMIF('Quests (L2)'!$C$5:$C$224,Case!S127,'Quests (L2)'!$F$5:$F$224)</f>
        <v>9.4300000000000015</v>
      </c>
      <c r="V127" s="54">
        <f t="shared" si="18"/>
        <v>2</v>
      </c>
      <c r="W127" s="87">
        <f t="shared" si="19"/>
        <v>206629</v>
      </c>
      <c r="X127" s="116">
        <f t="shared" si="20"/>
        <v>106470.38957101526</v>
      </c>
      <c r="Y127" s="54" t="str">
        <f t="shared" si="21"/>
        <v>Ashenvale</v>
      </c>
      <c r="Z127" s="54">
        <f>SUMPRODUCT(NOT('Quests (L2)'!$G$25:$G$44&gt;=Case!$X127)*1)+1</f>
        <v>17</v>
      </c>
      <c r="AA127" s="54">
        <f>INDEX('Quests (L2)'!$G$25:$G$44,MATCH(Case!Z127,'Quests (L2)'!$I$25:$I$44,0))</f>
        <v>106800</v>
      </c>
      <c r="AB127" s="54">
        <f>INDEX('Quests (L2)'!$H$25:$H$44,MATCH(Case!Z127,'Quests (L2)'!$I$25:$I$44,0))</f>
        <v>7.65</v>
      </c>
      <c r="AC127" s="117">
        <f t="shared" si="22"/>
        <v>53.61</v>
      </c>
      <c r="AD127" s="87">
        <f t="shared" si="23"/>
        <v>313429</v>
      </c>
    </row>
    <row r="128" spans="2:30" ht="23.25" customHeight="1">
      <c r="B128" s="68">
        <v>27</v>
      </c>
      <c r="C128" s="68">
        <f t="shared" si="24"/>
        <v>2</v>
      </c>
      <c r="D128" s="76">
        <v>8</v>
      </c>
      <c r="E128" s="2">
        <v>7</v>
      </c>
      <c r="F128" s="3" t="s">
        <v>72</v>
      </c>
      <c r="G128" s="3" t="s">
        <v>76</v>
      </c>
      <c r="H128" s="47">
        <f t="shared" si="14"/>
        <v>5459.9999999999991</v>
      </c>
      <c r="I128" s="111">
        <f>IF(ISBLANK(H128),0,IF(H128=Answers!H128,1,-1))</f>
        <v>1</v>
      </c>
      <c r="J128" s="78">
        <v>7365</v>
      </c>
      <c r="K128" s="88">
        <v>26.469999999999992</v>
      </c>
      <c r="L128" s="89" t="s">
        <v>86</v>
      </c>
      <c r="M128" s="54">
        <f t="shared" si="15"/>
        <v>11</v>
      </c>
      <c r="N128" s="52">
        <f>SUMIF('Quests (L2)'!$C$5:$C$224,Case!L128,'Quests (L2)'!$E$5:$E$224)</f>
        <v>100200</v>
      </c>
      <c r="O128" s="52">
        <f>SUMIF('Quests (L2)'!$C$5:$C$224,Case!L128,'Quests (L2)'!$F$5:$F$224)</f>
        <v>9.7399999999999984</v>
      </c>
      <c r="P128" s="52" t="str">
        <f t="shared" si="16"/>
        <v>The Barrens</v>
      </c>
      <c r="Q128" s="52">
        <f>SUMIF('Quests (L2)'!$C$5:$C$224,Case!P128,'Quests (L2)'!$E$5:$E$224)</f>
        <v>114300</v>
      </c>
      <c r="R128" s="52">
        <f>SUMIF('Quests (L2)'!$C$5:$C$224,Case!P128,'Quests (L2)'!$F$5:$F$224)</f>
        <v>11.34</v>
      </c>
      <c r="S128" s="52" t="str">
        <f t="shared" si="17"/>
        <v>Ashenvale</v>
      </c>
      <c r="T128" s="52">
        <f>SUMIF('Quests (L2)'!$C$5:$C$224,Case!S128,'Quests (L2)'!$E$5:$E$224)</f>
        <v>126300</v>
      </c>
      <c r="U128" s="52">
        <f>SUMIF('Quests (L2)'!$C$5:$C$224,Case!S128,'Quests (L2)'!$F$5:$F$224)</f>
        <v>9.4300000000000015</v>
      </c>
      <c r="V128" s="54">
        <f t="shared" si="18"/>
        <v>2</v>
      </c>
      <c r="W128" s="87">
        <f t="shared" si="19"/>
        <v>221865</v>
      </c>
      <c r="X128" s="116">
        <f t="shared" si="20"/>
        <v>91234.389571015257</v>
      </c>
      <c r="Y128" s="54" t="str">
        <f t="shared" si="21"/>
        <v>Ashenvale</v>
      </c>
      <c r="Z128" s="54">
        <f>SUMPRODUCT(NOT('Quests (L2)'!$G$25:$G$44&gt;=Case!$X128)*1)+1</f>
        <v>15</v>
      </c>
      <c r="AA128" s="54">
        <f>INDEX('Quests (L2)'!$G$25:$G$44,MATCH(Case!Z128,'Quests (L2)'!$I$25:$I$44,0))</f>
        <v>94500</v>
      </c>
      <c r="AB128" s="54">
        <f>INDEX('Quests (L2)'!$H$25:$H$44,MATCH(Case!Z128,'Quests (L2)'!$I$25:$I$44,0))</f>
        <v>7.0500000000000007</v>
      </c>
      <c r="AC128" s="117">
        <f t="shared" si="22"/>
        <v>54.599999999999994</v>
      </c>
      <c r="AD128" s="87">
        <f t="shared" si="23"/>
        <v>316365</v>
      </c>
    </row>
    <row r="129" spans="2:30" ht="23.25" customHeight="1">
      <c r="B129" s="68">
        <v>28</v>
      </c>
      <c r="C129" s="68">
        <f t="shared" si="24"/>
        <v>2</v>
      </c>
      <c r="D129" s="76">
        <v>8</v>
      </c>
      <c r="E129" s="2">
        <v>8</v>
      </c>
      <c r="F129" s="3" t="s">
        <v>67</v>
      </c>
      <c r="G129" s="3" t="s">
        <v>77</v>
      </c>
      <c r="H129" s="47">
        <f t="shared" si="14"/>
        <v>5631.9999999999991</v>
      </c>
      <c r="I129" s="111">
        <f>IF(ISBLANK(H129),0,IF(H129=Answers!H129,1,-1))</f>
        <v>1</v>
      </c>
      <c r="J129" s="78">
        <v>5739</v>
      </c>
      <c r="K129" s="88">
        <v>28.189999999999994</v>
      </c>
      <c r="L129" s="89" t="s">
        <v>86</v>
      </c>
      <c r="M129" s="54">
        <f t="shared" si="15"/>
        <v>9</v>
      </c>
      <c r="N129" s="52">
        <f>SUMIF('Quests (L2)'!$C$5:$C$224,Case!L129,'Quests (L2)'!$E$5:$E$224)</f>
        <v>100200</v>
      </c>
      <c r="O129" s="52">
        <f>SUMIF('Quests (L2)'!$C$5:$C$224,Case!L129,'Quests (L2)'!$F$5:$F$224)</f>
        <v>9.7399999999999984</v>
      </c>
      <c r="P129" s="52" t="str">
        <f t="shared" si="16"/>
        <v>The Barrens</v>
      </c>
      <c r="Q129" s="52">
        <f>SUMIF('Quests (L2)'!$C$5:$C$224,Case!P129,'Quests (L2)'!$E$5:$E$224)</f>
        <v>114300</v>
      </c>
      <c r="R129" s="52">
        <f>SUMIF('Quests (L2)'!$C$5:$C$224,Case!P129,'Quests (L2)'!$F$5:$F$224)</f>
        <v>11.34</v>
      </c>
      <c r="S129" s="52" t="str">
        <f t="shared" si="17"/>
        <v>Ashenvale</v>
      </c>
      <c r="T129" s="52">
        <f>SUMIF('Quests (L2)'!$C$5:$C$224,Case!S129,'Quests (L2)'!$E$5:$E$224)</f>
        <v>126300</v>
      </c>
      <c r="U129" s="52">
        <f>SUMIF('Quests (L2)'!$C$5:$C$224,Case!S129,'Quests (L2)'!$F$5:$F$224)</f>
        <v>9.4300000000000015</v>
      </c>
      <c r="V129" s="54">
        <f t="shared" si="18"/>
        <v>2</v>
      </c>
      <c r="W129" s="87">
        <f t="shared" si="19"/>
        <v>220239</v>
      </c>
      <c r="X129" s="116">
        <f t="shared" si="20"/>
        <v>92860.389571015257</v>
      </c>
      <c r="Y129" s="54" t="str">
        <f t="shared" si="21"/>
        <v>Ashenvale</v>
      </c>
      <c r="Z129" s="54">
        <f>SUMPRODUCT(NOT('Quests (L2)'!$G$25:$G$44&gt;=Case!$X129)*1)+1</f>
        <v>15</v>
      </c>
      <c r="AA129" s="54">
        <f>INDEX('Quests (L2)'!$G$25:$G$44,MATCH(Case!Z129,'Quests (L2)'!$I$25:$I$44,0))</f>
        <v>94500</v>
      </c>
      <c r="AB129" s="54">
        <f>INDEX('Quests (L2)'!$H$25:$H$44,MATCH(Case!Z129,'Quests (L2)'!$I$25:$I$44,0))</f>
        <v>7.0500000000000007</v>
      </c>
      <c r="AC129" s="117">
        <f t="shared" si="22"/>
        <v>56.319999999999993</v>
      </c>
      <c r="AD129" s="87">
        <f t="shared" si="23"/>
        <v>314739</v>
      </c>
    </row>
    <row r="130" spans="2:30" ht="23.25" customHeight="1">
      <c r="B130" s="68">
        <v>29</v>
      </c>
      <c r="C130" s="68">
        <f t="shared" si="24"/>
        <v>2</v>
      </c>
      <c r="D130" s="76">
        <v>8</v>
      </c>
      <c r="E130" s="2">
        <v>9</v>
      </c>
      <c r="F130" s="3" t="s">
        <v>67</v>
      </c>
      <c r="G130" s="3" t="s">
        <v>78</v>
      </c>
      <c r="H130" s="47">
        <f t="shared" si="14"/>
        <v>5554.9999999999982</v>
      </c>
      <c r="I130" s="111">
        <f>IF(ISBLANK(H130),0,IF(H130=Answers!H130,1,-1))</f>
        <v>1</v>
      </c>
      <c r="J130" s="78">
        <v>7158</v>
      </c>
      <c r="K130" s="88">
        <v>27.419999999999991</v>
      </c>
      <c r="L130" s="89" t="s">
        <v>86</v>
      </c>
      <c r="M130" s="54">
        <f t="shared" si="15"/>
        <v>10</v>
      </c>
      <c r="N130" s="52">
        <f>SUMIF('Quests (L2)'!$C$5:$C$224,Case!L130,'Quests (L2)'!$E$5:$E$224)</f>
        <v>100200</v>
      </c>
      <c r="O130" s="52">
        <f>SUMIF('Quests (L2)'!$C$5:$C$224,Case!L130,'Quests (L2)'!$F$5:$F$224)</f>
        <v>9.7399999999999984</v>
      </c>
      <c r="P130" s="52" t="str">
        <f t="shared" si="16"/>
        <v>The Barrens</v>
      </c>
      <c r="Q130" s="52">
        <f>SUMIF('Quests (L2)'!$C$5:$C$224,Case!P130,'Quests (L2)'!$E$5:$E$224)</f>
        <v>114300</v>
      </c>
      <c r="R130" s="52">
        <f>SUMIF('Quests (L2)'!$C$5:$C$224,Case!P130,'Quests (L2)'!$F$5:$F$224)</f>
        <v>11.34</v>
      </c>
      <c r="S130" s="52" t="str">
        <f t="shared" si="17"/>
        <v>Ashenvale</v>
      </c>
      <c r="T130" s="52">
        <f>SUMIF('Quests (L2)'!$C$5:$C$224,Case!S130,'Quests (L2)'!$E$5:$E$224)</f>
        <v>126300</v>
      </c>
      <c r="U130" s="52">
        <f>SUMIF('Quests (L2)'!$C$5:$C$224,Case!S130,'Quests (L2)'!$F$5:$F$224)</f>
        <v>9.4300000000000015</v>
      </c>
      <c r="V130" s="54">
        <f t="shared" si="18"/>
        <v>2</v>
      </c>
      <c r="W130" s="87">
        <f t="shared" si="19"/>
        <v>221658</v>
      </c>
      <c r="X130" s="116">
        <f t="shared" si="20"/>
        <v>91441.389571015257</v>
      </c>
      <c r="Y130" s="54" t="str">
        <f t="shared" si="21"/>
        <v>Ashenvale</v>
      </c>
      <c r="Z130" s="54">
        <f>SUMPRODUCT(NOT('Quests (L2)'!$G$25:$G$44&gt;=Case!$X130)*1)+1</f>
        <v>15</v>
      </c>
      <c r="AA130" s="54">
        <f>INDEX('Quests (L2)'!$G$25:$G$44,MATCH(Case!Z130,'Quests (L2)'!$I$25:$I$44,0))</f>
        <v>94500</v>
      </c>
      <c r="AB130" s="54">
        <f>INDEX('Quests (L2)'!$H$25:$H$44,MATCH(Case!Z130,'Quests (L2)'!$I$25:$I$44,0))</f>
        <v>7.0500000000000007</v>
      </c>
      <c r="AC130" s="117">
        <f t="shared" si="22"/>
        <v>55.549999999999983</v>
      </c>
      <c r="AD130" s="87">
        <f t="shared" si="23"/>
        <v>316158</v>
      </c>
    </row>
    <row r="131" spans="2:30" ht="23.25" customHeight="1">
      <c r="B131" s="68">
        <v>30</v>
      </c>
      <c r="C131" s="68">
        <f t="shared" si="24"/>
        <v>2</v>
      </c>
      <c r="D131" s="76">
        <v>8</v>
      </c>
      <c r="E131" s="2">
        <v>10</v>
      </c>
      <c r="F131" s="3" t="s">
        <v>74</v>
      </c>
      <c r="G131" s="3" t="s">
        <v>79</v>
      </c>
      <c r="H131" s="47">
        <f t="shared" si="14"/>
        <v>5576.0000000000009</v>
      </c>
      <c r="I131" s="111">
        <f>IF(ISBLANK(H131),0,IF(H131=Answers!H131,1,-1))</f>
        <v>1</v>
      </c>
      <c r="J131" s="78">
        <v>3250</v>
      </c>
      <c r="K131" s="88">
        <v>27.439999999999994</v>
      </c>
      <c r="L131" s="89" t="s">
        <v>87</v>
      </c>
      <c r="M131" s="54">
        <f t="shared" si="15"/>
        <v>6</v>
      </c>
      <c r="N131" s="52">
        <f>SUMIF('Quests (L2)'!$C$5:$C$224,Case!L131,'Quests (L2)'!$E$5:$E$224)</f>
        <v>95500</v>
      </c>
      <c r="O131" s="52">
        <f>SUMIF('Quests (L2)'!$C$5:$C$224,Case!L131,'Quests (L2)'!$F$5:$F$224)</f>
        <v>9.8600000000000012</v>
      </c>
      <c r="P131" s="52" t="str">
        <f t="shared" si="16"/>
        <v>Silverpine Forest</v>
      </c>
      <c r="Q131" s="52">
        <f>SUMIF('Quests (L2)'!$C$5:$C$224,Case!P131,'Quests (L2)'!$E$5:$E$224)</f>
        <v>106900</v>
      </c>
      <c r="R131" s="52">
        <f>SUMIF('Quests (L2)'!$C$5:$C$224,Case!P131,'Quests (L2)'!$F$5:$F$224)</f>
        <v>10.34</v>
      </c>
      <c r="S131" s="52" t="str">
        <f t="shared" si="17"/>
        <v>Ashenvale</v>
      </c>
      <c r="T131" s="52">
        <f>SUMIF('Quests (L2)'!$C$5:$C$224,Case!S131,'Quests (L2)'!$E$5:$E$224)</f>
        <v>126300</v>
      </c>
      <c r="U131" s="52">
        <f>SUMIF('Quests (L2)'!$C$5:$C$224,Case!S131,'Quests (L2)'!$F$5:$F$224)</f>
        <v>9.4300000000000015</v>
      </c>
      <c r="V131" s="54">
        <f t="shared" si="18"/>
        <v>2</v>
      </c>
      <c r="W131" s="87">
        <f t="shared" si="19"/>
        <v>205650</v>
      </c>
      <c r="X131" s="116">
        <f t="shared" si="20"/>
        <v>107449.38957101526</v>
      </c>
      <c r="Y131" s="54" t="str">
        <f t="shared" si="21"/>
        <v>Ashenvale</v>
      </c>
      <c r="Z131" s="54">
        <f>SUMPRODUCT(NOT('Quests (L2)'!$G$25:$G$44&gt;=Case!$X131)*1)+1</f>
        <v>18</v>
      </c>
      <c r="AA131" s="54">
        <f>INDEX('Quests (L2)'!$G$25:$G$44,MATCH(Case!Z131,'Quests (L2)'!$I$25:$I$44,0))</f>
        <v>113300</v>
      </c>
      <c r="AB131" s="54">
        <f>INDEX('Quests (L2)'!$H$25:$H$44,MATCH(Case!Z131,'Quests (L2)'!$I$25:$I$44,0))</f>
        <v>8.120000000000001</v>
      </c>
      <c r="AC131" s="117">
        <f t="shared" si="22"/>
        <v>55.760000000000005</v>
      </c>
      <c r="AD131" s="87">
        <f t="shared" si="23"/>
        <v>318950</v>
      </c>
    </row>
    <row r="132" spans="2:30" ht="23.25" customHeight="1">
      <c r="B132" s="68">
        <v>31</v>
      </c>
      <c r="C132" s="68">
        <f t="shared" si="24"/>
        <v>2</v>
      </c>
      <c r="D132" s="76">
        <v>8</v>
      </c>
      <c r="E132" s="2">
        <v>11</v>
      </c>
      <c r="F132" s="3" t="s">
        <v>67</v>
      </c>
      <c r="G132" s="3" t="s">
        <v>68</v>
      </c>
      <c r="H132" s="47">
        <f t="shared" si="14"/>
        <v>5554.9999999999982</v>
      </c>
      <c r="I132" s="111">
        <f>IF(ISBLANK(H132),0,IF(H132=Answers!H132,1,-1))</f>
        <v>1</v>
      </c>
      <c r="J132" s="78">
        <v>6212</v>
      </c>
      <c r="K132" s="88">
        <v>27.419999999999991</v>
      </c>
      <c r="L132" s="89" t="s">
        <v>86</v>
      </c>
      <c r="M132" s="54">
        <f t="shared" si="15"/>
        <v>10</v>
      </c>
      <c r="N132" s="52">
        <f>SUMIF('Quests (L2)'!$C$5:$C$224,Case!L132,'Quests (L2)'!$E$5:$E$224)</f>
        <v>100200</v>
      </c>
      <c r="O132" s="52">
        <f>SUMIF('Quests (L2)'!$C$5:$C$224,Case!L132,'Quests (L2)'!$F$5:$F$224)</f>
        <v>9.7399999999999984</v>
      </c>
      <c r="P132" s="52" t="str">
        <f t="shared" si="16"/>
        <v>The Barrens</v>
      </c>
      <c r="Q132" s="52">
        <f>SUMIF('Quests (L2)'!$C$5:$C$224,Case!P132,'Quests (L2)'!$E$5:$E$224)</f>
        <v>114300</v>
      </c>
      <c r="R132" s="52">
        <f>SUMIF('Quests (L2)'!$C$5:$C$224,Case!P132,'Quests (L2)'!$F$5:$F$224)</f>
        <v>11.34</v>
      </c>
      <c r="S132" s="52" t="str">
        <f t="shared" si="17"/>
        <v>Ashenvale</v>
      </c>
      <c r="T132" s="52">
        <f>SUMIF('Quests (L2)'!$C$5:$C$224,Case!S132,'Quests (L2)'!$E$5:$E$224)</f>
        <v>126300</v>
      </c>
      <c r="U132" s="52">
        <f>SUMIF('Quests (L2)'!$C$5:$C$224,Case!S132,'Quests (L2)'!$F$5:$F$224)</f>
        <v>9.4300000000000015</v>
      </c>
      <c r="V132" s="54">
        <f t="shared" si="18"/>
        <v>2</v>
      </c>
      <c r="W132" s="87">
        <f t="shared" si="19"/>
        <v>220712</v>
      </c>
      <c r="X132" s="116">
        <f t="shared" si="20"/>
        <v>92387.389571015257</v>
      </c>
      <c r="Y132" s="54" t="str">
        <f t="shared" si="21"/>
        <v>Ashenvale</v>
      </c>
      <c r="Z132" s="54">
        <f>SUMPRODUCT(NOT('Quests (L2)'!$G$25:$G$44&gt;=Case!$X132)*1)+1</f>
        <v>15</v>
      </c>
      <c r="AA132" s="54">
        <f>INDEX('Quests (L2)'!$G$25:$G$44,MATCH(Case!Z132,'Quests (L2)'!$I$25:$I$44,0))</f>
        <v>94500</v>
      </c>
      <c r="AB132" s="54">
        <f>INDEX('Quests (L2)'!$H$25:$H$44,MATCH(Case!Z132,'Quests (L2)'!$I$25:$I$44,0))</f>
        <v>7.0500000000000007</v>
      </c>
      <c r="AC132" s="117">
        <f t="shared" si="22"/>
        <v>55.549999999999983</v>
      </c>
      <c r="AD132" s="87">
        <f t="shared" si="23"/>
        <v>315212</v>
      </c>
    </row>
    <row r="133" spans="2:30" ht="23.25" customHeight="1">
      <c r="B133" s="68">
        <v>32</v>
      </c>
      <c r="C133" s="68">
        <f t="shared" si="24"/>
        <v>2</v>
      </c>
      <c r="D133" s="76">
        <v>8</v>
      </c>
      <c r="E133" s="2">
        <v>12</v>
      </c>
      <c r="F133" s="3" t="s">
        <v>72</v>
      </c>
      <c r="G133" s="3" t="s">
        <v>71</v>
      </c>
      <c r="H133" s="47">
        <f t="shared" si="14"/>
        <v>5459.9999999999991</v>
      </c>
      <c r="I133" s="111">
        <f>IF(ISBLANK(H133),0,IF(H133=Answers!H133,1,-1))</f>
        <v>1</v>
      </c>
      <c r="J133" s="78">
        <v>7492</v>
      </c>
      <c r="K133" s="88">
        <v>26.469999999999992</v>
      </c>
      <c r="L133" s="89" t="s">
        <v>86</v>
      </c>
      <c r="M133" s="54">
        <f t="shared" si="15"/>
        <v>11</v>
      </c>
      <c r="N133" s="52">
        <f>SUMIF('Quests (L2)'!$C$5:$C$224,Case!L133,'Quests (L2)'!$E$5:$E$224)</f>
        <v>100200</v>
      </c>
      <c r="O133" s="52">
        <f>SUMIF('Quests (L2)'!$C$5:$C$224,Case!L133,'Quests (L2)'!$F$5:$F$224)</f>
        <v>9.7399999999999984</v>
      </c>
      <c r="P133" s="52" t="str">
        <f t="shared" si="16"/>
        <v>The Barrens</v>
      </c>
      <c r="Q133" s="52">
        <f>SUMIF('Quests (L2)'!$C$5:$C$224,Case!P133,'Quests (L2)'!$E$5:$E$224)</f>
        <v>114300</v>
      </c>
      <c r="R133" s="52">
        <f>SUMIF('Quests (L2)'!$C$5:$C$224,Case!P133,'Quests (L2)'!$F$5:$F$224)</f>
        <v>11.34</v>
      </c>
      <c r="S133" s="52" t="str">
        <f t="shared" si="17"/>
        <v>Ashenvale</v>
      </c>
      <c r="T133" s="52">
        <f>SUMIF('Quests (L2)'!$C$5:$C$224,Case!S133,'Quests (L2)'!$E$5:$E$224)</f>
        <v>126300</v>
      </c>
      <c r="U133" s="52">
        <f>SUMIF('Quests (L2)'!$C$5:$C$224,Case!S133,'Quests (L2)'!$F$5:$F$224)</f>
        <v>9.4300000000000015</v>
      </c>
      <c r="V133" s="54">
        <f t="shared" si="18"/>
        <v>2</v>
      </c>
      <c r="W133" s="87">
        <f t="shared" si="19"/>
        <v>221992</v>
      </c>
      <c r="X133" s="116">
        <f t="shared" si="20"/>
        <v>91107.389571015257</v>
      </c>
      <c r="Y133" s="54" t="str">
        <f t="shared" si="21"/>
        <v>Ashenvale</v>
      </c>
      <c r="Z133" s="54">
        <f>SUMPRODUCT(NOT('Quests (L2)'!$G$25:$G$44&gt;=Case!$X133)*1)+1</f>
        <v>15</v>
      </c>
      <c r="AA133" s="54">
        <f>INDEX('Quests (L2)'!$G$25:$G$44,MATCH(Case!Z133,'Quests (L2)'!$I$25:$I$44,0))</f>
        <v>94500</v>
      </c>
      <c r="AB133" s="54">
        <f>INDEX('Quests (L2)'!$H$25:$H$44,MATCH(Case!Z133,'Quests (L2)'!$I$25:$I$44,0))</f>
        <v>7.0500000000000007</v>
      </c>
      <c r="AC133" s="117">
        <f t="shared" si="22"/>
        <v>54.599999999999994</v>
      </c>
      <c r="AD133" s="87">
        <f t="shared" si="23"/>
        <v>316492</v>
      </c>
    </row>
    <row r="134" spans="2:30" ht="23.25" customHeight="1">
      <c r="B134" s="68">
        <v>33</v>
      </c>
      <c r="C134" s="68">
        <f t="shared" si="24"/>
        <v>2</v>
      </c>
      <c r="D134" s="76">
        <v>8</v>
      </c>
      <c r="E134" s="2">
        <v>13</v>
      </c>
      <c r="F134" s="3" t="s">
        <v>74</v>
      </c>
      <c r="G134" s="3" t="s">
        <v>77</v>
      </c>
      <c r="H134" s="47">
        <f t="shared" si="14"/>
        <v>5264.9999999999991</v>
      </c>
      <c r="I134" s="111">
        <f>IF(ISBLANK(H134),0,IF(H134=Answers!H134,1,-1))</f>
        <v>1</v>
      </c>
      <c r="J134" s="78">
        <v>3971</v>
      </c>
      <c r="K134" s="88">
        <v>24.79999999999999</v>
      </c>
      <c r="L134" s="89" t="s">
        <v>87</v>
      </c>
      <c r="M134" s="54">
        <f t="shared" si="15"/>
        <v>7</v>
      </c>
      <c r="N134" s="52">
        <f>SUMIF('Quests (L2)'!$C$5:$C$224,Case!L134,'Quests (L2)'!$E$5:$E$224)</f>
        <v>95500</v>
      </c>
      <c r="O134" s="52">
        <f>SUMIF('Quests (L2)'!$C$5:$C$224,Case!L134,'Quests (L2)'!$F$5:$F$224)</f>
        <v>9.8600000000000012</v>
      </c>
      <c r="P134" s="52" t="str">
        <f t="shared" si="16"/>
        <v>Silverpine Forest</v>
      </c>
      <c r="Q134" s="52">
        <f>SUMIF('Quests (L2)'!$C$5:$C$224,Case!P134,'Quests (L2)'!$E$5:$E$224)</f>
        <v>106900</v>
      </c>
      <c r="R134" s="52">
        <f>SUMIF('Quests (L2)'!$C$5:$C$224,Case!P134,'Quests (L2)'!$F$5:$F$224)</f>
        <v>10.34</v>
      </c>
      <c r="S134" s="52" t="str">
        <f t="shared" si="17"/>
        <v>Ashenvale</v>
      </c>
      <c r="T134" s="52">
        <f>SUMIF('Quests (L2)'!$C$5:$C$224,Case!S134,'Quests (L2)'!$E$5:$E$224)</f>
        <v>126300</v>
      </c>
      <c r="U134" s="52">
        <f>SUMIF('Quests (L2)'!$C$5:$C$224,Case!S134,'Quests (L2)'!$F$5:$F$224)</f>
        <v>9.4300000000000015</v>
      </c>
      <c r="V134" s="54">
        <f t="shared" si="18"/>
        <v>2</v>
      </c>
      <c r="W134" s="87">
        <f t="shared" si="19"/>
        <v>206371</v>
      </c>
      <c r="X134" s="116">
        <f t="shared" si="20"/>
        <v>106728.38957101526</v>
      </c>
      <c r="Y134" s="54" t="str">
        <f t="shared" si="21"/>
        <v>Ashenvale</v>
      </c>
      <c r="Z134" s="54">
        <f>SUMPRODUCT(NOT('Quests (L2)'!$G$25:$G$44&gt;=Case!$X134)*1)+1</f>
        <v>17</v>
      </c>
      <c r="AA134" s="54">
        <f>INDEX('Quests (L2)'!$G$25:$G$44,MATCH(Case!Z134,'Quests (L2)'!$I$25:$I$44,0))</f>
        <v>106800</v>
      </c>
      <c r="AB134" s="54">
        <f>INDEX('Quests (L2)'!$H$25:$H$44,MATCH(Case!Z134,'Quests (L2)'!$I$25:$I$44,0))</f>
        <v>7.65</v>
      </c>
      <c r="AC134" s="117">
        <f t="shared" si="22"/>
        <v>52.649999999999991</v>
      </c>
      <c r="AD134" s="87">
        <f t="shared" si="23"/>
        <v>313171</v>
      </c>
    </row>
    <row r="135" spans="2:30" ht="23.25" customHeight="1">
      <c r="B135" s="68">
        <v>34</v>
      </c>
      <c r="C135" s="68">
        <f t="shared" si="24"/>
        <v>2</v>
      </c>
      <c r="D135" s="76">
        <v>8</v>
      </c>
      <c r="E135" s="2">
        <v>14</v>
      </c>
      <c r="F135" s="3" t="s">
        <v>72</v>
      </c>
      <c r="G135" s="3" t="s">
        <v>79</v>
      </c>
      <c r="H135" s="47">
        <f t="shared" si="14"/>
        <v>5554.9999999999982</v>
      </c>
      <c r="I135" s="111">
        <f>IF(ISBLANK(H135),0,IF(H135=Answers!H135,1,-1))</f>
        <v>1</v>
      </c>
      <c r="J135" s="78">
        <v>6783</v>
      </c>
      <c r="K135" s="88">
        <v>27.419999999999991</v>
      </c>
      <c r="L135" s="89" t="s">
        <v>86</v>
      </c>
      <c r="M135" s="54">
        <f t="shared" si="15"/>
        <v>10</v>
      </c>
      <c r="N135" s="52">
        <f>SUMIF('Quests (L2)'!$C$5:$C$224,Case!L135,'Quests (L2)'!$E$5:$E$224)</f>
        <v>100200</v>
      </c>
      <c r="O135" s="52">
        <f>SUMIF('Quests (L2)'!$C$5:$C$224,Case!L135,'Quests (L2)'!$F$5:$F$224)</f>
        <v>9.7399999999999984</v>
      </c>
      <c r="P135" s="52" t="str">
        <f t="shared" si="16"/>
        <v>The Barrens</v>
      </c>
      <c r="Q135" s="52">
        <f>SUMIF('Quests (L2)'!$C$5:$C$224,Case!P135,'Quests (L2)'!$E$5:$E$224)</f>
        <v>114300</v>
      </c>
      <c r="R135" s="52">
        <f>SUMIF('Quests (L2)'!$C$5:$C$224,Case!P135,'Quests (L2)'!$F$5:$F$224)</f>
        <v>11.34</v>
      </c>
      <c r="S135" s="52" t="str">
        <f t="shared" si="17"/>
        <v>Ashenvale</v>
      </c>
      <c r="T135" s="52">
        <f>SUMIF('Quests (L2)'!$C$5:$C$224,Case!S135,'Quests (L2)'!$E$5:$E$224)</f>
        <v>126300</v>
      </c>
      <c r="U135" s="52">
        <f>SUMIF('Quests (L2)'!$C$5:$C$224,Case!S135,'Quests (L2)'!$F$5:$F$224)</f>
        <v>9.4300000000000015</v>
      </c>
      <c r="V135" s="54">
        <f t="shared" si="18"/>
        <v>2</v>
      </c>
      <c r="W135" s="87">
        <f t="shared" si="19"/>
        <v>221283</v>
      </c>
      <c r="X135" s="116">
        <f t="shared" si="20"/>
        <v>91816.389571015257</v>
      </c>
      <c r="Y135" s="54" t="str">
        <f t="shared" si="21"/>
        <v>Ashenvale</v>
      </c>
      <c r="Z135" s="54">
        <f>SUMPRODUCT(NOT('Quests (L2)'!$G$25:$G$44&gt;=Case!$X135)*1)+1</f>
        <v>15</v>
      </c>
      <c r="AA135" s="54">
        <f>INDEX('Quests (L2)'!$G$25:$G$44,MATCH(Case!Z135,'Quests (L2)'!$I$25:$I$44,0))</f>
        <v>94500</v>
      </c>
      <c r="AB135" s="54">
        <f>INDEX('Quests (L2)'!$H$25:$H$44,MATCH(Case!Z135,'Quests (L2)'!$I$25:$I$44,0))</f>
        <v>7.0500000000000007</v>
      </c>
      <c r="AC135" s="117">
        <f t="shared" si="22"/>
        <v>55.549999999999983</v>
      </c>
      <c r="AD135" s="87">
        <f t="shared" si="23"/>
        <v>315783</v>
      </c>
    </row>
    <row r="136" spans="2:30" ht="23.25" customHeight="1">
      <c r="B136" s="68">
        <v>35</v>
      </c>
      <c r="C136" s="68">
        <f t="shared" si="24"/>
        <v>2</v>
      </c>
      <c r="D136" s="76">
        <v>8</v>
      </c>
      <c r="E136" s="2">
        <v>15</v>
      </c>
      <c r="F136" s="3" t="s">
        <v>75</v>
      </c>
      <c r="G136" s="3" t="s">
        <v>78</v>
      </c>
      <c r="H136" s="47">
        <f t="shared" si="14"/>
        <v>5788</v>
      </c>
      <c r="I136" s="111">
        <f>IF(ISBLANK(H136),0,IF(H136=Answers!H136,1,-1))</f>
        <v>1</v>
      </c>
      <c r="J136" s="78">
        <v>6297</v>
      </c>
      <c r="K136" s="88">
        <v>26.469999999999992</v>
      </c>
      <c r="L136" s="89" t="s">
        <v>88</v>
      </c>
      <c r="M136" s="54">
        <f t="shared" si="15"/>
        <v>10</v>
      </c>
      <c r="N136" s="52">
        <f>SUMIF('Quests (L2)'!$C$5:$C$224,Case!L136,'Quests (L2)'!$E$5:$E$224)</f>
        <v>94700</v>
      </c>
      <c r="O136" s="52">
        <f>SUMIF('Quests (L2)'!$C$5:$C$224,Case!L136,'Quests (L2)'!$F$5:$F$224)</f>
        <v>12.680000000000007</v>
      </c>
      <c r="P136" s="52" t="str">
        <f t="shared" si="16"/>
        <v>The Barrens</v>
      </c>
      <c r="Q136" s="52">
        <f>SUMIF('Quests (L2)'!$C$5:$C$224,Case!P136,'Quests (L2)'!$E$5:$E$224)</f>
        <v>114300</v>
      </c>
      <c r="R136" s="52">
        <f>SUMIF('Quests (L2)'!$C$5:$C$224,Case!P136,'Quests (L2)'!$F$5:$F$224)</f>
        <v>11.34</v>
      </c>
      <c r="S136" s="52" t="str">
        <f t="shared" si="17"/>
        <v>Ashenvale</v>
      </c>
      <c r="T136" s="52">
        <f>SUMIF('Quests (L2)'!$C$5:$C$224,Case!S136,'Quests (L2)'!$E$5:$E$224)</f>
        <v>126300</v>
      </c>
      <c r="U136" s="52">
        <f>SUMIF('Quests (L2)'!$C$5:$C$224,Case!S136,'Quests (L2)'!$F$5:$F$224)</f>
        <v>9.4300000000000015</v>
      </c>
      <c r="V136" s="54">
        <f t="shared" si="18"/>
        <v>2</v>
      </c>
      <c r="W136" s="87">
        <f t="shared" si="19"/>
        <v>215297</v>
      </c>
      <c r="X136" s="116">
        <f t="shared" si="20"/>
        <v>97802.389571015257</v>
      </c>
      <c r="Y136" s="54" t="str">
        <f t="shared" si="21"/>
        <v>Ashenvale</v>
      </c>
      <c r="Z136" s="54">
        <f>SUMPRODUCT(NOT('Quests (L2)'!$G$25:$G$44&gt;=Case!$X136)*1)+1</f>
        <v>16</v>
      </c>
      <c r="AA136" s="54">
        <f>INDEX('Quests (L2)'!$G$25:$G$44,MATCH(Case!Z136,'Quests (L2)'!$I$25:$I$44,0))</f>
        <v>100500</v>
      </c>
      <c r="AB136" s="54">
        <f>INDEX('Quests (L2)'!$H$25:$H$44,MATCH(Case!Z136,'Quests (L2)'!$I$25:$I$44,0))</f>
        <v>7.3900000000000006</v>
      </c>
      <c r="AC136" s="117">
        <f t="shared" si="22"/>
        <v>57.879999999999995</v>
      </c>
      <c r="AD136" s="87">
        <f t="shared" si="23"/>
        <v>315797</v>
      </c>
    </row>
    <row r="137" spans="2:30" ht="23.25" customHeight="1">
      <c r="B137" s="68">
        <v>36</v>
      </c>
      <c r="C137" s="68">
        <f t="shared" si="24"/>
        <v>2</v>
      </c>
      <c r="D137" s="76">
        <v>8</v>
      </c>
      <c r="E137" s="2">
        <v>16</v>
      </c>
      <c r="F137" s="3" t="s">
        <v>72</v>
      </c>
      <c r="G137" s="3" t="s">
        <v>78</v>
      </c>
      <c r="H137" s="47">
        <f t="shared" si="14"/>
        <v>5631.9999999999991</v>
      </c>
      <c r="I137" s="111">
        <f>IF(ISBLANK(H137),0,IF(H137=Answers!H137,1,-1))</f>
        <v>1</v>
      </c>
      <c r="J137" s="78">
        <v>5589</v>
      </c>
      <c r="K137" s="88">
        <v>28.189999999999994</v>
      </c>
      <c r="L137" s="89" t="s">
        <v>86</v>
      </c>
      <c r="M137" s="54">
        <f t="shared" si="15"/>
        <v>9</v>
      </c>
      <c r="N137" s="52">
        <f>SUMIF('Quests (L2)'!$C$5:$C$224,Case!L137,'Quests (L2)'!$E$5:$E$224)</f>
        <v>100200</v>
      </c>
      <c r="O137" s="52">
        <f>SUMIF('Quests (L2)'!$C$5:$C$224,Case!L137,'Quests (L2)'!$F$5:$F$224)</f>
        <v>9.7399999999999984</v>
      </c>
      <c r="P137" s="52" t="str">
        <f t="shared" si="16"/>
        <v>The Barrens</v>
      </c>
      <c r="Q137" s="52">
        <f>SUMIF('Quests (L2)'!$C$5:$C$224,Case!P137,'Quests (L2)'!$E$5:$E$224)</f>
        <v>114300</v>
      </c>
      <c r="R137" s="52">
        <f>SUMIF('Quests (L2)'!$C$5:$C$224,Case!P137,'Quests (L2)'!$F$5:$F$224)</f>
        <v>11.34</v>
      </c>
      <c r="S137" s="52" t="str">
        <f t="shared" si="17"/>
        <v>Ashenvale</v>
      </c>
      <c r="T137" s="52">
        <f>SUMIF('Quests (L2)'!$C$5:$C$224,Case!S137,'Quests (L2)'!$E$5:$E$224)</f>
        <v>126300</v>
      </c>
      <c r="U137" s="52">
        <f>SUMIF('Quests (L2)'!$C$5:$C$224,Case!S137,'Quests (L2)'!$F$5:$F$224)</f>
        <v>9.4300000000000015</v>
      </c>
      <c r="V137" s="54">
        <f t="shared" si="18"/>
        <v>2</v>
      </c>
      <c r="W137" s="87">
        <f t="shared" si="19"/>
        <v>220089</v>
      </c>
      <c r="X137" s="116">
        <f t="shared" si="20"/>
        <v>93010.389571015257</v>
      </c>
      <c r="Y137" s="54" t="str">
        <f t="shared" si="21"/>
        <v>Ashenvale</v>
      </c>
      <c r="Z137" s="54">
        <f>SUMPRODUCT(NOT('Quests (L2)'!$G$25:$G$44&gt;=Case!$X137)*1)+1</f>
        <v>15</v>
      </c>
      <c r="AA137" s="54">
        <f>INDEX('Quests (L2)'!$G$25:$G$44,MATCH(Case!Z137,'Quests (L2)'!$I$25:$I$44,0))</f>
        <v>94500</v>
      </c>
      <c r="AB137" s="54">
        <f>INDEX('Quests (L2)'!$H$25:$H$44,MATCH(Case!Z137,'Quests (L2)'!$I$25:$I$44,0))</f>
        <v>7.0500000000000007</v>
      </c>
      <c r="AC137" s="117">
        <f t="shared" si="22"/>
        <v>56.319999999999993</v>
      </c>
      <c r="AD137" s="87">
        <f t="shared" si="23"/>
        <v>314589</v>
      </c>
    </row>
    <row r="138" spans="2:30" ht="23.25" customHeight="1">
      <c r="B138" s="68">
        <v>37</v>
      </c>
      <c r="C138" s="68">
        <f t="shared" si="24"/>
        <v>2</v>
      </c>
      <c r="D138" s="76">
        <v>8</v>
      </c>
      <c r="E138" s="2">
        <v>17</v>
      </c>
      <c r="F138" s="3" t="s">
        <v>74</v>
      </c>
      <c r="G138" s="3" t="s">
        <v>77</v>
      </c>
      <c r="H138" s="47">
        <f t="shared" si="14"/>
        <v>5264.9999999999991</v>
      </c>
      <c r="I138" s="111">
        <f>IF(ISBLANK(H138),0,IF(H138=Answers!H138,1,-1))</f>
        <v>1</v>
      </c>
      <c r="J138" s="78">
        <v>5266</v>
      </c>
      <c r="K138" s="88">
        <v>24.79999999999999</v>
      </c>
      <c r="L138" s="89" t="s">
        <v>87</v>
      </c>
      <c r="M138" s="54">
        <f t="shared" si="15"/>
        <v>9</v>
      </c>
      <c r="N138" s="52">
        <f>SUMIF('Quests (L2)'!$C$5:$C$224,Case!L138,'Quests (L2)'!$E$5:$E$224)</f>
        <v>95500</v>
      </c>
      <c r="O138" s="52">
        <f>SUMIF('Quests (L2)'!$C$5:$C$224,Case!L138,'Quests (L2)'!$F$5:$F$224)</f>
        <v>9.8600000000000012</v>
      </c>
      <c r="P138" s="52" t="str">
        <f t="shared" si="16"/>
        <v>Silverpine Forest</v>
      </c>
      <c r="Q138" s="52">
        <f>SUMIF('Quests (L2)'!$C$5:$C$224,Case!P138,'Quests (L2)'!$E$5:$E$224)</f>
        <v>106900</v>
      </c>
      <c r="R138" s="52">
        <f>SUMIF('Quests (L2)'!$C$5:$C$224,Case!P138,'Quests (L2)'!$F$5:$F$224)</f>
        <v>10.34</v>
      </c>
      <c r="S138" s="52" t="str">
        <f t="shared" si="17"/>
        <v>Ashenvale</v>
      </c>
      <c r="T138" s="52">
        <f>SUMIF('Quests (L2)'!$C$5:$C$224,Case!S138,'Quests (L2)'!$E$5:$E$224)</f>
        <v>126300</v>
      </c>
      <c r="U138" s="52">
        <f>SUMIF('Quests (L2)'!$C$5:$C$224,Case!S138,'Quests (L2)'!$F$5:$F$224)</f>
        <v>9.4300000000000015</v>
      </c>
      <c r="V138" s="54">
        <f t="shared" si="18"/>
        <v>2</v>
      </c>
      <c r="W138" s="87">
        <f t="shared" si="19"/>
        <v>207666</v>
      </c>
      <c r="X138" s="116">
        <f t="shared" si="20"/>
        <v>105433.38957101526</v>
      </c>
      <c r="Y138" s="54" t="str">
        <f t="shared" si="21"/>
        <v>Ashenvale</v>
      </c>
      <c r="Z138" s="54">
        <f>SUMPRODUCT(NOT('Quests (L2)'!$G$25:$G$44&gt;=Case!$X138)*1)+1</f>
        <v>17</v>
      </c>
      <c r="AA138" s="54">
        <f>INDEX('Quests (L2)'!$G$25:$G$44,MATCH(Case!Z138,'Quests (L2)'!$I$25:$I$44,0))</f>
        <v>106800</v>
      </c>
      <c r="AB138" s="54">
        <f>INDEX('Quests (L2)'!$H$25:$H$44,MATCH(Case!Z138,'Quests (L2)'!$I$25:$I$44,0))</f>
        <v>7.65</v>
      </c>
      <c r="AC138" s="117">
        <f t="shared" si="22"/>
        <v>52.649999999999991</v>
      </c>
      <c r="AD138" s="87">
        <f t="shared" si="23"/>
        <v>314466</v>
      </c>
    </row>
    <row r="139" spans="2:30" ht="23.25" customHeight="1">
      <c r="B139" s="68">
        <v>38</v>
      </c>
      <c r="C139" s="68">
        <f t="shared" si="24"/>
        <v>2</v>
      </c>
      <c r="D139" s="76">
        <v>8</v>
      </c>
      <c r="E139" s="2">
        <v>18</v>
      </c>
      <c r="F139" s="3" t="s">
        <v>72</v>
      </c>
      <c r="G139" s="3" t="s">
        <v>73</v>
      </c>
      <c r="H139" s="47">
        <f t="shared" si="14"/>
        <v>5678.9999999999991</v>
      </c>
      <c r="I139" s="111">
        <f>IF(ISBLANK(H139),0,IF(H139=Answers!H139,1,-1))</f>
        <v>1</v>
      </c>
      <c r="J139" s="78">
        <v>3966</v>
      </c>
      <c r="K139" s="88">
        <v>28.319999999999993</v>
      </c>
      <c r="L139" s="89" t="s">
        <v>86</v>
      </c>
      <c r="M139" s="54">
        <f t="shared" si="15"/>
        <v>7</v>
      </c>
      <c r="N139" s="52">
        <f>SUMIF('Quests (L2)'!$C$5:$C$224,Case!L139,'Quests (L2)'!$E$5:$E$224)</f>
        <v>100200</v>
      </c>
      <c r="O139" s="52">
        <f>SUMIF('Quests (L2)'!$C$5:$C$224,Case!L139,'Quests (L2)'!$F$5:$F$224)</f>
        <v>9.7399999999999984</v>
      </c>
      <c r="P139" s="52" t="str">
        <f t="shared" si="16"/>
        <v>The Barrens</v>
      </c>
      <c r="Q139" s="52">
        <f>SUMIF('Quests (L2)'!$C$5:$C$224,Case!P139,'Quests (L2)'!$E$5:$E$224)</f>
        <v>114300</v>
      </c>
      <c r="R139" s="52">
        <f>SUMIF('Quests (L2)'!$C$5:$C$224,Case!P139,'Quests (L2)'!$F$5:$F$224)</f>
        <v>11.34</v>
      </c>
      <c r="S139" s="52" t="str">
        <f t="shared" si="17"/>
        <v>Ashenvale</v>
      </c>
      <c r="T139" s="52">
        <f>SUMIF('Quests (L2)'!$C$5:$C$224,Case!S139,'Quests (L2)'!$E$5:$E$224)</f>
        <v>126300</v>
      </c>
      <c r="U139" s="52">
        <f>SUMIF('Quests (L2)'!$C$5:$C$224,Case!S139,'Quests (L2)'!$F$5:$F$224)</f>
        <v>9.4300000000000015</v>
      </c>
      <c r="V139" s="54">
        <f t="shared" si="18"/>
        <v>2</v>
      </c>
      <c r="W139" s="87">
        <f t="shared" si="19"/>
        <v>218466</v>
      </c>
      <c r="X139" s="116">
        <f t="shared" si="20"/>
        <v>94633.389571015257</v>
      </c>
      <c r="Y139" s="54" t="str">
        <f t="shared" si="21"/>
        <v>Ashenvale</v>
      </c>
      <c r="Z139" s="54">
        <f>SUMPRODUCT(NOT('Quests (L2)'!$G$25:$G$44&gt;=Case!$X139)*1)+1</f>
        <v>16</v>
      </c>
      <c r="AA139" s="54">
        <f>INDEX('Quests (L2)'!$G$25:$G$44,MATCH(Case!Z139,'Quests (L2)'!$I$25:$I$44,0))</f>
        <v>100500</v>
      </c>
      <c r="AB139" s="54">
        <f>INDEX('Quests (L2)'!$H$25:$H$44,MATCH(Case!Z139,'Quests (L2)'!$I$25:$I$44,0))</f>
        <v>7.3900000000000006</v>
      </c>
      <c r="AC139" s="117">
        <f t="shared" si="22"/>
        <v>56.789999999999992</v>
      </c>
      <c r="AD139" s="87">
        <f t="shared" si="23"/>
        <v>318966</v>
      </c>
    </row>
    <row r="140" spans="2:30" ht="23.25" customHeight="1">
      <c r="B140" s="68">
        <v>39</v>
      </c>
      <c r="C140" s="68">
        <f t="shared" si="24"/>
        <v>2</v>
      </c>
      <c r="D140" s="76">
        <v>8</v>
      </c>
      <c r="E140" s="2">
        <v>19</v>
      </c>
      <c r="F140" s="3" t="s">
        <v>72</v>
      </c>
      <c r="G140" s="3" t="s">
        <v>73</v>
      </c>
      <c r="H140" s="47">
        <f t="shared" si="14"/>
        <v>5594.9999999999991</v>
      </c>
      <c r="I140" s="111">
        <f>IF(ISBLANK(H140),0,IF(H140=Answers!H140,1,-1))</f>
        <v>1</v>
      </c>
      <c r="J140" s="78">
        <v>4640</v>
      </c>
      <c r="K140" s="88">
        <v>27.819999999999993</v>
      </c>
      <c r="L140" s="89" t="s">
        <v>86</v>
      </c>
      <c r="M140" s="54">
        <f t="shared" si="15"/>
        <v>8</v>
      </c>
      <c r="N140" s="52">
        <f>SUMIF('Quests (L2)'!$C$5:$C$224,Case!L140,'Quests (L2)'!$E$5:$E$224)</f>
        <v>100200</v>
      </c>
      <c r="O140" s="52">
        <f>SUMIF('Quests (L2)'!$C$5:$C$224,Case!L140,'Quests (L2)'!$F$5:$F$224)</f>
        <v>9.7399999999999984</v>
      </c>
      <c r="P140" s="52" t="str">
        <f t="shared" si="16"/>
        <v>The Barrens</v>
      </c>
      <c r="Q140" s="52">
        <f>SUMIF('Quests (L2)'!$C$5:$C$224,Case!P140,'Quests (L2)'!$E$5:$E$224)</f>
        <v>114300</v>
      </c>
      <c r="R140" s="52">
        <f>SUMIF('Quests (L2)'!$C$5:$C$224,Case!P140,'Quests (L2)'!$F$5:$F$224)</f>
        <v>11.34</v>
      </c>
      <c r="S140" s="52" t="str">
        <f t="shared" si="17"/>
        <v>Ashenvale</v>
      </c>
      <c r="T140" s="52">
        <f>SUMIF('Quests (L2)'!$C$5:$C$224,Case!S140,'Quests (L2)'!$E$5:$E$224)</f>
        <v>126300</v>
      </c>
      <c r="U140" s="52">
        <f>SUMIF('Quests (L2)'!$C$5:$C$224,Case!S140,'Quests (L2)'!$F$5:$F$224)</f>
        <v>9.4300000000000015</v>
      </c>
      <c r="V140" s="54">
        <f t="shared" si="18"/>
        <v>2</v>
      </c>
      <c r="W140" s="87">
        <f t="shared" si="19"/>
        <v>219140</v>
      </c>
      <c r="X140" s="116">
        <f t="shared" si="20"/>
        <v>93959.389571015257</v>
      </c>
      <c r="Y140" s="54" t="str">
        <f t="shared" si="21"/>
        <v>Ashenvale</v>
      </c>
      <c r="Z140" s="54">
        <f>SUMPRODUCT(NOT('Quests (L2)'!$G$25:$G$44&gt;=Case!$X140)*1)+1</f>
        <v>15</v>
      </c>
      <c r="AA140" s="54">
        <f>INDEX('Quests (L2)'!$G$25:$G$44,MATCH(Case!Z140,'Quests (L2)'!$I$25:$I$44,0))</f>
        <v>94500</v>
      </c>
      <c r="AB140" s="54">
        <f>INDEX('Quests (L2)'!$H$25:$H$44,MATCH(Case!Z140,'Quests (L2)'!$I$25:$I$44,0))</f>
        <v>7.0500000000000007</v>
      </c>
      <c r="AC140" s="117">
        <f t="shared" si="22"/>
        <v>55.949999999999989</v>
      </c>
      <c r="AD140" s="87">
        <f t="shared" si="23"/>
        <v>313640</v>
      </c>
    </row>
    <row r="141" spans="2:30" ht="23.25" customHeight="1">
      <c r="B141" s="68">
        <v>40</v>
      </c>
      <c r="C141" s="68">
        <f t="shared" si="24"/>
        <v>2</v>
      </c>
      <c r="D141" s="76">
        <v>8</v>
      </c>
      <c r="E141" s="2">
        <v>20</v>
      </c>
      <c r="F141" s="3" t="s">
        <v>75</v>
      </c>
      <c r="G141" s="3" t="s">
        <v>80</v>
      </c>
      <c r="H141" s="47">
        <f t="shared" si="14"/>
        <v>5688</v>
      </c>
      <c r="I141" s="111">
        <f>IF(ISBLANK(H141),0,IF(H141=Answers!H141,1,-1))</f>
        <v>1</v>
      </c>
      <c r="J141" s="78">
        <v>9500</v>
      </c>
      <c r="K141" s="88">
        <v>25.469999999999992</v>
      </c>
      <c r="L141" s="89" t="s">
        <v>88</v>
      </c>
      <c r="M141" s="54">
        <f t="shared" si="15"/>
        <v>12</v>
      </c>
      <c r="N141" s="52">
        <f>SUMIF('Quests (L2)'!$C$5:$C$224,Case!L141,'Quests (L2)'!$E$5:$E$224)</f>
        <v>94700</v>
      </c>
      <c r="O141" s="52">
        <f>SUMIF('Quests (L2)'!$C$5:$C$224,Case!L141,'Quests (L2)'!$F$5:$F$224)</f>
        <v>12.680000000000007</v>
      </c>
      <c r="P141" s="52" t="str">
        <f t="shared" si="16"/>
        <v>The Barrens</v>
      </c>
      <c r="Q141" s="52">
        <f>SUMIF('Quests (L2)'!$C$5:$C$224,Case!P141,'Quests (L2)'!$E$5:$E$224)</f>
        <v>114300</v>
      </c>
      <c r="R141" s="52">
        <f>SUMIF('Quests (L2)'!$C$5:$C$224,Case!P141,'Quests (L2)'!$F$5:$F$224)</f>
        <v>11.34</v>
      </c>
      <c r="S141" s="52" t="str">
        <f t="shared" si="17"/>
        <v>Ashenvale</v>
      </c>
      <c r="T141" s="52">
        <f>SUMIF('Quests (L2)'!$C$5:$C$224,Case!S141,'Quests (L2)'!$E$5:$E$224)</f>
        <v>126300</v>
      </c>
      <c r="U141" s="52">
        <f>SUMIF('Quests (L2)'!$C$5:$C$224,Case!S141,'Quests (L2)'!$F$5:$F$224)</f>
        <v>9.4300000000000015</v>
      </c>
      <c r="V141" s="54">
        <f t="shared" si="18"/>
        <v>2</v>
      </c>
      <c r="W141" s="87">
        <f t="shared" si="19"/>
        <v>218500</v>
      </c>
      <c r="X141" s="116">
        <f t="shared" si="20"/>
        <v>94599.389571015257</v>
      </c>
      <c r="Y141" s="54" t="str">
        <f t="shared" si="21"/>
        <v>Ashenvale</v>
      </c>
      <c r="Z141" s="54">
        <f>SUMPRODUCT(NOT('Quests (L2)'!$G$25:$G$44&gt;=Case!$X141)*1)+1</f>
        <v>16</v>
      </c>
      <c r="AA141" s="54">
        <f>INDEX('Quests (L2)'!$G$25:$G$44,MATCH(Case!Z141,'Quests (L2)'!$I$25:$I$44,0))</f>
        <v>100500</v>
      </c>
      <c r="AB141" s="54">
        <f>INDEX('Quests (L2)'!$H$25:$H$44,MATCH(Case!Z141,'Quests (L2)'!$I$25:$I$44,0))</f>
        <v>7.3900000000000006</v>
      </c>
      <c r="AC141" s="117">
        <f t="shared" si="22"/>
        <v>56.879999999999995</v>
      </c>
      <c r="AD141" s="87">
        <f t="shared" si="23"/>
        <v>319000</v>
      </c>
    </row>
    <row r="142" spans="2:30" ht="15" customHeight="1">
      <c r="B142" s="83"/>
      <c r="C142" s="83"/>
      <c r="D142" s="84"/>
      <c r="E142" s="84"/>
      <c r="F142" s="84"/>
      <c r="G142" s="84"/>
      <c r="H142" s="86"/>
      <c r="J142" s="91"/>
      <c r="K142" s="91"/>
      <c r="P142" s="54"/>
      <c r="Q142" s="54"/>
      <c r="R142" s="54"/>
      <c r="S142" s="54"/>
      <c r="T142" s="54"/>
    </row>
    <row r="143" spans="2:30" ht="15" customHeight="1" thickBot="1">
      <c r="B143" s="54"/>
      <c r="C143" s="54"/>
      <c r="D143" s="54"/>
      <c r="E143" s="54"/>
      <c r="F143" s="54"/>
      <c r="G143" s="54"/>
      <c r="H143" s="87"/>
      <c r="I143" s="92"/>
      <c r="J143" s="91"/>
      <c r="K143" s="91"/>
      <c r="L143" s="91"/>
      <c r="M143" s="91"/>
      <c r="N143" s="91"/>
      <c r="O143" s="91"/>
      <c r="P143" s="54"/>
      <c r="Q143" s="54"/>
      <c r="R143" s="54"/>
      <c r="S143" s="54"/>
      <c r="T143" s="54"/>
    </row>
    <row r="144" spans="2:30" ht="25.5" customHeight="1" thickBot="1">
      <c r="B144" s="48" t="s">
        <v>25</v>
      </c>
      <c r="C144" s="49" t="s">
        <v>154</v>
      </c>
      <c r="D144" s="73" t="s">
        <v>155</v>
      </c>
      <c r="E144" s="73"/>
      <c r="F144" s="73"/>
      <c r="G144" s="73"/>
      <c r="H144" s="87"/>
      <c r="I144" s="92"/>
      <c r="J144" s="93"/>
      <c r="K144" s="93"/>
      <c r="L144" s="93"/>
      <c r="M144" s="91"/>
      <c r="N144" s="91"/>
      <c r="O144" s="91"/>
      <c r="P144" s="54"/>
      <c r="Q144" s="54"/>
      <c r="R144" s="54"/>
      <c r="S144" s="54"/>
      <c r="T144" s="54"/>
    </row>
    <row r="145" spans="2:20" ht="16.5" thickBot="1">
      <c r="B145" s="75"/>
      <c r="C145" s="54"/>
      <c r="D145" s="54"/>
      <c r="E145" s="54"/>
      <c r="F145" s="54"/>
      <c r="G145" s="54"/>
      <c r="H145" s="87"/>
      <c r="I145" s="92"/>
      <c r="J145" s="1" t="s">
        <v>156</v>
      </c>
      <c r="K145" s="1" t="s">
        <v>156</v>
      </c>
      <c r="L145" s="1" t="s">
        <v>156</v>
      </c>
      <c r="M145" s="1" t="s">
        <v>156</v>
      </c>
      <c r="N145" s="1" t="s">
        <v>156</v>
      </c>
      <c r="O145" s="91"/>
      <c r="P145" s="54"/>
      <c r="Q145" s="54"/>
      <c r="R145" s="54"/>
      <c r="S145" s="54"/>
      <c r="T145" s="54"/>
    </row>
    <row r="146" spans="2:20" ht="15.75">
      <c r="B146" s="75" t="s">
        <v>157</v>
      </c>
      <c r="C146" s="52"/>
      <c r="D146" s="52"/>
      <c r="E146" s="52"/>
      <c r="F146" s="52"/>
      <c r="G146" s="52"/>
      <c r="H146" s="53"/>
      <c r="J146" s="8" t="s">
        <v>158</v>
      </c>
      <c r="K146" s="9" t="s">
        <v>159</v>
      </c>
      <c r="L146" s="11" t="s">
        <v>160</v>
      </c>
      <c r="M146" s="12" t="s">
        <v>161</v>
      </c>
      <c r="N146" s="10" t="s">
        <v>162</v>
      </c>
      <c r="O146" s="91"/>
      <c r="P146" s="54"/>
      <c r="Q146" s="54"/>
      <c r="R146" s="54"/>
      <c r="S146" s="54"/>
      <c r="T146" s="54"/>
    </row>
    <row r="147" spans="2:20" ht="15.75">
      <c r="B147" s="75" t="s">
        <v>163</v>
      </c>
      <c r="C147" s="52"/>
      <c r="D147" s="52"/>
      <c r="E147" s="52"/>
      <c r="F147" s="52"/>
      <c r="G147" s="52"/>
      <c r="H147" s="53"/>
      <c r="J147" s="91"/>
      <c r="K147" s="91"/>
      <c r="L147" s="91"/>
      <c r="M147" s="91"/>
      <c r="N147" s="91"/>
      <c r="O147" s="91"/>
      <c r="P147" s="54"/>
      <c r="Q147" s="54"/>
      <c r="R147" s="54"/>
      <c r="S147" s="54"/>
      <c r="T147" s="54"/>
    </row>
    <row r="148" spans="2:20" ht="15.75">
      <c r="B148" s="75"/>
      <c r="C148" s="52"/>
      <c r="D148" s="52"/>
      <c r="E148" s="52"/>
      <c r="F148" s="52"/>
      <c r="G148" s="52"/>
      <c r="H148" s="53"/>
      <c r="J148" s="91"/>
      <c r="K148" s="91"/>
      <c r="L148" s="91"/>
      <c r="M148" s="91"/>
      <c r="N148" s="91"/>
      <c r="O148" s="91"/>
      <c r="P148" s="54"/>
      <c r="Q148" s="54"/>
      <c r="R148" s="54"/>
      <c r="S148" s="54"/>
      <c r="T148" s="54"/>
    </row>
    <row r="149" spans="2:20" ht="15.75">
      <c r="B149" s="75" t="s">
        <v>164</v>
      </c>
      <c r="C149" s="52"/>
      <c r="D149" s="52"/>
      <c r="E149" s="52"/>
      <c r="F149" s="52"/>
      <c r="G149" s="52"/>
      <c r="H149" s="53"/>
      <c r="J149" s="91"/>
      <c r="K149" s="91"/>
      <c r="L149" s="91"/>
      <c r="M149" s="91"/>
      <c r="N149" s="91"/>
      <c r="O149" s="91"/>
      <c r="P149" s="54"/>
      <c r="Q149" s="54"/>
      <c r="R149" s="54"/>
      <c r="S149" s="54"/>
      <c r="T149" s="54"/>
    </row>
    <row r="150" spans="2:20" ht="15.75">
      <c r="B150" s="75" t="s">
        <v>165</v>
      </c>
      <c r="C150" s="52"/>
      <c r="D150" s="52"/>
      <c r="E150" s="52"/>
      <c r="F150" s="52"/>
      <c r="G150" s="52"/>
      <c r="H150" s="53"/>
      <c r="J150" s="91"/>
      <c r="K150" s="91"/>
      <c r="L150" s="91"/>
      <c r="M150" s="91"/>
      <c r="N150" s="91"/>
      <c r="O150" s="91"/>
      <c r="P150" s="54"/>
      <c r="Q150" s="54"/>
      <c r="R150" s="54"/>
      <c r="S150" s="54"/>
      <c r="T150" s="54"/>
    </row>
    <row r="151" spans="2:20" ht="15.75">
      <c r="B151" s="75"/>
      <c r="C151" s="52"/>
      <c r="D151" s="52"/>
      <c r="E151" s="52"/>
      <c r="F151" s="52"/>
      <c r="G151" s="52"/>
      <c r="H151" s="53"/>
      <c r="J151" s="91"/>
      <c r="K151" s="91"/>
      <c r="L151" s="91"/>
      <c r="M151" s="91"/>
      <c r="N151" s="91"/>
      <c r="O151" s="91"/>
      <c r="P151" s="54"/>
      <c r="Q151" s="54"/>
      <c r="R151" s="54"/>
      <c r="S151" s="54"/>
      <c r="T151" s="54"/>
    </row>
    <row r="152" spans="2:20" ht="15.75">
      <c r="B152" s="75" t="s">
        <v>166</v>
      </c>
      <c r="C152" s="52"/>
      <c r="D152" s="52"/>
      <c r="E152" s="52"/>
      <c r="F152" s="52"/>
      <c r="G152" s="52"/>
      <c r="H152" s="53"/>
      <c r="J152" s="91"/>
      <c r="K152" s="91"/>
      <c r="L152" s="91"/>
      <c r="M152" s="91"/>
      <c r="N152" s="91"/>
      <c r="O152" s="91"/>
      <c r="P152" s="54"/>
      <c r="Q152" s="54"/>
      <c r="R152" s="54"/>
      <c r="S152" s="54"/>
      <c r="T152" s="54"/>
    </row>
    <row r="153" spans="2:20" ht="15.75">
      <c r="B153" s="75" t="s">
        <v>167</v>
      </c>
      <c r="C153" s="52"/>
      <c r="D153" s="52"/>
      <c r="E153" s="52"/>
      <c r="F153" s="52"/>
      <c r="G153" s="52"/>
      <c r="H153" s="53"/>
      <c r="J153" s="91"/>
      <c r="K153" s="91"/>
      <c r="L153" s="91"/>
      <c r="M153" s="91"/>
      <c r="N153" s="91"/>
      <c r="O153" s="91"/>
      <c r="P153" s="54"/>
      <c r="Q153" s="54"/>
      <c r="R153" s="54"/>
      <c r="S153" s="54"/>
      <c r="T153" s="54"/>
    </row>
    <row r="154" spans="2:20" ht="15.75">
      <c r="B154" s="75" t="s">
        <v>168</v>
      </c>
      <c r="C154" s="52"/>
      <c r="D154" s="52"/>
      <c r="E154" s="52"/>
      <c r="F154" s="52"/>
      <c r="G154" s="52"/>
      <c r="H154" s="53"/>
      <c r="J154" s="91"/>
      <c r="K154" s="91"/>
      <c r="L154" s="91"/>
      <c r="M154" s="91"/>
      <c r="N154" s="91"/>
      <c r="O154" s="91"/>
      <c r="P154" s="54"/>
      <c r="Q154" s="54"/>
      <c r="R154" s="54"/>
      <c r="S154" s="54"/>
      <c r="T154" s="54"/>
    </row>
    <row r="155" spans="2:20" ht="15.75">
      <c r="B155" s="75" t="s">
        <v>169</v>
      </c>
      <c r="C155" s="52"/>
      <c r="D155" s="52"/>
      <c r="E155" s="52"/>
      <c r="F155" s="52"/>
      <c r="G155" s="52"/>
      <c r="H155" s="53"/>
      <c r="J155" s="91"/>
      <c r="K155" s="91"/>
      <c r="L155" s="91"/>
      <c r="M155" s="91"/>
      <c r="N155" s="91"/>
      <c r="O155" s="91"/>
      <c r="P155" s="54"/>
      <c r="Q155" s="54"/>
      <c r="R155" s="54"/>
      <c r="S155" s="54"/>
      <c r="T155" s="54"/>
    </row>
    <row r="156" spans="2:20" ht="15.75">
      <c r="B156" s="75" t="s">
        <v>170</v>
      </c>
      <c r="C156" s="52"/>
      <c r="D156" s="52"/>
      <c r="E156" s="52"/>
      <c r="F156" s="52"/>
      <c r="G156" s="52"/>
      <c r="H156" s="53"/>
      <c r="J156" s="91"/>
      <c r="K156" s="91"/>
      <c r="L156" s="91"/>
      <c r="M156" s="91"/>
      <c r="N156" s="91"/>
      <c r="O156" s="91"/>
      <c r="P156" s="54"/>
      <c r="Q156" s="54"/>
      <c r="R156" s="54"/>
      <c r="S156" s="54"/>
      <c r="T156" s="54"/>
    </row>
    <row r="157" spans="2:20" ht="15.75">
      <c r="B157" s="75" t="s">
        <v>171</v>
      </c>
      <c r="C157" s="52"/>
      <c r="D157" s="52"/>
      <c r="E157" s="52"/>
      <c r="F157" s="52"/>
      <c r="G157" s="52"/>
      <c r="H157" s="53"/>
      <c r="J157" s="91"/>
      <c r="K157" s="91"/>
      <c r="L157" s="91"/>
      <c r="M157" s="91"/>
      <c r="N157" s="91"/>
      <c r="O157" s="91"/>
      <c r="P157" s="54"/>
      <c r="Q157" s="54"/>
      <c r="R157" s="54"/>
      <c r="S157" s="54"/>
      <c r="T157" s="54"/>
    </row>
    <row r="158" spans="2:20" ht="15.75">
      <c r="B158" s="75" t="s">
        <v>172</v>
      </c>
      <c r="C158" s="52"/>
      <c r="D158" s="52"/>
      <c r="E158" s="52"/>
      <c r="F158" s="52"/>
      <c r="G158" s="52"/>
      <c r="H158" s="53"/>
      <c r="J158" s="91"/>
      <c r="K158" s="91"/>
      <c r="L158" s="91"/>
      <c r="M158" s="91"/>
      <c r="N158" s="91"/>
      <c r="O158" s="91"/>
      <c r="P158" s="54"/>
      <c r="Q158" s="54"/>
      <c r="R158" s="54"/>
      <c r="S158" s="54"/>
      <c r="T158" s="54"/>
    </row>
    <row r="159" spans="2:20" ht="15.75">
      <c r="B159" s="75"/>
      <c r="C159" s="52"/>
      <c r="D159" s="52"/>
      <c r="E159" s="52"/>
      <c r="F159" s="52"/>
      <c r="G159" s="52"/>
      <c r="H159" s="53"/>
      <c r="J159" s="91"/>
      <c r="K159" s="91"/>
      <c r="L159" s="91"/>
      <c r="M159" s="91"/>
      <c r="N159" s="91"/>
      <c r="O159" s="91"/>
      <c r="P159" s="54"/>
      <c r="Q159" s="54"/>
      <c r="R159" s="54"/>
      <c r="S159" s="54"/>
      <c r="T159" s="54"/>
    </row>
    <row r="160" spans="2:20" ht="15.75">
      <c r="B160" s="75" t="s">
        <v>173</v>
      </c>
      <c r="C160" s="54" t="s">
        <v>174</v>
      </c>
      <c r="D160" s="52"/>
      <c r="E160" s="52"/>
      <c r="F160" s="52"/>
      <c r="G160" s="52"/>
      <c r="H160" s="53"/>
      <c r="J160" s="91"/>
      <c r="K160" s="91"/>
      <c r="L160" s="91"/>
      <c r="M160" s="91"/>
      <c r="N160" s="91"/>
      <c r="O160" s="91"/>
      <c r="P160" s="54"/>
      <c r="Q160" s="54"/>
      <c r="R160" s="54"/>
      <c r="S160" s="54"/>
      <c r="T160" s="54"/>
    </row>
    <row r="161" spans="2:20" ht="15.75" outlineLevel="1">
      <c r="B161" s="75"/>
      <c r="C161" s="52" t="s">
        <v>175</v>
      </c>
      <c r="D161" s="52"/>
      <c r="E161" s="52"/>
      <c r="F161" s="52"/>
      <c r="G161" s="52"/>
      <c r="H161" s="53"/>
      <c r="J161" s="91"/>
      <c r="K161" s="91"/>
      <c r="L161" s="91"/>
      <c r="M161" s="91"/>
      <c r="N161" s="91"/>
      <c r="O161" s="91"/>
      <c r="P161" s="54"/>
      <c r="Q161" s="54"/>
      <c r="R161" s="54"/>
      <c r="S161" s="54"/>
      <c r="T161" s="54"/>
    </row>
    <row r="162" spans="2:20" ht="15.75" outlineLevel="1">
      <c r="B162" s="75"/>
      <c r="C162" s="52" t="s">
        <v>176</v>
      </c>
      <c r="D162" s="52"/>
      <c r="E162" s="52"/>
      <c r="F162" s="52"/>
      <c r="G162" s="52"/>
      <c r="H162" s="53"/>
      <c r="J162" s="91"/>
      <c r="K162" s="91"/>
      <c r="L162" s="91"/>
      <c r="M162" s="91"/>
      <c r="N162" s="91"/>
      <c r="O162" s="91"/>
      <c r="P162" s="54"/>
      <c r="Q162" s="54"/>
      <c r="R162" s="54"/>
      <c r="S162" s="54"/>
      <c r="T162" s="54"/>
    </row>
    <row r="163" spans="2:20" ht="15.75" outlineLevel="1">
      <c r="B163" s="75"/>
      <c r="C163" s="52" t="s">
        <v>177</v>
      </c>
      <c r="D163" s="52"/>
      <c r="E163" s="52"/>
      <c r="F163" s="52"/>
      <c r="G163" s="52"/>
      <c r="H163" s="53"/>
      <c r="J163" s="91"/>
      <c r="K163" s="91"/>
      <c r="L163" s="91"/>
      <c r="M163" s="91"/>
      <c r="N163" s="91"/>
      <c r="O163" s="91"/>
      <c r="P163" s="54"/>
      <c r="Q163" s="54"/>
      <c r="R163" s="54"/>
      <c r="S163" s="54"/>
      <c r="T163" s="54"/>
    </row>
    <row r="164" spans="2:20" ht="15.75" outlineLevel="1">
      <c r="B164" s="75"/>
      <c r="C164" s="54" t="s">
        <v>178</v>
      </c>
      <c r="D164" s="52"/>
      <c r="E164" s="52"/>
      <c r="F164" s="52"/>
      <c r="G164" s="52"/>
      <c r="H164" s="53"/>
      <c r="J164" s="91"/>
      <c r="K164" s="91"/>
      <c r="L164" s="91"/>
      <c r="M164" s="91"/>
      <c r="N164" s="91"/>
      <c r="O164" s="91"/>
      <c r="P164" s="54"/>
      <c r="Q164" s="54"/>
      <c r="R164" s="54"/>
      <c r="S164" s="54"/>
      <c r="T164" s="54"/>
    </row>
    <row r="165" spans="2:20" ht="15.75" outlineLevel="1">
      <c r="B165" s="75"/>
      <c r="C165" s="54" t="s">
        <v>179</v>
      </c>
      <c r="D165" s="52"/>
      <c r="E165" s="52"/>
      <c r="F165" s="52"/>
      <c r="G165" s="52"/>
      <c r="H165" s="53"/>
      <c r="J165" s="91"/>
      <c r="K165" s="91"/>
      <c r="L165" s="91"/>
      <c r="M165" s="91"/>
      <c r="N165" s="91"/>
      <c r="O165" s="91"/>
      <c r="P165" s="54"/>
      <c r="Q165" s="54"/>
      <c r="R165" s="54"/>
      <c r="S165" s="54"/>
      <c r="T165" s="54"/>
    </row>
    <row r="166" spans="2:20" ht="15.75" outlineLevel="1">
      <c r="B166" s="75"/>
      <c r="C166" s="54" t="s">
        <v>180</v>
      </c>
      <c r="D166" s="52"/>
      <c r="E166" s="52"/>
      <c r="F166" s="52"/>
      <c r="G166" s="52"/>
      <c r="H166" s="53"/>
      <c r="J166" s="91"/>
      <c r="K166" s="91" t="s">
        <v>54</v>
      </c>
      <c r="L166" s="91"/>
      <c r="M166" s="91"/>
      <c r="N166" s="91"/>
      <c r="O166" s="91"/>
      <c r="P166" s="54"/>
      <c r="Q166" s="54"/>
      <c r="R166" s="54"/>
      <c r="S166" s="54"/>
      <c r="T166" s="54"/>
    </row>
    <row r="167" spans="2:20" ht="15.75" outlineLevel="1">
      <c r="B167" s="75"/>
      <c r="C167" s="54" t="s">
        <v>181</v>
      </c>
      <c r="D167" s="52"/>
      <c r="E167" s="52"/>
      <c r="F167" s="52"/>
      <c r="G167" s="52"/>
      <c r="H167" s="53"/>
      <c r="J167" s="91"/>
      <c r="K167" s="91" t="s">
        <v>182</v>
      </c>
      <c r="L167" s="91"/>
      <c r="M167" s="91"/>
      <c r="N167" s="91"/>
      <c r="O167" s="91"/>
      <c r="P167" s="54"/>
      <c r="Q167" s="54"/>
      <c r="R167" s="54"/>
      <c r="S167" s="54"/>
      <c r="T167" s="54"/>
    </row>
    <row r="168" spans="2:20" ht="15.75" outlineLevel="1">
      <c r="B168" s="75"/>
      <c r="C168" s="54" t="s">
        <v>183</v>
      </c>
      <c r="D168" s="52"/>
      <c r="E168" s="52"/>
      <c r="F168" s="52"/>
      <c r="G168" s="52"/>
      <c r="H168" s="53"/>
      <c r="J168" s="91"/>
      <c r="K168" s="91" t="s">
        <v>184</v>
      </c>
      <c r="L168" s="91"/>
      <c r="M168" s="91"/>
      <c r="N168" s="91"/>
      <c r="O168" s="91"/>
      <c r="P168" s="54"/>
      <c r="Q168" s="54"/>
      <c r="R168" s="54"/>
      <c r="S168" s="54"/>
      <c r="T168" s="54"/>
    </row>
    <row r="169" spans="2:20" ht="15.75" outlineLevel="1">
      <c r="B169" s="75"/>
      <c r="C169" s="54" t="s">
        <v>185</v>
      </c>
      <c r="D169" s="52"/>
      <c r="E169" s="52"/>
      <c r="F169" s="52"/>
      <c r="G169" s="52"/>
      <c r="H169" s="53"/>
      <c r="J169" s="91"/>
      <c r="K169" s="91" t="s">
        <v>186</v>
      </c>
      <c r="L169" s="91"/>
      <c r="M169" s="91"/>
      <c r="N169" s="91"/>
      <c r="O169" s="91"/>
      <c r="P169" s="54"/>
      <c r="Q169" s="54"/>
      <c r="R169" s="54"/>
      <c r="S169" s="54"/>
      <c r="T169" s="54"/>
    </row>
    <row r="170" spans="2:20" ht="15.75" outlineLevel="1">
      <c r="B170" s="75"/>
      <c r="C170" s="54" t="s">
        <v>187</v>
      </c>
      <c r="D170" s="52"/>
      <c r="E170" s="52"/>
      <c r="F170" s="52"/>
      <c r="G170" s="52"/>
      <c r="H170" s="53"/>
      <c r="J170" s="91"/>
      <c r="K170" s="91" t="s">
        <v>188</v>
      </c>
      <c r="L170" s="91"/>
      <c r="M170" s="91"/>
      <c r="N170" s="91"/>
      <c r="O170" s="91"/>
      <c r="P170" s="54"/>
      <c r="Q170" s="54"/>
      <c r="R170" s="54"/>
      <c r="S170" s="54"/>
      <c r="T170" s="54"/>
    </row>
    <row r="171" spans="2:20" ht="15.75" outlineLevel="1">
      <c r="B171" s="75"/>
      <c r="C171" s="54" t="s">
        <v>189</v>
      </c>
      <c r="D171" s="52"/>
      <c r="E171" s="52"/>
      <c r="F171" s="52"/>
      <c r="G171" s="52"/>
      <c r="H171" s="53"/>
      <c r="J171" s="91"/>
      <c r="K171" s="91"/>
      <c r="L171" s="91" t="s">
        <v>190</v>
      </c>
      <c r="M171" s="91"/>
      <c r="N171" s="91"/>
      <c r="O171" s="91"/>
      <c r="P171" s="54"/>
      <c r="Q171" s="54"/>
      <c r="R171" s="54"/>
      <c r="S171" s="54"/>
      <c r="T171" s="54"/>
    </row>
    <row r="172" spans="2:20" ht="15.75">
      <c r="B172" s="75"/>
      <c r="C172" s="52"/>
      <c r="D172" s="52"/>
      <c r="E172" s="52"/>
      <c r="F172" s="52"/>
      <c r="G172" s="52"/>
      <c r="H172" s="53"/>
      <c r="J172" s="91"/>
      <c r="K172" s="91"/>
      <c r="L172" s="91" t="s">
        <v>191</v>
      </c>
      <c r="M172" s="91"/>
      <c r="N172" s="91"/>
      <c r="O172" s="91"/>
      <c r="P172" s="54"/>
      <c r="Q172" s="54"/>
      <c r="R172" s="54"/>
      <c r="S172" s="54"/>
      <c r="T172" s="54"/>
    </row>
    <row r="173" spans="2:20" ht="15.75">
      <c r="B173" s="75" t="s">
        <v>192</v>
      </c>
      <c r="C173" s="52"/>
      <c r="D173" s="52"/>
      <c r="E173" s="52"/>
      <c r="F173" s="52"/>
      <c r="G173" s="52"/>
      <c r="H173" s="53"/>
      <c r="J173" s="91"/>
      <c r="K173" s="118" t="s">
        <v>193</v>
      </c>
      <c r="L173" s="91"/>
      <c r="M173" s="91"/>
      <c r="N173" s="91"/>
      <c r="O173" s="91"/>
      <c r="P173" s="54"/>
      <c r="Q173" s="54"/>
      <c r="R173" s="54"/>
      <c r="S173" s="54"/>
      <c r="T173" s="54"/>
    </row>
    <row r="174" spans="2:20" ht="15.75">
      <c r="B174" s="75" t="s">
        <v>194</v>
      </c>
      <c r="C174" s="52"/>
      <c r="D174" s="52"/>
      <c r="E174" s="52"/>
      <c r="F174" s="52"/>
      <c r="G174" s="52"/>
      <c r="H174" s="53"/>
      <c r="J174" s="91"/>
      <c r="K174" s="91" t="s">
        <v>195</v>
      </c>
      <c r="L174" s="91"/>
      <c r="M174" s="91"/>
      <c r="N174" s="91"/>
      <c r="O174" s="91"/>
      <c r="P174" s="54"/>
      <c r="Q174" s="54"/>
      <c r="R174" s="54"/>
      <c r="S174" s="54"/>
      <c r="T174" s="54"/>
    </row>
    <row r="175" spans="2:20" ht="15.75">
      <c r="B175" s="75"/>
      <c r="C175" s="52"/>
      <c r="D175" s="52"/>
      <c r="E175" s="52"/>
      <c r="F175" s="52"/>
      <c r="G175" s="52"/>
      <c r="H175" s="53"/>
      <c r="J175" s="91"/>
      <c r="K175" s="91"/>
      <c r="L175" s="91" t="s">
        <v>196</v>
      </c>
      <c r="M175" s="91"/>
      <c r="N175" s="91"/>
      <c r="O175" s="91"/>
      <c r="P175" s="54"/>
      <c r="Q175" s="54"/>
      <c r="R175" s="54"/>
      <c r="S175" s="54"/>
      <c r="T175" s="54"/>
    </row>
    <row r="176" spans="2:20" ht="15.75">
      <c r="B176" s="75"/>
      <c r="C176" s="50" t="s">
        <v>197</v>
      </c>
      <c r="D176" s="52"/>
      <c r="E176" s="52"/>
      <c r="F176" s="52"/>
      <c r="G176" s="52"/>
      <c r="H176" s="53"/>
      <c r="J176" s="91"/>
      <c r="M176" s="91"/>
      <c r="N176" s="91"/>
      <c r="O176" s="91"/>
      <c r="P176" s="54"/>
      <c r="Q176" s="54"/>
      <c r="R176" s="54"/>
      <c r="S176" s="54"/>
      <c r="T176" s="54"/>
    </row>
    <row r="177" spans="2:70" ht="15.75">
      <c r="B177" s="75"/>
      <c r="C177" s="50" t="s">
        <v>198</v>
      </c>
      <c r="D177" s="52"/>
      <c r="E177" s="52"/>
      <c r="F177" s="52"/>
      <c r="G177" s="52"/>
      <c r="H177" s="53"/>
      <c r="J177" s="91"/>
      <c r="M177" s="91"/>
      <c r="N177" s="91"/>
      <c r="O177" s="91"/>
      <c r="P177" s="54"/>
      <c r="Q177" s="54"/>
      <c r="R177" s="54"/>
      <c r="S177" s="54"/>
      <c r="T177" s="54"/>
    </row>
    <row r="178" spans="2:70" ht="15.75">
      <c r="B178" s="75"/>
      <c r="C178" s="50" t="s">
        <v>199</v>
      </c>
      <c r="D178" s="52"/>
      <c r="E178" s="52"/>
      <c r="F178" s="52"/>
      <c r="G178" s="52"/>
      <c r="H178" s="53"/>
      <c r="J178" s="91"/>
      <c r="K178" s="91"/>
      <c r="L178" s="91"/>
      <c r="M178" s="91"/>
      <c r="N178" s="91"/>
      <c r="O178" s="91"/>
      <c r="P178" s="54"/>
      <c r="Q178" s="54"/>
      <c r="R178" s="54"/>
      <c r="S178" s="54"/>
      <c r="T178" s="54"/>
    </row>
    <row r="179" spans="2:70" ht="14.25" customHeight="1" thickBot="1">
      <c r="B179" s="54"/>
      <c r="C179" s="54"/>
      <c r="D179" s="54"/>
      <c r="E179" s="54"/>
      <c r="F179" s="54"/>
      <c r="G179" s="54"/>
      <c r="H179" s="87"/>
      <c r="I179" s="92"/>
      <c r="J179" s="74" t="s">
        <v>60</v>
      </c>
      <c r="K179" s="91"/>
      <c r="L179" s="91"/>
      <c r="M179" s="94" t="s">
        <v>200</v>
      </c>
      <c r="N179" s="91"/>
      <c r="O179" s="54"/>
      <c r="P179" s="54"/>
      <c r="Q179" s="54"/>
      <c r="R179" s="54"/>
      <c r="S179" s="54" t="s">
        <v>201</v>
      </c>
      <c r="T179" s="54"/>
      <c r="X179" s="54" t="s">
        <v>202</v>
      </c>
      <c r="AC179" s="54" t="s">
        <v>203</v>
      </c>
      <c r="AH179" s="54" t="s">
        <v>204</v>
      </c>
      <c r="AM179" s="54" t="s">
        <v>205</v>
      </c>
      <c r="AR179" t="s">
        <v>206</v>
      </c>
      <c r="AS179"/>
      <c r="AT179"/>
      <c r="AU179"/>
      <c r="AV179"/>
      <c r="AW179" s="54" t="s">
        <v>207</v>
      </c>
      <c r="BB179" s="54" t="s">
        <v>208</v>
      </c>
      <c r="BG179" s="54" t="s">
        <v>209</v>
      </c>
      <c r="BL179" s="54" t="s">
        <v>210</v>
      </c>
      <c r="BQ179" s="54" t="s">
        <v>211</v>
      </c>
      <c r="BR179" s="54" t="s">
        <v>212</v>
      </c>
    </row>
    <row r="180" spans="2:70" ht="25.5" customHeight="1" thickBot="1">
      <c r="B180" s="42" t="s">
        <v>9</v>
      </c>
      <c r="C180" s="42" t="s">
        <v>62</v>
      </c>
      <c r="D180" s="42" t="s">
        <v>11</v>
      </c>
      <c r="E180" s="42" t="s">
        <v>63</v>
      </c>
      <c r="F180" s="42" t="s">
        <v>13</v>
      </c>
      <c r="G180" s="42" t="s">
        <v>14</v>
      </c>
      <c r="H180" s="42" t="s">
        <v>15</v>
      </c>
      <c r="J180" s="1" t="s">
        <v>64</v>
      </c>
      <c r="K180" s="1" t="s">
        <v>133</v>
      </c>
      <c r="L180" s="1" t="s">
        <v>133</v>
      </c>
      <c r="M180" s="1" t="s">
        <v>213</v>
      </c>
      <c r="N180" s="5" t="s">
        <v>214</v>
      </c>
      <c r="O180" s="6" t="s">
        <v>215</v>
      </c>
      <c r="P180" s="6" t="s">
        <v>216</v>
      </c>
      <c r="Q180" s="6" t="s">
        <v>217</v>
      </c>
      <c r="R180" s="7" t="s">
        <v>218</v>
      </c>
      <c r="S180" s="5" t="s">
        <v>214</v>
      </c>
      <c r="T180" s="6" t="s">
        <v>215</v>
      </c>
      <c r="U180" s="6" t="s">
        <v>216</v>
      </c>
      <c r="V180" s="6" t="s">
        <v>217</v>
      </c>
      <c r="W180" s="7" t="s">
        <v>218</v>
      </c>
      <c r="X180" s="5" t="s">
        <v>214</v>
      </c>
      <c r="Y180" s="6" t="s">
        <v>215</v>
      </c>
      <c r="Z180" s="6" t="s">
        <v>216</v>
      </c>
      <c r="AA180" s="6" t="s">
        <v>217</v>
      </c>
      <c r="AB180" s="7" t="s">
        <v>218</v>
      </c>
      <c r="AC180" s="5" t="s">
        <v>214</v>
      </c>
      <c r="AD180" s="6" t="s">
        <v>215</v>
      </c>
      <c r="AE180" s="6" t="s">
        <v>216</v>
      </c>
      <c r="AF180" s="6" t="s">
        <v>217</v>
      </c>
      <c r="AG180" s="7" t="s">
        <v>218</v>
      </c>
      <c r="AH180" s="5" t="s">
        <v>214</v>
      </c>
      <c r="AI180" s="6" t="s">
        <v>215</v>
      </c>
      <c r="AJ180" s="6" t="s">
        <v>216</v>
      </c>
      <c r="AK180" s="6" t="s">
        <v>217</v>
      </c>
      <c r="AL180" s="7" t="s">
        <v>218</v>
      </c>
      <c r="AM180" s="5" t="s">
        <v>214</v>
      </c>
      <c r="AN180" s="6" t="s">
        <v>215</v>
      </c>
      <c r="AO180" s="6" t="s">
        <v>216</v>
      </c>
      <c r="AP180" s="6" t="s">
        <v>217</v>
      </c>
      <c r="AQ180" s="7" t="s">
        <v>218</v>
      </c>
      <c r="AR180" s="5" t="s">
        <v>214</v>
      </c>
      <c r="AS180" s="6" t="s">
        <v>215</v>
      </c>
      <c r="AT180" s="6" t="s">
        <v>216</v>
      </c>
      <c r="AU180" s="6" t="s">
        <v>217</v>
      </c>
      <c r="AV180" s="7" t="s">
        <v>218</v>
      </c>
      <c r="AW180" s="5" t="s">
        <v>214</v>
      </c>
      <c r="AX180" s="6" t="s">
        <v>215</v>
      </c>
      <c r="AY180" s="6" t="s">
        <v>216</v>
      </c>
      <c r="AZ180" s="6" t="s">
        <v>217</v>
      </c>
      <c r="BA180" s="7" t="s">
        <v>218</v>
      </c>
      <c r="BB180" s="5" t="s">
        <v>214</v>
      </c>
      <c r="BC180" s="6" t="s">
        <v>215</v>
      </c>
      <c r="BD180" s="6" t="s">
        <v>216</v>
      </c>
      <c r="BE180" s="6" t="s">
        <v>217</v>
      </c>
      <c r="BF180" s="7" t="s">
        <v>218</v>
      </c>
      <c r="BG180" s="5" t="s">
        <v>214</v>
      </c>
      <c r="BH180" s="6" t="s">
        <v>215</v>
      </c>
      <c r="BI180" s="6" t="s">
        <v>216</v>
      </c>
      <c r="BJ180" s="6" t="s">
        <v>217</v>
      </c>
      <c r="BK180" s="7" t="s">
        <v>218</v>
      </c>
      <c r="BL180" s="5" t="s">
        <v>214</v>
      </c>
      <c r="BM180" s="6" t="s">
        <v>215</v>
      </c>
      <c r="BN180" s="6" t="s">
        <v>216</v>
      </c>
      <c r="BO180" s="6" t="s">
        <v>217</v>
      </c>
      <c r="BP180" s="7" t="s">
        <v>218</v>
      </c>
    </row>
    <row r="181" spans="2:70" ht="14.25" customHeight="1">
      <c r="B181" s="52"/>
      <c r="C181" s="52"/>
      <c r="D181" s="52"/>
      <c r="E181" s="52"/>
      <c r="F181" s="52"/>
      <c r="G181" s="52"/>
      <c r="H181" s="53"/>
      <c r="J181" s="59"/>
      <c r="L181" s="54"/>
      <c r="N181" s="91"/>
      <c r="O181" s="91"/>
      <c r="P181" s="91"/>
      <c r="Q181" s="91"/>
      <c r="R181" s="91"/>
      <c r="S181" s="54"/>
      <c r="T181" s="54"/>
      <c r="AR181"/>
      <c r="AS181"/>
      <c r="AT181"/>
      <c r="AU181"/>
      <c r="AV181"/>
    </row>
    <row r="182" spans="2:70" ht="23.25">
      <c r="B182" s="68" t="s">
        <v>219</v>
      </c>
      <c r="C182" s="68">
        <v>3</v>
      </c>
      <c r="D182" s="76">
        <v>0</v>
      </c>
      <c r="E182" s="2" t="s">
        <v>66</v>
      </c>
      <c r="F182" s="3" t="s">
        <v>67</v>
      </c>
      <c r="G182" s="3" t="s">
        <v>68</v>
      </c>
      <c r="H182" s="47">
        <v>2169</v>
      </c>
      <c r="I182" s="111">
        <f>IF(ISBLANK(H182),0,IF(H182=Answers!H182,1,-1))</f>
        <v>1</v>
      </c>
      <c r="J182" s="78">
        <v>315908</v>
      </c>
      <c r="K182" s="88">
        <v>57.25</v>
      </c>
      <c r="L182" s="119">
        <f>H120/100</f>
        <v>57.25</v>
      </c>
      <c r="M182" s="95">
        <v>45292</v>
      </c>
      <c r="N182" s="8">
        <v>999</v>
      </c>
      <c r="O182" s="8">
        <v>354</v>
      </c>
      <c r="P182" s="10">
        <v>210</v>
      </c>
      <c r="Q182" s="11">
        <v>599</v>
      </c>
      <c r="R182" s="10">
        <v>123</v>
      </c>
      <c r="S182" s="8" t="s">
        <v>158</v>
      </c>
      <c r="T182" s="8" t="s">
        <v>158</v>
      </c>
      <c r="U182" s="10" t="s">
        <v>162</v>
      </c>
      <c r="V182" s="11" t="s">
        <v>160</v>
      </c>
      <c r="W182" s="10" t="s">
        <v>162</v>
      </c>
      <c r="X182" s="54">
        <f>INDEX('Ore Prices (L3)'!$C$7:$G$382,MATCH($M182+6,'Ore Prices (L3)'!$B$7:$B$382,0),MATCH(Case!S182,'Ore Prices (L3)'!$C$6:$G$6,0))</f>
        <v>0.22</v>
      </c>
      <c r="Y182" s="54">
        <f>INDEX('Ore Prices (L3)'!$C$7:$G$382,MATCH($M182+6+7,'Ore Prices (L3)'!$B$7:$B$382,0),MATCH(Case!T182,'Ore Prices (L3)'!$C$6:$G$6,0))</f>
        <v>0.18</v>
      </c>
      <c r="Z182" s="54">
        <f>INDEX('Ore Prices (L3)'!$C$7:$G$382,MATCH($M182+6+7+7,'Ore Prices (L3)'!$B$7:$B$382,0),MATCH(Case!U182,'Ore Prices (L3)'!$C$6:$G$6,0))</f>
        <v>1.49</v>
      </c>
      <c r="AA182" s="54">
        <f>INDEX('Ore Prices (L3)'!$C$7:$G$382,MATCH($M182+6+7+7+7,'Ore Prices (L3)'!$B$7:$B$382,0),MATCH(Case!V182,'Ore Prices (L3)'!$C$6:$G$6,0))</f>
        <v>0.88</v>
      </c>
      <c r="AB182" s="54">
        <f>INDEX('Ore Prices (L3)'!$C$7:$G$382,MATCH($M182+6+7+7+7+7,'Ore Prices (L3)'!$B$7:$B$382,0),MATCH(Case!W182,'Ore Prices (L3)'!$C$6:$G$6,0))</f>
        <v>1.8</v>
      </c>
      <c r="AC182" s="54">
        <f>N182/20</f>
        <v>49.95</v>
      </c>
      <c r="AD182" s="54">
        <f t="shared" ref="AD182:AG182" si="25">O182/20</f>
        <v>17.7</v>
      </c>
      <c r="AE182" s="54">
        <f t="shared" si="25"/>
        <v>10.5</v>
      </c>
      <c r="AF182" s="54">
        <f t="shared" si="25"/>
        <v>29.95</v>
      </c>
      <c r="AG182" s="54">
        <f t="shared" si="25"/>
        <v>6.15</v>
      </c>
      <c r="AH182" s="54">
        <f>INT(AC182)</f>
        <v>49</v>
      </c>
      <c r="AI182" s="54">
        <f>INT(AD182)</f>
        <v>17</v>
      </c>
      <c r="AJ182" s="54">
        <f>INT(AE182)</f>
        <v>10</v>
      </c>
      <c r="AK182" s="54">
        <f>INT(AF182)</f>
        <v>29</v>
      </c>
      <c r="AL182" s="54">
        <f>INT(AG182)</f>
        <v>6</v>
      </c>
      <c r="AM182" s="54">
        <f>AC182-AH182</f>
        <v>0.95000000000000284</v>
      </c>
      <c r="AN182" s="54">
        <f>AD182-AI182</f>
        <v>0.69999999999999929</v>
      </c>
      <c r="AO182" s="54">
        <f>AE182-AJ182</f>
        <v>0.5</v>
      </c>
      <c r="AP182" s="54">
        <f>AF182-AK182</f>
        <v>0.94999999999999929</v>
      </c>
      <c r="AQ182" s="54">
        <f>AG182-AL182</f>
        <v>0.15000000000000036</v>
      </c>
      <c r="AR182">
        <f>SUMPRODUCT(($AM182:AM182)*($S182:S182=S182))</f>
        <v>0.95000000000000284</v>
      </c>
      <c r="AS182">
        <f>SUMPRODUCT(($AM182:AN182)*($S182:T182=T182))</f>
        <v>1.6500000000000021</v>
      </c>
      <c r="AT182">
        <f>SUMPRODUCT(($AM182:AO182)*($S182:U182=U182))</f>
        <v>0.5</v>
      </c>
      <c r="AU182">
        <f>SUMPRODUCT(($AM182:AP182)*($S182:V182=V182))</f>
        <v>0.94999999999999929</v>
      </c>
      <c r="AV182">
        <f>SUMPRODUCT(($AM182:AQ182)*($S182:W182=W182))</f>
        <v>0.65000000000000036</v>
      </c>
      <c r="AW182" s="54">
        <v>0</v>
      </c>
      <c r="AX182" s="54">
        <f>INT(AS182)</f>
        <v>1</v>
      </c>
      <c r="AY182" s="54">
        <f>_xlfn.FLOOR.MATH(SUMPRODUCT(($AM182:AO182)*($S182:U182=U182))-SUMPRODUCT(($AW182:AX182)*($S182:T182=U182)),1)</f>
        <v>0</v>
      </c>
      <c r="AZ182" s="54">
        <f>_xlfn.FLOOR.MATH(SUMPRODUCT(($AM182:AP182)*($S182:V182=V182))-SUMPRODUCT(($AW182:AY182)*($S182:U182=V182)),1)</f>
        <v>0</v>
      </c>
      <c r="BA182" s="54">
        <f>_xlfn.FLOOR.MATH(SUMPRODUCT(($AM182:AQ182)*($S182:W182=W182))-SUMPRODUCT(($AW182:AZ182)*($S182:V182=W182)),1)</f>
        <v>0</v>
      </c>
      <c r="BB182" s="54">
        <f>AR182</f>
        <v>0.95000000000000284</v>
      </c>
      <c r="BC182" s="54">
        <f>AS182-SUMPRODUCT(($AW182:AX182)*($S182:T182=T182))</f>
        <v>0.65000000000000213</v>
      </c>
      <c r="BD182" s="54">
        <f>AT182-SUMPRODUCT(($AW182:AY182)*($S182:U182=U182))</f>
        <v>0.5</v>
      </c>
      <c r="BE182" s="54">
        <f>AU182-SUMPRODUCT(($AW182:AZ182)*($S182:V182=V182))</f>
        <v>0.94999999999999929</v>
      </c>
      <c r="BF182" s="54">
        <f>AV182-SUMPRODUCT(($AW182:BA182)*($S182:W182=W182))</f>
        <v>0.65000000000000036</v>
      </c>
      <c r="BG182" s="54">
        <f>(AH182+AW182)*X182</f>
        <v>10.78</v>
      </c>
      <c r="BH182" s="54">
        <f t="shared" ref="BH182:BK182" si="26">(AI182+AX182)*Y182</f>
        <v>3.2399999999999998</v>
      </c>
      <c r="BI182" s="54">
        <f t="shared" si="26"/>
        <v>14.9</v>
      </c>
      <c r="BJ182" s="54">
        <f t="shared" si="26"/>
        <v>25.52</v>
      </c>
      <c r="BK182" s="54">
        <f t="shared" si="26"/>
        <v>10.8</v>
      </c>
      <c r="BL182" s="54">
        <f>SUM($BG182:BG182)+$L182</f>
        <v>68.03</v>
      </c>
      <c r="BM182" s="54">
        <f>SUM($BG182:BH182)+$L182</f>
        <v>71.27</v>
      </c>
      <c r="BN182" s="54">
        <f>SUM($BG182:BI182)+$L182</f>
        <v>86.17</v>
      </c>
      <c r="BO182" s="54">
        <f>SUM($BG182:BJ182)+$L182</f>
        <v>111.69</v>
      </c>
      <c r="BP182" s="54">
        <f>SUM($BG182:BK182)+$L182</f>
        <v>122.49</v>
      </c>
      <c r="BQ182" s="54">
        <f>MATCH(90,BL182:BP182,1)+1</f>
        <v>4</v>
      </c>
      <c r="BR182" s="117">
        <f>INDEX(BL182:BP182,BQ182)-90</f>
        <v>21.689999999999998</v>
      </c>
    </row>
    <row r="183" spans="2:70" ht="15" customHeight="1">
      <c r="B183" s="52"/>
      <c r="C183" s="52"/>
      <c r="D183" s="52"/>
      <c r="E183" s="52"/>
      <c r="F183" s="77"/>
      <c r="G183" s="77"/>
      <c r="H183" s="85"/>
      <c r="J183" s="79"/>
      <c r="K183" s="90"/>
      <c r="L183" s="54"/>
      <c r="M183" s="96"/>
      <c r="N183" s="97"/>
      <c r="O183" s="97"/>
      <c r="P183" s="97"/>
      <c r="Q183" s="50"/>
      <c r="R183" s="97"/>
      <c r="S183" s="97"/>
      <c r="T183" s="97"/>
      <c r="U183" s="97"/>
      <c r="V183" s="50"/>
      <c r="W183" s="97"/>
    </row>
    <row r="184" spans="2:70" ht="23.25">
      <c r="B184" s="68">
        <v>41</v>
      </c>
      <c r="C184" s="68">
        <f>C182</f>
        <v>3</v>
      </c>
      <c r="D184" s="76">
        <v>9</v>
      </c>
      <c r="E184" s="2">
        <v>1</v>
      </c>
      <c r="F184" s="3" t="s">
        <v>67</v>
      </c>
      <c r="G184" s="3" t="s">
        <v>71</v>
      </c>
      <c r="H184" s="47">
        <f>MROUND(BR184*100,1)</f>
        <v>745</v>
      </c>
      <c r="I184" s="111">
        <f>IF(ISBLANK(H184),0,IF(H184=Answers!H184,1,-1))</f>
        <v>1</v>
      </c>
      <c r="J184" s="78" t="s">
        <v>220</v>
      </c>
      <c r="K184" s="78" t="s">
        <v>220</v>
      </c>
      <c r="L184" s="119">
        <f>H122/100</f>
        <v>55.549999999999983</v>
      </c>
      <c r="M184" s="95">
        <v>45474</v>
      </c>
      <c r="N184" s="9">
        <v>300</v>
      </c>
      <c r="O184" s="8">
        <v>450</v>
      </c>
      <c r="P184" s="12">
        <v>370</v>
      </c>
      <c r="Q184" s="10">
        <v>200</v>
      </c>
      <c r="R184" s="11">
        <v>1314</v>
      </c>
      <c r="S184" s="9" t="s">
        <v>159</v>
      </c>
      <c r="T184" s="8" t="s">
        <v>158</v>
      </c>
      <c r="U184" s="12" t="s">
        <v>161</v>
      </c>
      <c r="V184" s="10" t="s">
        <v>162</v>
      </c>
      <c r="W184" s="11" t="s">
        <v>160</v>
      </c>
      <c r="X184" s="54">
        <f>INDEX('Ore Prices (L3)'!$C$7:$G$382,MATCH($M184+6,'Ore Prices (L3)'!$B$7:$B$382,0),MATCH(Case!S184,'Ore Prices (L3)'!$C$6:$G$6,0))</f>
        <v>0.46</v>
      </c>
      <c r="Y184" s="54">
        <f>INDEX('Ore Prices (L3)'!$C$7:$G$382,MATCH($M184+6+7,'Ore Prices (L3)'!$B$7:$B$382,0),MATCH(Case!T184,'Ore Prices (L3)'!$C$6:$G$6,0))</f>
        <v>0.04</v>
      </c>
      <c r="Z184" s="54">
        <f>INDEX('Ore Prices (L3)'!$C$7:$G$382,MATCH($M184+6+7+7,'Ore Prices (L3)'!$B$7:$B$382,0),MATCH(Case!U184,'Ore Prices (L3)'!$C$6:$G$6,0))</f>
        <v>1.19</v>
      </c>
      <c r="AA184" s="54">
        <f>INDEX('Ore Prices (L3)'!$C$7:$G$382,MATCH($M184+6+7+7+7,'Ore Prices (L3)'!$B$7:$B$382,0),MATCH(Case!V184,'Ore Prices (L3)'!$C$6:$G$6,0))</f>
        <v>1.27</v>
      </c>
      <c r="AB184" s="54">
        <f>INDEX('Ore Prices (L3)'!$C$7:$G$382,MATCH($M184+6+7+7+7+7,'Ore Prices (L3)'!$B$7:$B$382,0),MATCH(Case!W184,'Ore Prices (L3)'!$C$6:$G$6,0))</f>
        <v>0.91</v>
      </c>
      <c r="AC184" s="54">
        <f>N184/20</f>
        <v>15</v>
      </c>
      <c r="AD184" s="54">
        <f t="shared" ref="AD184" si="27">O184/20</f>
        <v>22.5</v>
      </c>
      <c r="AE184" s="54">
        <f t="shared" ref="AE184" si="28">P184/20</f>
        <v>18.5</v>
      </c>
      <c r="AF184" s="54">
        <f t="shared" ref="AF184" si="29">Q184/20</f>
        <v>10</v>
      </c>
      <c r="AG184" s="54">
        <f t="shared" ref="AG184" si="30">R184/20</f>
        <v>65.7</v>
      </c>
      <c r="AH184" s="54">
        <f>INT(AC184)</f>
        <v>15</v>
      </c>
      <c r="AI184" s="54">
        <f>INT(AD184)</f>
        <v>22</v>
      </c>
      <c r="AJ184" s="54">
        <f>INT(AE184)</f>
        <v>18</v>
      </c>
      <c r="AK184" s="54">
        <f>INT(AF184)</f>
        <v>10</v>
      </c>
      <c r="AL184" s="54">
        <f>INT(AG184)</f>
        <v>65</v>
      </c>
      <c r="AM184" s="54">
        <f>AC184-AH184</f>
        <v>0</v>
      </c>
      <c r="AN184" s="54">
        <f>AD184-AI184</f>
        <v>0.5</v>
      </c>
      <c r="AO184" s="54">
        <f>AE184-AJ184</f>
        <v>0.5</v>
      </c>
      <c r="AP184" s="54">
        <f>AF184-AK184</f>
        <v>0</v>
      </c>
      <c r="AQ184" s="54">
        <f>AG184-AL184</f>
        <v>0.70000000000000284</v>
      </c>
      <c r="AR184">
        <f>SUMPRODUCT(($AM184:AM184)*($S184:S184=S184))</f>
        <v>0</v>
      </c>
      <c r="AS184">
        <f>SUMPRODUCT(($AM184:AN184)*($S184:T184=T184))</f>
        <v>0.5</v>
      </c>
      <c r="AT184">
        <f>SUMPRODUCT(($AM184:AO184)*($S184:U184=U184))</f>
        <v>0.5</v>
      </c>
      <c r="AU184">
        <f>SUMPRODUCT(($AM184:AP184)*($S184:V184=V184))</f>
        <v>0</v>
      </c>
      <c r="AV184">
        <f>SUMPRODUCT(($AM184:AQ184)*($S184:W184=W184))</f>
        <v>0.70000000000000284</v>
      </c>
      <c r="AW184" s="54">
        <v>0</v>
      </c>
      <c r="AX184" s="54">
        <f>INT(AS184)</f>
        <v>0</v>
      </c>
      <c r="AY184" s="54">
        <f>_xlfn.FLOOR.MATH(SUMPRODUCT(($AM184:AO184)*($S184:U184=U184))-SUMPRODUCT(($AW184:AX184)*($S184:T184=U184)),1)</f>
        <v>0</v>
      </c>
      <c r="AZ184" s="54">
        <f>_xlfn.FLOOR.MATH(SUMPRODUCT(($AM184:AP184)*($S184:V184=V184))-SUMPRODUCT(($AW184:AY184)*($S184:U184=V184)),1)</f>
        <v>0</v>
      </c>
      <c r="BA184" s="54">
        <f>_xlfn.FLOOR.MATH(SUMPRODUCT(($AM184:AQ184)*($S184:W184=W184))-SUMPRODUCT(($AW184:AZ184)*($S184:V184=W184)),1)</f>
        <v>0</v>
      </c>
      <c r="BB184" s="54">
        <f>AR184</f>
        <v>0</v>
      </c>
      <c r="BC184" s="54">
        <f>AS184-SUMPRODUCT(($AW184:AX184)*($S184:T184=T184))</f>
        <v>0.5</v>
      </c>
      <c r="BD184" s="54">
        <f>AT184-SUMPRODUCT(($AW184:AY184)*($S184:U184=U184))</f>
        <v>0.5</v>
      </c>
      <c r="BE184" s="54">
        <f>AU184-SUMPRODUCT(($AW184:AZ184)*($S184:V184=V184))</f>
        <v>0</v>
      </c>
      <c r="BF184" s="54">
        <f>AV184-SUMPRODUCT(($AW184:BA184)*($S184:W184=W184))</f>
        <v>0.70000000000000284</v>
      </c>
      <c r="BG184" s="54">
        <f>(AH184+AW184)*X184</f>
        <v>6.9</v>
      </c>
      <c r="BH184" s="54">
        <f t="shared" ref="BH184" si="31">(AI184+AX184)*Y184</f>
        <v>0.88</v>
      </c>
      <c r="BI184" s="54">
        <f t="shared" ref="BI184" si="32">(AJ184+AY184)*Z184</f>
        <v>21.419999999999998</v>
      </c>
      <c r="BJ184" s="54">
        <f t="shared" ref="BJ184" si="33">(AK184+AZ184)*AA184</f>
        <v>12.7</v>
      </c>
      <c r="BK184" s="54">
        <f t="shared" ref="BK184" si="34">(AL184+BA184)*AB184</f>
        <v>59.15</v>
      </c>
      <c r="BL184" s="54">
        <f>SUM($BG184:BG184)+$L184</f>
        <v>62.449999999999982</v>
      </c>
      <c r="BM184" s="54">
        <f>SUM($BG184:BH184)+$L184</f>
        <v>63.329999999999984</v>
      </c>
      <c r="BN184" s="54">
        <f>SUM($BG184:BI184)+$L184</f>
        <v>84.749999999999986</v>
      </c>
      <c r="BO184" s="54">
        <f>SUM($BG184:BJ184)+$L184</f>
        <v>97.449999999999989</v>
      </c>
      <c r="BP184" s="54">
        <f>SUM($BG184:BK184)+$L184</f>
        <v>156.59999999999997</v>
      </c>
      <c r="BQ184" s="54">
        <f>MATCH(90,BL184:BP184,1)+1</f>
        <v>4</v>
      </c>
      <c r="BR184" s="117">
        <f>INDEX(BL184:BP184,BQ184)-90</f>
        <v>7.4499999999999886</v>
      </c>
    </row>
    <row r="185" spans="2:70" ht="23.25">
      <c r="B185" s="68">
        <v>42</v>
      </c>
      <c r="C185" s="68">
        <f>C184</f>
        <v>3</v>
      </c>
      <c r="D185" s="76">
        <v>9</v>
      </c>
      <c r="E185" s="2">
        <v>2</v>
      </c>
      <c r="F185" s="3" t="s">
        <v>72</v>
      </c>
      <c r="G185" s="3" t="s">
        <v>73</v>
      </c>
      <c r="H185" s="47">
        <f t="shared" ref="H185:H203" si="35">MROUND(BR185*100,1)</f>
        <v>1696</v>
      </c>
      <c r="I185" s="111">
        <f>IF(ISBLANK(H185),0,IF(H185=Answers!H185,1,-1))</f>
        <v>1</v>
      </c>
      <c r="J185" s="78" t="s">
        <v>220</v>
      </c>
      <c r="K185" s="78" t="s">
        <v>220</v>
      </c>
      <c r="L185" s="119">
        <f t="shared" ref="L185:L203" si="36">H123/100</f>
        <v>54.599999999999994</v>
      </c>
      <c r="M185" s="95">
        <v>45534</v>
      </c>
      <c r="N185" s="10">
        <v>350</v>
      </c>
      <c r="O185" s="12">
        <v>344</v>
      </c>
      <c r="P185" s="12">
        <v>412</v>
      </c>
      <c r="Q185" s="9">
        <v>325</v>
      </c>
      <c r="R185" s="10">
        <v>100</v>
      </c>
      <c r="S185" s="10" t="s">
        <v>162</v>
      </c>
      <c r="T185" s="12" t="s">
        <v>161</v>
      </c>
      <c r="U185" s="12" t="s">
        <v>161</v>
      </c>
      <c r="V185" s="9" t="s">
        <v>159</v>
      </c>
      <c r="W185" s="10" t="s">
        <v>162</v>
      </c>
      <c r="X185" s="54">
        <f>INDEX('Ore Prices (L3)'!$C$7:$G$382,MATCH($M185+6,'Ore Prices (L3)'!$B$7:$B$382,0),MATCH(Case!S185,'Ore Prices (L3)'!$C$6:$G$6,0))</f>
        <v>1.97</v>
      </c>
      <c r="Y185" s="54">
        <f>INDEX('Ore Prices (L3)'!$C$7:$G$382,MATCH($M185+6+7,'Ore Prices (L3)'!$B$7:$B$382,0),MATCH(Case!T185,'Ore Prices (L3)'!$C$6:$G$6,0))</f>
        <v>1.1100000000000001</v>
      </c>
      <c r="Z185" s="54">
        <f>INDEX('Ore Prices (L3)'!$C$7:$G$382,MATCH($M185+6+7+7,'Ore Prices (L3)'!$B$7:$B$382,0),MATCH(Case!U185,'Ore Prices (L3)'!$C$6:$G$6,0))</f>
        <v>1.01</v>
      </c>
      <c r="AA185" s="54">
        <f>INDEX('Ore Prices (L3)'!$C$7:$G$382,MATCH($M185+6+7+7+7,'Ore Prices (L3)'!$B$7:$B$382,0),MATCH(Case!V185,'Ore Prices (L3)'!$C$6:$G$6,0))</f>
        <v>0.5</v>
      </c>
      <c r="AB185" s="54">
        <f>INDEX('Ore Prices (L3)'!$C$7:$G$382,MATCH($M185+6+7+7+7+7,'Ore Prices (L3)'!$B$7:$B$382,0),MATCH(Case!W185,'Ore Prices (L3)'!$C$6:$G$6,0))</f>
        <v>2</v>
      </c>
      <c r="AC185" s="54">
        <f t="shared" ref="AC185:AC203" si="37">N185/20</f>
        <v>17.5</v>
      </c>
      <c r="AD185" s="54">
        <f t="shared" ref="AD185:AD203" si="38">O185/20</f>
        <v>17.2</v>
      </c>
      <c r="AE185" s="54">
        <f t="shared" ref="AE185:AE203" si="39">P185/20</f>
        <v>20.6</v>
      </c>
      <c r="AF185" s="54">
        <f t="shared" ref="AF185:AF203" si="40">Q185/20</f>
        <v>16.25</v>
      </c>
      <c r="AG185" s="54">
        <f t="shared" ref="AG185:AG203" si="41">R185/20</f>
        <v>5</v>
      </c>
      <c r="AH185" s="54">
        <f t="shared" ref="AH185:AH203" si="42">INT(AC185)</f>
        <v>17</v>
      </c>
      <c r="AI185" s="54">
        <f t="shared" ref="AI185:AI203" si="43">INT(AD185)</f>
        <v>17</v>
      </c>
      <c r="AJ185" s="54">
        <f t="shared" ref="AJ185:AJ203" si="44">INT(AE185)</f>
        <v>20</v>
      </c>
      <c r="AK185" s="54">
        <f t="shared" ref="AK185:AK203" si="45">INT(AF185)</f>
        <v>16</v>
      </c>
      <c r="AL185" s="54">
        <f t="shared" ref="AL185:AL203" si="46">INT(AG185)</f>
        <v>5</v>
      </c>
      <c r="AM185" s="54">
        <f t="shared" ref="AM185:AM203" si="47">AC185-AH185</f>
        <v>0.5</v>
      </c>
      <c r="AN185" s="54">
        <f t="shared" ref="AN185:AN203" si="48">AD185-AI185</f>
        <v>0.19999999999999929</v>
      </c>
      <c r="AO185" s="54">
        <f t="shared" ref="AO185:AO203" si="49">AE185-AJ185</f>
        <v>0.60000000000000142</v>
      </c>
      <c r="AP185" s="54">
        <f t="shared" ref="AP185:AP203" si="50">AF185-AK185</f>
        <v>0.25</v>
      </c>
      <c r="AQ185" s="54">
        <f t="shared" ref="AQ185:AQ203" si="51">AG185-AL185</f>
        <v>0</v>
      </c>
      <c r="AR185">
        <f>SUMPRODUCT(($AM185:AM185)*($S185:S185=S185))</f>
        <v>0.5</v>
      </c>
      <c r="AS185">
        <f>SUMPRODUCT(($AM185:AN185)*($S185:T185=T185))</f>
        <v>0.19999999999999929</v>
      </c>
      <c r="AT185">
        <f>SUMPRODUCT(($AM185:AO185)*($S185:U185=U185))</f>
        <v>0.80000000000000071</v>
      </c>
      <c r="AU185">
        <f>SUMPRODUCT(($AM185:AP185)*($S185:V185=V185))</f>
        <v>0.25</v>
      </c>
      <c r="AV185">
        <f>SUMPRODUCT(($AM185:AQ185)*($S185:W185=W185))</f>
        <v>0.5</v>
      </c>
      <c r="AW185" s="54">
        <v>0</v>
      </c>
      <c r="AX185" s="54">
        <f t="shared" ref="AX185:AX203" si="52">INT(AS185)</f>
        <v>0</v>
      </c>
      <c r="AY185" s="54">
        <f>_xlfn.FLOOR.MATH(SUMPRODUCT(($AM185:AO185)*($S185:U185=U185))-SUMPRODUCT(($AW185:AX185)*($S185:T185=U185)),1)</f>
        <v>0</v>
      </c>
      <c r="AZ185" s="54">
        <f>_xlfn.FLOOR.MATH(SUMPRODUCT(($AM185:AP185)*($S185:V185=V185))-SUMPRODUCT(($AW185:AY185)*($S185:U185=V185)),1)</f>
        <v>0</v>
      </c>
      <c r="BA185" s="54">
        <f>_xlfn.FLOOR.MATH(SUMPRODUCT(($AM185:AQ185)*($S185:W185=W185))-SUMPRODUCT(($AW185:AZ185)*($S185:V185=W185)),1)</f>
        <v>0</v>
      </c>
      <c r="BB185" s="54">
        <f t="shared" ref="BB185:BB203" si="53">AR185</f>
        <v>0.5</v>
      </c>
      <c r="BC185" s="54">
        <f>AS185-SUMPRODUCT(($AW185:AX185)*($S185:T185=T185))</f>
        <v>0.19999999999999929</v>
      </c>
      <c r="BD185" s="54">
        <f>AT185-SUMPRODUCT(($AW185:AY185)*($S185:U185=U185))</f>
        <v>0.80000000000000071</v>
      </c>
      <c r="BE185" s="54">
        <f>AU185-SUMPRODUCT(($AW185:AZ185)*($S185:V185=V185))</f>
        <v>0.25</v>
      </c>
      <c r="BF185" s="54">
        <f>AV185-SUMPRODUCT(($AW185:BA185)*($S185:W185=W185))</f>
        <v>0.5</v>
      </c>
      <c r="BG185" s="54">
        <f t="shared" ref="BG185:BG203" si="54">(AH185+AW185)*X185</f>
        <v>33.49</v>
      </c>
      <c r="BH185" s="54">
        <f t="shared" ref="BH185:BH203" si="55">(AI185+AX185)*Y185</f>
        <v>18.87</v>
      </c>
      <c r="BI185" s="54">
        <f t="shared" ref="BI185:BI203" si="56">(AJ185+AY185)*Z185</f>
        <v>20.2</v>
      </c>
      <c r="BJ185" s="54">
        <f t="shared" ref="BJ185:BJ203" si="57">(AK185+AZ185)*AA185</f>
        <v>8</v>
      </c>
      <c r="BK185" s="54">
        <f t="shared" ref="BK185:BK203" si="58">(AL185+BA185)*AB185</f>
        <v>10</v>
      </c>
      <c r="BL185" s="54">
        <f>SUM($BG185:BG185)+$L185</f>
        <v>88.09</v>
      </c>
      <c r="BM185" s="54">
        <f>SUM($BG185:BH185)+$L185</f>
        <v>106.96</v>
      </c>
      <c r="BN185" s="54">
        <f>SUM($BG185:BI185)+$L185</f>
        <v>127.16</v>
      </c>
      <c r="BO185" s="54">
        <f>SUM($BG185:BJ185)+$L185</f>
        <v>135.16</v>
      </c>
      <c r="BP185" s="54">
        <f>SUM($BG185:BK185)+$L185</f>
        <v>145.16</v>
      </c>
      <c r="BQ185" s="54">
        <f t="shared" ref="BQ185:BQ203" si="59">MATCH(90,BL185:BP185,1)+1</f>
        <v>2</v>
      </c>
      <c r="BR185" s="117">
        <f t="shared" ref="BR185:BR203" si="60">INDEX(BL185:BP185,BQ185)-90</f>
        <v>16.959999999999994</v>
      </c>
    </row>
    <row r="186" spans="2:70" ht="23.25">
      <c r="B186" s="68">
        <v>43</v>
      </c>
      <c r="C186" s="68">
        <f t="shared" ref="C186:C203" si="61">C185</f>
        <v>3</v>
      </c>
      <c r="D186" s="76">
        <v>9</v>
      </c>
      <c r="E186" s="2">
        <v>3</v>
      </c>
      <c r="F186" s="3" t="s">
        <v>74</v>
      </c>
      <c r="G186" s="3" t="s">
        <v>68</v>
      </c>
      <c r="H186" s="47">
        <f t="shared" si="35"/>
        <v>243</v>
      </c>
      <c r="I186" s="111">
        <f>IF(ISBLANK(H186),0,IF(H186=Answers!H186,1,-1))</f>
        <v>1</v>
      </c>
      <c r="J186" s="78" t="s">
        <v>220</v>
      </c>
      <c r="K186" s="78" t="s">
        <v>220</v>
      </c>
      <c r="L186" s="119">
        <f t="shared" si="36"/>
        <v>56.14</v>
      </c>
      <c r="M186" s="95">
        <v>45414</v>
      </c>
      <c r="N186" s="12">
        <v>55</v>
      </c>
      <c r="O186" s="8">
        <v>214</v>
      </c>
      <c r="P186" s="11">
        <v>600</v>
      </c>
      <c r="Q186" s="9">
        <v>350</v>
      </c>
      <c r="R186" s="10">
        <v>55</v>
      </c>
      <c r="S186" s="12" t="s">
        <v>161</v>
      </c>
      <c r="T186" s="8" t="s">
        <v>158</v>
      </c>
      <c r="U186" s="11" t="s">
        <v>160</v>
      </c>
      <c r="V186" s="9" t="s">
        <v>159</v>
      </c>
      <c r="W186" s="10" t="s">
        <v>162</v>
      </c>
      <c r="X186" s="54">
        <f>INDEX('Ore Prices (L3)'!$C$7:$G$382,MATCH($M186+6,'Ore Prices (L3)'!$B$7:$B$382,0),MATCH(Case!S186,'Ore Prices (L3)'!$C$6:$G$6,0))</f>
        <v>1.1299999999999999</v>
      </c>
      <c r="Y186" s="54">
        <f>INDEX('Ore Prices (L3)'!$C$7:$G$382,MATCH($M186+6+7,'Ore Prices (L3)'!$B$7:$B$382,0),MATCH(Case!T186,'Ore Prices (L3)'!$C$6:$G$6,0))</f>
        <v>0.23</v>
      </c>
      <c r="Z186" s="54">
        <f>INDEX('Ore Prices (L3)'!$C$7:$G$382,MATCH($M186+6+7+7,'Ore Prices (L3)'!$B$7:$B$382,0),MATCH(Case!U186,'Ore Prices (L3)'!$C$6:$G$6,0))</f>
        <v>0.78</v>
      </c>
      <c r="AA186" s="54">
        <f>INDEX('Ore Prices (L3)'!$C$7:$G$382,MATCH($M186+6+7+7+7,'Ore Prices (L3)'!$B$7:$B$382,0),MATCH(Case!V186,'Ore Prices (L3)'!$C$6:$G$6,0))</f>
        <v>0.49</v>
      </c>
      <c r="AB186" s="54">
        <f>INDEX('Ore Prices (L3)'!$C$7:$G$382,MATCH($M186+6+7+7+7+7,'Ore Prices (L3)'!$B$7:$B$382,0),MATCH(Case!W186,'Ore Prices (L3)'!$C$6:$G$6,0))</f>
        <v>1.85</v>
      </c>
      <c r="AC186" s="54">
        <f t="shared" si="37"/>
        <v>2.75</v>
      </c>
      <c r="AD186" s="54">
        <f t="shared" si="38"/>
        <v>10.7</v>
      </c>
      <c r="AE186" s="54">
        <f t="shared" si="39"/>
        <v>30</v>
      </c>
      <c r="AF186" s="54">
        <f t="shared" si="40"/>
        <v>17.5</v>
      </c>
      <c r="AG186" s="54">
        <f t="shared" si="41"/>
        <v>2.75</v>
      </c>
      <c r="AH186" s="54">
        <f t="shared" si="42"/>
        <v>2</v>
      </c>
      <c r="AI186" s="54">
        <f t="shared" si="43"/>
        <v>10</v>
      </c>
      <c r="AJ186" s="54">
        <f t="shared" si="44"/>
        <v>30</v>
      </c>
      <c r="AK186" s="54">
        <f t="shared" si="45"/>
        <v>17</v>
      </c>
      <c r="AL186" s="54">
        <f t="shared" si="46"/>
        <v>2</v>
      </c>
      <c r="AM186" s="54">
        <f t="shared" si="47"/>
        <v>0.75</v>
      </c>
      <c r="AN186" s="54">
        <f t="shared" si="48"/>
        <v>0.69999999999999929</v>
      </c>
      <c r="AO186" s="54">
        <f t="shared" si="49"/>
        <v>0</v>
      </c>
      <c r="AP186" s="54">
        <f t="shared" si="50"/>
        <v>0.5</v>
      </c>
      <c r="AQ186" s="54">
        <f t="shared" si="51"/>
        <v>0.75</v>
      </c>
      <c r="AR186">
        <f>SUMPRODUCT(($AM186:AM186)*($S186:S186=S186))</f>
        <v>0.75</v>
      </c>
      <c r="AS186">
        <f>SUMPRODUCT(($AM186:AN186)*($S186:T186=T186))</f>
        <v>0.69999999999999929</v>
      </c>
      <c r="AT186">
        <f>SUMPRODUCT(($AM186:AO186)*($S186:U186=U186))</f>
        <v>0</v>
      </c>
      <c r="AU186">
        <f>SUMPRODUCT(($AM186:AP186)*($S186:V186=V186))</f>
        <v>0.5</v>
      </c>
      <c r="AV186">
        <f>SUMPRODUCT(($AM186:AQ186)*($S186:W186=W186))</f>
        <v>0.75</v>
      </c>
      <c r="AW186" s="54">
        <v>0</v>
      </c>
      <c r="AX186" s="54">
        <f t="shared" si="52"/>
        <v>0</v>
      </c>
      <c r="AY186" s="54">
        <f>_xlfn.FLOOR.MATH(SUMPRODUCT(($AM186:AO186)*($S186:U186=U186))-SUMPRODUCT(($AW186:AX186)*($S186:T186=U186)),1)</f>
        <v>0</v>
      </c>
      <c r="AZ186" s="54">
        <f>_xlfn.FLOOR.MATH(SUMPRODUCT(($AM186:AP186)*($S186:V186=V186))-SUMPRODUCT(($AW186:AY186)*($S186:U186=V186)),1)</f>
        <v>0</v>
      </c>
      <c r="BA186" s="54">
        <f>_xlfn.FLOOR.MATH(SUMPRODUCT(($AM186:AQ186)*($S186:W186=W186))-SUMPRODUCT(($AW186:AZ186)*($S186:V186=W186)),1)</f>
        <v>0</v>
      </c>
      <c r="BB186" s="54">
        <f t="shared" si="53"/>
        <v>0.75</v>
      </c>
      <c r="BC186" s="54">
        <f>AS186-SUMPRODUCT(($AW186:AX186)*($S186:T186=T186))</f>
        <v>0.69999999999999929</v>
      </c>
      <c r="BD186" s="54">
        <f>AT186-SUMPRODUCT(($AW186:AY186)*($S186:U186=U186))</f>
        <v>0</v>
      </c>
      <c r="BE186" s="54">
        <f>AU186-SUMPRODUCT(($AW186:AZ186)*($S186:V186=V186))</f>
        <v>0.5</v>
      </c>
      <c r="BF186" s="54">
        <f>AV186-SUMPRODUCT(($AW186:BA186)*($S186:W186=W186))</f>
        <v>0.75</v>
      </c>
      <c r="BG186" s="54">
        <f t="shared" si="54"/>
        <v>2.2599999999999998</v>
      </c>
      <c r="BH186" s="54">
        <f t="shared" si="55"/>
        <v>2.3000000000000003</v>
      </c>
      <c r="BI186" s="54">
        <f t="shared" si="56"/>
        <v>23.400000000000002</v>
      </c>
      <c r="BJ186" s="54">
        <f t="shared" si="57"/>
        <v>8.33</v>
      </c>
      <c r="BK186" s="54">
        <f t="shared" si="58"/>
        <v>3.7</v>
      </c>
      <c r="BL186" s="54">
        <f>SUM($BG186:BG186)+$L186</f>
        <v>58.4</v>
      </c>
      <c r="BM186" s="54">
        <f>SUM($BG186:BH186)+$L186</f>
        <v>60.7</v>
      </c>
      <c r="BN186" s="54">
        <f>SUM($BG186:BI186)+$L186</f>
        <v>84.1</v>
      </c>
      <c r="BO186" s="54">
        <f>SUM($BG186:BJ186)+$L186</f>
        <v>92.43</v>
      </c>
      <c r="BP186" s="54">
        <f>SUM($BG186:BK186)+$L186</f>
        <v>96.13</v>
      </c>
      <c r="BQ186" s="54">
        <f t="shared" si="59"/>
        <v>4</v>
      </c>
      <c r="BR186" s="117">
        <f t="shared" si="60"/>
        <v>2.4300000000000068</v>
      </c>
    </row>
    <row r="187" spans="2:70" ht="23.25">
      <c r="B187" s="68">
        <v>44</v>
      </c>
      <c r="C187" s="68">
        <f t="shared" si="61"/>
        <v>3</v>
      </c>
      <c r="D187" s="76">
        <v>9</v>
      </c>
      <c r="E187" s="2">
        <v>4</v>
      </c>
      <c r="F187" s="3" t="s">
        <v>75</v>
      </c>
      <c r="G187" s="3" t="s">
        <v>71</v>
      </c>
      <c r="H187" s="47">
        <f t="shared" si="35"/>
        <v>1160</v>
      </c>
      <c r="I187" s="111">
        <f>IF(ISBLANK(H187),0,IF(H187=Answers!H187,1,-1))</f>
        <v>1</v>
      </c>
      <c r="J187" s="78" t="s">
        <v>220</v>
      </c>
      <c r="K187" s="78" t="s">
        <v>220</v>
      </c>
      <c r="L187" s="119">
        <f t="shared" si="36"/>
        <v>59.16</v>
      </c>
      <c r="M187" s="95">
        <v>45539</v>
      </c>
      <c r="N187" s="8">
        <v>834</v>
      </c>
      <c r="O187" s="9">
        <v>1</v>
      </c>
      <c r="P187" s="11">
        <v>622</v>
      </c>
      <c r="Q187" s="12">
        <v>248</v>
      </c>
      <c r="R187" s="9">
        <v>443</v>
      </c>
      <c r="S187" s="8" t="s">
        <v>158</v>
      </c>
      <c r="T187" s="9" t="s">
        <v>159</v>
      </c>
      <c r="U187" s="11" t="s">
        <v>160</v>
      </c>
      <c r="V187" s="12" t="s">
        <v>161</v>
      </c>
      <c r="W187" s="9" t="s">
        <v>159</v>
      </c>
      <c r="X187" s="54">
        <f>INDEX('Ore Prices (L3)'!$C$7:$G$382,MATCH($M187+6,'Ore Prices (L3)'!$B$7:$B$382,0),MATCH(Case!S187,'Ore Prices (L3)'!$C$6:$G$6,0))</f>
        <v>0.4</v>
      </c>
      <c r="Y187" s="54">
        <f>INDEX('Ore Prices (L3)'!$C$7:$G$382,MATCH($M187+6+7,'Ore Prices (L3)'!$B$7:$B$382,0),MATCH(Case!T187,'Ore Prices (L3)'!$C$6:$G$6,0))</f>
        <v>0.45</v>
      </c>
      <c r="Z187" s="54">
        <f>INDEX('Ore Prices (L3)'!$C$7:$G$382,MATCH($M187+6+7+7,'Ore Prices (L3)'!$B$7:$B$382,0),MATCH(Case!U187,'Ore Prices (L3)'!$C$6:$G$6,0))</f>
        <v>0.84</v>
      </c>
      <c r="AA187" s="54">
        <f>INDEX('Ore Prices (L3)'!$C$7:$G$382,MATCH($M187+6+7+7+7,'Ore Prices (L3)'!$B$7:$B$382,0),MATCH(Case!V187,'Ore Prices (L3)'!$C$6:$G$6,0))</f>
        <v>1.1399999999999999</v>
      </c>
      <c r="AB187" s="54">
        <f>INDEX('Ore Prices (L3)'!$C$7:$G$382,MATCH($M187+6+7+7+7+7,'Ore Prices (L3)'!$B$7:$B$382,0),MATCH(Case!W187,'Ore Prices (L3)'!$C$6:$G$6,0))</f>
        <v>0.44</v>
      </c>
      <c r="AC187" s="54">
        <f t="shared" si="37"/>
        <v>41.7</v>
      </c>
      <c r="AD187" s="54">
        <f t="shared" si="38"/>
        <v>0.05</v>
      </c>
      <c r="AE187" s="54">
        <f t="shared" si="39"/>
        <v>31.1</v>
      </c>
      <c r="AF187" s="54">
        <f t="shared" si="40"/>
        <v>12.4</v>
      </c>
      <c r="AG187" s="54">
        <f t="shared" si="41"/>
        <v>22.15</v>
      </c>
      <c r="AH187" s="54">
        <f t="shared" si="42"/>
        <v>41</v>
      </c>
      <c r="AI187" s="54">
        <f t="shared" si="43"/>
        <v>0</v>
      </c>
      <c r="AJ187" s="54">
        <f t="shared" si="44"/>
        <v>31</v>
      </c>
      <c r="AK187" s="54">
        <f t="shared" si="45"/>
        <v>12</v>
      </c>
      <c r="AL187" s="54">
        <f t="shared" si="46"/>
        <v>22</v>
      </c>
      <c r="AM187" s="54">
        <f t="shared" si="47"/>
        <v>0.70000000000000284</v>
      </c>
      <c r="AN187" s="54">
        <f t="shared" si="48"/>
        <v>0.05</v>
      </c>
      <c r="AO187" s="54">
        <f t="shared" si="49"/>
        <v>0.10000000000000142</v>
      </c>
      <c r="AP187" s="54">
        <f t="shared" si="50"/>
        <v>0.40000000000000036</v>
      </c>
      <c r="AQ187" s="54">
        <f t="shared" si="51"/>
        <v>0.14999999999999858</v>
      </c>
      <c r="AR187">
        <f>SUMPRODUCT(($AM187:AM187)*($S187:S187=S187))</f>
        <v>0.70000000000000284</v>
      </c>
      <c r="AS187">
        <f>SUMPRODUCT(($AM187:AN187)*($S187:T187=T187))</f>
        <v>0.05</v>
      </c>
      <c r="AT187">
        <f>SUMPRODUCT(($AM187:AO187)*($S187:U187=U187))</f>
        <v>0.10000000000000142</v>
      </c>
      <c r="AU187">
        <f>SUMPRODUCT(($AM187:AP187)*($S187:V187=V187))</f>
        <v>0.40000000000000036</v>
      </c>
      <c r="AV187">
        <f>SUMPRODUCT(($AM187:AQ187)*($S187:W187=W187))</f>
        <v>0.19999999999999857</v>
      </c>
      <c r="AW187" s="54">
        <v>0</v>
      </c>
      <c r="AX187" s="54">
        <f t="shared" si="52"/>
        <v>0</v>
      </c>
      <c r="AY187" s="54">
        <f>_xlfn.FLOOR.MATH(SUMPRODUCT(($AM187:AO187)*($S187:U187=U187))-SUMPRODUCT(($AW187:AX187)*($S187:T187=U187)),1)</f>
        <v>0</v>
      </c>
      <c r="AZ187" s="54">
        <f>_xlfn.FLOOR.MATH(SUMPRODUCT(($AM187:AP187)*($S187:V187=V187))-SUMPRODUCT(($AW187:AY187)*($S187:U187=V187)),1)</f>
        <v>0</v>
      </c>
      <c r="BA187" s="54">
        <f>_xlfn.FLOOR.MATH(SUMPRODUCT(($AM187:AQ187)*($S187:W187=W187))-SUMPRODUCT(($AW187:AZ187)*($S187:V187=W187)),1)</f>
        <v>0</v>
      </c>
      <c r="BB187" s="54">
        <f t="shared" si="53"/>
        <v>0.70000000000000284</v>
      </c>
      <c r="BC187" s="54">
        <f>AS187-SUMPRODUCT(($AW187:AX187)*($S187:T187=T187))</f>
        <v>0.05</v>
      </c>
      <c r="BD187" s="54">
        <f>AT187-SUMPRODUCT(($AW187:AY187)*($S187:U187=U187))</f>
        <v>0.10000000000000142</v>
      </c>
      <c r="BE187" s="54">
        <f>AU187-SUMPRODUCT(($AW187:AZ187)*($S187:V187=V187))</f>
        <v>0.40000000000000036</v>
      </c>
      <c r="BF187" s="54">
        <f>AV187-SUMPRODUCT(($AW187:BA187)*($S187:W187=W187))</f>
        <v>0.19999999999999857</v>
      </c>
      <c r="BG187" s="54">
        <f t="shared" si="54"/>
        <v>16.400000000000002</v>
      </c>
      <c r="BH187" s="54">
        <f t="shared" si="55"/>
        <v>0</v>
      </c>
      <c r="BI187" s="54">
        <f t="shared" si="56"/>
        <v>26.04</v>
      </c>
      <c r="BJ187" s="54">
        <f t="shared" si="57"/>
        <v>13.68</v>
      </c>
      <c r="BK187" s="54">
        <f t="shared" si="58"/>
        <v>9.68</v>
      </c>
      <c r="BL187" s="54">
        <f>SUM($BG187:BG187)+$L187</f>
        <v>75.56</v>
      </c>
      <c r="BM187" s="54">
        <f>SUM($BG187:BH187)+$L187</f>
        <v>75.56</v>
      </c>
      <c r="BN187" s="54">
        <f>SUM($BG187:BI187)+$L187</f>
        <v>101.6</v>
      </c>
      <c r="BO187" s="54">
        <f>SUM($BG187:BJ187)+$L187</f>
        <v>115.28</v>
      </c>
      <c r="BP187" s="54">
        <f>SUM($BG187:BK187)+$L187</f>
        <v>124.96</v>
      </c>
      <c r="BQ187" s="54">
        <f t="shared" si="59"/>
        <v>3</v>
      </c>
      <c r="BR187" s="117">
        <f t="shared" si="60"/>
        <v>11.599999999999994</v>
      </c>
    </row>
    <row r="188" spans="2:70" ht="23.25">
      <c r="B188" s="68">
        <v>45</v>
      </c>
      <c r="C188" s="68">
        <f t="shared" si="61"/>
        <v>3</v>
      </c>
      <c r="D188" s="76">
        <v>9</v>
      </c>
      <c r="E188" s="2">
        <v>5</v>
      </c>
      <c r="F188" s="3" t="s">
        <v>75</v>
      </c>
      <c r="G188" s="3" t="s">
        <v>76</v>
      </c>
      <c r="H188" s="47">
        <f t="shared" si="35"/>
        <v>279</v>
      </c>
      <c r="I188" s="111">
        <f>IF(ISBLANK(H188),0,IF(H188=Answers!H188,1,-1))</f>
        <v>1</v>
      </c>
      <c r="J188" s="78" t="s">
        <v>220</v>
      </c>
      <c r="K188" s="78" t="s">
        <v>220</v>
      </c>
      <c r="L188" s="119">
        <f t="shared" si="36"/>
        <v>59.52</v>
      </c>
      <c r="M188" s="95">
        <v>45474</v>
      </c>
      <c r="N188" s="9">
        <v>95</v>
      </c>
      <c r="O188" s="10">
        <v>155</v>
      </c>
      <c r="P188" s="12">
        <v>345</v>
      </c>
      <c r="Q188" s="9">
        <v>87</v>
      </c>
      <c r="R188" s="11">
        <v>160</v>
      </c>
      <c r="S188" s="9" t="s">
        <v>159</v>
      </c>
      <c r="T188" s="10" t="s">
        <v>162</v>
      </c>
      <c r="U188" s="12" t="s">
        <v>161</v>
      </c>
      <c r="V188" s="9" t="s">
        <v>159</v>
      </c>
      <c r="W188" s="11" t="s">
        <v>160</v>
      </c>
      <c r="X188" s="54">
        <f>INDEX('Ore Prices (L3)'!$C$7:$G$382,MATCH($M188+6,'Ore Prices (L3)'!$B$7:$B$382,0),MATCH(Case!S188,'Ore Prices (L3)'!$C$6:$G$6,0))</f>
        <v>0.46</v>
      </c>
      <c r="Y188" s="54">
        <f>INDEX('Ore Prices (L3)'!$C$7:$G$382,MATCH($M188+6+7,'Ore Prices (L3)'!$B$7:$B$382,0),MATCH(Case!T188,'Ore Prices (L3)'!$C$6:$G$6,0))</f>
        <v>1.6</v>
      </c>
      <c r="Z188" s="54">
        <f>INDEX('Ore Prices (L3)'!$C$7:$G$382,MATCH($M188+6+7+7,'Ore Prices (L3)'!$B$7:$B$382,0),MATCH(Case!U188,'Ore Prices (L3)'!$C$6:$G$6,0))</f>
        <v>1.19</v>
      </c>
      <c r="AA188" s="54">
        <f>INDEX('Ore Prices (L3)'!$C$7:$G$382,MATCH($M188+6+7+7+7,'Ore Prices (L3)'!$B$7:$B$382,0),MATCH(Case!V188,'Ore Prices (L3)'!$C$6:$G$6,0))</f>
        <v>0.44</v>
      </c>
      <c r="AB188" s="54">
        <f>INDEX('Ore Prices (L3)'!$C$7:$G$382,MATCH($M188+6+7+7+7+7,'Ore Prices (L3)'!$B$7:$B$382,0),MATCH(Case!W188,'Ore Prices (L3)'!$C$6:$G$6,0))</f>
        <v>0.91</v>
      </c>
      <c r="AC188" s="54">
        <f t="shared" si="37"/>
        <v>4.75</v>
      </c>
      <c r="AD188" s="54">
        <f t="shared" si="38"/>
        <v>7.75</v>
      </c>
      <c r="AE188" s="54">
        <f t="shared" si="39"/>
        <v>17.25</v>
      </c>
      <c r="AF188" s="54">
        <f t="shared" si="40"/>
        <v>4.3499999999999996</v>
      </c>
      <c r="AG188" s="54">
        <f t="shared" si="41"/>
        <v>8</v>
      </c>
      <c r="AH188" s="54">
        <f t="shared" si="42"/>
        <v>4</v>
      </c>
      <c r="AI188" s="54">
        <f t="shared" si="43"/>
        <v>7</v>
      </c>
      <c r="AJ188" s="54">
        <f t="shared" si="44"/>
        <v>17</v>
      </c>
      <c r="AK188" s="54">
        <f t="shared" si="45"/>
        <v>4</v>
      </c>
      <c r="AL188" s="54">
        <f t="shared" si="46"/>
        <v>8</v>
      </c>
      <c r="AM188" s="54">
        <f t="shared" si="47"/>
        <v>0.75</v>
      </c>
      <c r="AN188" s="54">
        <f t="shared" si="48"/>
        <v>0.75</v>
      </c>
      <c r="AO188" s="54">
        <f t="shared" si="49"/>
        <v>0.25</v>
      </c>
      <c r="AP188" s="54">
        <f t="shared" si="50"/>
        <v>0.34999999999999964</v>
      </c>
      <c r="AQ188" s="54">
        <f t="shared" si="51"/>
        <v>0</v>
      </c>
      <c r="AR188">
        <f>SUMPRODUCT(($AM188:AM188)*($S188:S188=S188))</f>
        <v>0.75</v>
      </c>
      <c r="AS188">
        <f>SUMPRODUCT(($AM188:AN188)*($S188:T188=T188))</f>
        <v>0.75</v>
      </c>
      <c r="AT188">
        <f>SUMPRODUCT(($AM188:AO188)*($S188:U188=U188))</f>
        <v>0.25</v>
      </c>
      <c r="AU188">
        <f>SUMPRODUCT(($AM188:AP188)*($S188:V188=V188))</f>
        <v>1.0999999999999996</v>
      </c>
      <c r="AV188">
        <f>SUMPRODUCT(($AM188:AQ188)*($S188:W188=W188))</f>
        <v>0</v>
      </c>
      <c r="AW188" s="54">
        <v>0</v>
      </c>
      <c r="AX188" s="54">
        <f t="shared" si="52"/>
        <v>0</v>
      </c>
      <c r="AY188" s="54">
        <f>_xlfn.FLOOR.MATH(SUMPRODUCT(($AM188:AO188)*($S188:U188=U188))-SUMPRODUCT(($AW188:AX188)*($S188:T188=U188)),1)</f>
        <v>0</v>
      </c>
      <c r="AZ188" s="54">
        <f>_xlfn.FLOOR.MATH(SUMPRODUCT(($AM188:AP188)*($S188:V188=V188))-SUMPRODUCT(($AW188:AY188)*($S188:U188=V188)),1)</f>
        <v>1</v>
      </c>
      <c r="BA188" s="54">
        <f>_xlfn.FLOOR.MATH(SUMPRODUCT(($AM188:AQ188)*($S188:W188=W188))-SUMPRODUCT(($AW188:AZ188)*($S188:V188=W188)),1)</f>
        <v>0</v>
      </c>
      <c r="BB188" s="54">
        <f t="shared" si="53"/>
        <v>0.75</v>
      </c>
      <c r="BC188" s="54">
        <f>AS188-SUMPRODUCT(($AW188:AX188)*($S188:T188=T188))</f>
        <v>0.75</v>
      </c>
      <c r="BD188" s="54">
        <f>AT188-SUMPRODUCT(($AW188:AY188)*($S188:U188=U188))</f>
        <v>0.25</v>
      </c>
      <c r="BE188" s="54">
        <f>AU188-SUMPRODUCT(($AW188:AZ188)*($S188:V188=V188))</f>
        <v>9.9999999999999645E-2</v>
      </c>
      <c r="BF188" s="54">
        <f>AV188-SUMPRODUCT(($AW188:BA188)*($S188:W188=W188))</f>
        <v>0</v>
      </c>
      <c r="BG188" s="54">
        <f t="shared" si="54"/>
        <v>1.84</v>
      </c>
      <c r="BH188" s="54">
        <f t="shared" si="55"/>
        <v>11.200000000000001</v>
      </c>
      <c r="BI188" s="54">
        <f t="shared" si="56"/>
        <v>20.23</v>
      </c>
      <c r="BJ188" s="54">
        <f t="shared" si="57"/>
        <v>2.2000000000000002</v>
      </c>
      <c r="BK188" s="54">
        <f t="shared" si="58"/>
        <v>7.28</v>
      </c>
      <c r="BL188" s="54">
        <f>SUM($BG188:BG188)+$L188</f>
        <v>61.360000000000007</v>
      </c>
      <c r="BM188" s="54">
        <f>SUM($BG188:BH188)+$L188</f>
        <v>72.56</v>
      </c>
      <c r="BN188" s="54">
        <f>SUM($BG188:BI188)+$L188</f>
        <v>92.79</v>
      </c>
      <c r="BO188" s="54">
        <f>SUM($BG188:BJ188)+$L188</f>
        <v>94.990000000000009</v>
      </c>
      <c r="BP188" s="54">
        <f>SUM($BG188:BK188)+$L188</f>
        <v>102.27000000000001</v>
      </c>
      <c r="BQ188" s="54">
        <f t="shared" si="59"/>
        <v>3</v>
      </c>
      <c r="BR188" s="117">
        <f t="shared" si="60"/>
        <v>2.7900000000000063</v>
      </c>
    </row>
    <row r="189" spans="2:70" ht="23.25">
      <c r="B189" s="68">
        <v>46</v>
      </c>
      <c r="C189" s="68">
        <f t="shared" si="61"/>
        <v>3</v>
      </c>
      <c r="D189" s="76">
        <v>9</v>
      </c>
      <c r="E189" s="2">
        <v>6</v>
      </c>
      <c r="F189" s="3" t="s">
        <v>74</v>
      </c>
      <c r="G189" s="3" t="s">
        <v>73</v>
      </c>
      <c r="H189" s="47">
        <f t="shared" si="35"/>
        <v>518</v>
      </c>
      <c r="I189" s="111">
        <f>IF(ISBLANK(H189),0,IF(H189=Answers!H189,1,-1))</f>
        <v>1</v>
      </c>
      <c r="J189" s="78" t="s">
        <v>220</v>
      </c>
      <c r="K189" s="78" t="s">
        <v>220</v>
      </c>
      <c r="L189" s="119">
        <f t="shared" si="36"/>
        <v>53.61</v>
      </c>
      <c r="M189" s="95">
        <v>45442</v>
      </c>
      <c r="N189" s="10">
        <v>178</v>
      </c>
      <c r="O189" s="9">
        <v>875</v>
      </c>
      <c r="P189" s="8">
        <v>582</v>
      </c>
      <c r="Q189" s="12">
        <v>251</v>
      </c>
      <c r="R189" s="11">
        <v>970</v>
      </c>
      <c r="S189" s="10" t="s">
        <v>162</v>
      </c>
      <c r="T189" s="9" t="s">
        <v>159</v>
      </c>
      <c r="U189" s="8" t="s">
        <v>158</v>
      </c>
      <c r="V189" s="12" t="s">
        <v>161</v>
      </c>
      <c r="W189" s="11" t="s">
        <v>160</v>
      </c>
      <c r="X189" s="54">
        <f>INDEX('Ore Prices (L3)'!$C$7:$G$382,MATCH($M189+6,'Ore Prices (L3)'!$B$7:$B$382,0),MATCH(Case!S189,'Ore Prices (L3)'!$C$6:$G$6,0))</f>
        <v>1.85</v>
      </c>
      <c r="Y189" s="54">
        <f>INDEX('Ore Prices (L3)'!$C$7:$G$382,MATCH($M189+6+7,'Ore Prices (L3)'!$B$7:$B$382,0),MATCH(Case!T189,'Ore Prices (L3)'!$C$6:$G$6,0))</f>
        <v>0.4</v>
      </c>
      <c r="Z189" s="54">
        <f>INDEX('Ore Prices (L3)'!$C$7:$G$382,MATCH($M189+6+7+7,'Ore Prices (L3)'!$B$7:$B$382,0),MATCH(Case!U189,'Ore Prices (L3)'!$C$6:$G$6,0))</f>
        <v>0.33</v>
      </c>
      <c r="AA189" s="54">
        <f>INDEX('Ore Prices (L3)'!$C$7:$G$382,MATCH($M189+6+7+7+7,'Ore Prices (L3)'!$B$7:$B$382,0),MATCH(Case!V189,'Ore Prices (L3)'!$C$6:$G$6,0))</f>
        <v>1.24</v>
      </c>
      <c r="AB189" s="54">
        <f>INDEX('Ore Prices (L3)'!$C$7:$G$382,MATCH($M189+6+7+7+7+7,'Ore Prices (L3)'!$B$7:$B$382,0),MATCH(Case!W189,'Ore Prices (L3)'!$C$6:$G$6,0))</f>
        <v>0.96</v>
      </c>
      <c r="AC189" s="54">
        <f t="shared" si="37"/>
        <v>8.9</v>
      </c>
      <c r="AD189" s="54">
        <f t="shared" si="38"/>
        <v>43.75</v>
      </c>
      <c r="AE189" s="54">
        <f t="shared" si="39"/>
        <v>29.1</v>
      </c>
      <c r="AF189" s="54">
        <f t="shared" si="40"/>
        <v>12.55</v>
      </c>
      <c r="AG189" s="54">
        <f t="shared" si="41"/>
        <v>48.5</v>
      </c>
      <c r="AH189" s="54">
        <f t="shared" si="42"/>
        <v>8</v>
      </c>
      <c r="AI189" s="54">
        <f t="shared" si="43"/>
        <v>43</v>
      </c>
      <c r="AJ189" s="54">
        <f t="shared" si="44"/>
        <v>29</v>
      </c>
      <c r="AK189" s="54">
        <f t="shared" si="45"/>
        <v>12</v>
      </c>
      <c r="AL189" s="54">
        <f t="shared" si="46"/>
        <v>48</v>
      </c>
      <c r="AM189" s="54">
        <f t="shared" si="47"/>
        <v>0.90000000000000036</v>
      </c>
      <c r="AN189" s="54">
        <f t="shared" si="48"/>
        <v>0.75</v>
      </c>
      <c r="AO189" s="54">
        <f t="shared" si="49"/>
        <v>0.10000000000000142</v>
      </c>
      <c r="AP189" s="54">
        <f t="shared" si="50"/>
        <v>0.55000000000000071</v>
      </c>
      <c r="AQ189" s="54">
        <f t="shared" si="51"/>
        <v>0.5</v>
      </c>
      <c r="AR189">
        <f>SUMPRODUCT(($AM189:AM189)*($S189:S189=S189))</f>
        <v>0.90000000000000036</v>
      </c>
      <c r="AS189">
        <f>SUMPRODUCT(($AM189:AN189)*($S189:T189=T189))</f>
        <v>0.75</v>
      </c>
      <c r="AT189">
        <f>SUMPRODUCT(($AM189:AO189)*($S189:U189=U189))</f>
        <v>0.10000000000000142</v>
      </c>
      <c r="AU189">
        <f>SUMPRODUCT(($AM189:AP189)*($S189:V189=V189))</f>
        <v>0.55000000000000071</v>
      </c>
      <c r="AV189">
        <f>SUMPRODUCT(($AM189:AQ189)*($S189:W189=W189))</f>
        <v>0.5</v>
      </c>
      <c r="AW189" s="54">
        <v>0</v>
      </c>
      <c r="AX189" s="54">
        <f t="shared" si="52"/>
        <v>0</v>
      </c>
      <c r="AY189" s="54">
        <f>_xlfn.FLOOR.MATH(SUMPRODUCT(($AM189:AO189)*($S189:U189=U189))-SUMPRODUCT(($AW189:AX189)*($S189:T189=U189)),1)</f>
        <v>0</v>
      </c>
      <c r="AZ189" s="54">
        <f>_xlfn.FLOOR.MATH(SUMPRODUCT(($AM189:AP189)*($S189:V189=V189))-SUMPRODUCT(($AW189:AY189)*($S189:U189=V189)),1)</f>
        <v>0</v>
      </c>
      <c r="BA189" s="54">
        <f>_xlfn.FLOOR.MATH(SUMPRODUCT(($AM189:AQ189)*($S189:W189=W189))-SUMPRODUCT(($AW189:AZ189)*($S189:V189=W189)),1)</f>
        <v>0</v>
      </c>
      <c r="BB189" s="54">
        <f t="shared" si="53"/>
        <v>0.90000000000000036</v>
      </c>
      <c r="BC189" s="54">
        <f>AS189-SUMPRODUCT(($AW189:AX189)*($S189:T189=T189))</f>
        <v>0.75</v>
      </c>
      <c r="BD189" s="54">
        <f>AT189-SUMPRODUCT(($AW189:AY189)*($S189:U189=U189))</f>
        <v>0.10000000000000142</v>
      </c>
      <c r="BE189" s="54">
        <f>AU189-SUMPRODUCT(($AW189:AZ189)*($S189:V189=V189))</f>
        <v>0.55000000000000071</v>
      </c>
      <c r="BF189" s="54">
        <f>AV189-SUMPRODUCT(($AW189:BA189)*($S189:W189=W189))</f>
        <v>0.5</v>
      </c>
      <c r="BG189" s="54">
        <f t="shared" si="54"/>
        <v>14.8</v>
      </c>
      <c r="BH189" s="54">
        <f t="shared" si="55"/>
        <v>17.2</v>
      </c>
      <c r="BI189" s="54">
        <f t="shared" si="56"/>
        <v>9.57</v>
      </c>
      <c r="BJ189" s="54">
        <f t="shared" si="57"/>
        <v>14.879999999999999</v>
      </c>
      <c r="BK189" s="54">
        <f t="shared" si="58"/>
        <v>46.08</v>
      </c>
      <c r="BL189" s="54">
        <f>SUM($BG189:BG189)+$L189</f>
        <v>68.41</v>
      </c>
      <c r="BM189" s="54">
        <f>SUM($BG189:BH189)+$L189</f>
        <v>85.61</v>
      </c>
      <c r="BN189" s="54">
        <f>SUM($BG189:BI189)+$L189</f>
        <v>95.18</v>
      </c>
      <c r="BO189" s="54">
        <f>SUM($BG189:BJ189)+$L189</f>
        <v>110.06</v>
      </c>
      <c r="BP189" s="54">
        <f>SUM($BG189:BK189)+$L189</f>
        <v>156.13999999999999</v>
      </c>
      <c r="BQ189" s="54">
        <f t="shared" si="59"/>
        <v>3</v>
      </c>
      <c r="BR189" s="117">
        <f t="shared" si="60"/>
        <v>5.1800000000000068</v>
      </c>
    </row>
    <row r="190" spans="2:70" ht="23.25">
      <c r="B190" s="68">
        <v>47</v>
      </c>
      <c r="C190" s="68">
        <f t="shared" si="61"/>
        <v>3</v>
      </c>
      <c r="D190" s="76">
        <v>9</v>
      </c>
      <c r="E190" s="2">
        <v>7</v>
      </c>
      <c r="F190" s="3" t="s">
        <v>72</v>
      </c>
      <c r="G190" s="3" t="s">
        <v>76</v>
      </c>
      <c r="H190" s="47">
        <f t="shared" si="35"/>
        <v>558</v>
      </c>
      <c r="I190" s="111">
        <f>IF(ISBLANK(H190),0,IF(H190=Answers!H190,1,-1))</f>
        <v>1</v>
      </c>
      <c r="J190" s="78" t="s">
        <v>220</v>
      </c>
      <c r="K190" s="78" t="s">
        <v>220</v>
      </c>
      <c r="L190" s="119">
        <f t="shared" si="36"/>
        <v>54.599999999999994</v>
      </c>
      <c r="M190" s="95">
        <v>45519</v>
      </c>
      <c r="N190" s="9">
        <v>754</v>
      </c>
      <c r="O190" s="12">
        <v>475</v>
      </c>
      <c r="P190" s="10">
        <v>55</v>
      </c>
      <c r="Q190" s="12">
        <v>775</v>
      </c>
      <c r="R190" s="8">
        <v>600</v>
      </c>
      <c r="S190" s="9" t="s">
        <v>159</v>
      </c>
      <c r="T190" s="12" t="s">
        <v>161</v>
      </c>
      <c r="U190" s="10" t="s">
        <v>162</v>
      </c>
      <c r="V190" s="12" t="s">
        <v>161</v>
      </c>
      <c r="W190" s="8" t="s">
        <v>158</v>
      </c>
      <c r="X190" s="54">
        <f>INDEX('Ore Prices (L3)'!$C$7:$G$382,MATCH($M190+6,'Ore Prices (L3)'!$B$7:$B$382,0),MATCH(Case!S190,'Ore Prices (L3)'!$C$6:$G$6,0))</f>
        <v>0.43</v>
      </c>
      <c r="Y190" s="54">
        <f>INDEX('Ore Prices (L3)'!$C$7:$G$382,MATCH($M190+6+7,'Ore Prices (L3)'!$B$7:$B$382,0),MATCH(Case!T190,'Ore Prices (L3)'!$C$6:$G$6,0))</f>
        <v>1.0900000000000001</v>
      </c>
      <c r="Z190" s="54">
        <f>INDEX('Ore Prices (L3)'!$C$7:$G$382,MATCH($M190+6+7+7,'Ore Prices (L3)'!$B$7:$B$382,0),MATCH(Case!U190,'Ore Prices (L3)'!$C$6:$G$6,0))</f>
        <v>1.88</v>
      </c>
      <c r="AA190" s="54">
        <f>INDEX('Ore Prices (L3)'!$C$7:$G$382,MATCH($M190+6+7+7+7,'Ore Prices (L3)'!$B$7:$B$382,0),MATCH(Case!V190,'Ore Prices (L3)'!$C$6:$G$6,0))</f>
        <v>1.01</v>
      </c>
      <c r="AB190" s="54">
        <f>INDEX('Ore Prices (L3)'!$C$7:$G$382,MATCH($M190+6+7+7+7+7,'Ore Prices (L3)'!$B$7:$B$382,0),MATCH(Case!W190,'Ore Prices (L3)'!$C$6:$G$6,0))</f>
        <v>0.1</v>
      </c>
      <c r="AC190" s="54">
        <f t="shared" si="37"/>
        <v>37.700000000000003</v>
      </c>
      <c r="AD190" s="54">
        <f t="shared" si="38"/>
        <v>23.75</v>
      </c>
      <c r="AE190" s="54">
        <f t="shared" si="39"/>
        <v>2.75</v>
      </c>
      <c r="AF190" s="54">
        <f t="shared" si="40"/>
        <v>38.75</v>
      </c>
      <c r="AG190" s="54">
        <f t="shared" si="41"/>
        <v>30</v>
      </c>
      <c r="AH190" s="54">
        <f t="shared" si="42"/>
        <v>37</v>
      </c>
      <c r="AI190" s="54">
        <f t="shared" si="43"/>
        <v>23</v>
      </c>
      <c r="AJ190" s="54">
        <f t="shared" si="44"/>
        <v>2</v>
      </c>
      <c r="AK190" s="54">
        <f t="shared" si="45"/>
        <v>38</v>
      </c>
      <c r="AL190" s="54">
        <f t="shared" si="46"/>
        <v>30</v>
      </c>
      <c r="AM190" s="54">
        <f t="shared" si="47"/>
        <v>0.70000000000000284</v>
      </c>
      <c r="AN190" s="54">
        <f t="shared" si="48"/>
        <v>0.75</v>
      </c>
      <c r="AO190" s="54">
        <f t="shared" si="49"/>
        <v>0.75</v>
      </c>
      <c r="AP190" s="54">
        <f t="shared" si="50"/>
        <v>0.75</v>
      </c>
      <c r="AQ190" s="54">
        <f t="shared" si="51"/>
        <v>0</v>
      </c>
      <c r="AR190">
        <f>SUMPRODUCT(($AM190:AM190)*($S190:S190=S190))</f>
        <v>0.70000000000000284</v>
      </c>
      <c r="AS190">
        <f>SUMPRODUCT(($AM190:AN190)*($S190:T190=T190))</f>
        <v>0.75</v>
      </c>
      <c r="AT190">
        <f>SUMPRODUCT(($AM190:AO190)*($S190:U190=U190))</f>
        <v>0.75</v>
      </c>
      <c r="AU190">
        <f>SUMPRODUCT(($AM190:AP190)*($S190:V190=V190))</f>
        <v>1.5</v>
      </c>
      <c r="AV190">
        <f>SUMPRODUCT(($AM190:AQ190)*($S190:W190=W190))</f>
        <v>0</v>
      </c>
      <c r="AW190" s="54">
        <v>0</v>
      </c>
      <c r="AX190" s="54">
        <f t="shared" si="52"/>
        <v>0</v>
      </c>
      <c r="AY190" s="54">
        <f>_xlfn.FLOOR.MATH(SUMPRODUCT(($AM190:AO190)*($S190:U190=U190))-SUMPRODUCT(($AW190:AX190)*($S190:T190=U190)),1)</f>
        <v>0</v>
      </c>
      <c r="AZ190" s="54">
        <f>_xlfn.FLOOR.MATH(SUMPRODUCT(($AM190:AP190)*($S190:V190=V190))-SUMPRODUCT(($AW190:AY190)*($S190:U190=V190)),1)</f>
        <v>1</v>
      </c>
      <c r="BA190" s="54">
        <f>_xlfn.FLOOR.MATH(SUMPRODUCT(($AM190:AQ190)*($S190:W190=W190))-SUMPRODUCT(($AW190:AZ190)*($S190:V190=W190)),1)</f>
        <v>0</v>
      </c>
      <c r="BB190" s="54">
        <f t="shared" si="53"/>
        <v>0.70000000000000284</v>
      </c>
      <c r="BC190" s="54">
        <f>AS190-SUMPRODUCT(($AW190:AX190)*($S190:T190=T190))</f>
        <v>0.75</v>
      </c>
      <c r="BD190" s="54">
        <f>AT190-SUMPRODUCT(($AW190:AY190)*($S190:U190=U190))</f>
        <v>0.75</v>
      </c>
      <c r="BE190" s="54">
        <f>AU190-SUMPRODUCT(($AW190:AZ190)*($S190:V190=V190))</f>
        <v>0.5</v>
      </c>
      <c r="BF190" s="54">
        <f>AV190-SUMPRODUCT(($AW190:BA190)*($S190:W190=W190))</f>
        <v>0</v>
      </c>
      <c r="BG190" s="54">
        <f t="shared" si="54"/>
        <v>15.91</v>
      </c>
      <c r="BH190" s="54">
        <f t="shared" si="55"/>
        <v>25.07</v>
      </c>
      <c r="BI190" s="54">
        <f t="shared" si="56"/>
        <v>3.76</v>
      </c>
      <c r="BJ190" s="54">
        <f t="shared" si="57"/>
        <v>39.39</v>
      </c>
      <c r="BK190" s="54">
        <f t="shared" si="58"/>
        <v>3</v>
      </c>
      <c r="BL190" s="54">
        <f>SUM($BG190:BG190)+$L190</f>
        <v>70.509999999999991</v>
      </c>
      <c r="BM190" s="54">
        <f>SUM($BG190:BH190)+$L190</f>
        <v>95.58</v>
      </c>
      <c r="BN190" s="54">
        <f>SUM($BG190:BI190)+$L190</f>
        <v>99.34</v>
      </c>
      <c r="BO190" s="54">
        <f>SUM($BG190:BJ190)+$L190</f>
        <v>138.72999999999999</v>
      </c>
      <c r="BP190" s="54">
        <f>SUM($BG190:BK190)+$L190</f>
        <v>141.72999999999999</v>
      </c>
      <c r="BQ190" s="54">
        <f t="shared" si="59"/>
        <v>2</v>
      </c>
      <c r="BR190" s="117">
        <f t="shared" si="60"/>
        <v>5.5799999999999983</v>
      </c>
    </row>
    <row r="191" spans="2:70" ht="23.25">
      <c r="B191" s="68">
        <v>48</v>
      </c>
      <c r="C191" s="68">
        <f t="shared" si="61"/>
        <v>3</v>
      </c>
      <c r="D191" s="76">
        <v>9</v>
      </c>
      <c r="E191" s="2">
        <v>8</v>
      </c>
      <c r="F191" s="3" t="s">
        <v>67</v>
      </c>
      <c r="G191" s="3" t="s">
        <v>77</v>
      </c>
      <c r="H191" s="47">
        <f t="shared" si="35"/>
        <v>2981</v>
      </c>
      <c r="I191" s="111">
        <f>IF(ISBLANK(H191),0,IF(H191=Answers!H191,1,-1))</f>
        <v>1</v>
      </c>
      <c r="J191" s="78" t="s">
        <v>220</v>
      </c>
      <c r="K191" s="78" t="s">
        <v>220</v>
      </c>
      <c r="L191" s="119">
        <f t="shared" si="36"/>
        <v>56.319999999999993</v>
      </c>
      <c r="M191" s="95">
        <v>45329</v>
      </c>
      <c r="N191" s="10">
        <v>101</v>
      </c>
      <c r="O191" s="8">
        <v>817</v>
      </c>
      <c r="P191" s="12">
        <v>896</v>
      </c>
      <c r="Q191" s="10">
        <v>425</v>
      </c>
      <c r="R191" s="8">
        <v>3</v>
      </c>
      <c r="S191" s="10" t="s">
        <v>162</v>
      </c>
      <c r="T191" s="8" t="s">
        <v>158</v>
      </c>
      <c r="U191" s="12" t="s">
        <v>161</v>
      </c>
      <c r="V191" s="10" t="s">
        <v>162</v>
      </c>
      <c r="W191" s="8" t="s">
        <v>158</v>
      </c>
      <c r="X191" s="54">
        <f>INDEX('Ore Prices (L3)'!$C$7:$G$382,MATCH($M191+6,'Ore Prices (L3)'!$B$7:$B$382,0),MATCH(Case!S191,'Ore Prices (L3)'!$C$6:$G$6,0))</f>
        <v>1.73</v>
      </c>
      <c r="Y191" s="54">
        <f>INDEX('Ore Prices (L3)'!$C$7:$G$382,MATCH($M191+6+7,'Ore Prices (L3)'!$B$7:$B$382,0),MATCH(Case!T191,'Ore Prices (L3)'!$C$6:$G$6,0))</f>
        <v>0.26</v>
      </c>
      <c r="Z191" s="54">
        <f>INDEX('Ore Prices (L3)'!$C$7:$G$382,MATCH($M191+6+7+7,'Ore Prices (L3)'!$B$7:$B$382,0),MATCH(Case!U191,'Ore Prices (L3)'!$C$6:$G$6,0))</f>
        <v>1.01</v>
      </c>
      <c r="AA191" s="54">
        <f>INDEX('Ore Prices (L3)'!$C$7:$G$382,MATCH($M191+6+7+7+7,'Ore Prices (L3)'!$B$7:$B$382,0),MATCH(Case!V191,'Ore Prices (L3)'!$C$6:$G$6,0))</f>
        <v>1.66</v>
      </c>
      <c r="AB191" s="54">
        <f>INDEX('Ore Prices (L3)'!$C$7:$G$382,MATCH($M191+6+7+7+7+7,'Ore Prices (L3)'!$B$7:$B$382,0),MATCH(Case!W191,'Ore Prices (L3)'!$C$6:$G$6,0))</f>
        <v>0.28999999999999998</v>
      </c>
      <c r="AC191" s="54">
        <f t="shared" si="37"/>
        <v>5.05</v>
      </c>
      <c r="AD191" s="54">
        <f t="shared" si="38"/>
        <v>40.85</v>
      </c>
      <c r="AE191" s="54">
        <f t="shared" si="39"/>
        <v>44.8</v>
      </c>
      <c r="AF191" s="54">
        <f t="shared" si="40"/>
        <v>21.25</v>
      </c>
      <c r="AG191" s="54">
        <f t="shared" si="41"/>
        <v>0.15</v>
      </c>
      <c r="AH191" s="54">
        <f t="shared" si="42"/>
        <v>5</v>
      </c>
      <c r="AI191" s="54">
        <f t="shared" si="43"/>
        <v>40</v>
      </c>
      <c r="AJ191" s="54">
        <f t="shared" si="44"/>
        <v>44</v>
      </c>
      <c r="AK191" s="54">
        <f t="shared" si="45"/>
        <v>21</v>
      </c>
      <c r="AL191" s="54">
        <f t="shared" si="46"/>
        <v>0</v>
      </c>
      <c r="AM191" s="54">
        <f t="shared" si="47"/>
        <v>4.9999999999999822E-2</v>
      </c>
      <c r="AN191" s="54">
        <f t="shared" si="48"/>
        <v>0.85000000000000142</v>
      </c>
      <c r="AO191" s="54">
        <f t="shared" si="49"/>
        <v>0.79999999999999716</v>
      </c>
      <c r="AP191" s="54">
        <f t="shared" si="50"/>
        <v>0.25</v>
      </c>
      <c r="AQ191" s="54">
        <f t="shared" si="51"/>
        <v>0.15</v>
      </c>
      <c r="AR191">
        <f>SUMPRODUCT(($AM191:AM191)*($S191:S191=S191))</f>
        <v>4.9999999999999822E-2</v>
      </c>
      <c r="AS191">
        <f>SUMPRODUCT(($AM191:AN191)*($S191:T191=T191))</f>
        <v>0.85000000000000142</v>
      </c>
      <c r="AT191">
        <f>SUMPRODUCT(($AM191:AO191)*($S191:U191=U191))</f>
        <v>0.79999999999999716</v>
      </c>
      <c r="AU191">
        <f>SUMPRODUCT(($AM191:AP191)*($S191:V191=V191))</f>
        <v>0.29999999999999982</v>
      </c>
      <c r="AV191">
        <f>SUMPRODUCT(($AM191:AQ191)*($S191:W191=W191))</f>
        <v>1.0000000000000013</v>
      </c>
      <c r="AW191" s="54">
        <v>0</v>
      </c>
      <c r="AX191" s="54">
        <f t="shared" si="52"/>
        <v>0</v>
      </c>
      <c r="AY191" s="54">
        <f>_xlfn.FLOOR.MATH(SUMPRODUCT(($AM191:AO191)*($S191:U191=U191))-SUMPRODUCT(($AW191:AX191)*($S191:T191=U191)),1)</f>
        <v>0</v>
      </c>
      <c r="AZ191" s="54">
        <f>_xlfn.FLOOR.MATH(SUMPRODUCT(($AM191:AP191)*($S191:V191=V191))-SUMPRODUCT(($AW191:AY191)*($S191:U191=V191)),1)</f>
        <v>0</v>
      </c>
      <c r="BA191" s="54">
        <f>_xlfn.FLOOR.MATH(SUMPRODUCT(($AM191:AQ191)*($S191:W191=W191))-SUMPRODUCT(($AW191:AZ191)*($S191:V191=W191)),1)</f>
        <v>1</v>
      </c>
      <c r="BB191" s="54">
        <f t="shared" si="53"/>
        <v>4.9999999999999822E-2</v>
      </c>
      <c r="BC191" s="54">
        <f>AS191-SUMPRODUCT(($AW191:AX191)*($S191:T191=T191))</f>
        <v>0.85000000000000142</v>
      </c>
      <c r="BD191" s="54">
        <f>AT191-SUMPRODUCT(($AW191:AY191)*($S191:U191=U191))</f>
        <v>0.79999999999999716</v>
      </c>
      <c r="BE191" s="54">
        <f>AU191-SUMPRODUCT(($AW191:AZ191)*($S191:V191=V191))</f>
        <v>0.29999999999999982</v>
      </c>
      <c r="BF191" s="54">
        <f>AV191-SUMPRODUCT(($AW191:BA191)*($S191:W191=W191))</f>
        <v>0</v>
      </c>
      <c r="BG191" s="54">
        <f t="shared" si="54"/>
        <v>8.65</v>
      </c>
      <c r="BH191" s="54">
        <f t="shared" si="55"/>
        <v>10.4</v>
      </c>
      <c r="BI191" s="54">
        <f t="shared" si="56"/>
        <v>44.44</v>
      </c>
      <c r="BJ191" s="54">
        <f t="shared" si="57"/>
        <v>34.86</v>
      </c>
      <c r="BK191" s="54">
        <f t="shared" si="58"/>
        <v>0.28999999999999998</v>
      </c>
      <c r="BL191" s="54">
        <f>SUM($BG191:BG191)+$L191</f>
        <v>64.97</v>
      </c>
      <c r="BM191" s="54">
        <f>SUM($BG191:BH191)+$L191</f>
        <v>75.36999999999999</v>
      </c>
      <c r="BN191" s="54">
        <f>SUM($BG191:BI191)+$L191</f>
        <v>119.80999999999999</v>
      </c>
      <c r="BO191" s="54">
        <f>SUM($BG191:BJ191)+$L191</f>
        <v>154.66999999999999</v>
      </c>
      <c r="BP191" s="54">
        <f>SUM($BG191:BK191)+$L191</f>
        <v>154.95999999999998</v>
      </c>
      <c r="BQ191" s="54">
        <f t="shared" si="59"/>
        <v>3</v>
      </c>
      <c r="BR191" s="117">
        <f t="shared" si="60"/>
        <v>29.809999999999988</v>
      </c>
    </row>
    <row r="192" spans="2:70" ht="23.25">
      <c r="B192" s="68">
        <v>49</v>
      </c>
      <c r="C192" s="68">
        <f t="shared" si="61"/>
        <v>3</v>
      </c>
      <c r="D192" s="76">
        <v>9</v>
      </c>
      <c r="E192" s="2">
        <v>9</v>
      </c>
      <c r="F192" s="3" t="s">
        <v>67</v>
      </c>
      <c r="G192" s="3" t="s">
        <v>78</v>
      </c>
      <c r="H192" s="47">
        <f t="shared" si="35"/>
        <v>5153</v>
      </c>
      <c r="I192" s="111">
        <f>IF(ISBLANK(H192),0,IF(H192=Answers!H192,1,-1))</f>
        <v>1</v>
      </c>
      <c r="J192" s="78" t="s">
        <v>220</v>
      </c>
      <c r="K192" s="78" t="s">
        <v>220</v>
      </c>
      <c r="L192" s="119">
        <f t="shared" si="36"/>
        <v>55.549999999999983</v>
      </c>
      <c r="M192" s="95">
        <v>45299</v>
      </c>
      <c r="N192" s="11">
        <v>590</v>
      </c>
      <c r="O192" s="12">
        <v>1133</v>
      </c>
      <c r="P192" s="11">
        <v>100</v>
      </c>
      <c r="Q192" s="10">
        <v>60</v>
      </c>
      <c r="R192" s="8">
        <v>333</v>
      </c>
      <c r="S192" s="11" t="s">
        <v>160</v>
      </c>
      <c r="T192" s="12" t="s">
        <v>161</v>
      </c>
      <c r="U192" s="11" t="s">
        <v>160</v>
      </c>
      <c r="V192" s="10" t="s">
        <v>162</v>
      </c>
      <c r="W192" s="8" t="s">
        <v>158</v>
      </c>
      <c r="X192" s="54">
        <f>INDEX('Ore Prices (L3)'!$C$7:$G$382,MATCH($M192+6,'Ore Prices (L3)'!$B$7:$B$382,0),MATCH(Case!S192,'Ore Prices (L3)'!$C$6:$G$6,0))</f>
        <v>0.86</v>
      </c>
      <c r="Y192" s="54">
        <f>INDEX('Ore Prices (L3)'!$C$7:$G$382,MATCH($M192+6+7,'Ore Prices (L3)'!$B$7:$B$382,0),MATCH(Case!T192,'Ore Prices (L3)'!$C$6:$G$6,0))</f>
        <v>1.0900000000000001</v>
      </c>
      <c r="Z192" s="54">
        <f>INDEX('Ore Prices (L3)'!$C$7:$G$382,MATCH($M192+6+7+7,'Ore Prices (L3)'!$B$7:$B$382,0),MATCH(Case!U192,'Ore Prices (L3)'!$C$6:$G$6,0))</f>
        <v>0.88</v>
      </c>
      <c r="AA192" s="54">
        <f>INDEX('Ore Prices (L3)'!$C$7:$G$382,MATCH($M192+6+7+7+7,'Ore Prices (L3)'!$B$7:$B$382,0),MATCH(Case!V192,'Ore Prices (L3)'!$C$6:$G$6,0))</f>
        <v>1.8</v>
      </c>
      <c r="AB192" s="54">
        <f>INDEX('Ore Prices (L3)'!$C$7:$G$382,MATCH($M192+6+7+7+7+7,'Ore Prices (L3)'!$B$7:$B$382,0),MATCH(Case!W192,'Ore Prices (L3)'!$C$6:$G$6,0))</f>
        <v>7.0000000000000007E-2</v>
      </c>
      <c r="AC192" s="54">
        <f t="shared" si="37"/>
        <v>29.5</v>
      </c>
      <c r="AD192" s="54">
        <f t="shared" si="38"/>
        <v>56.65</v>
      </c>
      <c r="AE192" s="54">
        <f t="shared" si="39"/>
        <v>5</v>
      </c>
      <c r="AF192" s="54">
        <f t="shared" si="40"/>
        <v>3</v>
      </c>
      <c r="AG192" s="54">
        <f t="shared" si="41"/>
        <v>16.649999999999999</v>
      </c>
      <c r="AH192" s="54">
        <f t="shared" si="42"/>
        <v>29</v>
      </c>
      <c r="AI192" s="54">
        <f t="shared" si="43"/>
        <v>56</v>
      </c>
      <c r="AJ192" s="54">
        <f t="shared" si="44"/>
        <v>5</v>
      </c>
      <c r="AK192" s="54">
        <f t="shared" si="45"/>
        <v>3</v>
      </c>
      <c r="AL192" s="54">
        <f t="shared" si="46"/>
        <v>16</v>
      </c>
      <c r="AM192" s="54">
        <f t="shared" si="47"/>
        <v>0.5</v>
      </c>
      <c r="AN192" s="54">
        <f t="shared" si="48"/>
        <v>0.64999999999999858</v>
      </c>
      <c r="AO192" s="54">
        <f t="shared" si="49"/>
        <v>0</v>
      </c>
      <c r="AP192" s="54">
        <f t="shared" si="50"/>
        <v>0</v>
      </c>
      <c r="AQ192" s="54">
        <f t="shared" si="51"/>
        <v>0.64999999999999858</v>
      </c>
      <c r="AR192">
        <f>SUMPRODUCT(($AM192:AM192)*($S192:S192=S192))</f>
        <v>0.5</v>
      </c>
      <c r="AS192">
        <f>SUMPRODUCT(($AM192:AN192)*($S192:T192=T192))</f>
        <v>0.64999999999999858</v>
      </c>
      <c r="AT192">
        <f>SUMPRODUCT(($AM192:AO192)*($S192:U192=U192))</f>
        <v>0.5</v>
      </c>
      <c r="AU192">
        <f>SUMPRODUCT(($AM192:AP192)*($S192:V192=V192))</f>
        <v>0</v>
      </c>
      <c r="AV192">
        <f>SUMPRODUCT(($AM192:AQ192)*($S192:W192=W192))</f>
        <v>0.64999999999999858</v>
      </c>
      <c r="AW192" s="54">
        <v>0</v>
      </c>
      <c r="AX192" s="54">
        <f t="shared" si="52"/>
        <v>0</v>
      </c>
      <c r="AY192" s="54">
        <f>_xlfn.FLOOR.MATH(SUMPRODUCT(($AM192:AO192)*($S192:U192=U192))-SUMPRODUCT(($AW192:AX192)*($S192:T192=U192)),1)</f>
        <v>0</v>
      </c>
      <c r="AZ192" s="54">
        <f>_xlfn.FLOOR.MATH(SUMPRODUCT(($AM192:AP192)*($S192:V192=V192))-SUMPRODUCT(($AW192:AY192)*($S192:U192=V192)),1)</f>
        <v>0</v>
      </c>
      <c r="BA192" s="54">
        <f>_xlfn.FLOOR.MATH(SUMPRODUCT(($AM192:AQ192)*($S192:W192=W192))-SUMPRODUCT(($AW192:AZ192)*($S192:V192=W192)),1)</f>
        <v>0</v>
      </c>
      <c r="BB192" s="54">
        <f t="shared" si="53"/>
        <v>0.5</v>
      </c>
      <c r="BC192" s="54">
        <f>AS192-SUMPRODUCT(($AW192:AX192)*($S192:T192=T192))</f>
        <v>0.64999999999999858</v>
      </c>
      <c r="BD192" s="54">
        <f>AT192-SUMPRODUCT(($AW192:AY192)*($S192:U192=U192))</f>
        <v>0.5</v>
      </c>
      <c r="BE192" s="54">
        <f>AU192-SUMPRODUCT(($AW192:AZ192)*($S192:V192=V192))</f>
        <v>0</v>
      </c>
      <c r="BF192" s="54">
        <f>AV192-SUMPRODUCT(($AW192:BA192)*($S192:W192=W192))</f>
        <v>0.64999999999999858</v>
      </c>
      <c r="BG192" s="54">
        <f t="shared" si="54"/>
        <v>24.94</v>
      </c>
      <c r="BH192" s="54">
        <f t="shared" si="55"/>
        <v>61.040000000000006</v>
      </c>
      <c r="BI192" s="54">
        <f t="shared" si="56"/>
        <v>4.4000000000000004</v>
      </c>
      <c r="BJ192" s="54">
        <f t="shared" si="57"/>
        <v>5.4</v>
      </c>
      <c r="BK192" s="54">
        <f t="shared" si="58"/>
        <v>1.1200000000000001</v>
      </c>
      <c r="BL192" s="54">
        <f>SUM($BG192:BG192)+$L192</f>
        <v>80.489999999999981</v>
      </c>
      <c r="BM192" s="54">
        <f>SUM($BG192:BH192)+$L192</f>
        <v>141.52999999999997</v>
      </c>
      <c r="BN192" s="54">
        <f>SUM($BG192:BI192)+$L192</f>
        <v>145.93</v>
      </c>
      <c r="BO192" s="54">
        <f>SUM($BG192:BJ192)+$L192</f>
        <v>151.32999999999998</v>
      </c>
      <c r="BP192" s="54">
        <f>SUM($BG192:BK192)+$L192</f>
        <v>152.44999999999999</v>
      </c>
      <c r="BQ192" s="54">
        <f t="shared" si="59"/>
        <v>2</v>
      </c>
      <c r="BR192" s="117">
        <f t="shared" si="60"/>
        <v>51.529999999999973</v>
      </c>
    </row>
    <row r="193" spans="2:70" ht="23.25">
      <c r="B193" s="68">
        <v>50</v>
      </c>
      <c r="C193" s="68">
        <f t="shared" si="61"/>
        <v>3</v>
      </c>
      <c r="D193" s="76">
        <v>9</v>
      </c>
      <c r="E193" s="2">
        <v>10</v>
      </c>
      <c r="F193" s="3" t="s">
        <v>74</v>
      </c>
      <c r="G193" s="3" t="s">
        <v>79</v>
      </c>
      <c r="H193" s="47">
        <f t="shared" si="35"/>
        <v>1288</v>
      </c>
      <c r="I193" s="111">
        <f>IF(ISBLANK(H193),0,IF(H193=Answers!H193,1,-1))</f>
        <v>1</v>
      </c>
      <c r="J193" s="78" t="s">
        <v>220</v>
      </c>
      <c r="K193" s="78" t="s">
        <v>220</v>
      </c>
      <c r="L193" s="119">
        <f t="shared" si="36"/>
        <v>55.760000000000012</v>
      </c>
      <c r="M193" s="95">
        <v>45359</v>
      </c>
      <c r="N193" s="8">
        <v>454</v>
      </c>
      <c r="O193" s="8">
        <v>1234</v>
      </c>
      <c r="P193" s="8">
        <v>1200</v>
      </c>
      <c r="Q193" s="10">
        <v>166</v>
      </c>
      <c r="R193" s="12">
        <v>77</v>
      </c>
      <c r="S193" s="8" t="s">
        <v>158</v>
      </c>
      <c r="T193" s="8" t="s">
        <v>158</v>
      </c>
      <c r="U193" s="8" t="s">
        <v>158</v>
      </c>
      <c r="V193" s="10" t="s">
        <v>162</v>
      </c>
      <c r="W193" s="12" t="s">
        <v>161</v>
      </c>
      <c r="X193" s="54">
        <f>INDEX('Ore Prices (L3)'!$C$7:$G$382,MATCH($M193+6,'Ore Prices (L3)'!$B$7:$B$382,0),MATCH(Case!S193,'Ore Prices (L3)'!$C$6:$G$6,0))</f>
        <v>0.24</v>
      </c>
      <c r="Y193" s="54">
        <f>INDEX('Ore Prices (L3)'!$C$7:$G$382,MATCH($M193+6+7,'Ore Prices (L3)'!$B$7:$B$382,0),MATCH(Case!T193,'Ore Prices (L3)'!$C$6:$G$6,0))</f>
        <v>0.3</v>
      </c>
      <c r="Z193" s="54">
        <f>INDEX('Ore Prices (L3)'!$C$7:$G$382,MATCH($M193+6+7+7,'Ore Prices (L3)'!$B$7:$B$382,0),MATCH(Case!U193,'Ore Prices (L3)'!$C$6:$G$6,0))</f>
        <v>0.15</v>
      </c>
      <c r="AA193" s="54">
        <f>INDEX('Ore Prices (L3)'!$C$7:$G$382,MATCH($M193+6+7+7+7,'Ore Prices (L3)'!$B$7:$B$382,0),MATCH(Case!V193,'Ore Prices (L3)'!$C$6:$G$6,0))</f>
        <v>1.78</v>
      </c>
      <c r="AB193" s="54">
        <f>INDEX('Ore Prices (L3)'!$C$7:$G$382,MATCH($M193+6+7+7+7+7,'Ore Prices (L3)'!$B$7:$B$382,0),MATCH(Case!W193,'Ore Prices (L3)'!$C$6:$G$6,0))</f>
        <v>1.17</v>
      </c>
      <c r="AC193" s="54">
        <f t="shared" si="37"/>
        <v>22.7</v>
      </c>
      <c r="AD193" s="54">
        <f t="shared" si="38"/>
        <v>61.7</v>
      </c>
      <c r="AE193" s="54">
        <f t="shared" si="39"/>
        <v>60</v>
      </c>
      <c r="AF193" s="54">
        <f t="shared" si="40"/>
        <v>8.3000000000000007</v>
      </c>
      <c r="AG193" s="54">
        <f t="shared" si="41"/>
        <v>3.85</v>
      </c>
      <c r="AH193" s="54">
        <f t="shared" si="42"/>
        <v>22</v>
      </c>
      <c r="AI193" s="54">
        <f t="shared" si="43"/>
        <v>61</v>
      </c>
      <c r="AJ193" s="54">
        <f t="shared" si="44"/>
        <v>60</v>
      </c>
      <c r="AK193" s="54">
        <f t="shared" si="45"/>
        <v>8</v>
      </c>
      <c r="AL193" s="54">
        <f t="shared" si="46"/>
        <v>3</v>
      </c>
      <c r="AM193" s="54">
        <f t="shared" si="47"/>
        <v>0.69999999999999929</v>
      </c>
      <c r="AN193" s="54">
        <f t="shared" si="48"/>
        <v>0.70000000000000284</v>
      </c>
      <c r="AO193" s="54">
        <f t="shared" si="49"/>
        <v>0</v>
      </c>
      <c r="AP193" s="54">
        <f t="shared" si="50"/>
        <v>0.30000000000000071</v>
      </c>
      <c r="AQ193" s="54">
        <f t="shared" si="51"/>
        <v>0.85000000000000009</v>
      </c>
      <c r="AR193">
        <f>SUMPRODUCT(($AM193:AM193)*($S193:S193=S193))</f>
        <v>0.69999999999999929</v>
      </c>
      <c r="AS193">
        <f>SUMPRODUCT(($AM193:AN193)*($S193:T193=T193))</f>
        <v>1.4000000000000021</v>
      </c>
      <c r="AT193">
        <f>SUMPRODUCT(($AM193:AO193)*($S193:U193=U193))</f>
        <v>1.4000000000000021</v>
      </c>
      <c r="AU193">
        <f>SUMPRODUCT(($AM193:AP193)*($S193:V193=V193))</f>
        <v>0.30000000000000071</v>
      </c>
      <c r="AV193">
        <f>SUMPRODUCT(($AM193:AQ193)*($S193:W193=W193))</f>
        <v>0.85000000000000009</v>
      </c>
      <c r="AW193" s="54">
        <v>0</v>
      </c>
      <c r="AX193" s="54">
        <f t="shared" si="52"/>
        <v>1</v>
      </c>
      <c r="AY193" s="54">
        <f>_xlfn.FLOOR.MATH(SUMPRODUCT(($AM193:AO193)*($S193:U193=U193))-SUMPRODUCT(($AW193:AX193)*($S193:T193=U193)),1)</f>
        <v>0</v>
      </c>
      <c r="AZ193" s="54">
        <f>_xlfn.FLOOR.MATH(SUMPRODUCT(($AM193:AP193)*($S193:V193=V193))-SUMPRODUCT(($AW193:AY193)*($S193:U193=V193)),1)</f>
        <v>0</v>
      </c>
      <c r="BA193" s="54">
        <f>_xlfn.FLOOR.MATH(SUMPRODUCT(($AM193:AQ193)*($S193:W193=W193))-SUMPRODUCT(($AW193:AZ193)*($S193:V193=W193)),1)</f>
        <v>0</v>
      </c>
      <c r="BB193" s="54">
        <f t="shared" si="53"/>
        <v>0.69999999999999929</v>
      </c>
      <c r="BC193" s="54">
        <f>AS193-SUMPRODUCT(($AW193:AX193)*($S193:T193=T193))</f>
        <v>0.40000000000000213</v>
      </c>
      <c r="BD193" s="54">
        <f>AT193-SUMPRODUCT(($AW193:AY193)*($S193:U193=U193))</f>
        <v>0.40000000000000213</v>
      </c>
      <c r="BE193" s="54">
        <f>AU193-SUMPRODUCT(($AW193:AZ193)*($S193:V193=V193))</f>
        <v>0.30000000000000071</v>
      </c>
      <c r="BF193" s="54">
        <f>AV193-SUMPRODUCT(($AW193:BA193)*($S193:W193=W193))</f>
        <v>0.85000000000000009</v>
      </c>
      <c r="BG193" s="54">
        <f t="shared" si="54"/>
        <v>5.2799999999999994</v>
      </c>
      <c r="BH193" s="54">
        <f t="shared" si="55"/>
        <v>18.599999999999998</v>
      </c>
      <c r="BI193" s="54">
        <f t="shared" si="56"/>
        <v>9</v>
      </c>
      <c r="BJ193" s="54">
        <f t="shared" si="57"/>
        <v>14.24</v>
      </c>
      <c r="BK193" s="54">
        <f t="shared" si="58"/>
        <v>3.51</v>
      </c>
      <c r="BL193" s="54">
        <f>SUM($BG193:BG193)+$L193</f>
        <v>61.040000000000013</v>
      </c>
      <c r="BM193" s="54">
        <f>SUM($BG193:BH193)+$L193</f>
        <v>79.640000000000015</v>
      </c>
      <c r="BN193" s="54">
        <f>SUM($BG193:BI193)+$L193</f>
        <v>88.640000000000015</v>
      </c>
      <c r="BO193" s="54">
        <f>SUM($BG193:BJ193)+$L193</f>
        <v>102.88000000000001</v>
      </c>
      <c r="BP193" s="54">
        <f>SUM($BG193:BK193)+$L193</f>
        <v>106.39000000000001</v>
      </c>
      <c r="BQ193" s="54">
        <f t="shared" si="59"/>
        <v>4</v>
      </c>
      <c r="BR193" s="117">
        <f t="shared" si="60"/>
        <v>12.88000000000001</v>
      </c>
    </row>
    <row r="194" spans="2:70" ht="23.25">
      <c r="B194" s="68">
        <v>51</v>
      </c>
      <c r="C194" s="68">
        <f t="shared" si="61"/>
        <v>3</v>
      </c>
      <c r="D194" s="76">
        <v>9</v>
      </c>
      <c r="E194" s="2">
        <v>11</v>
      </c>
      <c r="F194" s="3" t="s">
        <v>67</v>
      </c>
      <c r="G194" s="3" t="s">
        <v>68</v>
      </c>
      <c r="H194" s="47">
        <f t="shared" si="35"/>
        <v>2677</v>
      </c>
      <c r="I194" s="111">
        <f>IF(ISBLANK(H194),0,IF(H194=Answers!H194,1,-1))</f>
        <v>1</v>
      </c>
      <c r="J194" s="78" t="s">
        <v>220</v>
      </c>
      <c r="K194" s="78" t="s">
        <v>220</v>
      </c>
      <c r="L194" s="119">
        <f t="shared" si="36"/>
        <v>55.549999999999983</v>
      </c>
      <c r="M194" s="95">
        <v>45334</v>
      </c>
      <c r="N194" s="11">
        <v>333</v>
      </c>
      <c r="O194" s="9">
        <v>627</v>
      </c>
      <c r="P194" s="12">
        <v>668</v>
      </c>
      <c r="Q194" s="10">
        <v>224</v>
      </c>
      <c r="R194" s="12">
        <v>1091</v>
      </c>
      <c r="S194" s="11" t="s">
        <v>160</v>
      </c>
      <c r="T194" s="9" t="s">
        <v>159</v>
      </c>
      <c r="U194" s="12" t="s">
        <v>161</v>
      </c>
      <c r="V194" s="10" t="s">
        <v>162</v>
      </c>
      <c r="W194" s="12" t="s">
        <v>161</v>
      </c>
      <c r="X194" s="54">
        <f>INDEX('Ore Prices (L3)'!$C$7:$G$382,MATCH($M194+6,'Ore Prices (L3)'!$B$7:$B$382,0),MATCH(Case!S194,'Ore Prices (L3)'!$C$6:$G$6,0))</f>
        <v>0.83</v>
      </c>
      <c r="Y194" s="54">
        <f>INDEX('Ore Prices (L3)'!$C$7:$G$382,MATCH($M194+6+7,'Ore Prices (L3)'!$B$7:$B$382,0),MATCH(Case!T194,'Ore Prices (L3)'!$C$6:$G$6,0))</f>
        <v>0.45</v>
      </c>
      <c r="Z194" s="54">
        <f>INDEX('Ore Prices (L3)'!$C$7:$G$382,MATCH($M194+6+7+7,'Ore Prices (L3)'!$B$7:$B$382,0),MATCH(Case!U194,'Ore Prices (L3)'!$C$6:$G$6,0))</f>
        <v>1.03</v>
      </c>
      <c r="AA194" s="54">
        <f>INDEX('Ore Prices (L3)'!$C$7:$G$382,MATCH($M194+6+7+7+7,'Ore Prices (L3)'!$B$7:$B$382,0),MATCH(Case!V194,'Ore Prices (L3)'!$C$6:$G$6,0))</f>
        <v>1.49</v>
      </c>
      <c r="AB194" s="54">
        <f>INDEX('Ore Prices (L3)'!$C$7:$G$382,MATCH($M194+6+7+7+7+7,'Ore Prices (L3)'!$B$7:$B$382,0),MATCH(Case!W194,'Ore Prices (L3)'!$C$6:$G$6,0))</f>
        <v>1.1499999999999999</v>
      </c>
      <c r="AC194" s="54">
        <f t="shared" si="37"/>
        <v>16.649999999999999</v>
      </c>
      <c r="AD194" s="54">
        <f t="shared" si="38"/>
        <v>31.35</v>
      </c>
      <c r="AE194" s="54">
        <f t="shared" si="39"/>
        <v>33.4</v>
      </c>
      <c r="AF194" s="54">
        <f t="shared" si="40"/>
        <v>11.2</v>
      </c>
      <c r="AG194" s="54">
        <f t="shared" si="41"/>
        <v>54.55</v>
      </c>
      <c r="AH194" s="54">
        <f t="shared" si="42"/>
        <v>16</v>
      </c>
      <c r="AI194" s="54">
        <f t="shared" si="43"/>
        <v>31</v>
      </c>
      <c r="AJ194" s="54">
        <f t="shared" si="44"/>
        <v>33</v>
      </c>
      <c r="AK194" s="54">
        <f t="shared" si="45"/>
        <v>11</v>
      </c>
      <c r="AL194" s="54">
        <f t="shared" si="46"/>
        <v>54</v>
      </c>
      <c r="AM194" s="54">
        <f t="shared" si="47"/>
        <v>0.64999999999999858</v>
      </c>
      <c r="AN194" s="54">
        <f t="shared" si="48"/>
        <v>0.35000000000000142</v>
      </c>
      <c r="AO194" s="54">
        <f t="shared" si="49"/>
        <v>0.39999999999999858</v>
      </c>
      <c r="AP194" s="54">
        <f t="shared" si="50"/>
        <v>0.19999999999999929</v>
      </c>
      <c r="AQ194" s="54">
        <f t="shared" si="51"/>
        <v>0.54999999999999716</v>
      </c>
      <c r="AR194">
        <f>SUMPRODUCT(($AM194:AM194)*($S194:S194=S194))</f>
        <v>0.64999999999999858</v>
      </c>
      <c r="AS194">
        <f>SUMPRODUCT(($AM194:AN194)*($S194:T194=T194))</f>
        <v>0.35000000000000142</v>
      </c>
      <c r="AT194">
        <f>SUMPRODUCT(($AM194:AO194)*($S194:U194=U194))</f>
        <v>0.39999999999999858</v>
      </c>
      <c r="AU194">
        <f>SUMPRODUCT(($AM194:AP194)*($S194:V194=V194))</f>
        <v>0.19999999999999929</v>
      </c>
      <c r="AV194">
        <f>SUMPRODUCT(($AM194:AQ194)*($S194:W194=W194))</f>
        <v>0.94999999999999574</v>
      </c>
      <c r="AW194" s="54">
        <v>0</v>
      </c>
      <c r="AX194" s="54">
        <f t="shared" si="52"/>
        <v>0</v>
      </c>
      <c r="AY194" s="54">
        <f>_xlfn.FLOOR.MATH(SUMPRODUCT(($AM194:AO194)*($S194:U194=U194))-SUMPRODUCT(($AW194:AX194)*($S194:T194=U194)),1)</f>
        <v>0</v>
      </c>
      <c r="AZ194" s="54">
        <f>_xlfn.FLOOR.MATH(SUMPRODUCT(($AM194:AP194)*($S194:V194=V194))-SUMPRODUCT(($AW194:AY194)*($S194:U194=V194)),1)</f>
        <v>0</v>
      </c>
      <c r="BA194" s="54">
        <f>_xlfn.FLOOR.MATH(SUMPRODUCT(($AM194:AQ194)*($S194:W194=W194))-SUMPRODUCT(($AW194:AZ194)*($S194:V194=W194)),1)</f>
        <v>0</v>
      </c>
      <c r="BB194" s="54">
        <f t="shared" si="53"/>
        <v>0.64999999999999858</v>
      </c>
      <c r="BC194" s="54">
        <f>AS194-SUMPRODUCT(($AW194:AX194)*($S194:T194=T194))</f>
        <v>0.35000000000000142</v>
      </c>
      <c r="BD194" s="54">
        <f>AT194-SUMPRODUCT(($AW194:AY194)*($S194:U194=U194))</f>
        <v>0.39999999999999858</v>
      </c>
      <c r="BE194" s="54">
        <f>AU194-SUMPRODUCT(($AW194:AZ194)*($S194:V194=V194))</f>
        <v>0.19999999999999929</v>
      </c>
      <c r="BF194" s="54">
        <f>AV194-SUMPRODUCT(($AW194:BA194)*($S194:W194=W194))</f>
        <v>0.94999999999999574</v>
      </c>
      <c r="BG194" s="54">
        <f t="shared" si="54"/>
        <v>13.28</v>
      </c>
      <c r="BH194" s="54">
        <f t="shared" si="55"/>
        <v>13.950000000000001</v>
      </c>
      <c r="BI194" s="54">
        <f t="shared" si="56"/>
        <v>33.99</v>
      </c>
      <c r="BJ194" s="54">
        <f t="shared" si="57"/>
        <v>16.39</v>
      </c>
      <c r="BK194" s="54">
        <f t="shared" si="58"/>
        <v>62.099999999999994</v>
      </c>
      <c r="BL194" s="54">
        <f>SUM($BG194:BG194)+$L194</f>
        <v>68.829999999999984</v>
      </c>
      <c r="BM194" s="54">
        <f>SUM($BG194:BH194)+$L194</f>
        <v>82.779999999999987</v>
      </c>
      <c r="BN194" s="54">
        <f>SUM($BG194:BI194)+$L194</f>
        <v>116.76999999999998</v>
      </c>
      <c r="BO194" s="54">
        <f>SUM($BG194:BJ194)+$L194</f>
        <v>133.15999999999997</v>
      </c>
      <c r="BP194" s="54">
        <f>SUM($BG194:BK194)+$L194</f>
        <v>195.25999999999996</v>
      </c>
      <c r="BQ194" s="54">
        <f t="shared" si="59"/>
        <v>3</v>
      </c>
      <c r="BR194" s="117">
        <f t="shared" si="60"/>
        <v>26.769999999999982</v>
      </c>
    </row>
    <row r="195" spans="2:70" ht="23.25">
      <c r="B195" s="68">
        <v>52</v>
      </c>
      <c r="C195" s="68">
        <f t="shared" si="61"/>
        <v>3</v>
      </c>
      <c r="D195" s="76">
        <v>9</v>
      </c>
      <c r="E195" s="2">
        <v>12</v>
      </c>
      <c r="F195" s="3" t="s">
        <v>72</v>
      </c>
      <c r="G195" s="3" t="s">
        <v>71</v>
      </c>
      <c r="H195" s="47">
        <f t="shared" si="35"/>
        <v>756</v>
      </c>
      <c r="I195" s="111">
        <f>IF(ISBLANK(H195),0,IF(H195=Answers!H195,1,-1))</f>
        <v>1</v>
      </c>
      <c r="J195" s="78" t="s">
        <v>220</v>
      </c>
      <c r="K195" s="78" t="s">
        <v>220</v>
      </c>
      <c r="L195" s="119">
        <f t="shared" si="36"/>
        <v>54.599999999999994</v>
      </c>
      <c r="M195" s="95">
        <v>45459</v>
      </c>
      <c r="N195" s="10">
        <v>155</v>
      </c>
      <c r="O195" s="8">
        <v>780</v>
      </c>
      <c r="P195" s="9">
        <v>432</v>
      </c>
      <c r="Q195" s="9">
        <v>606</v>
      </c>
      <c r="R195" s="11">
        <v>327</v>
      </c>
      <c r="S195" s="10" t="s">
        <v>162</v>
      </c>
      <c r="T195" s="8" t="s">
        <v>158</v>
      </c>
      <c r="U195" s="9" t="s">
        <v>159</v>
      </c>
      <c r="V195" s="9" t="s">
        <v>159</v>
      </c>
      <c r="W195" s="11" t="s">
        <v>160</v>
      </c>
      <c r="X195" s="54">
        <f>INDEX('Ore Prices (L3)'!$C$7:$G$382,MATCH($M195+6,'Ore Prices (L3)'!$B$7:$B$382,0),MATCH(Case!S195,'Ore Prices (L3)'!$C$6:$G$6,0))</f>
        <v>1.5</v>
      </c>
      <c r="Y195" s="54">
        <f>INDEX('Ore Prices (L3)'!$C$7:$G$382,MATCH($M195+6+7,'Ore Prices (L3)'!$B$7:$B$382,0),MATCH(Case!T195,'Ore Prices (L3)'!$C$6:$G$6,0))</f>
        <v>0.24</v>
      </c>
      <c r="Z195" s="54">
        <f>INDEX('Ore Prices (L3)'!$C$7:$G$382,MATCH($M195+6+7+7,'Ore Prices (L3)'!$B$7:$B$382,0),MATCH(Case!U195,'Ore Prices (L3)'!$C$6:$G$6,0))</f>
        <v>0.5</v>
      </c>
      <c r="AA195" s="54">
        <f>INDEX('Ore Prices (L3)'!$C$7:$G$382,MATCH($M195+6+7+7+7,'Ore Prices (L3)'!$B$7:$B$382,0),MATCH(Case!V195,'Ore Prices (L3)'!$C$6:$G$6,0))</f>
        <v>0.42</v>
      </c>
      <c r="AB195" s="54">
        <f>INDEX('Ore Prices (L3)'!$C$7:$G$382,MATCH($M195+6+7+7+7+7,'Ore Prices (L3)'!$B$7:$B$382,0),MATCH(Case!W195,'Ore Prices (L3)'!$C$6:$G$6,0))</f>
        <v>0.81</v>
      </c>
      <c r="AC195" s="54">
        <f t="shared" si="37"/>
        <v>7.75</v>
      </c>
      <c r="AD195" s="54">
        <f t="shared" si="38"/>
        <v>39</v>
      </c>
      <c r="AE195" s="54">
        <f t="shared" si="39"/>
        <v>21.6</v>
      </c>
      <c r="AF195" s="54">
        <f t="shared" si="40"/>
        <v>30.3</v>
      </c>
      <c r="AG195" s="54">
        <f t="shared" si="41"/>
        <v>16.350000000000001</v>
      </c>
      <c r="AH195" s="54">
        <f t="shared" si="42"/>
        <v>7</v>
      </c>
      <c r="AI195" s="54">
        <f t="shared" si="43"/>
        <v>39</v>
      </c>
      <c r="AJ195" s="54">
        <f t="shared" si="44"/>
        <v>21</v>
      </c>
      <c r="AK195" s="54">
        <f t="shared" si="45"/>
        <v>30</v>
      </c>
      <c r="AL195" s="54">
        <f t="shared" si="46"/>
        <v>16</v>
      </c>
      <c r="AM195" s="54">
        <f t="shared" si="47"/>
        <v>0.75</v>
      </c>
      <c r="AN195" s="54">
        <f t="shared" si="48"/>
        <v>0</v>
      </c>
      <c r="AO195" s="54">
        <f t="shared" si="49"/>
        <v>0.60000000000000142</v>
      </c>
      <c r="AP195" s="54">
        <f t="shared" si="50"/>
        <v>0.30000000000000071</v>
      </c>
      <c r="AQ195" s="54">
        <f t="shared" si="51"/>
        <v>0.35000000000000142</v>
      </c>
      <c r="AR195">
        <f>SUMPRODUCT(($AM195:AM195)*($S195:S195=S195))</f>
        <v>0.75</v>
      </c>
      <c r="AS195">
        <f>SUMPRODUCT(($AM195:AN195)*($S195:T195=T195))</f>
        <v>0</v>
      </c>
      <c r="AT195">
        <f>SUMPRODUCT(($AM195:AO195)*($S195:U195=U195))</f>
        <v>0.60000000000000142</v>
      </c>
      <c r="AU195">
        <f>SUMPRODUCT(($AM195:AP195)*($S195:V195=V195))</f>
        <v>0.90000000000000213</v>
      </c>
      <c r="AV195">
        <f>SUMPRODUCT(($AM195:AQ195)*($S195:W195=W195))</f>
        <v>0.35000000000000142</v>
      </c>
      <c r="AW195" s="54">
        <v>0</v>
      </c>
      <c r="AX195" s="54">
        <f t="shared" si="52"/>
        <v>0</v>
      </c>
      <c r="AY195" s="54">
        <f>_xlfn.FLOOR.MATH(SUMPRODUCT(($AM195:AO195)*($S195:U195=U195))-SUMPRODUCT(($AW195:AX195)*($S195:T195=U195)),1)</f>
        <v>0</v>
      </c>
      <c r="AZ195" s="54">
        <f>_xlfn.FLOOR.MATH(SUMPRODUCT(($AM195:AP195)*($S195:V195=V195))-SUMPRODUCT(($AW195:AY195)*($S195:U195=V195)),1)</f>
        <v>0</v>
      </c>
      <c r="BA195" s="54">
        <f>_xlfn.FLOOR.MATH(SUMPRODUCT(($AM195:AQ195)*($S195:W195=W195))-SUMPRODUCT(($AW195:AZ195)*($S195:V195=W195)),1)</f>
        <v>0</v>
      </c>
      <c r="BB195" s="54">
        <f t="shared" si="53"/>
        <v>0.75</v>
      </c>
      <c r="BC195" s="54">
        <f>AS195-SUMPRODUCT(($AW195:AX195)*($S195:T195=T195))</f>
        <v>0</v>
      </c>
      <c r="BD195" s="54">
        <f>AT195-SUMPRODUCT(($AW195:AY195)*($S195:U195=U195))</f>
        <v>0.60000000000000142</v>
      </c>
      <c r="BE195" s="54">
        <f>AU195-SUMPRODUCT(($AW195:AZ195)*($S195:V195=V195))</f>
        <v>0.90000000000000213</v>
      </c>
      <c r="BF195" s="54">
        <f>AV195-SUMPRODUCT(($AW195:BA195)*($S195:W195=W195))</f>
        <v>0.35000000000000142</v>
      </c>
      <c r="BG195" s="54">
        <f t="shared" si="54"/>
        <v>10.5</v>
      </c>
      <c r="BH195" s="54">
        <f t="shared" si="55"/>
        <v>9.36</v>
      </c>
      <c r="BI195" s="54">
        <f t="shared" si="56"/>
        <v>10.5</v>
      </c>
      <c r="BJ195" s="54">
        <f t="shared" si="57"/>
        <v>12.6</v>
      </c>
      <c r="BK195" s="54">
        <f t="shared" si="58"/>
        <v>12.96</v>
      </c>
      <c r="BL195" s="54">
        <f>SUM($BG195:BG195)+$L195</f>
        <v>65.099999999999994</v>
      </c>
      <c r="BM195" s="54">
        <f>SUM($BG195:BH195)+$L195</f>
        <v>74.459999999999994</v>
      </c>
      <c r="BN195" s="54">
        <f>SUM($BG195:BI195)+$L195</f>
        <v>84.96</v>
      </c>
      <c r="BO195" s="54">
        <f>SUM($BG195:BJ195)+$L195</f>
        <v>97.56</v>
      </c>
      <c r="BP195" s="54">
        <f>SUM($BG195:BK195)+$L195</f>
        <v>110.52</v>
      </c>
      <c r="BQ195" s="54">
        <f t="shared" si="59"/>
        <v>4</v>
      </c>
      <c r="BR195" s="117">
        <f t="shared" si="60"/>
        <v>7.5600000000000023</v>
      </c>
    </row>
    <row r="196" spans="2:70" ht="23.25">
      <c r="B196" s="68">
        <v>53</v>
      </c>
      <c r="C196" s="68">
        <f t="shared" si="61"/>
        <v>3</v>
      </c>
      <c r="D196" s="76">
        <v>9</v>
      </c>
      <c r="E196" s="2">
        <v>13</v>
      </c>
      <c r="F196" s="3" t="s">
        <v>74</v>
      </c>
      <c r="G196" s="3" t="s">
        <v>77</v>
      </c>
      <c r="H196" s="47">
        <f t="shared" si="35"/>
        <v>64</v>
      </c>
      <c r="I196" s="111">
        <f>IF(ISBLANK(H196),0,IF(H196=Answers!H196,1,-1))</f>
        <v>1</v>
      </c>
      <c r="J196" s="78" t="s">
        <v>220</v>
      </c>
      <c r="K196" s="78" t="s">
        <v>220</v>
      </c>
      <c r="L196" s="119">
        <f t="shared" si="36"/>
        <v>52.649999999999991</v>
      </c>
      <c r="M196" s="95">
        <v>45489</v>
      </c>
      <c r="N196" s="12">
        <v>310</v>
      </c>
      <c r="O196" s="10">
        <v>343</v>
      </c>
      <c r="P196" s="12">
        <v>20</v>
      </c>
      <c r="Q196" s="9">
        <v>295</v>
      </c>
      <c r="R196" s="9">
        <v>491</v>
      </c>
      <c r="S196" s="12" t="s">
        <v>161</v>
      </c>
      <c r="T196" s="10" t="s">
        <v>162</v>
      </c>
      <c r="U196" s="12" t="s">
        <v>161</v>
      </c>
      <c r="V196" s="9" t="s">
        <v>159</v>
      </c>
      <c r="W196" s="9" t="s">
        <v>159</v>
      </c>
      <c r="X196" s="54">
        <f>INDEX('Ore Prices (L3)'!$C$7:$G$382,MATCH($M196+6,'Ore Prices (L3)'!$B$7:$B$382,0),MATCH(Case!S196,'Ore Prices (L3)'!$C$6:$G$6,0))</f>
        <v>1.03</v>
      </c>
      <c r="Y196" s="54">
        <f>INDEX('Ore Prices (L3)'!$C$7:$G$382,MATCH($M196+6+7,'Ore Prices (L3)'!$B$7:$B$382,0),MATCH(Case!T196,'Ore Prices (L3)'!$C$6:$G$6,0))</f>
        <v>1.26</v>
      </c>
      <c r="Z196" s="54">
        <f>INDEX('Ore Prices (L3)'!$C$7:$G$382,MATCH($M196+6+7+7,'Ore Prices (L3)'!$B$7:$B$382,0),MATCH(Case!U196,'Ore Prices (L3)'!$C$6:$G$6,0))</f>
        <v>1.1200000000000001</v>
      </c>
      <c r="AA196" s="54">
        <f>INDEX('Ore Prices (L3)'!$C$7:$G$382,MATCH($M196+6+7+7+7,'Ore Prices (L3)'!$B$7:$B$382,0),MATCH(Case!V196,'Ore Prices (L3)'!$C$6:$G$6,0))</f>
        <v>0.49</v>
      </c>
      <c r="AB196" s="54">
        <f>INDEX('Ore Prices (L3)'!$C$7:$G$382,MATCH($M196+6+7+7+7+7,'Ore Prices (L3)'!$B$7:$B$382,0),MATCH(Case!W196,'Ore Prices (L3)'!$C$6:$G$6,0))</f>
        <v>0.43</v>
      </c>
      <c r="AC196" s="54">
        <f t="shared" si="37"/>
        <v>15.5</v>
      </c>
      <c r="AD196" s="54">
        <f t="shared" si="38"/>
        <v>17.149999999999999</v>
      </c>
      <c r="AE196" s="54">
        <f t="shared" si="39"/>
        <v>1</v>
      </c>
      <c r="AF196" s="54">
        <f t="shared" si="40"/>
        <v>14.75</v>
      </c>
      <c r="AG196" s="54">
        <f t="shared" si="41"/>
        <v>24.55</v>
      </c>
      <c r="AH196" s="54">
        <f t="shared" si="42"/>
        <v>15</v>
      </c>
      <c r="AI196" s="54">
        <f t="shared" si="43"/>
        <v>17</v>
      </c>
      <c r="AJ196" s="54">
        <f t="shared" si="44"/>
        <v>1</v>
      </c>
      <c r="AK196" s="54">
        <f t="shared" si="45"/>
        <v>14</v>
      </c>
      <c r="AL196" s="54">
        <f t="shared" si="46"/>
        <v>24</v>
      </c>
      <c r="AM196" s="54">
        <f t="shared" si="47"/>
        <v>0.5</v>
      </c>
      <c r="AN196" s="54">
        <f t="shared" si="48"/>
        <v>0.14999999999999858</v>
      </c>
      <c r="AO196" s="54">
        <f t="shared" si="49"/>
        <v>0</v>
      </c>
      <c r="AP196" s="54">
        <f t="shared" si="50"/>
        <v>0.75</v>
      </c>
      <c r="AQ196" s="54">
        <f t="shared" si="51"/>
        <v>0.55000000000000071</v>
      </c>
      <c r="AR196">
        <f>SUMPRODUCT(($AM196:AM196)*($S196:S196=S196))</f>
        <v>0.5</v>
      </c>
      <c r="AS196">
        <f>SUMPRODUCT(($AM196:AN196)*($S196:T196=T196))</f>
        <v>0.14999999999999858</v>
      </c>
      <c r="AT196">
        <f>SUMPRODUCT(($AM196:AO196)*($S196:U196=U196))</f>
        <v>0.5</v>
      </c>
      <c r="AU196">
        <f>SUMPRODUCT(($AM196:AP196)*($S196:V196=V196))</f>
        <v>0.75</v>
      </c>
      <c r="AV196">
        <f>SUMPRODUCT(($AM196:AQ196)*($S196:W196=W196))</f>
        <v>1.3000000000000007</v>
      </c>
      <c r="AW196" s="54">
        <v>0</v>
      </c>
      <c r="AX196" s="54">
        <f t="shared" si="52"/>
        <v>0</v>
      </c>
      <c r="AY196" s="54">
        <f>_xlfn.FLOOR.MATH(SUMPRODUCT(($AM196:AO196)*($S196:U196=U196))-SUMPRODUCT(($AW196:AX196)*($S196:T196=U196)),1)</f>
        <v>0</v>
      </c>
      <c r="AZ196" s="54">
        <f>_xlfn.FLOOR.MATH(SUMPRODUCT(($AM196:AP196)*($S196:V196=V196))-SUMPRODUCT(($AW196:AY196)*($S196:U196=V196)),1)</f>
        <v>0</v>
      </c>
      <c r="BA196" s="54">
        <f>_xlfn.FLOOR.MATH(SUMPRODUCT(($AM196:AQ196)*($S196:W196=W196))-SUMPRODUCT(($AW196:AZ196)*($S196:V196=W196)),1)</f>
        <v>1</v>
      </c>
      <c r="BB196" s="54">
        <f t="shared" si="53"/>
        <v>0.5</v>
      </c>
      <c r="BC196" s="54">
        <f>AS196-SUMPRODUCT(($AW196:AX196)*($S196:T196=T196))</f>
        <v>0.14999999999999858</v>
      </c>
      <c r="BD196" s="54">
        <f>AT196-SUMPRODUCT(($AW196:AY196)*($S196:U196=U196))</f>
        <v>0.5</v>
      </c>
      <c r="BE196" s="54">
        <f>AU196-SUMPRODUCT(($AW196:AZ196)*($S196:V196=V196))</f>
        <v>0.75</v>
      </c>
      <c r="BF196" s="54">
        <f>AV196-SUMPRODUCT(($AW196:BA196)*($S196:W196=W196))</f>
        <v>0.30000000000000071</v>
      </c>
      <c r="BG196" s="54">
        <f t="shared" si="54"/>
        <v>15.450000000000001</v>
      </c>
      <c r="BH196" s="54">
        <f t="shared" si="55"/>
        <v>21.42</v>
      </c>
      <c r="BI196" s="54">
        <f t="shared" si="56"/>
        <v>1.1200000000000001</v>
      </c>
      <c r="BJ196" s="54">
        <f t="shared" si="57"/>
        <v>6.8599999999999994</v>
      </c>
      <c r="BK196" s="54">
        <f t="shared" si="58"/>
        <v>10.75</v>
      </c>
      <c r="BL196" s="54">
        <f>SUM($BG196:BG196)+$L196</f>
        <v>68.099999999999994</v>
      </c>
      <c r="BM196" s="54">
        <f>SUM($BG196:BH196)+$L196</f>
        <v>89.52</v>
      </c>
      <c r="BN196" s="54">
        <f>SUM($BG196:BI196)+$L196</f>
        <v>90.639999999999986</v>
      </c>
      <c r="BO196" s="54">
        <f>SUM($BG196:BJ196)+$L196</f>
        <v>97.5</v>
      </c>
      <c r="BP196" s="54">
        <f>SUM($BG196:BK196)+$L196</f>
        <v>108.25</v>
      </c>
      <c r="BQ196" s="54">
        <f t="shared" si="59"/>
        <v>3</v>
      </c>
      <c r="BR196" s="117">
        <f t="shared" si="60"/>
        <v>0.63999999999998636</v>
      </c>
    </row>
    <row r="197" spans="2:70" ht="23.25">
      <c r="B197" s="68">
        <v>54</v>
      </c>
      <c r="C197" s="68">
        <f t="shared" si="61"/>
        <v>3</v>
      </c>
      <c r="D197" s="76">
        <v>9</v>
      </c>
      <c r="E197" s="2">
        <v>14</v>
      </c>
      <c r="F197" s="3" t="s">
        <v>72</v>
      </c>
      <c r="G197" s="3" t="s">
        <v>79</v>
      </c>
      <c r="H197" s="47">
        <f t="shared" si="35"/>
        <v>385</v>
      </c>
      <c r="I197" s="111">
        <f>IF(ISBLANK(H197),0,IF(H197=Answers!H197,1,-1))</f>
        <v>1</v>
      </c>
      <c r="J197" s="78" t="s">
        <v>220</v>
      </c>
      <c r="K197" s="78" t="s">
        <v>220</v>
      </c>
      <c r="L197" s="119">
        <f t="shared" si="36"/>
        <v>55.549999999999983</v>
      </c>
      <c r="M197" s="95">
        <v>45364</v>
      </c>
      <c r="N197" s="8">
        <v>1492</v>
      </c>
      <c r="O197" s="12">
        <v>178</v>
      </c>
      <c r="P197" s="8">
        <v>320</v>
      </c>
      <c r="Q197" s="11">
        <v>324</v>
      </c>
      <c r="R197" s="12">
        <v>462</v>
      </c>
      <c r="S197" s="8" t="s">
        <v>158</v>
      </c>
      <c r="T197" s="12" t="s">
        <v>161</v>
      </c>
      <c r="U197" s="8" t="s">
        <v>158</v>
      </c>
      <c r="V197" s="11" t="s">
        <v>160</v>
      </c>
      <c r="W197" s="12" t="s">
        <v>161</v>
      </c>
      <c r="X197" s="54">
        <f>INDEX('Ore Prices (L3)'!$C$7:$G$382,MATCH($M197+6,'Ore Prices (L3)'!$B$7:$B$382,0),MATCH(Case!S197,'Ore Prices (L3)'!$C$6:$G$6,0))</f>
        <v>0.19</v>
      </c>
      <c r="Y197" s="54">
        <f>INDEX('Ore Prices (L3)'!$C$7:$G$382,MATCH($M197+6+7,'Ore Prices (L3)'!$B$7:$B$382,0),MATCH(Case!T197,'Ore Prices (L3)'!$C$6:$G$6,0))</f>
        <v>1.03</v>
      </c>
      <c r="Z197" s="54">
        <f>INDEX('Ore Prices (L3)'!$C$7:$G$382,MATCH($M197+6+7+7,'Ore Prices (L3)'!$B$7:$B$382,0),MATCH(Case!U197,'Ore Prices (L3)'!$C$6:$G$6,0))</f>
        <v>0.14000000000000001</v>
      </c>
      <c r="AA197" s="54">
        <f>INDEX('Ore Prices (L3)'!$C$7:$G$382,MATCH($M197+6+7+7+7,'Ore Prices (L3)'!$B$7:$B$382,0),MATCH(Case!V197,'Ore Prices (L3)'!$C$6:$G$6,0))</f>
        <v>0.86</v>
      </c>
      <c r="AB197" s="54">
        <f>INDEX('Ore Prices (L3)'!$C$7:$G$382,MATCH($M197+6+7+7+7+7,'Ore Prices (L3)'!$B$7:$B$382,0),MATCH(Case!W197,'Ore Prices (L3)'!$C$6:$G$6,0))</f>
        <v>1.04</v>
      </c>
      <c r="AC197" s="54">
        <f t="shared" si="37"/>
        <v>74.599999999999994</v>
      </c>
      <c r="AD197" s="54">
        <f t="shared" si="38"/>
        <v>8.9</v>
      </c>
      <c r="AE197" s="54">
        <f t="shared" si="39"/>
        <v>16</v>
      </c>
      <c r="AF197" s="54">
        <f t="shared" si="40"/>
        <v>16.2</v>
      </c>
      <c r="AG197" s="54">
        <f t="shared" si="41"/>
        <v>23.1</v>
      </c>
      <c r="AH197" s="54">
        <f t="shared" si="42"/>
        <v>74</v>
      </c>
      <c r="AI197" s="54">
        <f t="shared" si="43"/>
        <v>8</v>
      </c>
      <c r="AJ197" s="54">
        <f t="shared" si="44"/>
        <v>16</v>
      </c>
      <c r="AK197" s="54">
        <f t="shared" si="45"/>
        <v>16</v>
      </c>
      <c r="AL197" s="54">
        <f t="shared" si="46"/>
        <v>23</v>
      </c>
      <c r="AM197" s="54">
        <f t="shared" si="47"/>
        <v>0.59999999999999432</v>
      </c>
      <c r="AN197" s="54">
        <f t="shared" si="48"/>
        <v>0.90000000000000036</v>
      </c>
      <c r="AO197" s="54">
        <f t="shared" si="49"/>
        <v>0</v>
      </c>
      <c r="AP197" s="54">
        <f t="shared" si="50"/>
        <v>0.19999999999999929</v>
      </c>
      <c r="AQ197" s="54">
        <f t="shared" si="51"/>
        <v>0.10000000000000142</v>
      </c>
      <c r="AR197">
        <f>SUMPRODUCT(($AM197:AM197)*($S197:S197=S197))</f>
        <v>0.59999999999999432</v>
      </c>
      <c r="AS197">
        <f>SUMPRODUCT(($AM197:AN197)*($S197:T197=T197))</f>
        <v>0.90000000000000036</v>
      </c>
      <c r="AT197">
        <f>SUMPRODUCT(($AM197:AO197)*($S197:U197=U197))</f>
        <v>0.59999999999999432</v>
      </c>
      <c r="AU197">
        <f>SUMPRODUCT(($AM197:AP197)*($S197:V197=V197))</f>
        <v>0.19999999999999929</v>
      </c>
      <c r="AV197">
        <f>SUMPRODUCT(($AM197:AQ197)*($S197:W197=W197))</f>
        <v>1.0000000000000018</v>
      </c>
      <c r="AW197" s="54">
        <v>0</v>
      </c>
      <c r="AX197" s="54">
        <f t="shared" si="52"/>
        <v>0</v>
      </c>
      <c r="AY197" s="54">
        <f>_xlfn.FLOOR.MATH(SUMPRODUCT(($AM197:AO197)*($S197:U197=U197))-SUMPRODUCT(($AW197:AX197)*($S197:T197=U197)),1)</f>
        <v>0</v>
      </c>
      <c r="AZ197" s="54">
        <f>_xlfn.FLOOR.MATH(SUMPRODUCT(($AM197:AP197)*($S197:V197=V197))-SUMPRODUCT(($AW197:AY197)*($S197:U197=V197)),1)</f>
        <v>0</v>
      </c>
      <c r="BA197" s="54">
        <f>_xlfn.FLOOR.MATH(SUMPRODUCT(($AM197:AQ197)*($S197:W197=W197))-SUMPRODUCT(($AW197:AZ197)*($S197:V197=W197)),1)</f>
        <v>1</v>
      </c>
      <c r="BB197" s="54">
        <f t="shared" si="53"/>
        <v>0.59999999999999432</v>
      </c>
      <c r="BC197" s="54">
        <f>AS197-SUMPRODUCT(($AW197:AX197)*($S197:T197=T197))</f>
        <v>0.90000000000000036</v>
      </c>
      <c r="BD197" s="54">
        <f>AT197-SUMPRODUCT(($AW197:AY197)*($S197:U197=U197))</f>
        <v>0.59999999999999432</v>
      </c>
      <c r="BE197" s="54">
        <f>AU197-SUMPRODUCT(($AW197:AZ197)*($S197:V197=V197))</f>
        <v>0.19999999999999929</v>
      </c>
      <c r="BF197" s="54">
        <f>AV197-SUMPRODUCT(($AW197:BA197)*($S197:W197=W197))</f>
        <v>1.7763568394002505E-15</v>
      </c>
      <c r="BG197" s="54">
        <f t="shared" si="54"/>
        <v>14.06</v>
      </c>
      <c r="BH197" s="54">
        <f t="shared" si="55"/>
        <v>8.24</v>
      </c>
      <c r="BI197" s="54">
        <f t="shared" si="56"/>
        <v>2.2400000000000002</v>
      </c>
      <c r="BJ197" s="54">
        <f t="shared" si="57"/>
        <v>13.76</v>
      </c>
      <c r="BK197" s="54">
        <f t="shared" si="58"/>
        <v>24.96</v>
      </c>
      <c r="BL197" s="54">
        <f>SUM($BG197:BG197)+$L197</f>
        <v>69.609999999999985</v>
      </c>
      <c r="BM197" s="54">
        <f>SUM($BG197:BH197)+$L197</f>
        <v>77.84999999999998</v>
      </c>
      <c r="BN197" s="54">
        <f>SUM($BG197:BI197)+$L197</f>
        <v>80.089999999999975</v>
      </c>
      <c r="BO197" s="54">
        <f>SUM($BG197:BJ197)+$L197</f>
        <v>93.84999999999998</v>
      </c>
      <c r="BP197" s="54">
        <f>SUM($BG197:BK197)+$L197</f>
        <v>118.80999999999997</v>
      </c>
      <c r="BQ197" s="54">
        <f t="shared" si="59"/>
        <v>4</v>
      </c>
      <c r="BR197" s="117">
        <f t="shared" si="60"/>
        <v>3.8499999999999801</v>
      </c>
    </row>
    <row r="198" spans="2:70" ht="23.25">
      <c r="B198" s="68">
        <v>55</v>
      </c>
      <c r="C198" s="68">
        <f t="shared" si="61"/>
        <v>3</v>
      </c>
      <c r="D198" s="76">
        <v>9</v>
      </c>
      <c r="E198" s="2">
        <v>15</v>
      </c>
      <c r="F198" s="3" t="s">
        <v>75</v>
      </c>
      <c r="G198" s="3" t="s">
        <v>78</v>
      </c>
      <c r="H198" s="47">
        <f t="shared" si="35"/>
        <v>2046</v>
      </c>
      <c r="I198" s="111">
        <f>IF(ISBLANK(H198),0,IF(H198=Answers!H198,1,-1))</f>
        <v>1</v>
      </c>
      <c r="J198" s="78" t="s">
        <v>220</v>
      </c>
      <c r="K198" s="78" t="s">
        <v>220</v>
      </c>
      <c r="L198" s="119">
        <f t="shared" si="36"/>
        <v>57.88</v>
      </c>
      <c r="M198" s="95">
        <v>45564</v>
      </c>
      <c r="N198" s="10">
        <v>125</v>
      </c>
      <c r="O198" s="12">
        <v>150</v>
      </c>
      <c r="P198" s="10">
        <v>112</v>
      </c>
      <c r="Q198" s="8">
        <v>263</v>
      </c>
      <c r="R198" s="11">
        <v>481</v>
      </c>
      <c r="S198" s="10" t="s">
        <v>162</v>
      </c>
      <c r="T198" s="12" t="s">
        <v>161</v>
      </c>
      <c r="U198" s="10" t="s">
        <v>162</v>
      </c>
      <c r="V198" s="8" t="s">
        <v>158</v>
      </c>
      <c r="W198" s="11" t="s">
        <v>160</v>
      </c>
      <c r="X198" s="54">
        <f>INDEX('Ore Prices (L3)'!$C$7:$G$382,MATCH($M198+6,'Ore Prices (L3)'!$B$7:$B$382,0),MATCH(Case!S198,'Ore Prices (L3)'!$C$6:$G$6,0))</f>
        <v>1.95</v>
      </c>
      <c r="Y198" s="54">
        <f>INDEX('Ore Prices (L3)'!$C$7:$G$382,MATCH($M198+6+7,'Ore Prices (L3)'!$B$7:$B$382,0),MATCH(Case!T198,'Ore Prices (L3)'!$C$6:$G$6,0))</f>
        <v>1.22</v>
      </c>
      <c r="Z198" s="54">
        <f>INDEX('Ore Prices (L3)'!$C$7:$G$382,MATCH($M198+6+7+7,'Ore Prices (L3)'!$B$7:$B$382,0),MATCH(Case!U198,'Ore Prices (L3)'!$C$6:$G$6,0))</f>
        <v>1.52</v>
      </c>
      <c r="AA198" s="54">
        <f>INDEX('Ore Prices (L3)'!$C$7:$G$382,MATCH($M198+6+7+7+7,'Ore Prices (L3)'!$B$7:$B$382,0),MATCH(Case!V198,'Ore Prices (L3)'!$C$6:$G$6,0))</f>
        <v>0.26</v>
      </c>
      <c r="AB198" s="54">
        <f>INDEX('Ore Prices (L3)'!$C$7:$G$382,MATCH($M198+6+7+7+7+7,'Ore Prices (L3)'!$B$7:$B$382,0),MATCH(Case!W198,'Ore Prices (L3)'!$C$6:$G$6,0))</f>
        <v>0.89</v>
      </c>
      <c r="AC198" s="54">
        <f t="shared" si="37"/>
        <v>6.25</v>
      </c>
      <c r="AD198" s="54">
        <f t="shared" si="38"/>
        <v>7.5</v>
      </c>
      <c r="AE198" s="54">
        <f t="shared" si="39"/>
        <v>5.6</v>
      </c>
      <c r="AF198" s="54">
        <f t="shared" si="40"/>
        <v>13.15</v>
      </c>
      <c r="AG198" s="54">
        <f t="shared" si="41"/>
        <v>24.05</v>
      </c>
      <c r="AH198" s="54">
        <f t="shared" si="42"/>
        <v>6</v>
      </c>
      <c r="AI198" s="54">
        <f t="shared" si="43"/>
        <v>7</v>
      </c>
      <c r="AJ198" s="54">
        <f t="shared" si="44"/>
        <v>5</v>
      </c>
      <c r="AK198" s="54">
        <f t="shared" si="45"/>
        <v>13</v>
      </c>
      <c r="AL198" s="54">
        <f t="shared" si="46"/>
        <v>24</v>
      </c>
      <c r="AM198" s="54">
        <f t="shared" si="47"/>
        <v>0.25</v>
      </c>
      <c r="AN198" s="54">
        <f t="shared" si="48"/>
        <v>0.5</v>
      </c>
      <c r="AO198" s="54">
        <f t="shared" si="49"/>
        <v>0.59999999999999964</v>
      </c>
      <c r="AP198" s="54">
        <f t="shared" si="50"/>
        <v>0.15000000000000036</v>
      </c>
      <c r="AQ198" s="54">
        <f t="shared" si="51"/>
        <v>5.0000000000000711E-2</v>
      </c>
      <c r="AR198">
        <f>SUMPRODUCT(($AM198:AM198)*($S198:S198=S198))</f>
        <v>0.25</v>
      </c>
      <c r="AS198">
        <f>SUMPRODUCT(($AM198:AN198)*($S198:T198=T198))</f>
        <v>0.5</v>
      </c>
      <c r="AT198">
        <f>SUMPRODUCT(($AM198:AO198)*($S198:U198=U198))</f>
        <v>0.84999999999999964</v>
      </c>
      <c r="AU198">
        <f>SUMPRODUCT(($AM198:AP198)*($S198:V198=V198))</f>
        <v>0.15000000000000036</v>
      </c>
      <c r="AV198">
        <f>SUMPRODUCT(($AM198:AQ198)*($S198:W198=W198))</f>
        <v>5.0000000000000711E-2</v>
      </c>
      <c r="AW198" s="54">
        <v>0</v>
      </c>
      <c r="AX198" s="54">
        <f t="shared" si="52"/>
        <v>0</v>
      </c>
      <c r="AY198" s="54">
        <f>_xlfn.FLOOR.MATH(SUMPRODUCT(($AM198:AO198)*($S198:U198=U198))-SUMPRODUCT(($AW198:AX198)*($S198:T198=U198)),1)</f>
        <v>0</v>
      </c>
      <c r="AZ198" s="54">
        <f>_xlfn.FLOOR.MATH(SUMPRODUCT(($AM198:AP198)*($S198:V198=V198))-SUMPRODUCT(($AW198:AY198)*($S198:U198=V198)),1)</f>
        <v>0</v>
      </c>
      <c r="BA198" s="54">
        <f>_xlfn.FLOOR.MATH(SUMPRODUCT(($AM198:AQ198)*($S198:W198=W198))-SUMPRODUCT(($AW198:AZ198)*($S198:V198=W198)),1)</f>
        <v>0</v>
      </c>
      <c r="BB198" s="54">
        <f t="shared" si="53"/>
        <v>0.25</v>
      </c>
      <c r="BC198" s="54">
        <f>AS198-SUMPRODUCT(($AW198:AX198)*($S198:T198=T198))</f>
        <v>0.5</v>
      </c>
      <c r="BD198" s="54">
        <f>AT198-SUMPRODUCT(($AW198:AY198)*($S198:U198=U198))</f>
        <v>0.84999999999999964</v>
      </c>
      <c r="BE198" s="54">
        <f>AU198-SUMPRODUCT(($AW198:AZ198)*($S198:V198=V198))</f>
        <v>0.15000000000000036</v>
      </c>
      <c r="BF198" s="54">
        <f>AV198-SUMPRODUCT(($AW198:BA198)*($S198:W198=W198))</f>
        <v>5.0000000000000711E-2</v>
      </c>
      <c r="BG198" s="54">
        <f t="shared" si="54"/>
        <v>11.7</v>
      </c>
      <c r="BH198" s="54">
        <f t="shared" si="55"/>
        <v>8.5399999999999991</v>
      </c>
      <c r="BI198" s="54">
        <f t="shared" si="56"/>
        <v>7.6</v>
      </c>
      <c r="BJ198" s="54">
        <f t="shared" si="57"/>
        <v>3.38</v>
      </c>
      <c r="BK198" s="54">
        <f t="shared" si="58"/>
        <v>21.36</v>
      </c>
      <c r="BL198" s="54">
        <f>SUM($BG198:BG198)+$L198</f>
        <v>69.58</v>
      </c>
      <c r="BM198" s="54">
        <f>SUM($BG198:BH198)+$L198</f>
        <v>78.12</v>
      </c>
      <c r="BN198" s="54">
        <f>SUM($BG198:BI198)+$L198</f>
        <v>85.72</v>
      </c>
      <c r="BO198" s="54">
        <f>SUM($BG198:BJ198)+$L198</f>
        <v>89.1</v>
      </c>
      <c r="BP198" s="54">
        <f>SUM($BG198:BK198)+$L198</f>
        <v>110.46000000000001</v>
      </c>
      <c r="BQ198" s="54">
        <f t="shared" si="59"/>
        <v>5</v>
      </c>
      <c r="BR198" s="117">
        <f t="shared" si="60"/>
        <v>20.460000000000008</v>
      </c>
    </row>
    <row r="199" spans="2:70" ht="23.25">
      <c r="B199" s="68">
        <v>56</v>
      </c>
      <c r="C199" s="68">
        <f t="shared" si="61"/>
        <v>3</v>
      </c>
      <c r="D199" s="76">
        <v>9</v>
      </c>
      <c r="E199" s="2">
        <v>16</v>
      </c>
      <c r="F199" s="3" t="s">
        <v>72</v>
      </c>
      <c r="G199" s="3" t="s">
        <v>78</v>
      </c>
      <c r="H199" s="47">
        <f t="shared" si="35"/>
        <v>2849</v>
      </c>
      <c r="I199" s="111">
        <f>IF(ISBLANK(H199),0,IF(H199=Answers!H199,1,-1))</f>
        <v>1</v>
      </c>
      <c r="J199" s="78" t="s">
        <v>220</v>
      </c>
      <c r="K199" s="78" t="s">
        <v>220</v>
      </c>
      <c r="L199" s="119">
        <f t="shared" si="36"/>
        <v>56.319999999999993</v>
      </c>
      <c r="M199" s="95">
        <v>45594</v>
      </c>
      <c r="N199" s="8">
        <v>800</v>
      </c>
      <c r="O199" s="8">
        <v>360</v>
      </c>
      <c r="P199" s="9">
        <v>101</v>
      </c>
      <c r="Q199" s="12">
        <v>111</v>
      </c>
      <c r="R199" s="10">
        <v>510</v>
      </c>
      <c r="S199" s="8" t="s">
        <v>158</v>
      </c>
      <c r="T199" s="8" t="s">
        <v>158</v>
      </c>
      <c r="U199" s="9" t="s">
        <v>159</v>
      </c>
      <c r="V199" s="12" t="s">
        <v>161</v>
      </c>
      <c r="W199" s="10" t="s">
        <v>162</v>
      </c>
      <c r="X199" s="54">
        <f>INDEX('Ore Prices (L3)'!$C$7:$G$382,MATCH($M199+6,'Ore Prices (L3)'!$B$7:$B$382,0),MATCH(Case!S199,'Ore Prices (L3)'!$C$6:$G$6,0))</f>
        <v>0.28999999999999998</v>
      </c>
      <c r="Y199" s="54">
        <f>INDEX('Ore Prices (L3)'!$C$7:$G$382,MATCH($M199+6+7,'Ore Prices (L3)'!$B$7:$B$382,0),MATCH(Case!T199,'Ore Prices (L3)'!$C$6:$G$6,0))</f>
        <v>0.24</v>
      </c>
      <c r="Z199" s="54">
        <f>INDEX('Ore Prices (L3)'!$C$7:$G$382,MATCH($M199+6+7+7,'Ore Prices (L3)'!$B$7:$B$382,0),MATCH(Case!U199,'Ore Prices (L3)'!$C$6:$G$6,0))</f>
        <v>0.4</v>
      </c>
      <c r="AA199" s="54">
        <f>INDEX('Ore Prices (L3)'!$C$7:$G$382,MATCH($M199+6+7+7+7,'Ore Prices (L3)'!$B$7:$B$382,0),MATCH(Case!V199,'Ore Prices (L3)'!$C$6:$G$6,0))</f>
        <v>1</v>
      </c>
      <c r="AB199" s="54">
        <f>INDEX('Ore Prices (L3)'!$C$7:$G$382,MATCH($M199+6+7+7+7+7,'Ore Prices (L3)'!$B$7:$B$382,0),MATCH(Case!W199,'Ore Prices (L3)'!$C$6:$G$6,0))</f>
        <v>1.57</v>
      </c>
      <c r="AC199" s="54">
        <f t="shared" si="37"/>
        <v>40</v>
      </c>
      <c r="AD199" s="54">
        <f t="shared" si="38"/>
        <v>18</v>
      </c>
      <c r="AE199" s="54">
        <f t="shared" si="39"/>
        <v>5.05</v>
      </c>
      <c r="AF199" s="54">
        <f t="shared" si="40"/>
        <v>5.55</v>
      </c>
      <c r="AG199" s="54">
        <f t="shared" si="41"/>
        <v>25.5</v>
      </c>
      <c r="AH199" s="54">
        <f t="shared" si="42"/>
        <v>40</v>
      </c>
      <c r="AI199" s="54">
        <f t="shared" si="43"/>
        <v>18</v>
      </c>
      <c r="AJ199" s="54">
        <f t="shared" si="44"/>
        <v>5</v>
      </c>
      <c r="AK199" s="54">
        <f t="shared" si="45"/>
        <v>5</v>
      </c>
      <c r="AL199" s="54">
        <f t="shared" si="46"/>
        <v>25</v>
      </c>
      <c r="AM199" s="54">
        <f t="shared" si="47"/>
        <v>0</v>
      </c>
      <c r="AN199" s="54">
        <f t="shared" si="48"/>
        <v>0</v>
      </c>
      <c r="AO199" s="54">
        <f t="shared" si="49"/>
        <v>4.9999999999999822E-2</v>
      </c>
      <c r="AP199" s="54">
        <f t="shared" si="50"/>
        <v>0.54999999999999982</v>
      </c>
      <c r="AQ199" s="54">
        <f t="shared" si="51"/>
        <v>0.5</v>
      </c>
      <c r="AR199">
        <f>SUMPRODUCT(($AM199:AM199)*($S199:S199=S199))</f>
        <v>0</v>
      </c>
      <c r="AS199">
        <f>SUMPRODUCT(($AM199:AN199)*($S199:T199=T199))</f>
        <v>0</v>
      </c>
      <c r="AT199">
        <f>SUMPRODUCT(($AM199:AO199)*($S199:U199=U199))</f>
        <v>4.9999999999999822E-2</v>
      </c>
      <c r="AU199">
        <f>SUMPRODUCT(($AM199:AP199)*($S199:V199=V199))</f>
        <v>0.54999999999999982</v>
      </c>
      <c r="AV199">
        <f>SUMPRODUCT(($AM199:AQ199)*($S199:W199=W199))</f>
        <v>0.5</v>
      </c>
      <c r="AW199" s="54">
        <v>0</v>
      </c>
      <c r="AX199" s="54">
        <f t="shared" si="52"/>
        <v>0</v>
      </c>
      <c r="AY199" s="54">
        <f>_xlfn.FLOOR.MATH(SUMPRODUCT(($AM199:AO199)*($S199:U199=U199))-SUMPRODUCT(($AW199:AX199)*($S199:T199=U199)),1)</f>
        <v>0</v>
      </c>
      <c r="AZ199" s="54">
        <f>_xlfn.FLOOR.MATH(SUMPRODUCT(($AM199:AP199)*($S199:V199=V199))-SUMPRODUCT(($AW199:AY199)*($S199:U199=V199)),1)</f>
        <v>0</v>
      </c>
      <c r="BA199" s="54">
        <f>_xlfn.FLOOR.MATH(SUMPRODUCT(($AM199:AQ199)*($S199:W199=W199))-SUMPRODUCT(($AW199:AZ199)*($S199:V199=W199)),1)</f>
        <v>0</v>
      </c>
      <c r="BB199" s="54">
        <f t="shared" si="53"/>
        <v>0</v>
      </c>
      <c r="BC199" s="54">
        <f>AS199-SUMPRODUCT(($AW199:AX199)*($S199:T199=T199))</f>
        <v>0</v>
      </c>
      <c r="BD199" s="54">
        <f>AT199-SUMPRODUCT(($AW199:AY199)*($S199:U199=U199))</f>
        <v>4.9999999999999822E-2</v>
      </c>
      <c r="BE199" s="54">
        <f>AU199-SUMPRODUCT(($AW199:AZ199)*($S199:V199=V199))</f>
        <v>0.54999999999999982</v>
      </c>
      <c r="BF199" s="54">
        <f>AV199-SUMPRODUCT(($AW199:BA199)*($S199:W199=W199))</f>
        <v>0.5</v>
      </c>
      <c r="BG199" s="54">
        <f t="shared" si="54"/>
        <v>11.6</v>
      </c>
      <c r="BH199" s="54">
        <f t="shared" si="55"/>
        <v>4.32</v>
      </c>
      <c r="BI199" s="54">
        <f t="shared" si="56"/>
        <v>2</v>
      </c>
      <c r="BJ199" s="54">
        <f t="shared" si="57"/>
        <v>5</v>
      </c>
      <c r="BK199" s="54">
        <f t="shared" si="58"/>
        <v>39.25</v>
      </c>
      <c r="BL199" s="54">
        <f>SUM($BG199:BG199)+$L199</f>
        <v>67.919999999999987</v>
      </c>
      <c r="BM199" s="54">
        <f>SUM($BG199:BH199)+$L199</f>
        <v>72.239999999999995</v>
      </c>
      <c r="BN199" s="54">
        <f>SUM($BG199:BI199)+$L199</f>
        <v>74.239999999999995</v>
      </c>
      <c r="BO199" s="54">
        <f>SUM($BG199:BJ199)+$L199</f>
        <v>79.239999999999995</v>
      </c>
      <c r="BP199" s="54">
        <f>SUM($BG199:BK199)+$L199</f>
        <v>118.49</v>
      </c>
      <c r="BQ199" s="54">
        <f t="shared" si="59"/>
        <v>5</v>
      </c>
      <c r="BR199" s="117">
        <f t="shared" si="60"/>
        <v>28.489999999999995</v>
      </c>
    </row>
    <row r="200" spans="2:70" ht="23.25">
      <c r="B200" s="68">
        <v>57</v>
      </c>
      <c r="C200" s="68">
        <f t="shared" si="61"/>
        <v>3</v>
      </c>
      <c r="D200" s="76">
        <v>9</v>
      </c>
      <c r="E200" s="2">
        <v>17</v>
      </c>
      <c r="F200" s="3" t="s">
        <v>74</v>
      </c>
      <c r="G200" s="3" t="s">
        <v>77</v>
      </c>
      <c r="H200" s="47">
        <f t="shared" si="35"/>
        <v>3609</v>
      </c>
      <c r="I200" s="111">
        <f>IF(ISBLANK(H200),0,IF(H200=Answers!H200,1,-1))</f>
        <v>1</v>
      </c>
      <c r="J200" s="78" t="s">
        <v>220</v>
      </c>
      <c r="K200" s="78" t="s">
        <v>220</v>
      </c>
      <c r="L200" s="119">
        <f t="shared" si="36"/>
        <v>52.649999999999991</v>
      </c>
      <c r="M200" s="95">
        <v>45369</v>
      </c>
      <c r="N200" s="9">
        <v>574</v>
      </c>
      <c r="O200" s="10">
        <v>161</v>
      </c>
      <c r="P200" s="12">
        <v>199</v>
      </c>
      <c r="Q200" s="11">
        <v>110</v>
      </c>
      <c r="R200" s="10">
        <v>483</v>
      </c>
      <c r="S200" s="9" t="s">
        <v>159</v>
      </c>
      <c r="T200" s="10" t="s">
        <v>162</v>
      </c>
      <c r="U200" s="12" t="s">
        <v>161</v>
      </c>
      <c r="V200" s="11" t="s">
        <v>160</v>
      </c>
      <c r="W200" s="10" t="s">
        <v>162</v>
      </c>
      <c r="X200" s="54">
        <f>INDEX('Ore Prices (L3)'!$C$7:$G$382,MATCH($M200+6,'Ore Prices (L3)'!$B$7:$B$382,0),MATCH(Case!S200,'Ore Prices (L3)'!$C$6:$G$6,0))</f>
        <v>0.43</v>
      </c>
      <c r="Y200" s="54">
        <f>INDEX('Ore Prices (L3)'!$C$7:$G$382,MATCH($M200+6+7,'Ore Prices (L3)'!$B$7:$B$382,0),MATCH(Case!T200,'Ore Prices (L3)'!$C$6:$G$6,0))</f>
        <v>1.25</v>
      </c>
      <c r="Z200" s="54">
        <f>INDEX('Ore Prices (L3)'!$C$7:$G$382,MATCH($M200+6+7+7,'Ore Prices (L3)'!$B$7:$B$382,0),MATCH(Case!U200,'Ore Prices (L3)'!$C$6:$G$6,0))</f>
        <v>1.1599999999999999</v>
      </c>
      <c r="AA200" s="54">
        <f>INDEX('Ore Prices (L3)'!$C$7:$G$382,MATCH($M200+6+7+7+7,'Ore Prices (L3)'!$B$7:$B$382,0),MATCH(Case!V200,'Ore Prices (L3)'!$C$6:$G$6,0))</f>
        <v>0.8</v>
      </c>
      <c r="AB200" s="54">
        <f>INDEX('Ore Prices (L3)'!$C$7:$G$382,MATCH($M200+6+7+7+7+7,'Ore Prices (L3)'!$B$7:$B$382,0),MATCH(Case!W200,'Ore Prices (L3)'!$C$6:$G$6,0))</f>
        <v>1.54</v>
      </c>
      <c r="AC200" s="54">
        <f t="shared" si="37"/>
        <v>28.7</v>
      </c>
      <c r="AD200" s="54">
        <f t="shared" si="38"/>
        <v>8.0500000000000007</v>
      </c>
      <c r="AE200" s="54">
        <f t="shared" si="39"/>
        <v>9.9499999999999993</v>
      </c>
      <c r="AF200" s="54">
        <f t="shared" si="40"/>
        <v>5.5</v>
      </c>
      <c r="AG200" s="54">
        <f t="shared" si="41"/>
        <v>24.15</v>
      </c>
      <c r="AH200" s="54">
        <f t="shared" si="42"/>
        <v>28</v>
      </c>
      <c r="AI200" s="54">
        <f t="shared" si="43"/>
        <v>8</v>
      </c>
      <c r="AJ200" s="54">
        <f t="shared" si="44"/>
        <v>9</v>
      </c>
      <c r="AK200" s="54">
        <f t="shared" si="45"/>
        <v>5</v>
      </c>
      <c r="AL200" s="54">
        <f t="shared" si="46"/>
        <v>24</v>
      </c>
      <c r="AM200" s="54">
        <f t="shared" si="47"/>
        <v>0.69999999999999929</v>
      </c>
      <c r="AN200" s="54">
        <f t="shared" si="48"/>
        <v>5.0000000000000711E-2</v>
      </c>
      <c r="AO200" s="54">
        <f t="shared" si="49"/>
        <v>0.94999999999999929</v>
      </c>
      <c r="AP200" s="54">
        <f t="shared" si="50"/>
        <v>0.5</v>
      </c>
      <c r="AQ200" s="54">
        <f t="shared" si="51"/>
        <v>0.14999999999999858</v>
      </c>
      <c r="AR200">
        <f>SUMPRODUCT(($AM200:AM200)*($S200:S200=S200))</f>
        <v>0.69999999999999929</v>
      </c>
      <c r="AS200">
        <f>SUMPRODUCT(($AM200:AN200)*($S200:T200=T200))</f>
        <v>5.0000000000000711E-2</v>
      </c>
      <c r="AT200">
        <f>SUMPRODUCT(($AM200:AO200)*($S200:U200=U200))</f>
        <v>0.94999999999999929</v>
      </c>
      <c r="AU200">
        <f>SUMPRODUCT(($AM200:AP200)*($S200:V200=V200))</f>
        <v>0.5</v>
      </c>
      <c r="AV200">
        <f>SUMPRODUCT(($AM200:AQ200)*($S200:W200=W200))</f>
        <v>0.19999999999999929</v>
      </c>
      <c r="AW200" s="54">
        <v>0</v>
      </c>
      <c r="AX200" s="54">
        <f t="shared" si="52"/>
        <v>0</v>
      </c>
      <c r="AY200" s="54">
        <f>_xlfn.FLOOR.MATH(SUMPRODUCT(($AM200:AO200)*($S200:U200=U200))-SUMPRODUCT(($AW200:AX200)*($S200:T200=U200)),1)</f>
        <v>0</v>
      </c>
      <c r="AZ200" s="54">
        <f>_xlfn.FLOOR.MATH(SUMPRODUCT(($AM200:AP200)*($S200:V200=V200))-SUMPRODUCT(($AW200:AY200)*($S200:U200=V200)),1)</f>
        <v>0</v>
      </c>
      <c r="BA200" s="54">
        <f>_xlfn.FLOOR.MATH(SUMPRODUCT(($AM200:AQ200)*($S200:W200=W200))-SUMPRODUCT(($AW200:AZ200)*($S200:V200=W200)),1)</f>
        <v>0</v>
      </c>
      <c r="BB200" s="54">
        <f t="shared" si="53"/>
        <v>0.69999999999999929</v>
      </c>
      <c r="BC200" s="54">
        <f>AS200-SUMPRODUCT(($AW200:AX200)*($S200:T200=T200))</f>
        <v>5.0000000000000711E-2</v>
      </c>
      <c r="BD200" s="54">
        <f>AT200-SUMPRODUCT(($AW200:AY200)*($S200:U200=U200))</f>
        <v>0.94999999999999929</v>
      </c>
      <c r="BE200" s="54">
        <f>AU200-SUMPRODUCT(($AW200:AZ200)*($S200:V200=V200))</f>
        <v>0.5</v>
      </c>
      <c r="BF200" s="54">
        <f>AV200-SUMPRODUCT(($AW200:BA200)*($S200:W200=W200))</f>
        <v>0.19999999999999929</v>
      </c>
      <c r="BG200" s="54">
        <f t="shared" si="54"/>
        <v>12.04</v>
      </c>
      <c r="BH200" s="54">
        <f t="shared" si="55"/>
        <v>10</v>
      </c>
      <c r="BI200" s="54">
        <f t="shared" si="56"/>
        <v>10.44</v>
      </c>
      <c r="BJ200" s="54">
        <f t="shared" si="57"/>
        <v>4</v>
      </c>
      <c r="BK200" s="54">
        <f t="shared" si="58"/>
        <v>36.96</v>
      </c>
      <c r="BL200" s="54">
        <f>SUM($BG200:BG200)+$L200</f>
        <v>64.69</v>
      </c>
      <c r="BM200" s="54">
        <f>SUM($BG200:BH200)+$L200</f>
        <v>74.69</v>
      </c>
      <c r="BN200" s="54">
        <f>SUM($BG200:BI200)+$L200</f>
        <v>85.13</v>
      </c>
      <c r="BO200" s="54">
        <f>SUM($BG200:BJ200)+$L200</f>
        <v>89.13</v>
      </c>
      <c r="BP200" s="54">
        <f>SUM($BG200:BK200)+$L200</f>
        <v>126.08999999999999</v>
      </c>
      <c r="BQ200" s="54">
        <f t="shared" si="59"/>
        <v>5</v>
      </c>
      <c r="BR200" s="117">
        <f t="shared" si="60"/>
        <v>36.089999999999989</v>
      </c>
    </row>
    <row r="201" spans="2:70" ht="23.25">
      <c r="B201" s="68">
        <v>58</v>
      </c>
      <c r="C201" s="68">
        <f t="shared" si="61"/>
        <v>3</v>
      </c>
      <c r="D201" s="76">
        <v>9</v>
      </c>
      <c r="E201" s="2">
        <v>18</v>
      </c>
      <c r="F201" s="3" t="s">
        <v>72</v>
      </c>
      <c r="G201" s="3" t="s">
        <v>73</v>
      </c>
      <c r="H201" s="47">
        <f t="shared" si="35"/>
        <v>1715</v>
      </c>
      <c r="I201" s="111">
        <f>IF(ISBLANK(H201),0,IF(H201=Answers!H201,1,-1))</f>
        <v>1</v>
      </c>
      <c r="J201" s="78" t="s">
        <v>220</v>
      </c>
      <c r="K201" s="78" t="s">
        <v>220</v>
      </c>
      <c r="L201" s="119">
        <f t="shared" si="36"/>
        <v>56.789999999999992</v>
      </c>
      <c r="M201" s="95">
        <v>45417</v>
      </c>
      <c r="N201" s="11">
        <v>98</v>
      </c>
      <c r="O201" s="12">
        <v>82</v>
      </c>
      <c r="P201" s="8">
        <v>149</v>
      </c>
      <c r="Q201" s="10">
        <v>317</v>
      </c>
      <c r="R201" s="11">
        <v>500</v>
      </c>
      <c r="S201" s="11" t="s">
        <v>160</v>
      </c>
      <c r="T201" s="12" t="s">
        <v>161</v>
      </c>
      <c r="U201" s="8" t="s">
        <v>158</v>
      </c>
      <c r="V201" s="10" t="s">
        <v>162</v>
      </c>
      <c r="W201" s="11" t="s">
        <v>160</v>
      </c>
      <c r="X201" s="54">
        <f>INDEX('Ore Prices (L3)'!$C$7:$G$382,MATCH($M201+6,'Ore Prices (L3)'!$B$7:$B$382,0),MATCH(Case!S201,'Ore Prices (L3)'!$C$6:$G$6,0))</f>
        <v>0.94</v>
      </c>
      <c r="Y201" s="54">
        <f>INDEX('Ore Prices (L3)'!$C$7:$G$382,MATCH($M201+6+7,'Ore Prices (L3)'!$B$7:$B$382,0),MATCH(Case!T201,'Ore Prices (L3)'!$C$6:$G$6,0))</f>
        <v>1.19</v>
      </c>
      <c r="Z201" s="54">
        <f>INDEX('Ore Prices (L3)'!$C$7:$G$382,MATCH($M201+6+7+7,'Ore Prices (L3)'!$B$7:$B$382,0),MATCH(Case!U201,'Ore Prices (L3)'!$C$6:$G$6,0))</f>
        <v>0.12</v>
      </c>
      <c r="AA201" s="54">
        <f>INDEX('Ore Prices (L3)'!$C$7:$G$382,MATCH($M201+6+7+7+7,'Ore Prices (L3)'!$B$7:$B$382,0),MATCH(Case!V201,'Ore Prices (L3)'!$C$6:$G$6,0))</f>
        <v>1.45</v>
      </c>
      <c r="AB201" s="54">
        <f>INDEX('Ore Prices (L3)'!$C$7:$G$382,MATCH($M201+6+7+7+7+7,'Ore Prices (L3)'!$B$7:$B$382,0),MATCH(Case!W201,'Ore Prices (L3)'!$C$6:$G$6,0))</f>
        <v>0.77</v>
      </c>
      <c r="AC201" s="54">
        <f t="shared" si="37"/>
        <v>4.9000000000000004</v>
      </c>
      <c r="AD201" s="54">
        <f t="shared" si="38"/>
        <v>4.0999999999999996</v>
      </c>
      <c r="AE201" s="54">
        <f t="shared" si="39"/>
        <v>7.45</v>
      </c>
      <c r="AF201" s="54">
        <f t="shared" si="40"/>
        <v>15.85</v>
      </c>
      <c r="AG201" s="54">
        <f t="shared" si="41"/>
        <v>25</v>
      </c>
      <c r="AH201" s="54">
        <f t="shared" si="42"/>
        <v>4</v>
      </c>
      <c r="AI201" s="54">
        <f t="shared" si="43"/>
        <v>4</v>
      </c>
      <c r="AJ201" s="54">
        <f t="shared" si="44"/>
        <v>7</v>
      </c>
      <c r="AK201" s="54">
        <f t="shared" si="45"/>
        <v>15</v>
      </c>
      <c r="AL201" s="54">
        <f t="shared" si="46"/>
        <v>25</v>
      </c>
      <c r="AM201" s="54">
        <f t="shared" si="47"/>
        <v>0.90000000000000036</v>
      </c>
      <c r="AN201" s="54">
        <f t="shared" si="48"/>
        <v>9.9999999999999645E-2</v>
      </c>
      <c r="AO201" s="54">
        <f t="shared" si="49"/>
        <v>0.45000000000000018</v>
      </c>
      <c r="AP201" s="54">
        <f t="shared" si="50"/>
        <v>0.84999999999999964</v>
      </c>
      <c r="AQ201" s="54">
        <f t="shared" si="51"/>
        <v>0</v>
      </c>
      <c r="AR201">
        <f>SUMPRODUCT(($AM201:AM201)*($S201:S201=S201))</f>
        <v>0.90000000000000036</v>
      </c>
      <c r="AS201">
        <f>SUMPRODUCT(($AM201:AN201)*($S201:T201=T201))</f>
        <v>9.9999999999999645E-2</v>
      </c>
      <c r="AT201">
        <f>SUMPRODUCT(($AM201:AO201)*($S201:U201=U201))</f>
        <v>0.45000000000000018</v>
      </c>
      <c r="AU201">
        <f>SUMPRODUCT(($AM201:AP201)*($S201:V201=V201))</f>
        <v>0.84999999999999964</v>
      </c>
      <c r="AV201">
        <f>SUMPRODUCT(($AM201:AQ201)*($S201:W201=W201))</f>
        <v>0.90000000000000036</v>
      </c>
      <c r="AW201" s="54">
        <v>0</v>
      </c>
      <c r="AX201" s="54">
        <f t="shared" si="52"/>
        <v>0</v>
      </c>
      <c r="AY201" s="54">
        <f>_xlfn.FLOOR.MATH(SUMPRODUCT(($AM201:AO201)*($S201:U201=U201))-SUMPRODUCT(($AW201:AX201)*($S201:T201=U201)),1)</f>
        <v>0</v>
      </c>
      <c r="AZ201" s="54">
        <f>_xlfn.FLOOR.MATH(SUMPRODUCT(($AM201:AP201)*($S201:V201=V201))-SUMPRODUCT(($AW201:AY201)*($S201:U201=V201)),1)</f>
        <v>0</v>
      </c>
      <c r="BA201" s="54">
        <f>_xlfn.FLOOR.MATH(SUMPRODUCT(($AM201:AQ201)*($S201:W201=W201))-SUMPRODUCT(($AW201:AZ201)*($S201:V201=W201)),1)</f>
        <v>0</v>
      </c>
      <c r="BB201" s="54">
        <f t="shared" si="53"/>
        <v>0.90000000000000036</v>
      </c>
      <c r="BC201" s="54">
        <f>AS201-SUMPRODUCT(($AW201:AX201)*($S201:T201=T201))</f>
        <v>9.9999999999999645E-2</v>
      </c>
      <c r="BD201" s="54">
        <f>AT201-SUMPRODUCT(($AW201:AY201)*($S201:U201=U201))</f>
        <v>0.45000000000000018</v>
      </c>
      <c r="BE201" s="54">
        <f>AU201-SUMPRODUCT(($AW201:AZ201)*($S201:V201=V201))</f>
        <v>0.84999999999999964</v>
      </c>
      <c r="BF201" s="54">
        <f>AV201-SUMPRODUCT(($AW201:BA201)*($S201:W201=W201))</f>
        <v>0.90000000000000036</v>
      </c>
      <c r="BG201" s="54">
        <f t="shared" si="54"/>
        <v>3.76</v>
      </c>
      <c r="BH201" s="54">
        <f t="shared" si="55"/>
        <v>4.76</v>
      </c>
      <c r="BI201" s="54">
        <f t="shared" si="56"/>
        <v>0.84</v>
      </c>
      <c r="BJ201" s="54">
        <f t="shared" si="57"/>
        <v>21.75</v>
      </c>
      <c r="BK201" s="54">
        <f t="shared" si="58"/>
        <v>19.25</v>
      </c>
      <c r="BL201" s="54">
        <f>SUM($BG201:BG201)+$L201</f>
        <v>60.54999999999999</v>
      </c>
      <c r="BM201" s="54">
        <f>SUM($BG201:BH201)+$L201</f>
        <v>65.309999999999988</v>
      </c>
      <c r="BN201" s="54">
        <f>SUM($BG201:BI201)+$L201</f>
        <v>66.149999999999991</v>
      </c>
      <c r="BO201" s="54">
        <f>SUM($BG201:BJ201)+$L201</f>
        <v>87.899999999999991</v>
      </c>
      <c r="BP201" s="54">
        <f>SUM($BG201:BK201)+$L201</f>
        <v>107.14999999999999</v>
      </c>
      <c r="BQ201" s="54">
        <f t="shared" si="59"/>
        <v>5</v>
      </c>
      <c r="BR201" s="117">
        <f t="shared" si="60"/>
        <v>17.149999999999991</v>
      </c>
    </row>
    <row r="202" spans="2:70" ht="23.25">
      <c r="B202" s="68">
        <v>59</v>
      </c>
      <c r="C202" s="68">
        <f t="shared" si="61"/>
        <v>3</v>
      </c>
      <c r="D202" s="76">
        <v>9</v>
      </c>
      <c r="E202" s="2">
        <v>19</v>
      </c>
      <c r="F202" s="3" t="s">
        <v>72</v>
      </c>
      <c r="G202" s="3" t="s">
        <v>73</v>
      </c>
      <c r="H202" s="47">
        <f t="shared" si="35"/>
        <v>999</v>
      </c>
      <c r="I202" s="111">
        <f>IF(ISBLANK(H202),0,IF(H202=Answers!H202,1,-1))</f>
        <v>1</v>
      </c>
      <c r="J202" s="78" t="s">
        <v>220</v>
      </c>
      <c r="K202" s="78" t="s">
        <v>220</v>
      </c>
      <c r="L202" s="119">
        <f t="shared" si="36"/>
        <v>55.949999999999989</v>
      </c>
      <c r="M202" s="95">
        <v>45382</v>
      </c>
      <c r="N202" s="8">
        <v>530</v>
      </c>
      <c r="O202" s="9">
        <v>271</v>
      </c>
      <c r="P202" s="12">
        <v>185</v>
      </c>
      <c r="Q202" s="9">
        <v>809</v>
      </c>
      <c r="R202" s="10">
        <v>223</v>
      </c>
      <c r="S202" s="8" t="s">
        <v>158</v>
      </c>
      <c r="T202" s="9" t="s">
        <v>159</v>
      </c>
      <c r="U202" s="12" t="s">
        <v>161</v>
      </c>
      <c r="V202" s="9" t="s">
        <v>159</v>
      </c>
      <c r="W202" s="10" t="s">
        <v>162</v>
      </c>
      <c r="X202" s="54">
        <f>INDEX('Ore Prices (L3)'!$C$7:$G$382,MATCH($M202+6,'Ore Prices (L3)'!$B$7:$B$382,0),MATCH(Case!S202,'Ore Prices (L3)'!$C$6:$G$6,0))</f>
        <v>0.28999999999999998</v>
      </c>
      <c r="Y202" s="54">
        <f>INDEX('Ore Prices (L3)'!$C$7:$G$382,MATCH($M202+6+7,'Ore Prices (L3)'!$B$7:$B$382,0),MATCH(Case!T202,'Ore Prices (L3)'!$C$6:$G$6,0))</f>
        <v>0.49</v>
      </c>
      <c r="Z202" s="54">
        <f>INDEX('Ore Prices (L3)'!$C$7:$G$382,MATCH($M202+6+7+7,'Ore Prices (L3)'!$B$7:$B$382,0),MATCH(Case!U202,'Ore Prices (L3)'!$C$6:$G$6,0))</f>
        <v>1.07</v>
      </c>
      <c r="AA202" s="54">
        <f>INDEX('Ore Prices (L3)'!$C$7:$G$382,MATCH($M202+6+7+7+7,'Ore Prices (L3)'!$B$7:$B$382,0),MATCH(Case!V202,'Ore Prices (L3)'!$C$6:$G$6,0))</f>
        <v>0.5</v>
      </c>
      <c r="AB202" s="54">
        <f>INDEX('Ore Prices (L3)'!$C$7:$G$382,MATCH($M202+6+7+7+7+7,'Ore Prices (L3)'!$B$7:$B$382,0),MATCH(Case!W202,'Ore Prices (L3)'!$C$6:$G$6,0))</f>
        <v>1.26</v>
      </c>
      <c r="AC202" s="54">
        <f t="shared" si="37"/>
        <v>26.5</v>
      </c>
      <c r="AD202" s="54">
        <f t="shared" si="38"/>
        <v>13.55</v>
      </c>
      <c r="AE202" s="54">
        <f t="shared" si="39"/>
        <v>9.25</v>
      </c>
      <c r="AF202" s="54">
        <f t="shared" si="40"/>
        <v>40.450000000000003</v>
      </c>
      <c r="AG202" s="54">
        <f t="shared" si="41"/>
        <v>11.15</v>
      </c>
      <c r="AH202" s="54">
        <f t="shared" si="42"/>
        <v>26</v>
      </c>
      <c r="AI202" s="54">
        <f t="shared" si="43"/>
        <v>13</v>
      </c>
      <c r="AJ202" s="54">
        <f t="shared" si="44"/>
        <v>9</v>
      </c>
      <c r="AK202" s="54">
        <f t="shared" si="45"/>
        <v>40</v>
      </c>
      <c r="AL202" s="54">
        <f t="shared" si="46"/>
        <v>11</v>
      </c>
      <c r="AM202" s="54">
        <f t="shared" si="47"/>
        <v>0.5</v>
      </c>
      <c r="AN202" s="54">
        <f t="shared" si="48"/>
        <v>0.55000000000000071</v>
      </c>
      <c r="AO202" s="54">
        <f t="shared" si="49"/>
        <v>0.25</v>
      </c>
      <c r="AP202" s="54">
        <f t="shared" si="50"/>
        <v>0.45000000000000284</v>
      </c>
      <c r="AQ202" s="54">
        <f t="shared" si="51"/>
        <v>0.15000000000000036</v>
      </c>
      <c r="AR202">
        <f>SUMPRODUCT(($AM202:AM202)*($S202:S202=S202))</f>
        <v>0.5</v>
      </c>
      <c r="AS202">
        <f>SUMPRODUCT(($AM202:AN202)*($S202:T202=T202))</f>
        <v>0.55000000000000071</v>
      </c>
      <c r="AT202">
        <f>SUMPRODUCT(($AM202:AO202)*($S202:U202=U202))</f>
        <v>0.25</v>
      </c>
      <c r="AU202">
        <f>SUMPRODUCT(($AM202:AP202)*($S202:V202=V202))</f>
        <v>1.0000000000000036</v>
      </c>
      <c r="AV202">
        <f>SUMPRODUCT(($AM202:AQ202)*($S202:W202=W202))</f>
        <v>0.15000000000000036</v>
      </c>
      <c r="AW202" s="54">
        <v>0</v>
      </c>
      <c r="AX202" s="54">
        <f t="shared" si="52"/>
        <v>0</v>
      </c>
      <c r="AY202" s="54">
        <f>_xlfn.FLOOR.MATH(SUMPRODUCT(($AM202:AO202)*($S202:U202=U202))-SUMPRODUCT(($AW202:AX202)*($S202:T202=U202)),1)</f>
        <v>0</v>
      </c>
      <c r="AZ202" s="54">
        <f>_xlfn.FLOOR.MATH(SUMPRODUCT(($AM202:AP202)*($S202:V202=V202))-SUMPRODUCT(($AW202:AY202)*($S202:U202=V202)),1)</f>
        <v>1</v>
      </c>
      <c r="BA202" s="54">
        <f>_xlfn.FLOOR.MATH(SUMPRODUCT(($AM202:AQ202)*($S202:W202=W202))-SUMPRODUCT(($AW202:AZ202)*($S202:V202=W202)),1)</f>
        <v>0</v>
      </c>
      <c r="BB202" s="54">
        <f t="shared" si="53"/>
        <v>0.5</v>
      </c>
      <c r="BC202" s="54">
        <f>AS202-SUMPRODUCT(($AW202:AX202)*($S202:T202=T202))</f>
        <v>0.55000000000000071</v>
      </c>
      <c r="BD202" s="54">
        <f>AT202-SUMPRODUCT(($AW202:AY202)*($S202:U202=U202))</f>
        <v>0.25</v>
      </c>
      <c r="BE202" s="54">
        <f>AU202-SUMPRODUCT(($AW202:AZ202)*($S202:V202=V202))</f>
        <v>3.5527136788005009E-15</v>
      </c>
      <c r="BF202" s="54">
        <f>AV202-SUMPRODUCT(($AW202:BA202)*($S202:W202=W202))</f>
        <v>0.15000000000000036</v>
      </c>
      <c r="BG202" s="54">
        <f t="shared" si="54"/>
        <v>7.5399999999999991</v>
      </c>
      <c r="BH202" s="54">
        <f t="shared" si="55"/>
        <v>6.37</v>
      </c>
      <c r="BI202" s="54">
        <f t="shared" si="56"/>
        <v>9.6300000000000008</v>
      </c>
      <c r="BJ202" s="54">
        <f t="shared" si="57"/>
        <v>20.5</v>
      </c>
      <c r="BK202" s="54">
        <f t="shared" si="58"/>
        <v>13.86</v>
      </c>
      <c r="BL202" s="54">
        <f>SUM($BG202:BG202)+$L202</f>
        <v>63.489999999999988</v>
      </c>
      <c r="BM202" s="54">
        <f>SUM($BG202:BH202)+$L202</f>
        <v>69.859999999999985</v>
      </c>
      <c r="BN202" s="54">
        <f>SUM($BG202:BI202)+$L202</f>
        <v>79.489999999999981</v>
      </c>
      <c r="BO202" s="54">
        <f>SUM($BG202:BJ202)+$L202</f>
        <v>99.989999999999981</v>
      </c>
      <c r="BP202" s="54">
        <f>SUM($BG202:BK202)+$L202</f>
        <v>113.85</v>
      </c>
      <c r="BQ202" s="54">
        <f t="shared" si="59"/>
        <v>4</v>
      </c>
      <c r="BR202" s="117">
        <f t="shared" si="60"/>
        <v>9.9899999999999807</v>
      </c>
    </row>
    <row r="203" spans="2:70" ht="23.25">
      <c r="B203" s="68">
        <v>60</v>
      </c>
      <c r="C203" s="68">
        <f t="shared" si="61"/>
        <v>3</v>
      </c>
      <c r="D203" s="76">
        <v>9</v>
      </c>
      <c r="E203" s="2">
        <v>20</v>
      </c>
      <c r="F203" s="3" t="s">
        <v>75</v>
      </c>
      <c r="G203" s="3" t="s">
        <v>80</v>
      </c>
      <c r="H203" s="47">
        <f t="shared" si="35"/>
        <v>1684</v>
      </c>
      <c r="I203" s="111">
        <f>IF(ISBLANK(H203),0,IF(H203=Answers!H203,1,-1))</f>
        <v>1</v>
      </c>
      <c r="J203" s="78" t="s">
        <v>220</v>
      </c>
      <c r="K203" s="78" t="s">
        <v>220</v>
      </c>
      <c r="L203" s="119">
        <f t="shared" si="36"/>
        <v>56.88</v>
      </c>
      <c r="M203" s="95">
        <v>45352</v>
      </c>
      <c r="N203" s="12">
        <v>325</v>
      </c>
      <c r="O203" s="11">
        <v>691</v>
      </c>
      <c r="P203" s="9">
        <v>450</v>
      </c>
      <c r="Q203" s="12">
        <v>6</v>
      </c>
      <c r="R203" s="10">
        <v>311</v>
      </c>
      <c r="S203" s="12" t="s">
        <v>161</v>
      </c>
      <c r="T203" s="11" t="s">
        <v>160</v>
      </c>
      <c r="U203" s="9" t="s">
        <v>159</v>
      </c>
      <c r="V203" s="12" t="s">
        <v>161</v>
      </c>
      <c r="W203" s="10" t="s">
        <v>162</v>
      </c>
      <c r="X203" s="54">
        <f>INDEX('Ore Prices (L3)'!$C$7:$G$382,MATCH($M203+6,'Ore Prices (L3)'!$B$7:$B$382,0),MATCH(Case!S203,'Ore Prices (L3)'!$C$6:$G$6,0))</f>
        <v>1.04</v>
      </c>
      <c r="Y203" s="54">
        <f>INDEX('Ore Prices (L3)'!$C$7:$G$382,MATCH($M203+6+7,'Ore Prices (L3)'!$B$7:$B$382,0),MATCH(Case!T203,'Ore Prices (L3)'!$C$6:$G$6,0))</f>
        <v>0.98</v>
      </c>
      <c r="Z203" s="54">
        <f>INDEX('Ore Prices (L3)'!$C$7:$G$382,MATCH($M203+6+7+7,'Ore Prices (L3)'!$B$7:$B$382,0),MATCH(Case!U203,'Ore Prices (L3)'!$C$6:$G$6,0))</f>
        <v>0.41</v>
      </c>
      <c r="AA203" s="54">
        <f>INDEX('Ore Prices (L3)'!$C$7:$G$382,MATCH($M203+6+7+7+7,'Ore Prices (L3)'!$B$7:$B$382,0),MATCH(Case!V203,'Ore Prices (L3)'!$C$6:$G$6,0))</f>
        <v>1.1100000000000001</v>
      </c>
      <c r="AB203" s="54">
        <f>INDEX('Ore Prices (L3)'!$C$7:$G$382,MATCH($M203+6+7+7+7+7,'Ore Prices (L3)'!$B$7:$B$382,0),MATCH(Case!W203,'Ore Prices (L3)'!$C$6:$G$6,0))</f>
        <v>1.78</v>
      </c>
      <c r="AC203" s="54">
        <f t="shared" si="37"/>
        <v>16.25</v>
      </c>
      <c r="AD203" s="54">
        <f t="shared" si="38"/>
        <v>34.549999999999997</v>
      </c>
      <c r="AE203" s="54">
        <f t="shared" si="39"/>
        <v>22.5</v>
      </c>
      <c r="AF203" s="54">
        <f t="shared" si="40"/>
        <v>0.3</v>
      </c>
      <c r="AG203" s="54">
        <f t="shared" si="41"/>
        <v>15.55</v>
      </c>
      <c r="AH203" s="54">
        <f t="shared" si="42"/>
        <v>16</v>
      </c>
      <c r="AI203" s="54">
        <f t="shared" si="43"/>
        <v>34</v>
      </c>
      <c r="AJ203" s="54">
        <f t="shared" si="44"/>
        <v>22</v>
      </c>
      <c r="AK203" s="54">
        <f t="shared" si="45"/>
        <v>0</v>
      </c>
      <c r="AL203" s="54">
        <f t="shared" si="46"/>
        <v>15</v>
      </c>
      <c r="AM203" s="54">
        <f t="shared" si="47"/>
        <v>0.25</v>
      </c>
      <c r="AN203" s="54">
        <f t="shared" si="48"/>
        <v>0.54999999999999716</v>
      </c>
      <c r="AO203" s="54">
        <f t="shared" si="49"/>
        <v>0.5</v>
      </c>
      <c r="AP203" s="54">
        <f t="shared" si="50"/>
        <v>0.3</v>
      </c>
      <c r="AQ203" s="54">
        <f t="shared" si="51"/>
        <v>0.55000000000000071</v>
      </c>
      <c r="AR203">
        <f>SUMPRODUCT(($AM203:AM203)*($S203:S203=S203))</f>
        <v>0.25</v>
      </c>
      <c r="AS203">
        <f>SUMPRODUCT(($AM203:AN203)*($S203:T203=T203))</f>
        <v>0.54999999999999716</v>
      </c>
      <c r="AT203">
        <f>SUMPRODUCT(($AM203:AO203)*($S203:U203=U203))</f>
        <v>0.5</v>
      </c>
      <c r="AU203">
        <f>SUMPRODUCT(($AM203:AP203)*($S203:V203=V203))</f>
        <v>0.55000000000000004</v>
      </c>
      <c r="AV203">
        <f>SUMPRODUCT(($AM203:AQ203)*($S203:W203=W203))</f>
        <v>0.55000000000000071</v>
      </c>
      <c r="AW203" s="54">
        <v>0</v>
      </c>
      <c r="AX203" s="54">
        <f t="shared" si="52"/>
        <v>0</v>
      </c>
      <c r="AY203" s="54">
        <f>_xlfn.FLOOR.MATH(SUMPRODUCT(($AM203:AO203)*($S203:U203=U203))-SUMPRODUCT(($AW203:AX203)*($S203:T203=U203)),1)</f>
        <v>0</v>
      </c>
      <c r="AZ203" s="54">
        <f>_xlfn.FLOOR.MATH(SUMPRODUCT(($AM203:AP203)*($S203:V203=V203))-SUMPRODUCT(($AW203:AY203)*($S203:U203=V203)),1)</f>
        <v>0</v>
      </c>
      <c r="BA203" s="54">
        <f>_xlfn.FLOOR.MATH(SUMPRODUCT(($AM203:AQ203)*($S203:W203=W203))-SUMPRODUCT(($AW203:AZ203)*($S203:V203=W203)),1)</f>
        <v>0</v>
      </c>
      <c r="BB203" s="54">
        <f t="shared" si="53"/>
        <v>0.25</v>
      </c>
      <c r="BC203" s="54">
        <f>AS203-SUMPRODUCT(($AW203:AX203)*($S203:T203=T203))</f>
        <v>0.54999999999999716</v>
      </c>
      <c r="BD203" s="54">
        <f>AT203-SUMPRODUCT(($AW203:AY203)*($S203:U203=U203))</f>
        <v>0.5</v>
      </c>
      <c r="BE203" s="54">
        <f>AU203-SUMPRODUCT(($AW203:AZ203)*($S203:V203=V203))</f>
        <v>0.55000000000000004</v>
      </c>
      <c r="BF203" s="54">
        <f>AV203-SUMPRODUCT(($AW203:BA203)*($S203:W203=W203))</f>
        <v>0.55000000000000071</v>
      </c>
      <c r="BG203" s="54">
        <f t="shared" si="54"/>
        <v>16.64</v>
      </c>
      <c r="BH203" s="54">
        <f t="shared" si="55"/>
        <v>33.32</v>
      </c>
      <c r="BI203" s="54">
        <f t="shared" si="56"/>
        <v>9.02</v>
      </c>
      <c r="BJ203" s="54">
        <f t="shared" si="57"/>
        <v>0</v>
      </c>
      <c r="BK203" s="54">
        <f t="shared" si="58"/>
        <v>26.7</v>
      </c>
      <c r="BL203" s="54">
        <f>SUM($BG203:BG203)+$L203</f>
        <v>73.52000000000001</v>
      </c>
      <c r="BM203" s="54">
        <f>SUM($BG203:BH203)+$L203</f>
        <v>106.84</v>
      </c>
      <c r="BN203" s="54">
        <f>SUM($BG203:BI203)+$L203</f>
        <v>115.86000000000001</v>
      </c>
      <c r="BO203" s="54">
        <f>SUM($BG203:BJ203)+$L203</f>
        <v>115.86000000000001</v>
      </c>
      <c r="BP203" s="54">
        <f>SUM($BG203:BK203)+$L203</f>
        <v>142.56</v>
      </c>
      <c r="BQ203" s="54">
        <f t="shared" si="59"/>
        <v>2</v>
      </c>
      <c r="BR203" s="117">
        <f t="shared" si="60"/>
        <v>16.840000000000003</v>
      </c>
    </row>
    <row r="204" spans="2:70" ht="15" customHeight="1">
      <c r="B204" s="54"/>
      <c r="C204" s="54"/>
      <c r="D204" s="54"/>
      <c r="E204" s="54"/>
      <c r="F204" s="54"/>
      <c r="G204" s="54"/>
      <c r="H204" s="87"/>
      <c r="I204" s="92"/>
      <c r="J204" s="91"/>
      <c r="K204" s="91"/>
      <c r="L204" s="91"/>
      <c r="M204" s="91"/>
      <c r="N204" s="91"/>
      <c r="O204" s="91"/>
      <c r="P204" s="54"/>
      <c r="Q204" s="54"/>
      <c r="R204" s="54"/>
      <c r="S204" s="54"/>
      <c r="T204" s="54"/>
    </row>
    <row r="205" spans="2:70" ht="14.25" customHeight="1" thickBot="1">
      <c r="B205" s="54"/>
      <c r="C205" s="54"/>
      <c r="D205" s="54"/>
      <c r="E205" s="54"/>
      <c r="F205" s="54"/>
      <c r="G205" s="54"/>
      <c r="H205" s="87"/>
      <c r="I205" s="92"/>
      <c r="J205" s="91"/>
      <c r="K205" s="91"/>
      <c r="L205" s="91"/>
      <c r="M205" s="91"/>
      <c r="N205" s="91"/>
      <c r="O205" s="91"/>
      <c r="P205" s="54"/>
      <c r="Q205" s="54"/>
      <c r="R205" s="54"/>
      <c r="S205" s="54"/>
      <c r="T205" s="54"/>
    </row>
    <row r="206" spans="2:70" ht="25.5" customHeight="1" thickBot="1">
      <c r="B206" s="48" t="s">
        <v>221</v>
      </c>
      <c r="C206" s="49" t="s">
        <v>154</v>
      </c>
      <c r="D206" s="73" t="s">
        <v>222</v>
      </c>
      <c r="E206" s="54"/>
      <c r="F206" s="54"/>
      <c r="G206" s="54"/>
      <c r="H206" s="87"/>
      <c r="I206" s="92"/>
      <c r="J206" s="1" t="s">
        <v>14</v>
      </c>
      <c r="K206" s="1" t="s">
        <v>223</v>
      </c>
      <c r="L206" s="1" t="s">
        <v>224</v>
      </c>
      <c r="M206" s="91"/>
      <c r="Q206" s="54"/>
      <c r="R206" s="54"/>
      <c r="S206" s="54"/>
      <c r="T206" s="54"/>
    </row>
    <row r="207" spans="2:70" ht="15.75">
      <c r="B207" s="75"/>
      <c r="C207" s="54"/>
      <c r="D207" s="54"/>
      <c r="E207" s="54"/>
      <c r="F207" s="54"/>
      <c r="G207" s="54"/>
      <c r="H207" s="87"/>
      <c r="I207" s="92"/>
      <c r="J207" s="35" t="s">
        <v>78</v>
      </c>
      <c r="K207" s="89" t="s">
        <v>225</v>
      </c>
      <c r="L207" s="89">
        <v>45</v>
      </c>
      <c r="M207" s="91"/>
      <c r="Q207" s="54"/>
      <c r="R207" s="54"/>
      <c r="S207" s="54"/>
      <c r="T207" s="54"/>
    </row>
    <row r="208" spans="2:70" ht="15.75">
      <c r="B208" s="21" t="s">
        <v>226</v>
      </c>
      <c r="C208" s="52"/>
      <c r="D208" s="52"/>
      <c r="E208" s="52"/>
      <c r="F208" s="52"/>
      <c r="G208" s="52"/>
      <c r="H208" s="53"/>
      <c r="J208" s="35" t="s">
        <v>73</v>
      </c>
      <c r="K208" s="89" t="s">
        <v>227</v>
      </c>
      <c r="L208" s="89">
        <v>65</v>
      </c>
      <c r="M208" s="91"/>
      <c r="Q208" s="54"/>
      <c r="R208" s="54"/>
    </row>
    <row r="209" spans="2:20" ht="15.75">
      <c r="B209" s="21" t="s">
        <v>228</v>
      </c>
      <c r="C209" s="52"/>
      <c r="D209" s="52"/>
      <c r="E209" s="52"/>
      <c r="F209" s="52"/>
      <c r="G209" s="52"/>
      <c r="H209" s="53"/>
      <c r="J209" s="35" t="s">
        <v>71</v>
      </c>
      <c r="K209" s="89" t="s">
        <v>229</v>
      </c>
      <c r="L209" s="89">
        <v>300</v>
      </c>
      <c r="M209" s="91"/>
      <c r="Q209" s="54"/>
      <c r="R209" s="54"/>
    </row>
    <row r="210" spans="2:20" ht="15.75">
      <c r="B210" s="21" t="s">
        <v>230</v>
      </c>
      <c r="J210" s="35" t="s">
        <v>76</v>
      </c>
      <c r="K210" s="89" t="s">
        <v>231</v>
      </c>
      <c r="L210" s="89">
        <v>60</v>
      </c>
      <c r="M210" s="91"/>
      <c r="Q210" s="54"/>
      <c r="R210" s="54"/>
    </row>
    <row r="211" spans="2:20" ht="15.75">
      <c r="B211" s="21" t="s">
        <v>232</v>
      </c>
      <c r="J211" s="35" t="s">
        <v>79</v>
      </c>
      <c r="K211" s="89" t="s">
        <v>227</v>
      </c>
      <c r="L211" s="89">
        <v>120</v>
      </c>
      <c r="M211" s="91"/>
      <c r="Q211" s="54"/>
      <c r="R211" s="54"/>
    </row>
    <row r="212" spans="2:20" ht="15.75">
      <c r="B212" s="21" t="s">
        <v>233</v>
      </c>
      <c r="C212" s="52"/>
      <c r="D212" s="52"/>
      <c r="E212" s="52"/>
      <c r="F212" s="52"/>
      <c r="G212" s="52"/>
      <c r="H212" s="53"/>
      <c r="J212" s="35" t="s">
        <v>80</v>
      </c>
      <c r="K212" s="89" t="s">
        <v>231</v>
      </c>
      <c r="L212" s="89">
        <v>75</v>
      </c>
      <c r="M212" s="91"/>
      <c r="Q212" s="54"/>
      <c r="R212" s="54"/>
    </row>
    <row r="213" spans="2:20" ht="15.75">
      <c r="B213" s="21" t="s">
        <v>234</v>
      </c>
      <c r="C213" s="52"/>
      <c r="D213" s="52"/>
      <c r="E213" s="52"/>
      <c r="F213" s="52"/>
      <c r="G213" s="52"/>
      <c r="H213" s="53"/>
      <c r="J213" s="35" t="s">
        <v>68</v>
      </c>
      <c r="K213" s="89" t="s">
        <v>227</v>
      </c>
      <c r="L213" s="89">
        <v>80</v>
      </c>
      <c r="M213" s="91"/>
      <c r="Q213" s="54"/>
      <c r="R213" s="54"/>
    </row>
    <row r="214" spans="2:20" ht="15.75">
      <c r="C214" s="52"/>
      <c r="D214" s="52"/>
      <c r="E214" s="52"/>
      <c r="F214" s="52"/>
      <c r="G214" s="52"/>
      <c r="H214" s="53"/>
      <c r="J214" s="35" t="s">
        <v>77</v>
      </c>
      <c r="K214" s="89" t="s">
        <v>231</v>
      </c>
      <c r="L214" s="89">
        <v>50</v>
      </c>
      <c r="M214" s="91"/>
      <c r="Q214" s="54"/>
      <c r="R214" s="54"/>
    </row>
    <row r="215" spans="2:20" ht="15.75">
      <c r="B215" s="21" t="s">
        <v>235</v>
      </c>
      <c r="C215" s="54"/>
      <c r="D215" s="54"/>
      <c r="E215" s="52"/>
      <c r="F215" s="52"/>
      <c r="G215" s="52"/>
      <c r="H215" s="53"/>
      <c r="J215" s="54"/>
      <c r="K215" s="54"/>
      <c r="L215" s="54"/>
      <c r="M215" s="91"/>
      <c r="Q215" s="54"/>
      <c r="R215" s="54"/>
    </row>
    <row r="216" spans="2:20" ht="15.75">
      <c r="B216" s="21" t="s">
        <v>236</v>
      </c>
      <c r="C216" s="54"/>
      <c r="D216" s="54"/>
      <c r="E216" s="52"/>
      <c r="F216" s="52"/>
      <c r="G216" s="52"/>
      <c r="H216" s="53"/>
      <c r="J216" s="91"/>
      <c r="K216" s="91"/>
      <c r="L216" s="91"/>
      <c r="M216" s="91"/>
      <c r="Q216" s="54"/>
      <c r="R216" s="54"/>
    </row>
    <row r="217" spans="2:20" ht="15.75">
      <c r="B217" s="21" t="s">
        <v>237</v>
      </c>
      <c r="C217" s="54"/>
      <c r="D217" s="54"/>
      <c r="E217" s="52"/>
      <c r="F217" s="52"/>
      <c r="G217" s="52"/>
      <c r="H217" s="53"/>
      <c r="J217" s="91"/>
      <c r="K217" s="91"/>
      <c r="L217" s="91"/>
      <c r="M217" s="91"/>
      <c r="Q217" s="54"/>
      <c r="R217" s="54"/>
    </row>
    <row r="218" spans="2:20" ht="15.75">
      <c r="B218" s="21" t="s">
        <v>238</v>
      </c>
      <c r="C218" s="54"/>
      <c r="D218" s="54"/>
      <c r="E218" s="52"/>
      <c r="F218" s="52"/>
      <c r="G218" s="52"/>
      <c r="H218" s="53"/>
      <c r="J218" s="91"/>
      <c r="K218" s="91"/>
      <c r="L218" s="91"/>
      <c r="M218" s="91"/>
      <c r="Q218" s="54"/>
      <c r="R218" s="54"/>
    </row>
    <row r="219" spans="2:20" ht="15.75">
      <c r="B219" s="21" t="s">
        <v>239</v>
      </c>
      <c r="C219" s="54"/>
      <c r="D219" s="54"/>
      <c r="E219" s="52"/>
      <c r="F219" s="52"/>
      <c r="G219" s="52"/>
      <c r="H219" s="53"/>
      <c r="J219" s="91"/>
      <c r="K219" s="91"/>
      <c r="L219" s="91"/>
      <c r="M219" s="91"/>
      <c r="N219" s="91"/>
      <c r="O219" s="91"/>
      <c r="P219" s="54"/>
      <c r="Q219" s="54"/>
      <c r="R219" s="54"/>
      <c r="S219" s="54"/>
      <c r="T219" s="54"/>
    </row>
    <row r="220" spans="2:20" ht="15.75">
      <c r="B220" s="21" t="s">
        <v>240</v>
      </c>
      <c r="C220" s="54"/>
      <c r="D220" s="54"/>
      <c r="E220" s="52"/>
      <c r="F220" s="52"/>
      <c r="G220" s="52"/>
      <c r="H220" s="53"/>
      <c r="J220" s="91"/>
      <c r="K220" s="91"/>
      <c r="L220" s="91"/>
      <c r="M220" s="91"/>
      <c r="N220" s="91"/>
      <c r="O220" s="91"/>
      <c r="P220" s="54"/>
      <c r="Q220" s="54"/>
      <c r="R220" s="54"/>
      <c r="S220" s="54"/>
      <c r="T220" s="54"/>
    </row>
    <row r="221" spans="2:20" ht="15.75">
      <c r="B221" s="21" t="s">
        <v>241</v>
      </c>
      <c r="C221" s="54"/>
      <c r="D221" s="54"/>
      <c r="E221" s="52"/>
      <c r="F221" s="52"/>
      <c r="G221" s="52"/>
      <c r="H221" s="53"/>
      <c r="J221" s="91"/>
      <c r="K221" s="91"/>
      <c r="L221" s="91"/>
      <c r="M221" s="91"/>
      <c r="N221" s="91"/>
      <c r="O221" s="91"/>
      <c r="P221" s="54"/>
      <c r="Q221" s="54"/>
      <c r="R221" s="54"/>
      <c r="S221" s="54"/>
      <c r="T221" s="54"/>
    </row>
    <row r="223" spans="2:20" ht="15.75">
      <c r="B223" s="98" t="s">
        <v>242</v>
      </c>
      <c r="C223" s="99" t="s">
        <v>243</v>
      </c>
      <c r="D223" s="52"/>
      <c r="E223" s="52"/>
      <c r="F223" s="52"/>
      <c r="G223" s="52"/>
      <c r="H223" s="53"/>
      <c r="J223" s="91" t="s">
        <v>54</v>
      </c>
      <c r="K223" s="91"/>
      <c r="L223" s="91"/>
      <c r="M223" s="91"/>
      <c r="N223" s="91"/>
      <c r="O223" s="91"/>
      <c r="P223" s="54"/>
      <c r="Q223" s="54"/>
      <c r="R223" s="54"/>
      <c r="S223" s="54"/>
      <c r="T223" s="54"/>
    </row>
    <row r="224" spans="2:20" ht="15.75" outlineLevel="1">
      <c r="B224" s="98"/>
      <c r="C224" s="99" t="s">
        <v>244</v>
      </c>
      <c r="D224" s="52"/>
      <c r="E224" s="52"/>
      <c r="F224" s="52"/>
      <c r="G224" s="52"/>
      <c r="H224" s="53"/>
      <c r="J224" s="146" t="s">
        <v>245</v>
      </c>
      <c r="K224" s="91"/>
      <c r="L224" s="91"/>
      <c r="M224" s="91"/>
      <c r="N224" s="91"/>
      <c r="O224" s="91"/>
      <c r="P224" s="54"/>
      <c r="Q224" s="54"/>
      <c r="R224" s="54"/>
      <c r="S224" s="54"/>
      <c r="T224" s="54"/>
    </row>
    <row r="225" spans="2:20" ht="15.75" outlineLevel="1">
      <c r="B225" s="98"/>
      <c r="C225" s="99" t="s">
        <v>246</v>
      </c>
      <c r="D225" s="52"/>
      <c r="E225" s="52"/>
      <c r="F225" s="52"/>
      <c r="G225" s="52"/>
      <c r="H225" s="53"/>
      <c r="J225" s="91"/>
      <c r="K225" s="91"/>
      <c r="L225" s="91"/>
      <c r="M225" s="91"/>
      <c r="N225" s="91"/>
      <c r="O225" s="91"/>
      <c r="P225" s="54"/>
      <c r="Q225" s="54"/>
      <c r="R225" s="54"/>
      <c r="S225" s="54"/>
      <c r="T225" s="54"/>
    </row>
    <row r="226" spans="2:20" ht="15.75" outlineLevel="1">
      <c r="B226" s="98"/>
      <c r="C226" s="99" t="s">
        <v>247</v>
      </c>
      <c r="D226" s="52"/>
      <c r="E226" s="52"/>
      <c r="F226" s="52"/>
      <c r="G226" s="52"/>
      <c r="H226" s="53"/>
      <c r="J226" s="91"/>
      <c r="K226" s="91"/>
      <c r="L226" s="91"/>
      <c r="M226" s="91"/>
      <c r="N226" s="91"/>
      <c r="O226" s="91"/>
      <c r="P226" s="54"/>
      <c r="Q226" s="54"/>
      <c r="R226" s="54"/>
      <c r="S226" s="54"/>
      <c r="T226" s="54"/>
    </row>
    <row r="227" spans="2:20" ht="15.75" outlineLevel="1">
      <c r="B227" s="98"/>
      <c r="C227" s="99"/>
      <c r="D227" s="52"/>
      <c r="E227" s="52"/>
      <c r="F227" s="52"/>
      <c r="G227" s="52"/>
      <c r="H227" s="53"/>
      <c r="J227" s="91"/>
      <c r="K227" s="91"/>
      <c r="L227" s="91"/>
      <c r="M227" s="91"/>
      <c r="N227" s="91"/>
      <c r="O227" s="91"/>
      <c r="P227" s="54"/>
      <c r="Q227" s="54"/>
      <c r="R227" s="54"/>
      <c r="S227" s="54"/>
      <c r="T227" s="54"/>
    </row>
    <row r="228" spans="2:20" ht="15.75" outlineLevel="1">
      <c r="B228" s="98"/>
      <c r="C228" s="99" t="s">
        <v>248</v>
      </c>
      <c r="D228" s="52"/>
      <c r="E228" s="52"/>
      <c r="F228" s="52"/>
      <c r="G228" s="52"/>
      <c r="H228" s="53"/>
      <c r="J228" s="91"/>
      <c r="K228" s="91"/>
      <c r="L228" s="91"/>
      <c r="M228" s="91"/>
      <c r="N228" s="91"/>
      <c r="O228" s="91"/>
      <c r="P228" s="54"/>
      <c r="Q228" s="54"/>
      <c r="R228" s="54"/>
      <c r="S228" s="54"/>
      <c r="T228" s="54"/>
    </row>
    <row r="229" spans="2:20" ht="15.75" outlineLevel="1">
      <c r="B229" s="98"/>
      <c r="C229" s="99" t="s">
        <v>249</v>
      </c>
      <c r="D229" s="52"/>
      <c r="E229" s="52"/>
      <c r="F229" s="52"/>
      <c r="G229" s="52"/>
      <c r="H229" s="53"/>
      <c r="J229" s="91"/>
      <c r="K229" s="91"/>
      <c r="L229" s="91"/>
      <c r="M229" s="91"/>
      <c r="N229" s="91"/>
      <c r="O229" s="91"/>
      <c r="P229" s="54"/>
      <c r="Q229" s="54"/>
      <c r="R229" s="54"/>
      <c r="S229" s="54"/>
      <c r="T229" s="54"/>
    </row>
    <row r="230" spans="2:20" ht="15.75" outlineLevel="1">
      <c r="B230" s="98"/>
      <c r="C230" s="99" t="s">
        <v>250</v>
      </c>
      <c r="D230" s="52"/>
      <c r="E230" s="52"/>
      <c r="F230" s="52"/>
      <c r="G230" s="52"/>
      <c r="H230" s="53"/>
      <c r="J230" s="91"/>
      <c r="K230" s="91"/>
      <c r="L230" s="91"/>
      <c r="M230" s="91"/>
      <c r="N230" s="91"/>
      <c r="O230" s="91"/>
      <c r="P230" s="54"/>
      <c r="Q230" s="54"/>
      <c r="R230" s="54"/>
      <c r="S230" s="54"/>
      <c r="T230" s="54"/>
    </row>
    <row r="231" spans="2:20" ht="15.75" outlineLevel="1">
      <c r="B231" s="98"/>
      <c r="C231" s="99"/>
      <c r="D231" s="52"/>
      <c r="E231" s="52"/>
      <c r="F231" s="52"/>
      <c r="G231" s="52"/>
      <c r="H231" s="53"/>
      <c r="J231" s="91"/>
      <c r="K231" s="91"/>
      <c r="L231" s="91"/>
      <c r="M231" s="91"/>
      <c r="N231" s="91"/>
      <c r="O231" s="91"/>
      <c r="P231" s="54"/>
      <c r="Q231" s="54"/>
      <c r="R231" s="54"/>
      <c r="S231" s="54"/>
      <c r="T231" s="54"/>
    </row>
    <row r="232" spans="2:20" ht="15.75" outlineLevel="1">
      <c r="B232" s="98"/>
      <c r="C232" s="99" t="s">
        <v>251</v>
      </c>
      <c r="D232" s="52"/>
      <c r="E232" s="52"/>
      <c r="F232" s="52"/>
      <c r="G232" s="52"/>
      <c r="H232" s="53"/>
      <c r="J232" s="91"/>
      <c r="K232" s="91"/>
      <c r="L232" s="91"/>
      <c r="M232" s="91"/>
      <c r="N232" s="91"/>
      <c r="O232" s="91"/>
      <c r="P232" s="54"/>
      <c r="Q232" s="54"/>
      <c r="R232" s="54"/>
      <c r="S232" s="54"/>
      <c r="T232" s="54"/>
    </row>
    <row r="233" spans="2:20" ht="15.75" outlineLevel="1">
      <c r="B233" s="98"/>
      <c r="C233" s="99" t="s">
        <v>252</v>
      </c>
      <c r="D233" s="52"/>
      <c r="E233" s="52"/>
      <c r="F233" s="52"/>
      <c r="G233" s="52"/>
      <c r="H233" s="53"/>
      <c r="J233" s="91"/>
      <c r="K233" s="91"/>
      <c r="L233" s="91"/>
      <c r="M233" s="91"/>
      <c r="N233" s="91"/>
      <c r="O233" s="91"/>
      <c r="P233" s="54"/>
      <c r="Q233" s="54"/>
      <c r="R233" s="54"/>
      <c r="S233" s="54"/>
      <c r="T233" s="54"/>
    </row>
    <row r="234" spans="2:20" ht="15.75" outlineLevel="1">
      <c r="B234" s="98"/>
      <c r="C234" s="99" t="s">
        <v>253</v>
      </c>
      <c r="D234" s="52"/>
      <c r="E234" s="52"/>
      <c r="F234" s="52"/>
      <c r="G234" s="52"/>
      <c r="H234" s="53"/>
      <c r="J234" s="91"/>
      <c r="K234" s="91"/>
      <c r="L234" s="91"/>
      <c r="M234" s="91"/>
      <c r="N234" s="91"/>
      <c r="O234" s="91"/>
      <c r="P234" s="54"/>
      <c r="Q234" s="54"/>
      <c r="R234" s="54"/>
      <c r="S234" s="54"/>
      <c r="T234" s="54"/>
    </row>
    <row r="235" spans="2:20" ht="15.75" outlineLevel="1">
      <c r="B235" s="98"/>
      <c r="C235" s="99" t="s">
        <v>254</v>
      </c>
      <c r="D235" s="52"/>
      <c r="E235" s="52"/>
      <c r="F235" s="52"/>
      <c r="G235" s="52"/>
      <c r="H235" s="53"/>
      <c r="J235" s="91"/>
      <c r="K235" s="91"/>
      <c r="L235" s="91"/>
      <c r="M235" s="91"/>
      <c r="N235" s="91"/>
      <c r="O235" s="91"/>
      <c r="P235" s="54"/>
      <c r="Q235" s="54"/>
      <c r="R235" s="54"/>
      <c r="S235" s="54"/>
      <c r="T235" s="54"/>
    </row>
    <row r="236" spans="2:20" ht="15.75" outlineLevel="1">
      <c r="B236" s="98"/>
      <c r="C236" s="99" t="s">
        <v>255</v>
      </c>
      <c r="D236" s="52"/>
      <c r="E236" s="52"/>
      <c r="F236" s="52"/>
      <c r="G236" s="52"/>
      <c r="H236" s="53"/>
      <c r="J236" s="91"/>
      <c r="K236" s="91"/>
      <c r="L236" s="91"/>
      <c r="M236" s="91"/>
      <c r="N236" s="91"/>
      <c r="O236" s="91"/>
      <c r="P236" s="54"/>
      <c r="Q236" s="54"/>
      <c r="R236" s="54"/>
      <c r="S236" s="54"/>
      <c r="T236" s="54"/>
    </row>
    <row r="237" spans="2:20" ht="15.75">
      <c r="B237" s="21"/>
      <c r="C237" s="54"/>
      <c r="D237" s="54"/>
      <c r="E237" s="54"/>
      <c r="F237" s="54"/>
      <c r="G237" s="54"/>
      <c r="H237" s="87"/>
      <c r="I237" s="92"/>
      <c r="J237" s="91"/>
      <c r="K237" s="100"/>
      <c r="L237" s="91"/>
      <c r="M237" s="91"/>
      <c r="N237" s="91"/>
      <c r="O237" s="91"/>
      <c r="P237" s="100"/>
      <c r="Q237" s="100"/>
      <c r="R237" s="100"/>
      <c r="S237" s="100"/>
      <c r="T237" s="100"/>
    </row>
    <row r="238" spans="2:20" ht="15.75">
      <c r="B238" s="21" t="s">
        <v>256</v>
      </c>
      <c r="C238" s="54"/>
      <c r="D238" s="54"/>
      <c r="E238" s="54"/>
      <c r="F238" s="54"/>
      <c r="G238" s="54"/>
      <c r="H238" s="87"/>
      <c r="I238" s="92"/>
      <c r="J238" s="91"/>
      <c r="K238" s="100"/>
      <c r="L238" s="91"/>
      <c r="M238" s="91"/>
      <c r="N238" s="91"/>
      <c r="O238" s="91"/>
      <c r="P238" s="100"/>
      <c r="Q238" s="100"/>
      <c r="R238" s="100"/>
      <c r="S238" s="100"/>
      <c r="T238" s="100"/>
    </row>
    <row r="239" spans="2:20" ht="15.75">
      <c r="B239" s="21"/>
      <c r="C239" s="54"/>
      <c r="D239" s="54"/>
      <c r="E239" s="54"/>
      <c r="F239" s="54"/>
      <c r="G239" s="54"/>
      <c r="H239" s="87"/>
      <c r="I239" s="92"/>
      <c r="J239" s="91"/>
      <c r="K239" s="100"/>
      <c r="L239" s="91"/>
      <c r="M239" s="91"/>
      <c r="N239" s="91"/>
      <c r="O239" s="91"/>
      <c r="P239" s="100"/>
      <c r="Q239" s="100"/>
      <c r="R239" s="100"/>
      <c r="S239" s="100"/>
      <c r="T239" s="100"/>
    </row>
    <row r="240" spans="2:20" ht="15.75">
      <c r="B240" s="21"/>
      <c r="C240" s="50" t="s">
        <v>257</v>
      </c>
      <c r="D240" s="54"/>
      <c r="E240" s="54"/>
      <c r="F240" s="54"/>
      <c r="G240" s="54"/>
      <c r="H240" s="87"/>
      <c r="I240" s="92"/>
      <c r="J240" s="91"/>
      <c r="K240" s="100"/>
      <c r="L240" s="91"/>
      <c r="M240" s="91"/>
      <c r="N240" s="91"/>
      <c r="O240" s="91"/>
      <c r="P240" s="100"/>
      <c r="Q240" s="100"/>
      <c r="R240" s="100"/>
      <c r="S240" s="100"/>
      <c r="T240" s="100"/>
    </row>
    <row r="241" spans="2:21" ht="15.75">
      <c r="B241" s="21"/>
      <c r="C241" s="50" t="s">
        <v>258</v>
      </c>
      <c r="D241" s="54"/>
      <c r="E241" s="54"/>
      <c r="F241" s="54"/>
      <c r="G241" s="54"/>
      <c r="H241" s="87"/>
      <c r="I241" s="92"/>
      <c r="J241" s="91"/>
      <c r="K241" s="100"/>
      <c r="L241" s="91"/>
      <c r="M241" s="91"/>
      <c r="N241" s="91"/>
      <c r="O241" s="91"/>
      <c r="P241" s="100"/>
      <c r="Q241" s="100"/>
      <c r="R241" s="100"/>
      <c r="S241" s="100"/>
      <c r="T241" s="100"/>
    </row>
    <row r="242" spans="2:21" ht="15.75">
      <c r="B242" s="21"/>
      <c r="C242" s="50" t="s">
        <v>259</v>
      </c>
      <c r="D242" s="54"/>
      <c r="E242" s="54"/>
      <c r="F242" s="54"/>
      <c r="G242" s="54"/>
      <c r="H242" s="87"/>
      <c r="I242" s="92"/>
      <c r="J242" s="91"/>
      <c r="K242" s="100"/>
      <c r="L242" s="91"/>
      <c r="M242" s="91"/>
      <c r="N242" s="91"/>
      <c r="O242" s="91"/>
      <c r="P242" s="100"/>
      <c r="Q242" s="100"/>
      <c r="R242" s="100"/>
      <c r="S242" s="100"/>
      <c r="T242" s="100"/>
    </row>
    <row r="243" spans="2:21" ht="14.25" customHeight="1" thickBot="1">
      <c r="B243" s="21"/>
      <c r="C243" s="54"/>
      <c r="D243" s="54"/>
      <c r="E243" s="54"/>
      <c r="F243" s="54"/>
      <c r="G243" s="54"/>
      <c r="H243" s="87"/>
      <c r="I243" s="92"/>
      <c r="J243" s="74" t="s">
        <v>60</v>
      </c>
      <c r="K243" s="100"/>
      <c r="L243" s="91"/>
      <c r="M243" s="91"/>
      <c r="N243" s="91" t="s">
        <v>260</v>
      </c>
      <c r="O243" s="91"/>
      <c r="P243" s="100"/>
      <c r="Q243" s="100"/>
      <c r="R243" s="100"/>
      <c r="S243" s="100"/>
      <c r="T243" s="100"/>
    </row>
    <row r="244" spans="2:21" ht="25.5" customHeight="1" thickBot="1">
      <c r="B244" s="42" t="s">
        <v>9</v>
      </c>
      <c r="C244" s="42" t="s">
        <v>62</v>
      </c>
      <c r="D244" s="42" t="s">
        <v>11</v>
      </c>
      <c r="E244" s="42" t="s">
        <v>63</v>
      </c>
      <c r="F244" s="42" t="s">
        <v>13</v>
      </c>
      <c r="G244" s="42" t="s">
        <v>14</v>
      </c>
      <c r="H244" s="42" t="s">
        <v>15</v>
      </c>
      <c r="J244" s="1" t="s">
        <v>64</v>
      </c>
      <c r="K244" s="1" t="s">
        <v>133</v>
      </c>
      <c r="L244" s="1" t="s">
        <v>64</v>
      </c>
      <c r="M244" s="1" t="s">
        <v>133</v>
      </c>
      <c r="N244" s="91" t="s">
        <v>152</v>
      </c>
      <c r="O244" s="91" t="s">
        <v>151</v>
      </c>
      <c r="P244" s="91" t="s">
        <v>261</v>
      </c>
      <c r="Q244" s="100" t="s">
        <v>262</v>
      </c>
      <c r="R244" s="100" t="s">
        <v>263</v>
      </c>
      <c r="S244" s="100" t="s">
        <v>135</v>
      </c>
      <c r="T244" s="100"/>
      <c r="U244" s="100"/>
    </row>
    <row r="245" spans="2:21" ht="15" customHeight="1">
      <c r="B245" s="52"/>
      <c r="C245" s="52"/>
      <c r="D245" s="52"/>
      <c r="E245" s="52"/>
      <c r="F245" s="52"/>
      <c r="G245" s="52"/>
      <c r="H245" s="53"/>
      <c r="J245" s="59"/>
      <c r="M245" s="91"/>
      <c r="N245" s="91"/>
      <c r="O245" s="91"/>
      <c r="P245" s="91"/>
      <c r="Q245" s="100"/>
      <c r="R245" s="100"/>
      <c r="S245" s="100"/>
      <c r="T245" s="100"/>
      <c r="U245" s="100"/>
    </row>
    <row r="246" spans="2:21" ht="23.25">
      <c r="B246" s="68" t="s">
        <v>264</v>
      </c>
      <c r="C246" s="68">
        <v>4</v>
      </c>
      <c r="D246" s="76">
        <v>0</v>
      </c>
      <c r="E246" s="2" t="s">
        <v>66</v>
      </c>
      <c r="F246" s="3" t="s">
        <v>67</v>
      </c>
      <c r="G246" s="3" t="s">
        <v>68</v>
      </c>
      <c r="H246" s="47" t="e">
        <f ca="1">N246</f>
        <v>#NAME?</v>
      </c>
      <c r="I246" s="111" t="e">
        <f ca="1">IF(ISBLANK(H246),0,IF(H246=Answers!H246,1,-1))</f>
        <v>#NAME?</v>
      </c>
      <c r="J246" s="78">
        <v>315908</v>
      </c>
      <c r="K246" s="88">
        <v>21.69</v>
      </c>
      <c r="L246" s="121">
        <f>AD120</f>
        <v>315908</v>
      </c>
      <c r="M246" s="119">
        <f>H182/100</f>
        <v>21.69</v>
      </c>
      <c r="N246" s="91" t="e">
        <f ca="1">INDEX('L4 Calc'!$K$3:$K$23,MATCH(Case!E246,'L4 Calc'!$A$3:$A$23,0))</f>
        <v>#NAME?</v>
      </c>
      <c r="O246" s="91" t="e">
        <f ca="1">INDEX('L4 Calc'!$L$3:$L$23,MATCH(Case!E246,'L4 Calc'!$A$3:$A$23,0))</f>
        <v>#NAME?</v>
      </c>
      <c r="P246" s="91" t="e">
        <f ca="1">INDEX('L4 Calc'!$M$3:$M$23,MATCH(Case!E246,'L4 Calc'!$A$3:$A$23,0))</f>
        <v>#NAME?</v>
      </c>
      <c r="Q246" s="100" t="str">
        <f>INDEX($K$207:$K$214,MATCH(G246,$J$207:$J$214,0))</f>
        <v>Intellect</v>
      </c>
      <c r="R246" s="100" t="e">
        <f ca="1">INDEX('L4 Calc'!$N$3:$N$23,MATCH(Case!E246,'L4 Calc'!$A$3:$A$23,0))</f>
        <v>#NAME?</v>
      </c>
      <c r="S246" s="100" t="e">
        <f ca="1">INDEX('L4 Calc'!$O$3:$O$23,MATCH(Case!E246,'L4 Calc'!$A$3:$A$23,0))</f>
        <v>#NAME?</v>
      </c>
      <c r="T246" s="100"/>
      <c r="U246" s="100"/>
    </row>
    <row r="247" spans="2:21" ht="15" customHeight="1">
      <c r="B247" s="52"/>
      <c r="C247" s="52"/>
      <c r="D247" s="52"/>
      <c r="E247" s="52"/>
      <c r="F247" s="77"/>
      <c r="G247" s="77"/>
      <c r="H247" s="85"/>
      <c r="J247" s="79"/>
      <c r="K247" s="90"/>
      <c r="L247" s="90"/>
      <c r="M247" s="120"/>
      <c r="N247" s="91"/>
      <c r="O247" s="91"/>
      <c r="P247" s="91"/>
      <c r="Q247" s="100"/>
      <c r="R247" s="100"/>
      <c r="S247" s="100"/>
      <c r="T247" s="100"/>
      <c r="U247" s="100"/>
    </row>
    <row r="248" spans="2:21" ht="23.25">
      <c r="B248" s="68">
        <v>61</v>
      </c>
      <c r="C248" s="68">
        <f>C246</f>
        <v>4</v>
      </c>
      <c r="D248" s="76">
        <v>10</v>
      </c>
      <c r="E248" s="2">
        <v>1</v>
      </c>
      <c r="F248" s="3" t="s">
        <v>67</v>
      </c>
      <c r="G248" s="3" t="s">
        <v>71</v>
      </c>
      <c r="H248" s="47" t="e">
        <f ca="1">N248</f>
        <v>#NAME?</v>
      </c>
      <c r="I248" s="111" t="e">
        <f ca="1">IF(ISBLANK(H248),0,IF(H248=Answers!H248,1,-1))</f>
        <v>#NAME?</v>
      </c>
      <c r="J248" s="78" t="s">
        <v>265</v>
      </c>
      <c r="K248" s="78" t="s">
        <v>265</v>
      </c>
      <c r="L248" s="121">
        <f>AD122</f>
        <v>315945</v>
      </c>
      <c r="M248" s="119">
        <f>H184/100</f>
        <v>7.45</v>
      </c>
      <c r="N248" s="91" t="e">
        <f ca="1">INDEX('L4 Calc'!$K$3:$K$23,MATCH(Case!E248,'L4 Calc'!$A$3:$A$23,0))</f>
        <v>#NAME?</v>
      </c>
      <c r="O248" s="91" t="e">
        <f ca="1">INDEX('L4 Calc'!$L$3:$L$23,MATCH(Case!E248,'L4 Calc'!$A$3:$A$23,0))</f>
        <v>#NAME?</v>
      </c>
      <c r="P248" s="91" t="e">
        <f ca="1">INDEX('L4 Calc'!$M$3:$M$23,MATCH(Case!E248,'L4 Calc'!$A$3:$A$23,0))</f>
        <v>#NAME?</v>
      </c>
      <c r="Q248" s="100" t="str">
        <f>INDEX($K$207:$K$214,MATCH(G248,$J$207:$J$214,0))</f>
        <v>Armor</v>
      </c>
      <c r="R248" s="100" t="e">
        <f ca="1">INDEX('L4 Calc'!$N$3:$N$23,MATCH(Case!E248,'L4 Calc'!$A$3:$A$23,0))</f>
        <v>#NAME?</v>
      </c>
      <c r="S248" s="100" t="e">
        <f ca="1">INDEX('L4 Calc'!$O$3:$O$23,MATCH(Case!E248,'L4 Calc'!$A$3:$A$23,0))</f>
        <v>#NAME?</v>
      </c>
      <c r="T248" s="100"/>
      <c r="U248" s="100"/>
    </row>
    <row r="249" spans="2:21" ht="23.25">
      <c r="B249" s="68">
        <v>62</v>
      </c>
      <c r="C249" s="68">
        <f>C248</f>
        <v>4</v>
      </c>
      <c r="D249" s="76">
        <v>10</v>
      </c>
      <c r="E249" s="2">
        <v>2</v>
      </c>
      <c r="F249" s="3" t="s">
        <v>72</v>
      </c>
      <c r="G249" s="3" t="s">
        <v>73</v>
      </c>
      <c r="H249" s="47" t="e">
        <f t="shared" ref="H249:H267" ca="1" si="62">N249</f>
        <v>#NAME?</v>
      </c>
      <c r="I249" s="111" t="e">
        <f ca="1">IF(ISBLANK(H249),0,IF(H249=Answers!H249,1,-1))</f>
        <v>#NAME?</v>
      </c>
      <c r="J249" s="78" t="s">
        <v>265</v>
      </c>
      <c r="K249" s="78" t="s">
        <v>265</v>
      </c>
      <c r="L249" s="121">
        <f t="shared" ref="L249:L267" si="63">AD123</f>
        <v>315612</v>
      </c>
      <c r="M249" s="119">
        <f t="shared" ref="M249:M267" si="64">H185/100</f>
        <v>16.96</v>
      </c>
      <c r="N249" s="91" t="e">
        <f ca="1">INDEX('L4 Calc'!$K$3:$K$23,MATCH(Case!E249,'L4 Calc'!$A$3:$A$23,0))</f>
        <v>#NAME?</v>
      </c>
      <c r="O249" s="91" t="e">
        <f ca="1">INDEX('L4 Calc'!$L$3:$L$23,MATCH(Case!E249,'L4 Calc'!$A$3:$A$23,0))</f>
        <v>#NAME?</v>
      </c>
      <c r="P249" s="91" t="e">
        <f ca="1">INDEX('L4 Calc'!$M$3:$M$23,MATCH(Case!E249,'L4 Calc'!$A$3:$A$23,0))</f>
        <v>#NAME?</v>
      </c>
      <c r="Q249" s="100" t="str">
        <f t="shared" ref="Q249:Q267" si="65">INDEX($K$207:$K$214,MATCH(G249,$J$207:$J$214,0))</f>
        <v>Intellect</v>
      </c>
      <c r="R249" s="100" t="e">
        <f ca="1">INDEX('L4 Calc'!$N$3:$N$23,MATCH(Case!E249,'L4 Calc'!$A$3:$A$23,0))</f>
        <v>#NAME?</v>
      </c>
      <c r="S249" s="100" t="e">
        <f ca="1">INDEX('L4 Calc'!$O$3:$O$23,MATCH(Case!E249,'L4 Calc'!$A$3:$A$23,0))</f>
        <v>#NAME?</v>
      </c>
      <c r="T249" s="100"/>
      <c r="U249" s="100"/>
    </row>
    <row r="250" spans="2:21" ht="23.25">
      <c r="B250" s="68">
        <v>63</v>
      </c>
      <c r="C250" s="68">
        <f t="shared" ref="C250:C267" si="66">C249</f>
        <v>4</v>
      </c>
      <c r="D250" s="76">
        <v>10</v>
      </c>
      <c r="E250" s="2">
        <v>3</v>
      </c>
      <c r="F250" s="3" t="s">
        <v>74</v>
      </c>
      <c r="G250" s="3" t="s">
        <v>68</v>
      </c>
      <c r="H250" s="47" t="e">
        <f t="shared" ca="1" si="62"/>
        <v>#NAME?</v>
      </c>
      <c r="I250" s="111" t="e">
        <f ca="1">IF(ISBLANK(H250),0,IF(H250=Answers!H250,1,-1))</f>
        <v>#NAME?</v>
      </c>
      <c r="J250" s="78" t="s">
        <v>265</v>
      </c>
      <c r="K250" s="78" t="s">
        <v>265</v>
      </c>
      <c r="L250" s="121">
        <f t="shared" si="63"/>
        <v>317200</v>
      </c>
      <c r="M250" s="119">
        <f t="shared" si="64"/>
        <v>2.4300000000000002</v>
      </c>
      <c r="N250" s="91" t="e">
        <f ca="1">INDEX('L4 Calc'!$K$3:$K$23,MATCH(Case!E250,'L4 Calc'!$A$3:$A$23,0))</f>
        <v>#NAME?</v>
      </c>
      <c r="O250" s="91" t="e">
        <f ca="1">INDEX('L4 Calc'!$L$3:$L$23,MATCH(Case!E250,'L4 Calc'!$A$3:$A$23,0))</f>
        <v>#NAME?</v>
      </c>
      <c r="P250" s="91" t="e">
        <f ca="1">INDEX('L4 Calc'!$M$3:$M$23,MATCH(Case!E250,'L4 Calc'!$A$3:$A$23,0))</f>
        <v>#NAME?</v>
      </c>
      <c r="Q250" s="100" t="str">
        <f t="shared" si="65"/>
        <v>Intellect</v>
      </c>
      <c r="R250" s="100" t="e">
        <f ca="1">INDEX('L4 Calc'!$N$3:$N$23,MATCH(Case!E250,'L4 Calc'!$A$3:$A$23,0))</f>
        <v>#NAME?</v>
      </c>
      <c r="S250" s="100" t="e">
        <f ca="1">INDEX('L4 Calc'!$O$3:$O$23,MATCH(Case!E250,'L4 Calc'!$A$3:$A$23,0))</f>
        <v>#NAME?</v>
      </c>
      <c r="T250" s="100"/>
      <c r="U250" s="100"/>
    </row>
    <row r="251" spans="2:21" ht="23.25">
      <c r="B251" s="68">
        <v>64</v>
      </c>
      <c r="C251" s="68">
        <f t="shared" si="66"/>
        <v>4</v>
      </c>
      <c r="D251" s="76">
        <v>10</v>
      </c>
      <c r="E251" s="2">
        <v>4</v>
      </c>
      <c r="F251" s="3" t="s">
        <v>75</v>
      </c>
      <c r="G251" s="3" t="s">
        <v>71</v>
      </c>
      <c r="H251" s="47" t="e">
        <f t="shared" ca="1" si="62"/>
        <v>#NAME?</v>
      </c>
      <c r="I251" s="111" t="e">
        <f ca="1">IF(ISBLANK(H251),0,IF(H251=Answers!H251,1,-1))</f>
        <v>#NAME?</v>
      </c>
      <c r="J251" s="78" t="s">
        <v>265</v>
      </c>
      <c r="K251" s="78" t="s">
        <v>265</v>
      </c>
      <c r="L251" s="121">
        <f t="shared" si="63"/>
        <v>314691</v>
      </c>
      <c r="M251" s="119">
        <f t="shared" si="64"/>
        <v>11.6</v>
      </c>
      <c r="N251" s="91" t="e">
        <f ca="1">INDEX('L4 Calc'!$K$3:$K$23,MATCH(Case!E251,'L4 Calc'!$A$3:$A$23,0))</f>
        <v>#NAME?</v>
      </c>
      <c r="O251" s="91" t="e">
        <f ca="1">INDEX('L4 Calc'!$L$3:$L$23,MATCH(Case!E251,'L4 Calc'!$A$3:$A$23,0))</f>
        <v>#NAME?</v>
      </c>
      <c r="P251" s="91" t="e">
        <f ca="1">INDEX('L4 Calc'!$M$3:$M$23,MATCH(Case!E251,'L4 Calc'!$A$3:$A$23,0))</f>
        <v>#NAME?</v>
      </c>
      <c r="Q251" s="100" t="str">
        <f t="shared" si="65"/>
        <v>Armor</v>
      </c>
      <c r="R251" s="100" t="e">
        <f ca="1">INDEX('L4 Calc'!$N$3:$N$23,MATCH(Case!E251,'L4 Calc'!$A$3:$A$23,0))</f>
        <v>#NAME?</v>
      </c>
      <c r="S251" s="100" t="e">
        <f ca="1">INDEX('L4 Calc'!$O$3:$O$23,MATCH(Case!E251,'L4 Calc'!$A$3:$A$23,0))</f>
        <v>#NAME?</v>
      </c>
      <c r="T251" s="100"/>
      <c r="U251" s="100"/>
    </row>
    <row r="252" spans="2:21" ht="23.25">
      <c r="B252" s="68">
        <v>65</v>
      </c>
      <c r="C252" s="68">
        <f t="shared" si="66"/>
        <v>4</v>
      </c>
      <c r="D252" s="76">
        <v>10</v>
      </c>
      <c r="E252" s="2">
        <v>5</v>
      </c>
      <c r="F252" s="3" t="s">
        <v>75</v>
      </c>
      <c r="G252" s="3" t="s">
        <v>76</v>
      </c>
      <c r="H252" s="47" t="e">
        <f t="shared" ca="1" si="62"/>
        <v>#NAME?</v>
      </c>
      <c r="I252" s="111" t="e">
        <f ca="1">IF(ISBLANK(H252),0,IF(H252=Answers!H252,1,-1))</f>
        <v>#NAME?</v>
      </c>
      <c r="J252" s="78" t="s">
        <v>265</v>
      </c>
      <c r="K252" s="78" t="s">
        <v>265</v>
      </c>
      <c r="L252" s="121">
        <f t="shared" si="63"/>
        <v>314277</v>
      </c>
      <c r="M252" s="119">
        <f t="shared" si="64"/>
        <v>2.79</v>
      </c>
      <c r="N252" s="91" t="e">
        <f ca="1">INDEX('L4 Calc'!$K$3:$K$23,MATCH(Case!E252,'L4 Calc'!$A$3:$A$23,0))</f>
        <v>#NAME?</v>
      </c>
      <c r="O252" s="91" t="e">
        <f ca="1">INDEX('L4 Calc'!$L$3:$L$23,MATCH(Case!E252,'L4 Calc'!$A$3:$A$23,0))</f>
        <v>#NAME?</v>
      </c>
      <c r="P252" s="91" t="e">
        <f ca="1">INDEX('L4 Calc'!$M$3:$M$23,MATCH(Case!E252,'L4 Calc'!$A$3:$A$23,0))</f>
        <v>#NAME?</v>
      </c>
      <c r="Q252" s="100" t="str">
        <f t="shared" si="65"/>
        <v>Agility</v>
      </c>
      <c r="R252" s="100" t="e">
        <f ca="1">INDEX('L4 Calc'!$N$3:$N$23,MATCH(Case!E252,'L4 Calc'!$A$3:$A$23,0))</f>
        <v>#NAME?</v>
      </c>
      <c r="S252" s="100" t="e">
        <f ca="1">INDEX('L4 Calc'!$O$3:$O$23,MATCH(Case!E252,'L4 Calc'!$A$3:$A$23,0))</f>
        <v>#NAME?</v>
      </c>
      <c r="T252" s="100"/>
      <c r="U252" s="100"/>
    </row>
    <row r="253" spans="2:21" ht="23.25">
      <c r="B253" s="68">
        <v>66</v>
      </c>
      <c r="C253" s="68">
        <f t="shared" si="66"/>
        <v>4</v>
      </c>
      <c r="D253" s="76">
        <v>10</v>
      </c>
      <c r="E253" s="2">
        <v>6</v>
      </c>
      <c r="F253" s="3" t="s">
        <v>74</v>
      </c>
      <c r="G253" s="3" t="s">
        <v>73</v>
      </c>
      <c r="H253" s="47" t="e">
        <f t="shared" ca="1" si="62"/>
        <v>#NAME?</v>
      </c>
      <c r="I253" s="111" t="e">
        <f ca="1">IF(ISBLANK(H253),0,IF(H253=Answers!H253,1,-1))</f>
        <v>#NAME?</v>
      </c>
      <c r="J253" s="78" t="s">
        <v>265</v>
      </c>
      <c r="K253" s="78" t="s">
        <v>265</v>
      </c>
      <c r="L253" s="121">
        <f t="shared" si="63"/>
        <v>313429</v>
      </c>
      <c r="M253" s="119">
        <f t="shared" si="64"/>
        <v>5.18</v>
      </c>
      <c r="N253" s="91" t="e">
        <f ca="1">INDEX('L4 Calc'!$K$3:$K$23,MATCH(Case!E253,'L4 Calc'!$A$3:$A$23,0))</f>
        <v>#NAME?</v>
      </c>
      <c r="O253" s="91" t="e">
        <f ca="1">INDEX('L4 Calc'!$L$3:$L$23,MATCH(Case!E253,'L4 Calc'!$A$3:$A$23,0))</f>
        <v>#NAME?</v>
      </c>
      <c r="P253" s="91" t="e">
        <f ca="1">INDEX('L4 Calc'!$M$3:$M$23,MATCH(Case!E253,'L4 Calc'!$A$3:$A$23,0))</f>
        <v>#NAME?</v>
      </c>
      <c r="Q253" s="100" t="str">
        <f t="shared" si="65"/>
        <v>Intellect</v>
      </c>
      <c r="R253" s="100" t="e">
        <f ca="1">INDEX('L4 Calc'!$N$3:$N$23,MATCH(Case!E253,'L4 Calc'!$A$3:$A$23,0))</f>
        <v>#NAME?</v>
      </c>
      <c r="S253" s="100" t="e">
        <f ca="1">INDEX('L4 Calc'!$O$3:$O$23,MATCH(Case!E253,'L4 Calc'!$A$3:$A$23,0))</f>
        <v>#NAME?</v>
      </c>
      <c r="T253" s="100"/>
      <c r="U253" s="100"/>
    </row>
    <row r="254" spans="2:21" ht="23.25">
      <c r="B254" s="68">
        <v>67</v>
      </c>
      <c r="C254" s="68">
        <f t="shared" si="66"/>
        <v>4</v>
      </c>
      <c r="D254" s="76">
        <v>10</v>
      </c>
      <c r="E254" s="2">
        <v>7</v>
      </c>
      <c r="F254" s="3" t="s">
        <v>72</v>
      </c>
      <c r="G254" s="3" t="s">
        <v>76</v>
      </c>
      <c r="H254" s="47" t="e">
        <f t="shared" ca="1" si="62"/>
        <v>#NAME?</v>
      </c>
      <c r="I254" s="111" t="e">
        <f ca="1">IF(ISBLANK(H254),0,IF(H254=Answers!H254,1,-1))</f>
        <v>#NAME?</v>
      </c>
      <c r="J254" s="78" t="s">
        <v>265</v>
      </c>
      <c r="K254" s="78" t="s">
        <v>265</v>
      </c>
      <c r="L254" s="121">
        <f t="shared" si="63"/>
        <v>316365</v>
      </c>
      <c r="M254" s="119">
        <f t="shared" si="64"/>
        <v>5.58</v>
      </c>
      <c r="N254" s="91" t="e">
        <f ca="1">INDEX('L4 Calc'!$K$3:$K$23,MATCH(Case!E254,'L4 Calc'!$A$3:$A$23,0))</f>
        <v>#NAME?</v>
      </c>
      <c r="O254" s="91" t="e">
        <f ca="1">INDEX('L4 Calc'!$L$3:$L$23,MATCH(Case!E254,'L4 Calc'!$A$3:$A$23,0))</f>
        <v>#NAME?</v>
      </c>
      <c r="P254" s="91" t="e">
        <f ca="1">INDEX('L4 Calc'!$M$3:$M$23,MATCH(Case!E254,'L4 Calc'!$A$3:$A$23,0))</f>
        <v>#NAME?</v>
      </c>
      <c r="Q254" s="100" t="str">
        <f t="shared" si="65"/>
        <v>Agility</v>
      </c>
      <c r="R254" s="100" t="e">
        <f ca="1">INDEX('L4 Calc'!$N$3:$N$23,MATCH(Case!E254,'L4 Calc'!$A$3:$A$23,0))</f>
        <v>#NAME?</v>
      </c>
      <c r="S254" s="100" t="e">
        <f ca="1">INDEX('L4 Calc'!$O$3:$O$23,MATCH(Case!E254,'L4 Calc'!$A$3:$A$23,0))</f>
        <v>#NAME?</v>
      </c>
      <c r="T254" s="100"/>
      <c r="U254" s="100"/>
    </row>
    <row r="255" spans="2:21" ht="23.25">
      <c r="B255" s="68">
        <v>68</v>
      </c>
      <c r="C255" s="68">
        <f t="shared" si="66"/>
        <v>4</v>
      </c>
      <c r="D255" s="76">
        <v>10</v>
      </c>
      <c r="E255" s="2">
        <v>8</v>
      </c>
      <c r="F255" s="3" t="s">
        <v>67</v>
      </c>
      <c r="G255" s="3" t="s">
        <v>77</v>
      </c>
      <c r="H255" s="47" t="e">
        <f t="shared" ca="1" si="62"/>
        <v>#NAME?</v>
      </c>
      <c r="I255" s="111" t="e">
        <f ca="1">IF(ISBLANK(H255),0,IF(H255=Answers!H255,1,-1))</f>
        <v>#NAME?</v>
      </c>
      <c r="J255" s="78" t="s">
        <v>265</v>
      </c>
      <c r="K255" s="78" t="s">
        <v>265</v>
      </c>
      <c r="L255" s="121">
        <f t="shared" si="63"/>
        <v>314739</v>
      </c>
      <c r="M255" s="119">
        <f t="shared" si="64"/>
        <v>29.81</v>
      </c>
      <c r="N255" s="91" t="e">
        <f ca="1">INDEX('L4 Calc'!$K$3:$K$23,MATCH(Case!E255,'L4 Calc'!$A$3:$A$23,0))</f>
        <v>#NAME?</v>
      </c>
      <c r="O255" s="91" t="e">
        <f ca="1">INDEX('L4 Calc'!$L$3:$L$23,MATCH(Case!E255,'L4 Calc'!$A$3:$A$23,0))</f>
        <v>#NAME?</v>
      </c>
      <c r="P255" s="91" t="e">
        <f ca="1">INDEX('L4 Calc'!$M$3:$M$23,MATCH(Case!E255,'L4 Calc'!$A$3:$A$23,0))</f>
        <v>#NAME?</v>
      </c>
      <c r="Q255" s="100" t="str">
        <f t="shared" si="65"/>
        <v>Agility</v>
      </c>
      <c r="R255" s="100" t="e">
        <f ca="1">INDEX('L4 Calc'!$N$3:$N$23,MATCH(Case!E255,'L4 Calc'!$A$3:$A$23,0))</f>
        <v>#NAME?</v>
      </c>
      <c r="S255" s="100" t="e">
        <f ca="1">INDEX('L4 Calc'!$O$3:$O$23,MATCH(Case!E255,'L4 Calc'!$A$3:$A$23,0))</f>
        <v>#NAME?</v>
      </c>
      <c r="T255" s="100"/>
      <c r="U255" s="100"/>
    </row>
    <row r="256" spans="2:21" ht="23.25">
      <c r="B256" s="68">
        <v>69</v>
      </c>
      <c r="C256" s="68">
        <f t="shared" si="66"/>
        <v>4</v>
      </c>
      <c r="D256" s="76">
        <v>10</v>
      </c>
      <c r="E256" s="2">
        <v>9</v>
      </c>
      <c r="F256" s="3" t="s">
        <v>67</v>
      </c>
      <c r="G256" s="3" t="s">
        <v>78</v>
      </c>
      <c r="H256" s="47" t="e">
        <f t="shared" ca="1" si="62"/>
        <v>#NAME?</v>
      </c>
      <c r="I256" s="111" t="e">
        <f ca="1">IF(ISBLANK(H256),0,IF(H256=Answers!H256,1,-1))</f>
        <v>#NAME?</v>
      </c>
      <c r="J256" s="78" t="s">
        <v>265</v>
      </c>
      <c r="K256" s="78" t="s">
        <v>265</v>
      </c>
      <c r="L256" s="121">
        <f t="shared" si="63"/>
        <v>316158</v>
      </c>
      <c r="M256" s="119">
        <f t="shared" si="64"/>
        <v>51.53</v>
      </c>
      <c r="N256" s="91" t="e">
        <f ca="1">INDEX('L4 Calc'!$K$3:$K$23,MATCH(Case!E256,'L4 Calc'!$A$3:$A$23,0))</f>
        <v>#NAME?</v>
      </c>
      <c r="O256" s="91" t="e">
        <f ca="1">INDEX('L4 Calc'!$L$3:$L$23,MATCH(Case!E256,'L4 Calc'!$A$3:$A$23,0))</f>
        <v>#NAME?</v>
      </c>
      <c r="P256" s="91" t="e">
        <f ca="1">INDEX('L4 Calc'!$M$3:$M$23,MATCH(Case!E256,'L4 Calc'!$A$3:$A$23,0))</f>
        <v>#NAME?</v>
      </c>
      <c r="Q256" s="100" t="str">
        <f t="shared" si="65"/>
        <v>Strength</v>
      </c>
      <c r="R256" s="100" t="e">
        <f ca="1">INDEX('L4 Calc'!$N$3:$N$23,MATCH(Case!E256,'L4 Calc'!$A$3:$A$23,0))</f>
        <v>#NAME?</v>
      </c>
      <c r="S256" s="100" t="e">
        <f ca="1">INDEX('L4 Calc'!$O$3:$O$23,MATCH(Case!E256,'L4 Calc'!$A$3:$A$23,0))</f>
        <v>#NAME?</v>
      </c>
      <c r="T256" s="100"/>
      <c r="U256" s="100"/>
    </row>
    <row r="257" spans="2:21" ht="23.25">
      <c r="B257" s="68">
        <v>70</v>
      </c>
      <c r="C257" s="68">
        <f t="shared" si="66"/>
        <v>4</v>
      </c>
      <c r="D257" s="76">
        <v>10</v>
      </c>
      <c r="E257" s="2">
        <v>10</v>
      </c>
      <c r="F257" s="3" t="s">
        <v>74</v>
      </c>
      <c r="G257" s="3" t="s">
        <v>79</v>
      </c>
      <c r="H257" s="47" t="e">
        <f t="shared" ca="1" si="62"/>
        <v>#NAME?</v>
      </c>
      <c r="I257" s="111" t="e">
        <f ca="1">IF(ISBLANK(H257),0,IF(H257=Answers!H257,1,-1))</f>
        <v>#NAME?</v>
      </c>
      <c r="J257" s="78" t="s">
        <v>265</v>
      </c>
      <c r="K257" s="78" t="s">
        <v>265</v>
      </c>
      <c r="L257" s="121">
        <f t="shared" si="63"/>
        <v>318950</v>
      </c>
      <c r="M257" s="119">
        <f t="shared" si="64"/>
        <v>12.88</v>
      </c>
      <c r="N257" s="91" t="e">
        <f ca="1">INDEX('L4 Calc'!$K$3:$K$23,MATCH(Case!E257,'L4 Calc'!$A$3:$A$23,0))</f>
        <v>#NAME?</v>
      </c>
      <c r="O257" s="91" t="e">
        <f ca="1">INDEX('L4 Calc'!$L$3:$L$23,MATCH(Case!E257,'L4 Calc'!$A$3:$A$23,0))</f>
        <v>#NAME?</v>
      </c>
      <c r="P257" s="91" t="e">
        <f ca="1">INDEX('L4 Calc'!$M$3:$M$23,MATCH(Case!E257,'L4 Calc'!$A$3:$A$23,0))</f>
        <v>#NAME?</v>
      </c>
      <c r="Q257" s="100" t="str">
        <f t="shared" si="65"/>
        <v>Intellect</v>
      </c>
      <c r="R257" s="100" t="e">
        <f ca="1">INDEX('L4 Calc'!$N$3:$N$23,MATCH(Case!E257,'L4 Calc'!$A$3:$A$23,0))</f>
        <v>#NAME?</v>
      </c>
      <c r="S257" s="100" t="e">
        <f ca="1">INDEX('L4 Calc'!$O$3:$O$23,MATCH(Case!E257,'L4 Calc'!$A$3:$A$23,0))</f>
        <v>#NAME?</v>
      </c>
      <c r="T257" s="100"/>
      <c r="U257" s="100"/>
    </row>
    <row r="258" spans="2:21" ht="23.25">
      <c r="B258" s="68">
        <v>71</v>
      </c>
      <c r="C258" s="68">
        <f t="shared" si="66"/>
        <v>4</v>
      </c>
      <c r="D258" s="76">
        <v>10</v>
      </c>
      <c r="E258" s="2">
        <v>11</v>
      </c>
      <c r="F258" s="3" t="s">
        <v>67</v>
      </c>
      <c r="G258" s="3" t="s">
        <v>68</v>
      </c>
      <c r="H258" s="47" t="e">
        <f t="shared" ca="1" si="62"/>
        <v>#NAME?</v>
      </c>
      <c r="I258" s="111" t="e">
        <f ca="1">IF(ISBLANK(H258),0,IF(H258=Answers!H258,1,-1))</f>
        <v>#NAME?</v>
      </c>
      <c r="J258" s="78" t="s">
        <v>265</v>
      </c>
      <c r="K258" s="78" t="s">
        <v>265</v>
      </c>
      <c r="L258" s="121">
        <f t="shared" si="63"/>
        <v>315212</v>
      </c>
      <c r="M258" s="119">
        <f t="shared" si="64"/>
        <v>26.77</v>
      </c>
      <c r="N258" s="91" t="e">
        <f ca="1">INDEX('L4 Calc'!$K$3:$K$23,MATCH(Case!E258,'L4 Calc'!$A$3:$A$23,0))</f>
        <v>#NAME?</v>
      </c>
      <c r="O258" s="91" t="e">
        <f ca="1">INDEX('L4 Calc'!$L$3:$L$23,MATCH(Case!E258,'L4 Calc'!$A$3:$A$23,0))</f>
        <v>#NAME?</v>
      </c>
      <c r="P258" s="91" t="e">
        <f ca="1">INDEX('L4 Calc'!$M$3:$M$23,MATCH(Case!E258,'L4 Calc'!$A$3:$A$23,0))</f>
        <v>#NAME?</v>
      </c>
      <c r="Q258" s="100" t="str">
        <f t="shared" si="65"/>
        <v>Intellect</v>
      </c>
      <c r="R258" s="100" t="e">
        <f ca="1">INDEX('L4 Calc'!$N$3:$N$23,MATCH(Case!E258,'L4 Calc'!$A$3:$A$23,0))</f>
        <v>#NAME?</v>
      </c>
      <c r="S258" s="100" t="e">
        <f ca="1">INDEX('L4 Calc'!$O$3:$O$23,MATCH(Case!E258,'L4 Calc'!$A$3:$A$23,0))</f>
        <v>#NAME?</v>
      </c>
      <c r="T258" s="100"/>
      <c r="U258" s="100"/>
    </row>
    <row r="259" spans="2:21" ht="23.25">
      <c r="B259" s="68">
        <v>72</v>
      </c>
      <c r="C259" s="68">
        <f t="shared" si="66"/>
        <v>4</v>
      </c>
      <c r="D259" s="76">
        <v>10</v>
      </c>
      <c r="E259" s="2">
        <v>12</v>
      </c>
      <c r="F259" s="3" t="s">
        <v>72</v>
      </c>
      <c r="G259" s="3" t="s">
        <v>71</v>
      </c>
      <c r="H259" s="47" t="e">
        <f t="shared" ca="1" si="62"/>
        <v>#NAME?</v>
      </c>
      <c r="I259" s="111" t="e">
        <f ca="1">IF(ISBLANK(H259),0,IF(H259=Answers!H259,1,-1))</f>
        <v>#NAME?</v>
      </c>
      <c r="J259" s="78" t="s">
        <v>265</v>
      </c>
      <c r="K259" s="78" t="s">
        <v>265</v>
      </c>
      <c r="L259" s="121">
        <f t="shared" si="63"/>
        <v>316492</v>
      </c>
      <c r="M259" s="119">
        <f t="shared" si="64"/>
        <v>7.56</v>
      </c>
      <c r="N259" s="91" t="e">
        <f ca="1">INDEX('L4 Calc'!$K$3:$K$23,MATCH(Case!E259,'L4 Calc'!$A$3:$A$23,0))</f>
        <v>#NAME?</v>
      </c>
      <c r="O259" s="91" t="e">
        <f ca="1">INDEX('L4 Calc'!$L$3:$L$23,MATCH(Case!E259,'L4 Calc'!$A$3:$A$23,0))</f>
        <v>#NAME?</v>
      </c>
      <c r="P259" s="91" t="e">
        <f ca="1">INDEX('L4 Calc'!$M$3:$M$23,MATCH(Case!E259,'L4 Calc'!$A$3:$A$23,0))</f>
        <v>#NAME?</v>
      </c>
      <c r="Q259" s="100" t="str">
        <f t="shared" si="65"/>
        <v>Armor</v>
      </c>
      <c r="R259" s="100" t="e">
        <f ca="1">INDEX('L4 Calc'!$N$3:$N$23,MATCH(Case!E259,'L4 Calc'!$A$3:$A$23,0))</f>
        <v>#NAME?</v>
      </c>
      <c r="S259" s="100" t="e">
        <f ca="1">INDEX('L4 Calc'!$O$3:$O$23,MATCH(Case!E259,'L4 Calc'!$A$3:$A$23,0))</f>
        <v>#NAME?</v>
      </c>
      <c r="T259" s="100"/>
      <c r="U259" s="100"/>
    </row>
    <row r="260" spans="2:21" ht="23.25">
      <c r="B260" s="68">
        <v>73</v>
      </c>
      <c r="C260" s="68">
        <f t="shared" si="66"/>
        <v>4</v>
      </c>
      <c r="D260" s="76">
        <v>10</v>
      </c>
      <c r="E260" s="2">
        <v>13</v>
      </c>
      <c r="F260" s="3" t="s">
        <v>74</v>
      </c>
      <c r="G260" s="3" t="s">
        <v>77</v>
      </c>
      <c r="H260" s="47" t="e">
        <f t="shared" ca="1" si="62"/>
        <v>#NAME?</v>
      </c>
      <c r="I260" s="111" t="e">
        <f ca="1">IF(ISBLANK(H260),0,IF(H260=Answers!H260,1,-1))</f>
        <v>#NAME?</v>
      </c>
      <c r="J260" s="78" t="s">
        <v>265</v>
      </c>
      <c r="K260" s="78" t="s">
        <v>265</v>
      </c>
      <c r="L260" s="121">
        <f t="shared" si="63"/>
        <v>313171</v>
      </c>
      <c r="M260" s="119">
        <f t="shared" si="64"/>
        <v>0.64</v>
      </c>
      <c r="N260" s="91" t="e">
        <f ca="1">INDEX('L4 Calc'!$K$3:$K$23,MATCH(Case!E260,'L4 Calc'!$A$3:$A$23,0))</f>
        <v>#NAME?</v>
      </c>
      <c r="O260" s="91" t="e">
        <f ca="1">INDEX('L4 Calc'!$L$3:$L$23,MATCH(Case!E260,'L4 Calc'!$A$3:$A$23,0))</f>
        <v>#NAME?</v>
      </c>
      <c r="P260" s="91" t="e">
        <f ca="1">INDEX('L4 Calc'!$M$3:$M$23,MATCH(Case!E260,'L4 Calc'!$A$3:$A$23,0))</f>
        <v>#NAME?</v>
      </c>
      <c r="Q260" s="100" t="str">
        <f t="shared" si="65"/>
        <v>Agility</v>
      </c>
      <c r="R260" s="100" t="e">
        <f ca="1">INDEX('L4 Calc'!$N$3:$N$23,MATCH(Case!E260,'L4 Calc'!$A$3:$A$23,0))</f>
        <v>#NAME?</v>
      </c>
      <c r="S260" s="100" t="e">
        <f ca="1">INDEX('L4 Calc'!$O$3:$O$23,MATCH(Case!E260,'L4 Calc'!$A$3:$A$23,0))</f>
        <v>#NAME?</v>
      </c>
      <c r="T260" s="100"/>
      <c r="U260" s="100"/>
    </row>
    <row r="261" spans="2:21" ht="23.25">
      <c r="B261" s="68">
        <v>74</v>
      </c>
      <c r="C261" s="68">
        <f t="shared" si="66"/>
        <v>4</v>
      </c>
      <c r="D261" s="76">
        <v>10</v>
      </c>
      <c r="E261" s="2">
        <v>14</v>
      </c>
      <c r="F261" s="3" t="s">
        <v>72</v>
      </c>
      <c r="G261" s="3" t="s">
        <v>79</v>
      </c>
      <c r="H261" s="47" t="e">
        <f t="shared" ca="1" si="62"/>
        <v>#NAME?</v>
      </c>
      <c r="I261" s="111" t="e">
        <f ca="1">IF(ISBLANK(H261),0,IF(H261=Answers!H261,1,-1))</f>
        <v>#NAME?</v>
      </c>
      <c r="J261" s="78" t="s">
        <v>265</v>
      </c>
      <c r="K261" s="78" t="s">
        <v>265</v>
      </c>
      <c r="L261" s="121">
        <f t="shared" si="63"/>
        <v>315783</v>
      </c>
      <c r="M261" s="119">
        <f t="shared" si="64"/>
        <v>3.85</v>
      </c>
      <c r="N261" s="91" t="e">
        <f ca="1">INDEX('L4 Calc'!$K$3:$K$23,MATCH(Case!E261,'L4 Calc'!$A$3:$A$23,0))</f>
        <v>#NAME?</v>
      </c>
      <c r="O261" s="91" t="e">
        <f ca="1">INDEX('L4 Calc'!$L$3:$L$23,MATCH(Case!E261,'L4 Calc'!$A$3:$A$23,0))</f>
        <v>#NAME?</v>
      </c>
      <c r="P261" s="91" t="e">
        <f ca="1">INDEX('L4 Calc'!$M$3:$M$23,MATCH(Case!E261,'L4 Calc'!$A$3:$A$23,0))</f>
        <v>#NAME?</v>
      </c>
      <c r="Q261" s="100" t="str">
        <f t="shared" si="65"/>
        <v>Intellect</v>
      </c>
      <c r="R261" s="100" t="e">
        <f ca="1">INDEX('L4 Calc'!$N$3:$N$23,MATCH(Case!E261,'L4 Calc'!$A$3:$A$23,0))</f>
        <v>#NAME?</v>
      </c>
      <c r="S261" s="100" t="e">
        <f ca="1">INDEX('L4 Calc'!$O$3:$O$23,MATCH(Case!E261,'L4 Calc'!$A$3:$A$23,0))</f>
        <v>#NAME?</v>
      </c>
      <c r="T261" s="100"/>
      <c r="U261" s="100"/>
    </row>
    <row r="262" spans="2:21" ht="23.25">
      <c r="B262" s="68">
        <v>75</v>
      </c>
      <c r="C262" s="68">
        <f t="shared" si="66"/>
        <v>4</v>
      </c>
      <c r="D262" s="76">
        <v>10</v>
      </c>
      <c r="E262" s="2">
        <v>15</v>
      </c>
      <c r="F262" s="3" t="s">
        <v>75</v>
      </c>
      <c r="G262" s="3" t="s">
        <v>78</v>
      </c>
      <c r="H262" s="47" t="e">
        <f t="shared" ca="1" si="62"/>
        <v>#NAME?</v>
      </c>
      <c r="I262" s="111" t="e">
        <f ca="1">IF(ISBLANK(H262),0,IF(H262=Answers!H262,1,-1))</f>
        <v>#NAME?</v>
      </c>
      <c r="J262" s="78" t="s">
        <v>265</v>
      </c>
      <c r="K262" s="78" t="s">
        <v>265</v>
      </c>
      <c r="L262" s="121">
        <f t="shared" si="63"/>
        <v>315797</v>
      </c>
      <c r="M262" s="119">
        <f t="shared" si="64"/>
        <v>20.46</v>
      </c>
      <c r="N262" s="91" t="e">
        <f ca="1">INDEX('L4 Calc'!$K$3:$K$23,MATCH(Case!E262,'L4 Calc'!$A$3:$A$23,0))</f>
        <v>#NAME?</v>
      </c>
      <c r="O262" s="91" t="e">
        <f ca="1">INDEX('L4 Calc'!$L$3:$L$23,MATCH(Case!E262,'L4 Calc'!$A$3:$A$23,0))</f>
        <v>#NAME?</v>
      </c>
      <c r="P262" s="91" t="e">
        <f ca="1">INDEX('L4 Calc'!$M$3:$M$23,MATCH(Case!E262,'L4 Calc'!$A$3:$A$23,0))</f>
        <v>#NAME?</v>
      </c>
      <c r="Q262" s="100" t="str">
        <f t="shared" si="65"/>
        <v>Strength</v>
      </c>
      <c r="R262" s="100" t="e">
        <f ca="1">INDEX('L4 Calc'!$N$3:$N$23,MATCH(Case!E262,'L4 Calc'!$A$3:$A$23,0))</f>
        <v>#NAME?</v>
      </c>
      <c r="S262" s="100" t="e">
        <f ca="1">INDEX('L4 Calc'!$O$3:$O$23,MATCH(Case!E262,'L4 Calc'!$A$3:$A$23,0))</f>
        <v>#NAME?</v>
      </c>
      <c r="T262" s="100"/>
      <c r="U262" s="100"/>
    </row>
    <row r="263" spans="2:21" ht="23.25">
      <c r="B263" s="68">
        <v>76</v>
      </c>
      <c r="C263" s="68">
        <f t="shared" si="66"/>
        <v>4</v>
      </c>
      <c r="D263" s="76">
        <v>10</v>
      </c>
      <c r="E263" s="2">
        <v>16</v>
      </c>
      <c r="F263" s="3" t="s">
        <v>72</v>
      </c>
      <c r="G263" s="3" t="s">
        <v>78</v>
      </c>
      <c r="H263" s="47" t="e">
        <f t="shared" ca="1" si="62"/>
        <v>#NAME?</v>
      </c>
      <c r="I263" s="111" t="e">
        <f ca="1">IF(ISBLANK(H263),0,IF(H263=Answers!H263,1,-1))</f>
        <v>#NAME?</v>
      </c>
      <c r="J263" s="78" t="s">
        <v>265</v>
      </c>
      <c r="K263" s="78" t="s">
        <v>265</v>
      </c>
      <c r="L263" s="121">
        <f t="shared" si="63"/>
        <v>314589</v>
      </c>
      <c r="M263" s="119">
        <f t="shared" si="64"/>
        <v>28.49</v>
      </c>
      <c r="N263" s="91" t="e">
        <f ca="1">INDEX('L4 Calc'!$K$3:$K$23,MATCH(Case!E263,'L4 Calc'!$A$3:$A$23,0))</f>
        <v>#NAME?</v>
      </c>
      <c r="O263" s="91" t="e">
        <f ca="1">INDEX('L4 Calc'!$L$3:$L$23,MATCH(Case!E263,'L4 Calc'!$A$3:$A$23,0))</f>
        <v>#NAME?</v>
      </c>
      <c r="P263" s="91" t="e">
        <f ca="1">INDEX('L4 Calc'!$M$3:$M$23,MATCH(Case!E263,'L4 Calc'!$A$3:$A$23,0))</f>
        <v>#NAME?</v>
      </c>
      <c r="Q263" s="100" t="str">
        <f t="shared" si="65"/>
        <v>Strength</v>
      </c>
      <c r="R263" s="100" t="e">
        <f ca="1">INDEX('L4 Calc'!$N$3:$N$23,MATCH(Case!E263,'L4 Calc'!$A$3:$A$23,0))</f>
        <v>#NAME?</v>
      </c>
      <c r="S263" s="100" t="e">
        <f ca="1">INDEX('L4 Calc'!$O$3:$O$23,MATCH(Case!E263,'L4 Calc'!$A$3:$A$23,0))</f>
        <v>#NAME?</v>
      </c>
      <c r="T263" s="100"/>
      <c r="U263" s="100"/>
    </row>
    <row r="264" spans="2:21" ht="23.25">
      <c r="B264" s="68">
        <v>77</v>
      </c>
      <c r="C264" s="68">
        <f t="shared" si="66"/>
        <v>4</v>
      </c>
      <c r="D264" s="76">
        <v>10</v>
      </c>
      <c r="E264" s="2">
        <v>17</v>
      </c>
      <c r="F264" s="3" t="s">
        <v>74</v>
      </c>
      <c r="G264" s="3" t="s">
        <v>77</v>
      </c>
      <c r="H264" s="47" t="e">
        <f t="shared" ca="1" si="62"/>
        <v>#NAME?</v>
      </c>
      <c r="I264" s="111" t="e">
        <f ca="1">IF(ISBLANK(H264),0,IF(H264=Answers!H264,1,-1))</f>
        <v>#NAME?</v>
      </c>
      <c r="J264" s="78" t="s">
        <v>265</v>
      </c>
      <c r="K264" s="78" t="s">
        <v>265</v>
      </c>
      <c r="L264" s="121">
        <f t="shared" si="63"/>
        <v>314466</v>
      </c>
      <c r="M264" s="119">
        <f t="shared" si="64"/>
        <v>36.090000000000003</v>
      </c>
      <c r="N264" s="91" t="e">
        <f ca="1">INDEX('L4 Calc'!$K$3:$K$23,MATCH(Case!E264,'L4 Calc'!$A$3:$A$23,0))</f>
        <v>#NAME?</v>
      </c>
      <c r="O264" s="91" t="e">
        <f ca="1">INDEX('L4 Calc'!$L$3:$L$23,MATCH(Case!E264,'L4 Calc'!$A$3:$A$23,0))</f>
        <v>#NAME?</v>
      </c>
      <c r="P264" s="91" t="e">
        <f ca="1">INDEX('L4 Calc'!$M$3:$M$23,MATCH(Case!E264,'L4 Calc'!$A$3:$A$23,0))</f>
        <v>#NAME?</v>
      </c>
      <c r="Q264" s="100" t="str">
        <f t="shared" si="65"/>
        <v>Agility</v>
      </c>
      <c r="R264" s="100" t="e">
        <f ca="1">INDEX('L4 Calc'!$N$3:$N$23,MATCH(Case!E264,'L4 Calc'!$A$3:$A$23,0))</f>
        <v>#NAME?</v>
      </c>
      <c r="S264" s="100" t="e">
        <f ca="1">INDEX('L4 Calc'!$O$3:$O$23,MATCH(Case!E264,'L4 Calc'!$A$3:$A$23,0))</f>
        <v>#NAME?</v>
      </c>
      <c r="T264" s="100"/>
      <c r="U264" s="100"/>
    </row>
    <row r="265" spans="2:21" ht="23.25">
      <c r="B265" s="68">
        <v>78</v>
      </c>
      <c r="C265" s="68">
        <f t="shared" si="66"/>
        <v>4</v>
      </c>
      <c r="D265" s="76">
        <v>10</v>
      </c>
      <c r="E265" s="2">
        <v>18</v>
      </c>
      <c r="F265" s="3" t="s">
        <v>72</v>
      </c>
      <c r="G265" s="3" t="s">
        <v>73</v>
      </c>
      <c r="H265" s="47" t="e">
        <f t="shared" ca="1" si="62"/>
        <v>#NAME?</v>
      </c>
      <c r="I265" s="111" t="e">
        <f ca="1">IF(ISBLANK(H265),0,IF(H265=Answers!H265,1,-1))</f>
        <v>#NAME?</v>
      </c>
      <c r="J265" s="78" t="s">
        <v>265</v>
      </c>
      <c r="K265" s="78" t="s">
        <v>265</v>
      </c>
      <c r="L265" s="121">
        <f t="shared" si="63"/>
        <v>318966</v>
      </c>
      <c r="M265" s="119">
        <f t="shared" si="64"/>
        <v>17.149999999999999</v>
      </c>
      <c r="N265" s="91" t="e">
        <f ca="1">INDEX('L4 Calc'!$K$3:$K$23,MATCH(Case!E265,'L4 Calc'!$A$3:$A$23,0))</f>
        <v>#NAME?</v>
      </c>
      <c r="O265" s="91" t="e">
        <f ca="1">INDEX('L4 Calc'!$L$3:$L$23,MATCH(Case!E265,'L4 Calc'!$A$3:$A$23,0))</f>
        <v>#NAME?</v>
      </c>
      <c r="P265" s="91" t="e">
        <f ca="1">INDEX('L4 Calc'!$M$3:$M$23,MATCH(Case!E265,'L4 Calc'!$A$3:$A$23,0))</f>
        <v>#NAME?</v>
      </c>
      <c r="Q265" s="100" t="str">
        <f t="shared" si="65"/>
        <v>Intellect</v>
      </c>
      <c r="R265" s="100" t="e">
        <f ca="1">INDEX('L4 Calc'!$N$3:$N$23,MATCH(Case!E265,'L4 Calc'!$A$3:$A$23,0))</f>
        <v>#NAME?</v>
      </c>
      <c r="S265" s="100" t="e">
        <f ca="1">INDEX('L4 Calc'!$O$3:$O$23,MATCH(Case!E265,'L4 Calc'!$A$3:$A$23,0))</f>
        <v>#NAME?</v>
      </c>
      <c r="T265" s="100"/>
      <c r="U265" s="100"/>
    </row>
    <row r="266" spans="2:21" ht="23.25">
      <c r="B266" s="68">
        <v>79</v>
      </c>
      <c r="C266" s="68">
        <f t="shared" si="66"/>
        <v>4</v>
      </c>
      <c r="D266" s="76">
        <v>10</v>
      </c>
      <c r="E266" s="2">
        <v>19</v>
      </c>
      <c r="F266" s="3" t="s">
        <v>72</v>
      </c>
      <c r="G266" s="3" t="s">
        <v>73</v>
      </c>
      <c r="H266" s="47" t="e">
        <f t="shared" ca="1" si="62"/>
        <v>#NAME?</v>
      </c>
      <c r="I266" s="111" t="e">
        <f ca="1">IF(ISBLANK(H266),0,IF(H266=Answers!H266,1,-1))</f>
        <v>#NAME?</v>
      </c>
      <c r="J266" s="78" t="s">
        <v>265</v>
      </c>
      <c r="K266" s="78" t="s">
        <v>265</v>
      </c>
      <c r="L266" s="121">
        <f t="shared" si="63"/>
        <v>313640</v>
      </c>
      <c r="M266" s="119">
        <f t="shared" si="64"/>
        <v>9.99</v>
      </c>
      <c r="N266" s="91" t="e">
        <f ca="1">INDEX('L4 Calc'!$K$3:$K$23,MATCH(Case!E266,'L4 Calc'!$A$3:$A$23,0))</f>
        <v>#NAME?</v>
      </c>
      <c r="O266" s="91" t="e">
        <f ca="1">INDEX('L4 Calc'!$L$3:$L$23,MATCH(Case!E266,'L4 Calc'!$A$3:$A$23,0))</f>
        <v>#NAME?</v>
      </c>
      <c r="P266" s="91" t="e">
        <f ca="1">INDEX('L4 Calc'!$M$3:$M$23,MATCH(Case!E266,'L4 Calc'!$A$3:$A$23,0))</f>
        <v>#NAME?</v>
      </c>
      <c r="Q266" s="100" t="str">
        <f t="shared" si="65"/>
        <v>Intellect</v>
      </c>
      <c r="R266" s="100" t="e">
        <f ca="1">INDEX('L4 Calc'!$N$3:$N$23,MATCH(Case!E266,'L4 Calc'!$A$3:$A$23,0))</f>
        <v>#NAME?</v>
      </c>
      <c r="S266" s="100" t="e">
        <f ca="1">INDEX('L4 Calc'!$O$3:$O$23,MATCH(Case!E266,'L4 Calc'!$A$3:$A$23,0))</f>
        <v>#NAME?</v>
      </c>
      <c r="T266" s="100"/>
      <c r="U266" s="100"/>
    </row>
    <row r="267" spans="2:21" ht="23.25">
      <c r="B267" s="68">
        <v>80</v>
      </c>
      <c r="C267" s="68">
        <f t="shared" si="66"/>
        <v>4</v>
      </c>
      <c r="D267" s="76">
        <v>10</v>
      </c>
      <c r="E267" s="2">
        <v>20</v>
      </c>
      <c r="F267" s="3" t="s">
        <v>75</v>
      </c>
      <c r="G267" s="3" t="s">
        <v>80</v>
      </c>
      <c r="H267" s="47" t="e">
        <f t="shared" ca="1" si="62"/>
        <v>#NAME?</v>
      </c>
      <c r="I267" s="111" t="e">
        <f ca="1">IF(ISBLANK(H267),0,IF(H267=Answers!H267,1,-1))</f>
        <v>#NAME?</v>
      </c>
      <c r="J267" s="78" t="s">
        <v>265</v>
      </c>
      <c r="K267" s="78" t="s">
        <v>265</v>
      </c>
      <c r="L267" s="121">
        <f t="shared" si="63"/>
        <v>319000</v>
      </c>
      <c r="M267" s="119">
        <f t="shared" si="64"/>
        <v>16.84</v>
      </c>
      <c r="N267" s="91" t="e">
        <f ca="1">INDEX('L4 Calc'!$K$3:$K$23,MATCH(Case!E267,'L4 Calc'!$A$3:$A$23,0))</f>
        <v>#NAME?</v>
      </c>
      <c r="O267" s="91" t="e">
        <f ca="1">INDEX('L4 Calc'!$L$3:$L$23,MATCH(Case!E267,'L4 Calc'!$A$3:$A$23,0))</f>
        <v>#NAME?</v>
      </c>
      <c r="P267" s="91" t="e">
        <f ca="1">INDEX('L4 Calc'!$M$3:$M$23,MATCH(Case!E267,'L4 Calc'!$A$3:$A$23,0))</f>
        <v>#NAME?</v>
      </c>
      <c r="Q267" s="100" t="str">
        <f t="shared" si="65"/>
        <v>Agility</v>
      </c>
      <c r="R267" s="100" t="e">
        <f ca="1">INDEX('L4 Calc'!$N$3:$N$23,MATCH(Case!E267,'L4 Calc'!$A$3:$A$23,0))</f>
        <v>#NAME?</v>
      </c>
      <c r="S267" s="100" t="e">
        <f ca="1">INDEX('L4 Calc'!$O$3:$O$23,MATCH(Case!E267,'L4 Calc'!$A$3:$A$23,0))</f>
        <v>#NAME?</v>
      </c>
      <c r="T267" s="100"/>
      <c r="U267" s="100"/>
    </row>
    <row r="268" spans="2:21" ht="15" customHeight="1">
      <c r="J268" s="91"/>
      <c r="K268" s="100"/>
      <c r="L268" s="91"/>
      <c r="M268" s="91"/>
      <c r="N268" s="91"/>
      <c r="O268" s="91"/>
    </row>
    <row r="269" spans="2:21" ht="15" customHeight="1" thickBot="1">
      <c r="J269" s="91"/>
      <c r="K269" s="91"/>
      <c r="L269" s="91"/>
      <c r="M269" s="91"/>
      <c r="N269" s="91"/>
      <c r="O269" s="91"/>
    </row>
    <row r="270" spans="2:21" ht="25.5" customHeight="1" thickBot="1">
      <c r="B270" s="48" t="s">
        <v>266</v>
      </c>
      <c r="C270" s="49" t="s">
        <v>154</v>
      </c>
      <c r="D270" s="73" t="s">
        <v>267</v>
      </c>
      <c r="E270" s="54"/>
      <c r="F270" s="54"/>
      <c r="G270" s="54"/>
      <c r="H270" s="87"/>
      <c r="I270" s="92"/>
      <c r="J270" s="93"/>
      <c r="K270" s="93"/>
      <c r="L270" s="93"/>
      <c r="M270" s="91"/>
      <c r="N270" s="91"/>
      <c r="O270" s="91"/>
    </row>
    <row r="271" spans="2:21" ht="15.75">
      <c r="B271" s="75"/>
      <c r="C271" s="54"/>
      <c r="D271" s="54"/>
      <c r="E271" s="54"/>
      <c r="F271" s="54"/>
      <c r="G271" s="54"/>
      <c r="H271" s="87"/>
      <c r="I271" s="92"/>
      <c r="J271" s="93"/>
      <c r="K271" s="93"/>
      <c r="L271" s="93"/>
      <c r="M271" s="91"/>
      <c r="N271" s="91"/>
      <c r="O271" s="91"/>
    </row>
    <row r="272" spans="2:21" ht="15.75">
      <c r="B272" s="75" t="s">
        <v>268</v>
      </c>
      <c r="C272" s="54"/>
      <c r="D272" s="54"/>
      <c r="E272" s="54"/>
      <c r="F272" s="54"/>
      <c r="G272" s="54"/>
      <c r="H272" s="87"/>
      <c r="I272" s="92"/>
      <c r="J272" s="101"/>
      <c r="K272" s="93" t="s">
        <v>17</v>
      </c>
      <c r="L272" s="93"/>
      <c r="M272" s="91"/>
      <c r="N272" s="91"/>
      <c r="O272" s="91"/>
    </row>
    <row r="273" spans="2:20" ht="15.75">
      <c r="B273" s="75" t="s">
        <v>269</v>
      </c>
      <c r="C273" s="54"/>
      <c r="D273" s="54"/>
      <c r="E273" s="54"/>
      <c r="F273" s="54"/>
      <c r="G273" s="54"/>
      <c r="H273" s="87"/>
      <c r="I273" s="92"/>
      <c r="J273" s="102"/>
      <c r="K273" s="146" t="s">
        <v>270</v>
      </c>
      <c r="L273" s="93"/>
      <c r="M273" s="91"/>
      <c r="N273" s="91"/>
      <c r="O273" s="91"/>
    </row>
    <row r="274" spans="2:20" ht="15.75">
      <c r="B274" s="75" t="s">
        <v>271</v>
      </c>
      <c r="C274" s="54"/>
      <c r="D274" s="54"/>
      <c r="E274" s="54"/>
      <c r="F274" s="54"/>
      <c r="G274" s="54"/>
      <c r="H274" s="87"/>
      <c r="I274" s="92"/>
      <c r="J274" s="102"/>
      <c r="K274" s="93"/>
      <c r="L274" s="93"/>
      <c r="M274" s="91"/>
      <c r="N274" s="91"/>
      <c r="O274" s="91"/>
    </row>
    <row r="275" spans="2:20" ht="15.75">
      <c r="B275" s="75" t="s">
        <v>272</v>
      </c>
      <c r="C275" s="54"/>
      <c r="D275" s="54"/>
      <c r="E275" s="54"/>
      <c r="F275" s="54"/>
      <c r="G275" s="54"/>
      <c r="H275" s="87"/>
      <c r="I275" s="92"/>
      <c r="J275" s="102"/>
      <c r="K275" s="93"/>
      <c r="L275" s="93"/>
      <c r="M275" s="91"/>
      <c r="N275" s="91"/>
      <c r="O275" s="91"/>
    </row>
    <row r="276" spans="2:20" ht="15.75">
      <c r="B276" s="75" t="s">
        <v>273</v>
      </c>
      <c r="C276" s="52"/>
      <c r="D276" s="52"/>
      <c r="E276" s="52"/>
      <c r="F276" s="52"/>
      <c r="G276" s="52"/>
      <c r="H276" s="53"/>
      <c r="J276" s="102"/>
      <c r="K276" s="91"/>
      <c r="L276" s="91"/>
      <c r="M276" s="91"/>
      <c r="N276" s="91"/>
      <c r="O276" s="91"/>
      <c r="P276" s="54"/>
      <c r="Q276" s="54"/>
      <c r="R276" s="54"/>
      <c r="S276" s="54"/>
      <c r="T276" s="54"/>
    </row>
    <row r="277" spans="2:20" ht="15.75">
      <c r="C277" s="52"/>
      <c r="D277" s="52"/>
      <c r="E277" s="52"/>
      <c r="F277" s="52"/>
      <c r="G277" s="52"/>
      <c r="H277" s="53"/>
      <c r="J277" s="102"/>
      <c r="K277" s="91"/>
      <c r="L277" s="91"/>
      <c r="M277" s="91"/>
      <c r="N277" s="91"/>
      <c r="O277" s="91"/>
      <c r="P277" s="54"/>
      <c r="Q277" s="54"/>
      <c r="R277" s="54"/>
      <c r="S277" s="54"/>
      <c r="T277" s="54"/>
    </row>
    <row r="278" spans="2:20" ht="15.75">
      <c r="B278" s="75" t="s">
        <v>274</v>
      </c>
      <c r="C278" s="52"/>
      <c r="D278" s="52"/>
      <c r="E278" s="52"/>
      <c r="F278" s="52"/>
      <c r="G278" s="52"/>
      <c r="H278" s="53"/>
      <c r="J278" s="102"/>
      <c r="K278" s="91"/>
      <c r="L278" s="91"/>
      <c r="M278" s="91"/>
      <c r="N278" s="91"/>
      <c r="O278" s="91"/>
      <c r="P278" s="54"/>
      <c r="Q278" s="54"/>
      <c r="R278" s="54"/>
      <c r="S278" s="54"/>
      <c r="T278" s="54"/>
    </row>
    <row r="279" spans="2:20" ht="15.75">
      <c r="B279" s="75" t="s">
        <v>275</v>
      </c>
      <c r="C279" s="52"/>
      <c r="D279" s="52"/>
      <c r="E279" s="52"/>
      <c r="F279" s="52"/>
      <c r="G279" s="52"/>
      <c r="H279" s="53"/>
      <c r="J279" s="102"/>
      <c r="K279" s="91"/>
      <c r="L279" s="91"/>
      <c r="M279" s="91"/>
      <c r="N279" s="91"/>
      <c r="O279" s="91"/>
      <c r="P279" s="54"/>
      <c r="Q279" s="54"/>
      <c r="R279" s="54"/>
      <c r="S279" s="54"/>
      <c r="T279" s="54"/>
    </row>
    <row r="280" spans="2:20" ht="15.75">
      <c r="B280" s="75"/>
      <c r="C280" s="21"/>
      <c r="D280" s="52"/>
      <c r="E280" s="52"/>
      <c r="F280" s="52"/>
      <c r="G280" s="52"/>
      <c r="H280" s="53"/>
      <c r="J280" s="101"/>
      <c r="K280" s="91"/>
      <c r="L280" s="91"/>
      <c r="M280" s="91"/>
      <c r="N280" s="91"/>
      <c r="O280" s="91"/>
      <c r="P280" s="54"/>
      <c r="Q280" s="54"/>
      <c r="R280" s="54"/>
      <c r="S280" s="54"/>
      <c r="T280" s="54"/>
    </row>
    <row r="281" spans="2:20" ht="15.75">
      <c r="B281" s="75" t="s">
        <v>276</v>
      </c>
      <c r="C281" s="21"/>
      <c r="D281" s="52"/>
      <c r="E281" s="52"/>
      <c r="F281" s="52"/>
      <c r="G281" s="52"/>
      <c r="H281" s="53"/>
      <c r="J281" s="101"/>
      <c r="K281" s="91"/>
      <c r="L281" s="91"/>
      <c r="M281" s="91"/>
      <c r="N281" s="91"/>
      <c r="O281" s="91"/>
      <c r="P281" s="54"/>
      <c r="Q281" s="54"/>
      <c r="R281" s="54"/>
      <c r="S281" s="54"/>
      <c r="T281" s="54"/>
    </row>
    <row r="282" spans="2:20" ht="15.75">
      <c r="B282" s="75" t="s">
        <v>277</v>
      </c>
      <c r="C282" s="21"/>
      <c r="D282" s="52"/>
      <c r="E282" s="52"/>
      <c r="F282" s="52"/>
      <c r="G282" s="52"/>
      <c r="H282" s="53"/>
      <c r="J282" s="101"/>
      <c r="K282" s="91"/>
      <c r="L282" s="91"/>
      <c r="M282" s="91"/>
      <c r="N282" s="91"/>
      <c r="O282" s="91"/>
      <c r="P282" s="54"/>
      <c r="Q282" s="54"/>
      <c r="R282" s="54"/>
      <c r="S282" s="54"/>
      <c r="T282" s="54"/>
    </row>
    <row r="283" spans="2:20" ht="15.75">
      <c r="B283" s="75" t="s">
        <v>278</v>
      </c>
      <c r="C283" s="21"/>
      <c r="D283" s="52"/>
      <c r="E283" s="52"/>
      <c r="F283" s="52"/>
      <c r="G283" s="52"/>
      <c r="H283" s="53"/>
      <c r="J283" s="101"/>
      <c r="K283" s="91"/>
      <c r="L283" s="91"/>
      <c r="M283" s="91"/>
      <c r="N283" s="91"/>
      <c r="O283" s="91"/>
      <c r="P283" s="54"/>
      <c r="Q283" s="54"/>
      <c r="R283" s="54"/>
      <c r="S283" s="54"/>
      <c r="T283" s="54"/>
    </row>
    <row r="284" spans="2:20" ht="15.75">
      <c r="B284" s="54"/>
      <c r="C284" s="21"/>
      <c r="D284" s="52"/>
      <c r="E284" s="52"/>
      <c r="F284" s="52"/>
      <c r="G284" s="52"/>
      <c r="H284" s="53"/>
      <c r="J284" s="103"/>
      <c r="K284" s="91"/>
      <c r="L284" s="91"/>
      <c r="M284" s="91"/>
      <c r="N284" s="91"/>
      <c r="O284" s="91"/>
      <c r="P284" s="54"/>
      <c r="Q284" s="54"/>
      <c r="R284" s="54"/>
      <c r="S284" s="54"/>
      <c r="T284" s="54"/>
    </row>
    <row r="285" spans="2:20" ht="15.75">
      <c r="B285" s="104" t="s">
        <v>279</v>
      </c>
      <c r="C285" s="52" t="s">
        <v>280</v>
      </c>
      <c r="D285" s="52"/>
      <c r="E285" s="52"/>
      <c r="F285" s="52"/>
      <c r="G285" s="52"/>
      <c r="H285" s="53"/>
      <c r="J285" s="103"/>
      <c r="K285" s="91"/>
      <c r="L285" s="91"/>
      <c r="M285" s="91"/>
      <c r="N285" s="91"/>
      <c r="O285" s="91"/>
      <c r="P285" s="54"/>
      <c r="Q285" s="54"/>
      <c r="R285" s="54"/>
      <c r="S285" s="54"/>
      <c r="T285" s="54"/>
    </row>
    <row r="286" spans="2:20" ht="15.75" outlineLevel="1">
      <c r="B286" s="104"/>
      <c r="C286" s="52" t="s">
        <v>281</v>
      </c>
      <c r="D286" s="52"/>
      <c r="E286" s="52"/>
      <c r="F286" s="52"/>
      <c r="G286" s="52"/>
      <c r="H286" s="53"/>
      <c r="J286" s="103"/>
      <c r="K286" s="91"/>
      <c r="L286" s="91"/>
      <c r="M286" s="91"/>
      <c r="N286" s="91"/>
      <c r="O286" s="91"/>
      <c r="P286" s="54"/>
      <c r="Q286" s="54"/>
      <c r="R286" s="54"/>
      <c r="S286" s="54"/>
      <c r="T286" s="54"/>
    </row>
    <row r="287" spans="2:20" ht="15.75" outlineLevel="1">
      <c r="B287" s="104"/>
      <c r="C287" s="52" t="s">
        <v>282</v>
      </c>
      <c r="D287" s="52"/>
      <c r="E287" s="52"/>
      <c r="F287" s="52"/>
      <c r="G287" s="52"/>
      <c r="H287" s="53"/>
      <c r="J287" s="103"/>
      <c r="K287" s="91"/>
      <c r="L287" s="91"/>
      <c r="M287" s="91"/>
      <c r="N287" s="91"/>
      <c r="O287" s="91"/>
      <c r="P287" s="54"/>
      <c r="Q287" s="54"/>
      <c r="R287" s="54"/>
      <c r="S287" s="54"/>
      <c r="T287" s="54"/>
    </row>
    <row r="288" spans="2:20" ht="15.75" outlineLevel="1">
      <c r="B288" s="104"/>
      <c r="C288" s="52" t="s">
        <v>283</v>
      </c>
      <c r="D288" s="52"/>
      <c r="E288" s="52"/>
      <c r="F288" s="52"/>
      <c r="G288" s="52"/>
      <c r="H288" s="53"/>
      <c r="J288" s="103"/>
      <c r="K288" s="91"/>
      <c r="L288" s="91"/>
      <c r="M288" s="91"/>
      <c r="N288" s="91"/>
      <c r="O288" s="91"/>
      <c r="P288" s="54"/>
      <c r="Q288" s="54"/>
      <c r="R288" s="54"/>
      <c r="S288" s="54"/>
      <c r="T288" s="54"/>
    </row>
    <row r="289" spans="2:20" ht="15.75" outlineLevel="1">
      <c r="B289" s="104"/>
      <c r="C289" s="52" t="s">
        <v>284</v>
      </c>
      <c r="D289" s="52"/>
      <c r="E289" s="52"/>
      <c r="F289" s="52"/>
      <c r="G289" s="52"/>
      <c r="H289" s="53"/>
      <c r="J289" s="103"/>
      <c r="K289" s="91"/>
      <c r="L289" s="91"/>
      <c r="M289" s="91"/>
      <c r="N289" s="91"/>
      <c r="O289" s="91"/>
      <c r="P289" s="54"/>
      <c r="Q289" s="54"/>
      <c r="R289" s="54"/>
      <c r="S289" s="54"/>
      <c r="T289" s="54"/>
    </row>
    <row r="290" spans="2:20" ht="15.75" outlineLevel="1">
      <c r="B290" s="104"/>
      <c r="C290" s="52" t="s">
        <v>285</v>
      </c>
      <c r="D290" s="52"/>
      <c r="E290" s="52"/>
      <c r="F290" s="52"/>
      <c r="G290" s="52"/>
      <c r="H290" s="53"/>
      <c r="J290" s="103"/>
      <c r="K290" s="91"/>
      <c r="L290" s="91"/>
      <c r="M290" s="91"/>
      <c r="N290" s="91"/>
      <c r="O290" s="91"/>
      <c r="P290" s="54"/>
      <c r="Q290" s="54"/>
      <c r="R290" s="54"/>
      <c r="S290" s="54"/>
      <c r="T290" s="54"/>
    </row>
    <row r="291" spans="2:20" ht="15.75" outlineLevel="1">
      <c r="B291" s="104"/>
      <c r="C291" s="52" t="s">
        <v>286</v>
      </c>
      <c r="D291" s="52"/>
      <c r="E291" s="52"/>
      <c r="F291" s="52"/>
      <c r="G291" s="52"/>
      <c r="H291" s="53"/>
      <c r="J291" s="103"/>
      <c r="K291" s="91"/>
      <c r="L291" s="91"/>
      <c r="M291" s="91"/>
      <c r="N291" s="91"/>
      <c r="O291" s="91"/>
      <c r="P291" s="54"/>
      <c r="Q291" s="54"/>
      <c r="R291" s="54"/>
      <c r="S291" s="54"/>
      <c r="T291" s="54"/>
    </row>
    <row r="292" spans="2:20" ht="15.75" outlineLevel="1">
      <c r="B292" s="104"/>
      <c r="C292" s="52" t="s">
        <v>287</v>
      </c>
      <c r="D292" s="52"/>
      <c r="E292" s="52"/>
      <c r="F292" s="52"/>
      <c r="G292" s="52"/>
      <c r="H292" s="53"/>
      <c r="J292" s="103"/>
      <c r="K292" s="91"/>
      <c r="L292" s="91"/>
      <c r="M292" s="91"/>
      <c r="N292" s="91"/>
      <c r="O292" s="91"/>
      <c r="P292" s="54"/>
      <c r="Q292" s="54"/>
      <c r="R292" s="54"/>
      <c r="S292" s="54"/>
      <c r="T292" s="54"/>
    </row>
    <row r="293" spans="2:20" ht="15.75" outlineLevel="1">
      <c r="B293" s="104"/>
      <c r="C293" s="52" t="s">
        <v>183</v>
      </c>
      <c r="D293" s="52"/>
      <c r="E293" s="52"/>
      <c r="F293" s="52"/>
      <c r="G293" s="52"/>
      <c r="H293" s="53"/>
      <c r="J293" s="103"/>
      <c r="K293" s="91"/>
      <c r="L293" s="91"/>
      <c r="M293" s="91"/>
      <c r="N293" s="91"/>
      <c r="O293" s="91"/>
      <c r="P293" s="54"/>
      <c r="Q293" s="54"/>
      <c r="R293" s="54"/>
      <c r="S293" s="54"/>
      <c r="T293" s="54"/>
    </row>
    <row r="294" spans="2:20" ht="15.75" outlineLevel="1">
      <c r="B294" s="104"/>
      <c r="C294" s="52" t="s">
        <v>288</v>
      </c>
      <c r="D294" s="52"/>
      <c r="E294" s="52"/>
      <c r="F294" s="52"/>
      <c r="G294" s="52"/>
      <c r="H294" s="53"/>
      <c r="J294" s="103"/>
      <c r="K294" s="91"/>
      <c r="L294" s="91"/>
      <c r="M294" s="91"/>
      <c r="N294" s="91"/>
      <c r="O294" s="91"/>
      <c r="P294" s="54"/>
      <c r="Q294" s="54"/>
      <c r="R294" s="54"/>
      <c r="S294" s="54"/>
      <c r="T294" s="54"/>
    </row>
    <row r="295" spans="2:20" ht="15.75" outlineLevel="1">
      <c r="B295" s="104"/>
      <c r="C295" s="52" t="s">
        <v>289</v>
      </c>
      <c r="D295" s="52"/>
      <c r="E295" s="52"/>
      <c r="F295" s="52"/>
      <c r="G295" s="52"/>
      <c r="H295" s="53"/>
      <c r="J295" s="103"/>
      <c r="K295" s="91"/>
      <c r="L295" s="91"/>
      <c r="M295" s="91"/>
      <c r="N295" s="91"/>
      <c r="O295" s="91"/>
      <c r="P295" s="54"/>
      <c r="Q295" s="54"/>
      <c r="R295" s="54"/>
      <c r="S295" s="54"/>
      <c r="T295" s="54"/>
    </row>
    <row r="296" spans="2:20" ht="15.75" outlineLevel="1">
      <c r="B296" s="104"/>
      <c r="C296" s="52" t="s">
        <v>290</v>
      </c>
      <c r="D296" s="52"/>
      <c r="E296" s="52"/>
      <c r="F296" s="52"/>
      <c r="G296" s="52"/>
      <c r="H296" s="53"/>
      <c r="J296" s="103"/>
      <c r="K296" s="91"/>
      <c r="L296" s="91"/>
      <c r="M296" s="91"/>
      <c r="N296" s="91"/>
      <c r="O296" s="91"/>
      <c r="P296" s="54"/>
      <c r="Q296" s="54"/>
      <c r="R296" s="54"/>
      <c r="S296" s="54"/>
      <c r="T296" s="54"/>
    </row>
    <row r="297" spans="2:20" ht="15.75">
      <c r="B297" s="54"/>
      <c r="C297" s="21"/>
      <c r="D297" s="52"/>
      <c r="E297" s="52"/>
      <c r="F297" s="52"/>
      <c r="G297" s="52"/>
      <c r="H297" s="53"/>
      <c r="J297" s="103"/>
      <c r="K297" s="91"/>
      <c r="L297" s="91"/>
      <c r="M297" s="91"/>
      <c r="N297" s="91"/>
      <c r="O297" s="91"/>
      <c r="P297" s="54"/>
      <c r="Q297" s="54"/>
      <c r="R297" s="54"/>
      <c r="S297" s="54"/>
      <c r="T297" s="54"/>
    </row>
    <row r="298" spans="2:20" ht="15.75">
      <c r="B298" s="21" t="s">
        <v>291</v>
      </c>
      <c r="C298" s="52"/>
      <c r="D298" s="52"/>
      <c r="E298" s="52"/>
      <c r="F298" s="52"/>
      <c r="G298" s="52"/>
      <c r="H298" s="53"/>
      <c r="J298" s="101"/>
      <c r="K298" s="91"/>
      <c r="L298" s="91"/>
      <c r="M298" s="91"/>
      <c r="N298" s="91"/>
      <c r="O298" s="91"/>
      <c r="P298" s="54"/>
      <c r="Q298" s="54"/>
      <c r="R298" s="54"/>
      <c r="S298" s="54"/>
      <c r="T298" s="54"/>
    </row>
    <row r="299" spans="2:20" ht="15.75">
      <c r="B299" s="75" t="s">
        <v>125</v>
      </c>
      <c r="C299" s="99"/>
      <c r="D299" s="52"/>
      <c r="E299" s="52"/>
      <c r="F299" s="52"/>
      <c r="G299" s="52"/>
      <c r="H299" s="53"/>
      <c r="J299" s="102"/>
      <c r="K299" s="91"/>
      <c r="L299" s="91"/>
      <c r="M299" s="91"/>
      <c r="N299" s="91"/>
      <c r="O299" s="91"/>
      <c r="P299" s="54"/>
      <c r="Q299" s="54"/>
      <c r="R299" s="54"/>
      <c r="S299" s="54"/>
      <c r="T299" s="54"/>
    </row>
    <row r="300" spans="2:20" ht="15" customHeight="1">
      <c r="B300" s="75"/>
      <c r="C300" s="99"/>
      <c r="D300" s="52"/>
      <c r="E300" s="52"/>
      <c r="F300" s="52"/>
      <c r="G300" s="52"/>
      <c r="H300" s="53"/>
      <c r="J300" s="102"/>
      <c r="K300" s="91"/>
      <c r="L300" s="91"/>
      <c r="M300" s="91"/>
      <c r="N300" s="91"/>
      <c r="O300" s="91"/>
      <c r="P300" s="54"/>
      <c r="Q300" s="54"/>
      <c r="R300" s="54"/>
      <c r="S300" s="54"/>
      <c r="T300" s="54"/>
    </row>
    <row r="301" spans="2:20" ht="15" customHeight="1">
      <c r="B301" s="75"/>
      <c r="C301" s="50" t="s">
        <v>292</v>
      </c>
      <c r="D301" s="52"/>
      <c r="E301" s="52"/>
      <c r="F301" s="52"/>
      <c r="G301" s="52"/>
      <c r="H301" s="53"/>
      <c r="J301" s="102"/>
      <c r="K301" s="91"/>
      <c r="L301" s="91"/>
      <c r="M301" s="91"/>
      <c r="N301" s="91"/>
      <c r="O301" s="91"/>
      <c r="P301" s="54"/>
      <c r="Q301" s="54"/>
      <c r="R301" s="54"/>
      <c r="S301" s="54"/>
      <c r="T301" s="54"/>
    </row>
    <row r="302" spans="2:20" ht="15" customHeight="1">
      <c r="B302" s="75"/>
      <c r="C302" s="50" t="s">
        <v>293</v>
      </c>
      <c r="D302" s="52"/>
      <c r="E302" s="52"/>
      <c r="F302" s="52"/>
      <c r="G302" s="52"/>
      <c r="H302" s="53"/>
      <c r="J302" s="102"/>
      <c r="K302" s="91"/>
      <c r="L302" s="91"/>
      <c r="M302" s="91"/>
      <c r="N302" s="91"/>
      <c r="O302" s="91"/>
      <c r="P302" s="54"/>
      <c r="Q302" s="54"/>
      <c r="R302" s="54"/>
      <c r="S302" s="54"/>
      <c r="T302" s="54"/>
    </row>
    <row r="303" spans="2:20" ht="15" customHeight="1">
      <c r="B303" s="75"/>
      <c r="C303" s="50" t="s">
        <v>294</v>
      </c>
      <c r="D303" s="52"/>
      <c r="E303" s="52"/>
      <c r="F303" s="52"/>
      <c r="G303" s="52"/>
      <c r="H303" s="53"/>
      <c r="J303" s="102"/>
      <c r="K303" s="91"/>
      <c r="L303" s="91"/>
      <c r="M303" s="91"/>
      <c r="N303" s="91"/>
      <c r="O303" s="91"/>
      <c r="P303" s="54"/>
      <c r="Q303" s="54"/>
      <c r="R303" s="54"/>
      <c r="S303" s="54"/>
      <c r="T303" s="54"/>
    </row>
    <row r="304" spans="2:20" ht="15" customHeight="1">
      <c r="B304" s="54"/>
      <c r="C304" s="54"/>
      <c r="D304" s="54"/>
      <c r="E304" s="54"/>
      <c r="F304" s="54"/>
      <c r="G304" s="54"/>
      <c r="H304" s="87"/>
      <c r="I304" s="92"/>
      <c r="J304" s="74" t="s">
        <v>60</v>
      </c>
      <c r="K304" s="91"/>
      <c r="L304" s="91"/>
      <c r="M304" s="91"/>
      <c r="N304" s="91"/>
      <c r="O304" s="91"/>
      <c r="P304" s="54"/>
      <c r="Q304" s="54"/>
      <c r="R304" s="54"/>
      <c r="S304" s="54"/>
      <c r="T304" s="54"/>
    </row>
    <row r="305" spans="2:20" ht="25.5" customHeight="1">
      <c r="B305" s="42" t="s">
        <v>9</v>
      </c>
      <c r="C305" s="42" t="s">
        <v>62</v>
      </c>
      <c r="D305" s="42" t="s">
        <v>11</v>
      </c>
      <c r="E305" s="42" t="s">
        <v>63</v>
      </c>
      <c r="F305" s="42" t="s">
        <v>13</v>
      </c>
      <c r="G305" s="42" t="s">
        <v>14</v>
      </c>
      <c r="H305" s="42" t="s">
        <v>15</v>
      </c>
      <c r="J305" s="1" t="s">
        <v>64</v>
      </c>
      <c r="K305" s="1" t="s">
        <v>133</v>
      </c>
      <c r="L305" s="1" t="s">
        <v>223</v>
      </c>
      <c r="M305" s="1" t="s">
        <v>295</v>
      </c>
      <c r="N305" s="1" t="s">
        <v>64</v>
      </c>
      <c r="O305" s="1" t="s">
        <v>133</v>
      </c>
      <c r="P305" s="1" t="s">
        <v>223</v>
      </c>
      <c r="Q305" s="1" t="s">
        <v>295</v>
      </c>
      <c r="R305" s="1" t="s">
        <v>135</v>
      </c>
      <c r="S305" s="54"/>
      <c r="T305" s="54"/>
    </row>
    <row r="306" spans="2:20" ht="15" customHeight="1">
      <c r="B306" s="52"/>
      <c r="C306" s="52"/>
      <c r="D306" s="52"/>
      <c r="E306" s="52"/>
      <c r="F306" s="52"/>
      <c r="G306" s="52"/>
      <c r="H306" s="53"/>
      <c r="J306" s="59"/>
      <c r="L306" s="54"/>
      <c r="M306" s="54"/>
      <c r="N306" s="91"/>
      <c r="O306" s="91"/>
      <c r="P306" s="54"/>
      <c r="Q306" s="54"/>
      <c r="R306" s="54"/>
      <c r="S306" s="54"/>
      <c r="T306" s="54"/>
    </row>
    <row r="307" spans="2:20" ht="23.25" customHeight="1">
      <c r="B307" s="68" t="s">
        <v>296</v>
      </c>
      <c r="C307" s="68">
        <v>5</v>
      </c>
      <c r="D307" s="76">
        <v>0</v>
      </c>
      <c r="E307" s="2" t="s">
        <v>66</v>
      </c>
      <c r="F307" s="3" t="s">
        <v>67</v>
      </c>
      <c r="G307" s="3" t="s">
        <v>68</v>
      </c>
      <c r="H307" s="47">
        <v>24139</v>
      </c>
      <c r="I307" s="111">
        <f>IF(ISBLANK(H307),0,IF(H307=Answers!H307,1,-1))</f>
        <v>1</v>
      </c>
      <c r="J307" s="78">
        <v>336368</v>
      </c>
      <c r="K307" s="88">
        <v>25.39</v>
      </c>
      <c r="L307" s="78" t="s">
        <v>227</v>
      </c>
      <c r="M307" s="78">
        <v>85</v>
      </c>
      <c r="N307" s="91" t="e">
        <f ca="1">INDEX($N$246:$N$267,MATCH(E307,$E$246:$E$267,0))</f>
        <v>#NAME?</v>
      </c>
      <c r="O307" s="91" t="e">
        <f ca="1">INDEX($O$246:$O$267,MATCH(E307,$E$246:$E$267,0))</f>
        <v>#NAME?</v>
      </c>
      <c r="P307" s="91" t="str">
        <f>INDEX($Q$246:$Q$267,MATCH($E307,$E$246:$E$267,0))</f>
        <v>Intellect</v>
      </c>
      <c r="Q307" s="91" t="e">
        <f ca="1">INDEX($R$246:$R$267,MATCH($E307,$E$246:$E$267,0))</f>
        <v>#NAME?</v>
      </c>
      <c r="R307" s="54" t="e">
        <f ca="1">INDEX($S$246:$S$267,MATCH($E307,$E$246:$E$267,0))</f>
        <v>#NAME?</v>
      </c>
      <c r="S307"/>
      <c r="T307"/>
    </row>
    <row r="308" spans="2:20" ht="15" customHeight="1">
      <c r="B308" s="52"/>
      <c r="C308" s="52"/>
      <c r="D308" s="52"/>
      <c r="E308" s="52"/>
      <c r="F308" s="77"/>
      <c r="G308" s="77"/>
      <c r="H308" s="85"/>
      <c r="J308" s="79"/>
      <c r="K308" s="90"/>
      <c r="L308" s="90"/>
      <c r="M308" s="90"/>
      <c r="N308" s="91"/>
      <c r="O308" s="91"/>
      <c r="P308" s="91"/>
      <c r="Q308" s="91"/>
      <c r="R308" s="54"/>
      <c r="S308"/>
      <c r="T308"/>
    </row>
    <row r="309" spans="2:20" ht="23.25">
      <c r="B309" s="68">
        <v>81</v>
      </c>
      <c r="C309" s="68">
        <f>C307</f>
        <v>5</v>
      </c>
      <c r="D309" s="76">
        <v>11</v>
      </c>
      <c r="E309" s="2">
        <v>1</v>
      </c>
      <c r="F309" s="3" t="s">
        <v>67</v>
      </c>
      <c r="G309" s="3" t="s">
        <v>71</v>
      </c>
      <c r="H309" s="47" t="e">
        <f>'L5 Calc'!R4</f>
        <v>#N/A</v>
      </c>
      <c r="I309" s="111" t="e">
        <f>IF(ISBLANK(H309),0,IF(H309=Answers!H309,1,-1))</f>
        <v>#N/A</v>
      </c>
      <c r="J309" s="78" t="s">
        <v>297</v>
      </c>
      <c r="K309" s="78" t="s">
        <v>297</v>
      </c>
      <c r="L309" s="78" t="s">
        <v>297</v>
      </c>
      <c r="M309" s="78" t="s">
        <v>297</v>
      </c>
      <c r="N309" s="91" t="e">
        <f ca="1">INDEX($N$246:$N$267,MATCH(E309,$E$246:$E$267,0))</f>
        <v>#NAME?</v>
      </c>
      <c r="O309" s="91" t="e">
        <f ca="1">INDEX($O$246:$O$267,MATCH(E309,$E$246:$E$267,0))</f>
        <v>#NAME?</v>
      </c>
      <c r="P309" s="91" t="str">
        <f t="shared" ref="P309:P328" si="67">INDEX($Q$246:$Q$267,MATCH($E309,$E$246:$E$267,0))</f>
        <v>Armor</v>
      </c>
      <c r="Q309" s="91" t="e">
        <f t="shared" ref="Q309:Q328" ca="1" si="68">INDEX($R$246:$R$267,MATCH($E309,$E$246:$E$267,0))</f>
        <v>#NAME?</v>
      </c>
      <c r="R309" s="54" t="e">
        <f t="shared" ref="R309:R328" ca="1" si="69">INDEX($S$246:$S$267,MATCH($E309,$E$246:$E$267,0))</f>
        <v>#NAME?</v>
      </c>
      <c r="S309"/>
      <c r="T309"/>
    </row>
    <row r="310" spans="2:20" ht="23.25">
      <c r="B310" s="68">
        <v>82</v>
      </c>
      <c r="C310" s="68">
        <f>C309</f>
        <v>5</v>
      </c>
      <c r="D310" s="76">
        <v>11</v>
      </c>
      <c r="E310" s="2">
        <v>2</v>
      </c>
      <c r="F310" s="3" t="s">
        <v>72</v>
      </c>
      <c r="G310" s="3" t="s">
        <v>73</v>
      </c>
      <c r="H310" s="47" t="e">
        <f>'L5 Calc'!R5</f>
        <v>#N/A</v>
      </c>
      <c r="I310" s="111" t="e">
        <f>IF(ISBLANK(H310),0,IF(H310=Answers!H310,1,-1))</f>
        <v>#N/A</v>
      </c>
      <c r="J310" s="78" t="s">
        <v>297</v>
      </c>
      <c r="K310" s="78" t="s">
        <v>297</v>
      </c>
      <c r="L310" s="78" t="s">
        <v>297</v>
      </c>
      <c r="M310" s="78" t="s">
        <v>297</v>
      </c>
      <c r="N310" s="91" t="e">
        <f t="shared" ref="N310:N328" ca="1" si="70">INDEX($N$246:$N$267,MATCH(E310,$E$246:$E$267,0))</f>
        <v>#NAME?</v>
      </c>
      <c r="O310" s="91" t="e">
        <f t="shared" ref="O310:O328" ca="1" si="71">INDEX($O$246:$O$267,MATCH(E310,$E$246:$E$267,0))</f>
        <v>#NAME?</v>
      </c>
      <c r="P310" s="91" t="str">
        <f t="shared" si="67"/>
        <v>Intellect</v>
      </c>
      <c r="Q310" s="91" t="e">
        <f t="shared" ca="1" si="68"/>
        <v>#NAME?</v>
      </c>
      <c r="R310" s="54" t="e">
        <f t="shared" ca="1" si="69"/>
        <v>#NAME?</v>
      </c>
      <c r="S310"/>
      <c r="T310"/>
    </row>
    <row r="311" spans="2:20" ht="23.25">
      <c r="B311" s="68">
        <v>83</v>
      </c>
      <c r="C311" s="68">
        <f t="shared" ref="C311:C328" si="72">C310</f>
        <v>5</v>
      </c>
      <c r="D311" s="76">
        <v>11</v>
      </c>
      <c r="E311" s="2">
        <v>3</v>
      </c>
      <c r="F311" s="3" t="s">
        <v>74</v>
      </c>
      <c r="G311" s="3" t="s">
        <v>68</v>
      </c>
      <c r="H311" s="47" t="e">
        <f>'L5 Calc'!R6</f>
        <v>#N/A</v>
      </c>
      <c r="I311" s="111" t="e">
        <f>IF(ISBLANK(H311),0,IF(H311=Answers!H311,1,-1))</f>
        <v>#N/A</v>
      </c>
      <c r="J311" s="78" t="s">
        <v>297</v>
      </c>
      <c r="K311" s="78" t="s">
        <v>297</v>
      </c>
      <c r="L311" s="78" t="s">
        <v>297</v>
      </c>
      <c r="M311" s="78" t="s">
        <v>297</v>
      </c>
      <c r="N311" s="91" t="e">
        <f t="shared" ca="1" si="70"/>
        <v>#NAME?</v>
      </c>
      <c r="O311" s="91" t="e">
        <f t="shared" ca="1" si="71"/>
        <v>#NAME?</v>
      </c>
      <c r="P311" s="91" t="str">
        <f t="shared" si="67"/>
        <v>Intellect</v>
      </c>
      <c r="Q311" s="91" t="e">
        <f t="shared" ca="1" si="68"/>
        <v>#NAME?</v>
      </c>
      <c r="R311" s="54" t="e">
        <f t="shared" ca="1" si="69"/>
        <v>#NAME?</v>
      </c>
      <c r="S311"/>
      <c r="T311"/>
    </row>
    <row r="312" spans="2:20" ht="23.25">
      <c r="B312" s="68">
        <v>84</v>
      </c>
      <c r="C312" s="68">
        <f t="shared" si="72"/>
        <v>5</v>
      </c>
      <c r="D312" s="76">
        <v>11</v>
      </c>
      <c r="E312" s="2">
        <v>4</v>
      </c>
      <c r="F312" s="3" t="s">
        <v>75</v>
      </c>
      <c r="G312" s="3" t="s">
        <v>71</v>
      </c>
      <c r="H312" s="47" t="e">
        <f>'L5 Calc'!R7</f>
        <v>#N/A</v>
      </c>
      <c r="I312" s="111" t="e">
        <f>IF(ISBLANK(H312),0,IF(H312=Answers!H312,1,-1))</f>
        <v>#N/A</v>
      </c>
      <c r="J312" s="78" t="s">
        <v>297</v>
      </c>
      <c r="K312" s="78" t="s">
        <v>297</v>
      </c>
      <c r="L312" s="78" t="s">
        <v>297</v>
      </c>
      <c r="M312" s="78" t="s">
        <v>297</v>
      </c>
      <c r="N312" s="91" t="e">
        <f t="shared" ca="1" si="70"/>
        <v>#NAME?</v>
      </c>
      <c r="O312" s="91" t="e">
        <f t="shared" ca="1" si="71"/>
        <v>#NAME?</v>
      </c>
      <c r="P312" s="91" t="str">
        <f t="shared" si="67"/>
        <v>Armor</v>
      </c>
      <c r="Q312" s="91" t="e">
        <f t="shared" ca="1" si="68"/>
        <v>#NAME?</v>
      </c>
      <c r="R312" s="54" t="e">
        <f t="shared" ca="1" si="69"/>
        <v>#NAME?</v>
      </c>
      <c r="S312"/>
      <c r="T312"/>
    </row>
    <row r="313" spans="2:20" ht="23.25">
      <c r="B313" s="68">
        <v>85</v>
      </c>
      <c r="C313" s="68">
        <f t="shared" si="72"/>
        <v>5</v>
      </c>
      <c r="D313" s="76">
        <v>11</v>
      </c>
      <c r="E313" s="2">
        <v>5</v>
      </c>
      <c r="F313" s="3" t="s">
        <v>75</v>
      </c>
      <c r="G313" s="3" t="s">
        <v>76</v>
      </c>
      <c r="H313" s="47" t="e">
        <f>'L5 Calc'!R8</f>
        <v>#N/A</v>
      </c>
      <c r="I313" s="111" t="e">
        <f>IF(ISBLANK(H313),0,IF(H313=Answers!H313,1,-1))</f>
        <v>#N/A</v>
      </c>
      <c r="J313" s="78" t="s">
        <v>297</v>
      </c>
      <c r="K313" s="78" t="s">
        <v>297</v>
      </c>
      <c r="L313" s="78" t="s">
        <v>297</v>
      </c>
      <c r="M313" s="78" t="s">
        <v>297</v>
      </c>
      <c r="N313" s="91" t="e">
        <f t="shared" ca="1" si="70"/>
        <v>#NAME?</v>
      </c>
      <c r="O313" s="91" t="e">
        <f t="shared" ca="1" si="71"/>
        <v>#NAME?</v>
      </c>
      <c r="P313" s="91" t="str">
        <f t="shared" si="67"/>
        <v>Agility</v>
      </c>
      <c r="Q313" s="91" t="e">
        <f t="shared" ca="1" si="68"/>
        <v>#NAME?</v>
      </c>
      <c r="R313" s="54" t="e">
        <f t="shared" ca="1" si="69"/>
        <v>#NAME?</v>
      </c>
      <c r="S313"/>
      <c r="T313"/>
    </row>
    <row r="314" spans="2:20" ht="23.25">
      <c r="B314" s="68">
        <v>86</v>
      </c>
      <c r="C314" s="68">
        <f t="shared" si="72"/>
        <v>5</v>
      </c>
      <c r="D314" s="76">
        <v>11</v>
      </c>
      <c r="E314" s="2">
        <v>6</v>
      </c>
      <c r="F314" s="3" t="s">
        <v>74</v>
      </c>
      <c r="G314" s="3" t="s">
        <v>73</v>
      </c>
      <c r="H314" s="47" t="e">
        <f>'L5 Calc'!R9</f>
        <v>#N/A</v>
      </c>
      <c r="I314" s="111" t="e">
        <f>IF(ISBLANK(H314),0,IF(H314=Answers!H314,1,-1))</f>
        <v>#N/A</v>
      </c>
      <c r="J314" s="78" t="s">
        <v>297</v>
      </c>
      <c r="K314" s="78" t="s">
        <v>297</v>
      </c>
      <c r="L314" s="78" t="s">
        <v>297</v>
      </c>
      <c r="M314" s="78" t="s">
        <v>297</v>
      </c>
      <c r="N314" s="91" t="e">
        <f t="shared" ca="1" si="70"/>
        <v>#NAME?</v>
      </c>
      <c r="O314" s="91" t="e">
        <f t="shared" ca="1" si="71"/>
        <v>#NAME?</v>
      </c>
      <c r="P314" s="91" t="str">
        <f t="shared" si="67"/>
        <v>Intellect</v>
      </c>
      <c r="Q314" s="91" t="e">
        <f t="shared" ca="1" si="68"/>
        <v>#NAME?</v>
      </c>
      <c r="R314" s="54" t="e">
        <f t="shared" ca="1" si="69"/>
        <v>#NAME?</v>
      </c>
      <c r="S314"/>
      <c r="T314"/>
    </row>
    <row r="315" spans="2:20" ht="23.25">
      <c r="B315" s="68">
        <v>87</v>
      </c>
      <c r="C315" s="68">
        <f t="shared" si="72"/>
        <v>5</v>
      </c>
      <c r="D315" s="76">
        <v>11</v>
      </c>
      <c r="E315" s="2">
        <v>7</v>
      </c>
      <c r="F315" s="3" t="s">
        <v>72</v>
      </c>
      <c r="G315" s="3" t="s">
        <v>76</v>
      </c>
      <c r="H315" s="47" t="e">
        <f>'L5 Calc'!R10</f>
        <v>#N/A</v>
      </c>
      <c r="I315" s="111" t="e">
        <f>IF(ISBLANK(H315),0,IF(H315=Answers!H315,1,-1))</f>
        <v>#N/A</v>
      </c>
      <c r="J315" s="78" t="s">
        <v>297</v>
      </c>
      <c r="K315" s="78" t="s">
        <v>297</v>
      </c>
      <c r="L315" s="78" t="s">
        <v>297</v>
      </c>
      <c r="M315" s="78" t="s">
        <v>297</v>
      </c>
      <c r="N315" s="91" t="e">
        <f t="shared" ca="1" si="70"/>
        <v>#NAME?</v>
      </c>
      <c r="O315" s="91" t="e">
        <f t="shared" ca="1" si="71"/>
        <v>#NAME?</v>
      </c>
      <c r="P315" s="91" t="str">
        <f t="shared" si="67"/>
        <v>Agility</v>
      </c>
      <c r="Q315" s="91" t="e">
        <f t="shared" ca="1" si="68"/>
        <v>#NAME?</v>
      </c>
      <c r="R315" s="54" t="e">
        <f t="shared" ca="1" si="69"/>
        <v>#NAME?</v>
      </c>
      <c r="S315"/>
      <c r="T315"/>
    </row>
    <row r="316" spans="2:20" ht="23.25">
      <c r="B316" s="68">
        <v>88</v>
      </c>
      <c r="C316" s="68">
        <f t="shared" si="72"/>
        <v>5</v>
      </c>
      <c r="D316" s="76">
        <v>11</v>
      </c>
      <c r="E316" s="2">
        <v>8</v>
      </c>
      <c r="F316" s="3" t="s">
        <v>67</v>
      </c>
      <c r="G316" s="3" t="s">
        <v>77</v>
      </c>
      <c r="H316" s="47" t="e">
        <f>'L5 Calc'!R11</f>
        <v>#N/A</v>
      </c>
      <c r="I316" s="111" t="e">
        <f>IF(ISBLANK(H316),0,IF(H316=Answers!H316,1,-1))</f>
        <v>#N/A</v>
      </c>
      <c r="J316" s="78" t="s">
        <v>297</v>
      </c>
      <c r="K316" s="78" t="s">
        <v>297</v>
      </c>
      <c r="L316" s="78" t="s">
        <v>297</v>
      </c>
      <c r="M316" s="78" t="s">
        <v>297</v>
      </c>
      <c r="N316" s="91" t="e">
        <f t="shared" ca="1" si="70"/>
        <v>#NAME?</v>
      </c>
      <c r="O316" s="91" t="e">
        <f t="shared" ca="1" si="71"/>
        <v>#NAME?</v>
      </c>
      <c r="P316" s="91" t="str">
        <f t="shared" si="67"/>
        <v>Agility</v>
      </c>
      <c r="Q316" s="91" t="e">
        <f t="shared" ca="1" si="68"/>
        <v>#NAME?</v>
      </c>
      <c r="R316" s="54" t="e">
        <f t="shared" ca="1" si="69"/>
        <v>#NAME?</v>
      </c>
      <c r="S316"/>
      <c r="T316"/>
    </row>
    <row r="317" spans="2:20" ht="23.25">
      <c r="B317" s="68">
        <v>89</v>
      </c>
      <c r="C317" s="68">
        <f t="shared" si="72"/>
        <v>5</v>
      </c>
      <c r="D317" s="76">
        <v>11</v>
      </c>
      <c r="E317" s="2">
        <v>9</v>
      </c>
      <c r="F317" s="3" t="s">
        <v>67</v>
      </c>
      <c r="G317" s="3" t="s">
        <v>78</v>
      </c>
      <c r="H317" s="47" t="e">
        <f>'L5 Calc'!R12</f>
        <v>#N/A</v>
      </c>
      <c r="I317" s="111" t="e">
        <f>IF(ISBLANK(H317),0,IF(H317=Answers!H317,1,-1))</f>
        <v>#N/A</v>
      </c>
      <c r="J317" s="78" t="s">
        <v>297</v>
      </c>
      <c r="K317" s="78" t="s">
        <v>297</v>
      </c>
      <c r="L317" s="78" t="s">
        <v>297</v>
      </c>
      <c r="M317" s="78" t="s">
        <v>297</v>
      </c>
      <c r="N317" s="91" t="e">
        <f t="shared" ca="1" si="70"/>
        <v>#NAME?</v>
      </c>
      <c r="O317" s="91" t="e">
        <f t="shared" ca="1" si="71"/>
        <v>#NAME?</v>
      </c>
      <c r="P317" s="91" t="str">
        <f t="shared" si="67"/>
        <v>Strength</v>
      </c>
      <c r="Q317" s="91" t="e">
        <f t="shared" ca="1" si="68"/>
        <v>#NAME?</v>
      </c>
      <c r="R317" s="54" t="e">
        <f t="shared" ca="1" si="69"/>
        <v>#NAME?</v>
      </c>
      <c r="S317"/>
      <c r="T317"/>
    </row>
    <row r="318" spans="2:20" ht="23.25">
      <c r="B318" s="68">
        <v>90</v>
      </c>
      <c r="C318" s="68">
        <f t="shared" si="72"/>
        <v>5</v>
      </c>
      <c r="D318" s="76">
        <v>11</v>
      </c>
      <c r="E318" s="2">
        <v>10</v>
      </c>
      <c r="F318" s="3" t="s">
        <v>74</v>
      </c>
      <c r="G318" s="3" t="s">
        <v>79</v>
      </c>
      <c r="H318" s="47" t="e">
        <f>'L5 Calc'!R13</f>
        <v>#N/A</v>
      </c>
      <c r="I318" s="111" t="e">
        <f>IF(ISBLANK(H318),0,IF(H318=Answers!H318,1,-1))</f>
        <v>#N/A</v>
      </c>
      <c r="J318" s="78" t="s">
        <v>297</v>
      </c>
      <c r="K318" s="78" t="s">
        <v>297</v>
      </c>
      <c r="L318" s="78" t="s">
        <v>297</v>
      </c>
      <c r="M318" s="78" t="s">
        <v>297</v>
      </c>
      <c r="N318" s="91" t="e">
        <f t="shared" ca="1" si="70"/>
        <v>#NAME?</v>
      </c>
      <c r="O318" s="91" t="e">
        <f t="shared" ca="1" si="71"/>
        <v>#NAME?</v>
      </c>
      <c r="P318" s="91" t="str">
        <f t="shared" si="67"/>
        <v>Intellect</v>
      </c>
      <c r="Q318" s="91" t="e">
        <f t="shared" ca="1" si="68"/>
        <v>#NAME?</v>
      </c>
      <c r="R318" s="54" t="e">
        <f t="shared" ca="1" si="69"/>
        <v>#NAME?</v>
      </c>
      <c r="S318"/>
      <c r="T318"/>
    </row>
    <row r="319" spans="2:20" ht="23.25">
      <c r="B319" s="68">
        <v>91</v>
      </c>
      <c r="C319" s="68">
        <f t="shared" si="72"/>
        <v>5</v>
      </c>
      <c r="D319" s="76">
        <v>11</v>
      </c>
      <c r="E319" s="2">
        <v>11</v>
      </c>
      <c r="F319" s="3" t="s">
        <v>67</v>
      </c>
      <c r="G319" s="3" t="s">
        <v>68</v>
      </c>
      <c r="H319" s="47" t="e">
        <f>'L5 Calc'!R14</f>
        <v>#N/A</v>
      </c>
      <c r="I319" s="111" t="e">
        <f>IF(ISBLANK(H319),0,IF(H319=Answers!H319,1,-1))</f>
        <v>#N/A</v>
      </c>
      <c r="J319" s="78" t="s">
        <v>297</v>
      </c>
      <c r="K319" s="78" t="s">
        <v>297</v>
      </c>
      <c r="L319" s="78" t="s">
        <v>297</v>
      </c>
      <c r="M319" s="78" t="s">
        <v>297</v>
      </c>
      <c r="N319" s="91" t="e">
        <f t="shared" ca="1" si="70"/>
        <v>#NAME?</v>
      </c>
      <c r="O319" s="91" t="e">
        <f t="shared" ca="1" si="71"/>
        <v>#NAME?</v>
      </c>
      <c r="P319" s="91" t="str">
        <f t="shared" si="67"/>
        <v>Intellect</v>
      </c>
      <c r="Q319" s="91" t="e">
        <f t="shared" ca="1" si="68"/>
        <v>#NAME?</v>
      </c>
      <c r="R319" s="54" t="e">
        <f t="shared" ca="1" si="69"/>
        <v>#NAME?</v>
      </c>
      <c r="S319"/>
      <c r="T319"/>
    </row>
    <row r="320" spans="2:20" ht="23.25">
      <c r="B320" s="68">
        <v>92</v>
      </c>
      <c r="C320" s="68">
        <f t="shared" si="72"/>
        <v>5</v>
      </c>
      <c r="D320" s="76">
        <v>11</v>
      </c>
      <c r="E320" s="2">
        <v>12</v>
      </c>
      <c r="F320" s="3" t="s">
        <v>72</v>
      </c>
      <c r="G320" s="3" t="s">
        <v>71</v>
      </c>
      <c r="H320" s="47" t="e">
        <f>'L5 Calc'!R15</f>
        <v>#N/A</v>
      </c>
      <c r="I320" s="111" t="e">
        <f>IF(ISBLANK(H320),0,IF(H320=Answers!H320,1,-1))</f>
        <v>#N/A</v>
      </c>
      <c r="J320" s="78" t="s">
        <v>297</v>
      </c>
      <c r="K320" s="78" t="s">
        <v>297</v>
      </c>
      <c r="L320" s="78" t="s">
        <v>297</v>
      </c>
      <c r="M320" s="78" t="s">
        <v>297</v>
      </c>
      <c r="N320" s="91" t="e">
        <f t="shared" ca="1" si="70"/>
        <v>#NAME?</v>
      </c>
      <c r="O320" s="91" t="e">
        <f t="shared" ca="1" si="71"/>
        <v>#NAME?</v>
      </c>
      <c r="P320" s="91" t="str">
        <f t="shared" si="67"/>
        <v>Armor</v>
      </c>
      <c r="Q320" s="91" t="e">
        <f t="shared" ca="1" si="68"/>
        <v>#NAME?</v>
      </c>
      <c r="R320" s="54" t="e">
        <f t="shared" ca="1" si="69"/>
        <v>#NAME?</v>
      </c>
      <c r="S320"/>
      <c r="T320"/>
    </row>
    <row r="321" spans="2:20" ht="23.25">
      <c r="B321" s="68">
        <v>93</v>
      </c>
      <c r="C321" s="68">
        <f t="shared" si="72"/>
        <v>5</v>
      </c>
      <c r="D321" s="76">
        <v>11</v>
      </c>
      <c r="E321" s="2">
        <v>13</v>
      </c>
      <c r="F321" s="3" t="s">
        <v>74</v>
      </c>
      <c r="G321" s="3" t="s">
        <v>77</v>
      </c>
      <c r="H321" s="47" t="e">
        <f>'L5 Calc'!R16</f>
        <v>#N/A</v>
      </c>
      <c r="I321" s="111" t="e">
        <f>IF(ISBLANK(H321),0,IF(H321=Answers!H321,1,-1))</f>
        <v>#N/A</v>
      </c>
      <c r="J321" s="78" t="s">
        <v>297</v>
      </c>
      <c r="K321" s="78" t="s">
        <v>297</v>
      </c>
      <c r="L321" s="78" t="s">
        <v>297</v>
      </c>
      <c r="M321" s="78" t="s">
        <v>297</v>
      </c>
      <c r="N321" s="91" t="e">
        <f t="shared" ca="1" si="70"/>
        <v>#NAME?</v>
      </c>
      <c r="O321" s="91" t="e">
        <f t="shared" ca="1" si="71"/>
        <v>#NAME?</v>
      </c>
      <c r="P321" s="91" t="str">
        <f t="shared" si="67"/>
        <v>Agility</v>
      </c>
      <c r="Q321" s="91" t="e">
        <f t="shared" ca="1" si="68"/>
        <v>#NAME?</v>
      </c>
      <c r="R321" s="54" t="e">
        <f t="shared" ca="1" si="69"/>
        <v>#NAME?</v>
      </c>
      <c r="S321"/>
      <c r="T321"/>
    </row>
    <row r="322" spans="2:20" ht="23.25">
      <c r="B322" s="68">
        <v>94</v>
      </c>
      <c r="C322" s="68">
        <f t="shared" si="72"/>
        <v>5</v>
      </c>
      <c r="D322" s="76">
        <v>11</v>
      </c>
      <c r="E322" s="2">
        <v>14</v>
      </c>
      <c r="F322" s="3" t="s">
        <v>72</v>
      </c>
      <c r="G322" s="3" t="s">
        <v>79</v>
      </c>
      <c r="H322" s="47" t="e">
        <f>'L5 Calc'!R17</f>
        <v>#N/A</v>
      </c>
      <c r="I322" s="111" t="e">
        <f>IF(ISBLANK(H322),0,IF(H322=Answers!H322,1,-1))</f>
        <v>#N/A</v>
      </c>
      <c r="J322" s="78" t="s">
        <v>297</v>
      </c>
      <c r="K322" s="78" t="s">
        <v>297</v>
      </c>
      <c r="L322" s="78" t="s">
        <v>297</v>
      </c>
      <c r="M322" s="78" t="s">
        <v>297</v>
      </c>
      <c r="N322" s="91" t="e">
        <f t="shared" ca="1" si="70"/>
        <v>#NAME?</v>
      </c>
      <c r="O322" s="91" t="e">
        <f t="shared" ca="1" si="71"/>
        <v>#NAME?</v>
      </c>
      <c r="P322" s="91" t="str">
        <f t="shared" si="67"/>
        <v>Intellect</v>
      </c>
      <c r="Q322" s="91" t="e">
        <f t="shared" ca="1" si="68"/>
        <v>#NAME?</v>
      </c>
      <c r="R322" s="54" t="e">
        <f t="shared" ca="1" si="69"/>
        <v>#NAME?</v>
      </c>
      <c r="S322"/>
      <c r="T322"/>
    </row>
    <row r="323" spans="2:20" ht="23.25">
      <c r="B323" s="68">
        <v>95</v>
      </c>
      <c r="C323" s="68">
        <f t="shared" si="72"/>
        <v>5</v>
      </c>
      <c r="D323" s="76">
        <v>11</v>
      </c>
      <c r="E323" s="2">
        <v>15</v>
      </c>
      <c r="F323" s="3" t="s">
        <v>75</v>
      </c>
      <c r="G323" s="3" t="s">
        <v>78</v>
      </c>
      <c r="H323" s="47" t="e">
        <f>'L5 Calc'!R18</f>
        <v>#N/A</v>
      </c>
      <c r="I323" s="111" t="e">
        <f>IF(ISBLANK(H323),0,IF(H323=Answers!H323,1,-1))</f>
        <v>#N/A</v>
      </c>
      <c r="J323" s="78" t="s">
        <v>297</v>
      </c>
      <c r="K323" s="78" t="s">
        <v>297</v>
      </c>
      <c r="L323" s="78" t="s">
        <v>297</v>
      </c>
      <c r="M323" s="78" t="s">
        <v>297</v>
      </c>
      <c r="N323" s="91" t="e">
        <f t="shared" ca="1" si="70"/>
        <v>#NAME?</v>
      </c>
      <c r="O323" s="91" t="e">
        <f t="shared" ca="1" si="71"/>
        <v>#NAME?</v>
      </c>
      <c r="P323" s="91" t="str">
        <f t="shared" si="67"/>
        <v>Strength</v>
      </c>
      <c r="Q323" s="91" t="e">
        <f t="shared" ca="1" si="68"/>
        <v>#NAME?</v>
      </c>
      <c r="R323" s="54" t="e">
        <f t="shared" ca="1" si="69"/>
        <v>#NAME?</v>
      </c>
      <c r="S323"/>
      <c r="T323"/>
    </row>
    <row r="324" spans="2:20" ht="23.25">
      <c r="B324" s="68">
        <v>96</v>
      </c>
      <c r="C324" s="68">
        <f t="shared" si="72"/>
        <v>5</v>
      </c>
      <c r="D324" s="76">
        <v>11</v>
      </c>
      <c r="E324" s="2">
        <v>16</v>
      </c>
      <c r="F324" s="3" t="s">
        <v>72</v>
      </c>
      <c r="G324" s="3" t="s">
        <v>78</v>
      </c>
      <c r="H324" s="47" t="e">
        <f>'L5 Calc'!R19</f>
        <v>#N/A</v>
      </c>
      <c r="I324" s="111" t="e">
        <f>IF(ISBLANK(H324),0,IF(H324=Answers!H324,1,-1))</f>
        <v>#N/A</v>
      </c>
      <c r="J324" s="78" t="s">
        <v>297</v>
      </c>
      <c r="K324" s="78" t="s">
        <v>297</v>
      </c>
      <c r="L324" s="78" t="s">
        <v>297</v>
      </c>
      <c r="M324" s="78" t="s">
        <v>297</v>
      </c>
      <c r="N324" s="91" t="e">
        <f t="shared" ca="1" si="70"/>
        <v>#NAME?</v>
      </c>
      <c r="O324" s="91" t="e">
        <f t="shared" ca="1" si="71"/>
        <v>#NAME?</v>
      </c>
      <c r="P324" s="91" t="str">
        <f t="shared" si="67"/>
        <v>Strength</v>
      </c>
      <c r="Q324" s="91" t="e">
        <f t="shared" ca="1" si="68"/>
        <v>#NAME?</v>
      </c>
      <c r="R324" s="54" t="e">
        <f t="shared" ca="1" si="69"/>
        <v>#NAME?</v>
      </c>
      <c r="S324"/>
      <c r="T324"/>
    </row>
    <row r="325" spans="2:20" ht="23.25">
      <c r="B325" s="68">
        <v>97</v>
      </c>
      <c r="C325" s="68">
        <f t="shared" si="72"/>
        <v>5</v>
      </c>
      <c r="D325" s="76">
        <v>11</v>
      </c>
      <c r="E325" s="2">
        <v>17</v>
      </c>
      <c r="F325" s="3" t="s">
        <v>74</v>
      </c>
      <c r="G325" s="3" t="s">
        <v>77</v>
      </c>
      <c r="H325" s="47" t="e">
        <f>'L5 Calc'!R20</f>
        <v>#N/A</v>
      </c>
      <c r="I325" s="111" t="e">
        <f>IF(ISBLANK(H325),0,IF(H325=Answers!H325,1,-1))</f>
        <v>#N/A</v>
      </c>
      <c r="J325" s="78" t="s">
        <v>297</v>
      </c>
      <c r="K325" s="78" t="s">
        <v>297</v>
      </c>
      <c r="L325" s="78" t="s">
        <v>297</v>
      </c>
      <c r="M325" s="78" t="s">
        <v>297</v>
      </c>
      <c r="N325" s="91" t="e">
        <f t="shared" ca="1" si="70"/>
        <v>#NAME?</v>
      </c>
      <c r="O325" s="91" t="e">
        <f t="shared" ca="1" si="71"/>
        <v>#NAME?</v>
      </c>
      <c r="P325" s="91" t="str">
        <f t="shared" si="67"/>
        <v>Agility</v>
      </c>
      <c r="Q325" s="91" t="e">
        <f t="shared" ca="1" si="68"/>
        <v>#NAME?</v>
      </c>
      <c r="R325" s="54" t="e">
        <f t="shared" ca="1" si="69"/>
        <v>#NAME?</v>
      </c>
      <c r="S325"/>
      <c r="T325"/>
    </row>
    <row r="326" spans="2:20" ht="23.25">
      <c r="B326" s="68">
        <v>98</v>
      </c>
      <c r="C326" s="68">
        <f t="shared" si="72"/>
        <v>5</v>
      </c>
      <c r="D326" s="76">
        <v>11</v>
      </c>
      <c r="E326" s="2">
        <v>18</v>
      </c>
      <c r="F326" s="3" t="s">
        <v>72</v>
      </c>
      <c r="G326" s="3" t="s">
        <v>73</v>
      </c>
      <c r="H326" s="47" t="e">
        <f>'L5 Calc'!R21</f>
        <v>#N/A</v>
      </c>
      <c r="I326" s="111" t="e">
        <f>IF(ISBLANK(H326),0,IF(H326=Answers!H326,1,-1))</f>
        <v>#N/A</v>
      </c>
      <c r="J326" s="78" t="s">
        <v>297</v>
      </c>
      <c r="K326" s="78" t="s">
        <v>297</v>
      </c>
      <c r="L326" s="78" t="s">
        <v>297</v>
      </c>
      <c r="M326" s="78" t="s">
        <v>297</v>
      </c>
      <c r="N326" s="91" t="e">
        <f t="shared" ca="1" si="70"/>
        <v>#NAME?</v>
      </c>
      <c r="O326" s="91" t="e">
        <f t="shared" ca="1" si="71"/>
        <v>#NAME?</v>
      </c>
      <c r="P326" s="91" t="str">
        <f t="shared" si="67"/>
        <v>Intellect</v>
      </c>
      <c r="Q326" s="91" t="e">
        <f t="shared" ca="1" si="68"/>
        <v>#NAME?</v>
      </c>
      <c r="R326" s="54" t="e">
        <f t="shared" ca="1" si="69"/>
        <v>#NAME?</v>
      </c>
      <c r="S326"/>
      <c r="T326"/>
    </row>
    <row r="327" spans="2:20" ht="23.25">
      <c r="B327" s="68">
        <v>99</v>
      </c>
      <c r="C327" s="68">
        <f t="shared" si="72"/>
        <v>5</v>
      </c>
      <c r="D327" s="76">
        <v>11</v>
      </c>
      <c r="E327" s="2">
        <v>19</v>
      </c>
      <c r="F327" s="3" t="s">
        <v>72</v>
      </c>
      <c r="G327" s="3" t="s">
        <v>73</v>
      </c>
      <c r="H327" s="47" t="e">
        <f>'L5 Calc'!R22</f>
        <v>#N/A</v>
      </c>
      <c r="I327" s="111" t="e">
        <f>IF(ISBLANK(H327),0,IF(H327=Answers!H327,1,-1))</f>
        <v>#N/A</v>
      </c>
      <c r="J327" s="78" t="s">
        <v>297</v>
      </c>
      <c r="K327" s="78" t="s">
        <v>297</v>
      </c>
      <c r="L327" s="78" t="s">
        <v>297</v>
      </c>
      <c r="M327" s="78" t="s">
        <v>297</v>
      </c>
      <c r="N327" s="91" t="e">
        <f t="shared" ca="1" si="70"/>
        <v>#NAME?</v>
      </c>
      <c r="O327" s="91" t="e">
        <f t="shared" ca="1" si="71"/>
        <v>#NAME?</v>
      </c>
      <c r="P327" s="91" t="str">
        <f t="shared" si="67"/>
        <v>Intellect</v>
      </c>
      <c r="Q327" s="91" t="e">
        <f t="shared" ca="1" si="68"/>
        <v>#NAME?</v>
      </c>
      <c r="R327" s="54" t="e">
        <f t="shared" ca="1" si="69"/>
        <v>#NAME?</v>
      </c>
      <c r="S327"/>
      <c r="T327"/>
    </row>
    <row r="328" spans="2:20" ht="23.25">
      <c r="B328" s="68">
        <v>100</v>
      </c>
      <c r="C328" s="68">
        <f t="shared" si="72"/>
        <v>5</v>
      </c>
      <c r="D328" s="76">
        <v>11</v>
      </c>
      <c r="E328" s="2">
        <v>20</v>
      </c>
      <c r="F328" s="3" t="s">
        <v>75</v>
      </c>
      <c r="G328" s="3" t="s">
        <v>80</v>
      </c>
      <c r="H328" s="47" t="e">
        <f>'L5 Calc'!R23</f>
        <v>#N/A</v>
      </c>
      <c r="I328" s="111" t="e">
        <f>IF(ISBLANK(H328),0,IF(H328=Answers!H328,1,-1))</f>
        <v>#N/A</v>
      </c>
      <c r="J328" s="78" t="s">
        <v>297</v>
      </c>
      <c r="K328" s="78" t="s">
        <v>297</v>
      </c>
      <c r="L328" s="78" t="s">
        <v>297</v>
      </c>
      <c r="M328" s="78" t="s">
        <v>297</v>
      </c>
      <c r="N328" s="91" t="e">
        <f t="shared" ca="1" si="70"/>
        <v>#NAME?</v>
      </c>
      <c r="O328" s="91" t="e">
        <f t="shared" ca="1" si="71"/>
        <v>#NAME?</v>
      </c>
      <c r="P328" s="91" t="str">
        <f t="shared" si="67"/>
        <v>Agility</v>
      </c>
      <c r="Q328" s="91" t="e">
        <f t="shared" ca="1" si="68"/>
        <v>#NAME?</v>
      </c>
      <c r="R328" s="54" t="e">
        <f t="shared" ca="1" si="69"/>
        <v>#NAME?</v>
      </c>
      <c r="S328"/>
      <c r="T328"/>
    </row>
    <row r="329" spans="2:20" ht="15" customHeight="1">
      <c r="B329" s="54"/>
      <c r="C329" s="54"/>
      <c r="D329" s="54"/>
      <c r="E329" s="54"/>
      <c r="F329" s="54"/>
      <c r="G329" s="54"/>
      <c r="H329" s="87"/>
      <c r="I329" s="92"/>
      <c r="J329" s="91"/>
      <c r="K329" s="91"/>
      <c r="L329" s="91"/>
      <c r="M329" s="91"/>
      <c r="N329" s="91"/>
      <c r="O329" s="91"/>
      <c r="P329" s="54"/>
      <c r="Q329" s="54"/>
      <c r="R329" s="54"/>
      <c r="S329" s="54"/>
      <c r="T329" s="54"/>
    </row>
    <row r="330" spans="2:20" ht="15" customHeight="1" thickBot="1">
      <c r="J330" s="91"/>
      <c r="K330" s="91"/>
      <c r="L330" s="91"/>
      <c r="M330" s="91"/>
      <c r="N330" s="91"/>
      <c r="O330" s="91"/>
      <c r="P330" s="54"/>
      <c r="Q330" s="54"/>
      <c r="R330" s="54"/>
      <c r="S330" s="54"/>
      <c r="T330" s="54"/>
    </row>
    <row r="331" spans="2:20" ht="25.5" customHeight="1" thickBot="1">
      <c r="B331" s="48" t="s">
        <v>30</v>
      </c>
      <c r="C331" s="49" t="s">
        <v>154</v>
      </c>
      <c r="D331" s="73" t="s">
        <v>298</v>
      </c>
      <c r="E331" s="54"/>
      <c r="F331" s="54"/>
      <c r="G331" s="54"/>
      <c r="H331" s="87"/>
      <c r="I331" s="92"/>
      <c r="J331" s="1" t="s">
        <v>14</v>
      </c>
      <c r="K331" s="1" t="s">
        <v>223</v>
      </c>
      <c r="L331" s="1" t="s">
        <v>299</v>
      </c>
      <c r="M331" s="1" t="s">
        <v>300</v>
      </c>
      <c r="N331" s="1" t="s">
        <v>301</v>
      </c>
      <c r="O331" s="1" t="s">
        <v>302</v>
      </c>
      <c r="P331" s="54"/>
      <c r="Q331" s="54"/>
      <c r="R331" s="54"/>
      <c r="S331" s="54"/>
      <c r="T331" s="54"/>
    </row>
    <row r="332" spans="2:20">
      <c r="B332" s="75"/>
      <c r="C332" s="54"/>
      <c r="D332" s="54"/>
      <c r="E332" s="54"/>
      <c r="F332" s="54"/>
      <c r="G332" s="54"/>
      <c r="H332" s="87"/>
      <c r="I332" s="92"/>
      <c r="J332" s="35" t="s">
        <v>78</v>
      </c>
      <c r="K332" s="89" t="s">
        <v>225</v>
      </c>
      <c r="L332" s="89" t="s">
        <v>303</v>
      </c>
      <c r="M332" s="89" t="s">
        <v>304</v>
      </c>
      <c r="N332" s="106">
        <v>2</v>
      </c>
      <c r="O332" s="107">
        <v>1</v>
      </c>
    </row>
    <row r="333" spans="2:20">
      <c r="B333" s="75" t="s">
        <v>305</v>
      </c>
      <c r="C333" s="52"/>
      <c r="D333" s="52"/>
      <c r="E333" s="52"/>
      <c r="F333" s="52"/>
      <c r="G333" s="52"/>
      <c r="H333" s="53"/>
      <c r="J333" s="35" t="s">
        <v>73</v>
      </c>
      <c r="K333" s="89" t="s">
        <v>227</v>
      </c>
      <c r="L333" s="89" t="s">
        <v>303</v>
      </c>
      <c r="M333" s="89" t="s">
        <v>304</v>
      </c>
      <c r="N333" s="106">
        <v>1.5</v>
      </c>
      <c r="O333" s="107">
        <v>0.8</v>
      </c>
      <c r="P333" s="54"/>
      <c r="Q333" s="54"/>
      <c r="R333" s="54"/>
      <c r="S333" s="54"/>
      <c r="T333" s="54"/>
    </row>
    <row r="334" spans="2:20">
      <c r="B334" s="75" t="s">
        <v>306</v>
      </c>
      <c r="C334" s="52"/>
      <c r="D334" s="52"/>
      <c r="E334" s="52"/>
      <c r="F334" s="52"/>
      <c r="G334" s="52"/>
      <c r="H334" s="53"/>
      <c r="J334" s="35" t="s">
        <v>71</v>
      </c>
      <c r="K334" s="89" t="s">
        <v>229</v>
      </c>
      <c r="L334" s="89" t="s">
        <v>307</v>
      </c>
      <c r="M334" s="89" t="s">
        <v>308</v>
      </c>
      <c r="N334" s="106">
        <v>1</v>
      </c>
      <c r="O334" s="107">
        <v>1.1499999999999999</v>
      </c>
      <c r="P334" s="54"/>
      <c r="Q334" s="54"/>
      <c r="R334" s="54"/>
      <c r="S334" s="54"/>
      <c r="T334" s="54"/>
    </row>
    <row r="335" spans="2:20">
      <c r="B335" s="75"/>
      <c r="C335" s="52"/>
      <c r="D335" s="52"/>
      <c r="E335" s="52"/>
      <c r="F335" s="52"/>
      <c r="G335" s="52"/>
      <c r="H335" s="53"/>
      <c r="J335" s="35" t="s">
        <v>76</v>
      </c>
      <c r="K335" s="89" t="s">
        <v>231</v>
      </c>
      <c r="L335" s="89" t="s">
        <v>307</v>
      </c>
      <c r="M335" s="89" t="s">
        <v>308</v>
      </c>
      <c r="N335" s="106">
        <v>2.5</v>
      </c>
      <c r="O335" s="107">
        <v>1</v>
      </c>
      <c r="P335" s="54"/>
      <c r="Q335" s="54"/>
      <c r="R335" s="54"/>
      <c r="S335" s="54"/>
      <c r="T335" s="54"/>
    </row>
    <row r="336" spans="2:20">
      <c r="B336" s="75" t="s">
        <v>309</v>
      </c>
      <c r="C336" s="52"/>
      <c r="D336" s="52"/>
      <c r="E336" s="52"/>
      <c r="F336" s="52"/>
      <c r="G336" s="52"/>
      <c r="H336" s="53"/>
      <c r="J336" s="35" t="s">
        <v>79</v>
      </c>
      <c r="K336" s="89" t="s">
        <v>227</v>
      </c>
      <c r="L336" s="89" t="s">
        <v>307</v>
      </c>
      <c r="M336" s="89" t="s">
        <v>308</v>
      </c>
      <c r="N336" s="106">
        <v>2.5</v>
      </c>
      <c r="O336" s="107">
        <v>0.8</v>
      </c>
      <c r="P336" s="54"/>
      <c r="Q336" s="54"/>
      <c r="R336" s="54"/>
      <c r="S336" s="54"/>
      <c r="T336" s="54"/>
    </row>
    <row r="337" spans="2:20">
      <c r="B337" s="80" t="s">
        <v>310</v>
      </c>
      <c r="C337" s="52"/>
      <c r="D337" s="52"/>
      <c r="E337" s="52"/>
      <c r="F337" s="52"/>
      <c r="G337" s="52"/>
      <c r="H337" s="53"/>
      <c r="J337" s="35" t="s">
        <v>80</v>
      </c>
      <c r="K337" s="89" t="s">
        <v>231</v>
      </c>
      <c r="L337" s="89" t="s">
        <v>307</v>
      </c>
      <c r="M337" s="89" t="s">
        <v>308</v>
      </c>
      <c r="N337" s="106">
        <v>2</v>
      </c>
      <c r="O337" s="107">
        <v>1</v>
      </c>
      <c r="P337" s="54"/>
      <c r="Q337" s="54"/>
      <c r="R337" s="54"/>
      <c r="S337" s="54"/>
      <c r="T337" s="54"/>
    </row>
    <row r="338" spans="2:20">
      <c r="B338" s="80" t="s">
        <v>311</v>
      </c>
      <c r="C338" s="52"/>
      <c r="D338" s="52"/>
      <c r="E338" s="52"/>
      <c r="F338" s="52"/>
      <c r="G338" s="52"/>
      <c r="H338" s="53"/>
      <c r="J338" s="35" t="s">
        <v>68</v>
      </c>
      <c r="K338" s="89" t="s">
        <v>227</v>
      </c>
      <c r="L338" s="89" t="s">
        <v>307</v>
      </c>
      <c r="M338" s="89" t="s">
        <v>308</v>
      </c>
      <c r="N338" s="106">
        <v>2.5</v>
      </c>
      <c r="O338" s="107">
        <v>0.8</v>
      </c>
      <c r="P338" s="54"/>
      <c r="Q338" s="54"/>
      <c r="R338" s="54"/>
      <c r="S338" s="54"/>
      <c r="T338" s="54"/>
    </row>
    <row r="339" spans="2:20">
      <c r="B339" s="80" t="s">
        <v>312</v>
      </c>
      <c r="C339" s="52"/>
      <c r="D339" s="52"/>
      <c r="E339" s="52"/>
      <c r="F339" s="52"/>
      <c r="G339" s="52"/>
      <c r="H339" s="53"/>
      <c r="J339" s="35" t="s">
        <v>77</v>
      </c>
      <c r="K339" s="89" t="s">
        <v>231</v>
      </c>
      <c r="L339" s="89" t="s">
        <v>307</v>
      </c>
      <c r="M339" s="89" t="s">
        <v>308</v>
      </c>
      <c r="N339" s="106">
        <v>2.5</v>
      </c>
      <c r="O339" s="107">
        <v>1</v>
      </c>
      <c r="P339" s="54"/>
      <c r="Q339" s="54"/>
      <c r="R339" s="54"/>
      <c r="S339" s="54"/>
      <c r="T339" s="54"/>
    </row>
    <row r="340" spans="2:20" ht="15.75">
      <c r="B340" s="80" t="s">
        <v>313</v>
      </c>
      <c r="C340" s="21"/>
      <c r="D340" s="52"/>
      <c r="E340" s="52"/>
      <c r="F340" s="52"/>
      <c r="G340" s="52"/>
      <c r="H340" s="53"/>
      <c r="J340" s="91"/>
      <c r="K340" s="91"/>
      <c r="L340" s="91"/>
      <c r="M340" s="105" t="s">
        <v>314</v>
      </c>
      <c r="N340" s="91"/>
      <c r="O340" s="91"/>
      <c r="P340" s="54"/>
      <c r="Q340" s="54"/>
      <c r="R340" s="54"/>
      <c r="S340" s="54"/>
      <c r="T340" s="54"/>
    </row>
    <row r="341" spans="2:20" ht="15.75">
      <c r="B341" s="80" t="s">
        <v>315</v>
      </c>
      <c r="C341" s="52"/>
      <c r="D341" s="52"/>
      <c r="E341" s="52"/>
      <c r="F341" s="52"/>
      <c r="G341" s="52"/>
      <c r="H341" s="53"/>
      <c r="J341" s="91"/>
      <c r="K341" s="91"/>
      <c r="L341" s="91"/>
      <c r="M341" s="105" t="s">
        <v>316</v>
      </c>
      <c r="N341" s="91"/>
      <c r="O341" s="91"/>
      <c r="P341" s="54"/>
      <c r="Q341" s="54"/>
      <c r="R341" s="54"/>
      <c r="S341" s="54"/>
      <c r="T341" s="54"/>
    </row>
    <row r="342" spans="2:20" ht="15.75">
      <c r="B342" s="80" t="s">
        <v>317</v>
      </c>
      <c r="C342" s="52"/>
      <c r="D342" s="52"/>
      <c r="E342" s="52"/>
      <c r="F342" s="52"/>
      <c r="G342" s="52"/>
      <c r="H342" s="53"/>
      <c r="J342" s="91"/>
      <c r="K342" s="91"/>
      <c r="L342" s="91"/>
      <c r="M342" s="91"/>
      <c r="N342" s="91"/>
      <c r="O342" s="91"/>
      <c r="P342" s="54"/>
      <c r="Q342" s="54"/>
      <c r="R342" s="54"/>
      <c r="S342" s="54"/>
      <c r="T342" s="54"/>
    </row>
    <row r="343" spans="2:20" ht="15.75">
      <c r="B343" s="75" t="s">
        <v>318</v>
      </c>
      <c r="C343" s="52"/>
      <c r="D343" s="52"/>
      <c r="E343" s="52"/>
      <c r="F343" s="52"/>
      <c r="G343" s="52"/>
      <c r="H343" s="53"/>
      <c r="J343" s="91"/>
      <c r="K343" s="91"/>
      <c r="L343" s="91"/>
      <c r="M343" s="91"/>
      <c r="N343" s="91"/>
      <c r="O343" s="91"/>
      <c r="P343" s="54"/>
      <c r="Q343" s="54"/>
      <c r="R343" s="54"/>
      <c r="S343" s="54"/>
      <c r="T343" s="54"/>
    </row>
    <row r="344" spans="2:20" ht="15.75">
      <c r="B344" s="80" t="s">
        <v>319</v>
      </c>
      <c r="C344" s="52"/>
      <c r="D344" s="52"/>
      <c r="E344" s="52"/>
      <c r="F344" s="52"/>
      <c r="G344" s="52"/>
      <c r="H344" s="53"/>
      <c r="J344" s="91" t="s">
        <v>54</v>
      </c>
      <c r="K344" s="91"/>
      <c r="L344" s="91"/>
      <c r="M344" s="91"/>
      <c r="N344" s="91"/>
      <c r="O344" s="91"/>
      <c r="P344" s="54"/>
      <c r="Q344" s="54"/>
      <c r="R344" s="54"/>
      <c r="S344" s="54"/>
      <c r="T344" s="54"/>
    </row>
    <row r="345" spans="2:20" ht="15.75">
      <c r="B345" s="75"/>
      <c r="C345" s="21"/>
      <c r="D345" s="52"/>
      <c r="E345" s="52"/>
      <c r="F345" s="52"/>
      <c r="G345" s="52"/>
      <c r="H345" s="53"/>
      <c r="J345" s="146" t="s">
        <v>320</v>
      </c>
      <c r="K345" s="91"/>
      <c r="L345" s="91"/>
      <c r="M345" s="91"/>
      <c r="N345" s="91"/>
      <c r="O345" s="91"/>
      <c r="P345" s="54"/>
      <c r="Q345" s="54"/>
      <c r="R345" s="54"/>
      <c r="S345" s="54"/>
      <c r="T345" s="54"/>
    </row>
    <row r="346" spans="2:20" ht="15.75">
      <c r="B346" s="75" t="s">
        <v>321</v>
      </c>
      <c r="C346" s="21"/>
      <c r="D346" s="52"/>
      <c r="E346" s="52"/>
      <c r="F346" s="52"/>
      <c r="G346" s="52"/>
      <c r="H346" s="53"/>
      <c r="J346" s="91"/>
      <c r="K346" s="91"/>
      <c r="L346" s="91"/>
      <c r="M346" s="91"/>
      <c r="N346" s="91"/>
      <c r="O346" s="91"/>
      <c r="P346" s="54"/>
      <c r="Q346" s="54"/>
      <c r="R346" s="54"/>
      <c r="S346" s="54"/>
      <c r="T346" s="54"/>
    </row>
    <row r="347" spans="2:20" ht="15.75">
      <c r="B347" s="80" t="s">
        <v>322</v>
      </c>
      <c r="C347" s="21"/>
      <c r="D347" s="52"/>
      <c r="E347" s="52"/>
      <c r="F347" s="52"/>
      <c r="G347" s="52"/>
      <c r="H347" s="53"/>
      <c r="J347" s="91"/>
      <c r="K347" s="91"/>
      <c r="L347" s="91"/>
      <c r="M347" s="91"/>
      <c r="N347" s="91"/>
      <c r="O347" s="91"/>
      <c r="P347" s="54"/>
      <c r="Q347" s="54"/>
      <c r="R347" s="54"/>
      <c r="S347" s="54"/>
      <c r="T347" s="54"/>
    </row>
    <row r="348" spans="2:20" ht="15.75">
      <c r="B348" s="75" t="s">
        <v>323</v>
      </c>
      <c r="C348" s="21"/>
      <c r="D348" s="52"/>
      <c r="E348" s="52"/>
      <c r="F348" s="52"/>
      <c r="G348" s="52"/>
      <c r="H348" s="53"/>
      <c r="J348" s="91"/>
      <c r="K348" s="91"/>
      <c r="L348" s="91"/>
      <c r="M348" s="91"/>
      <c r="N348" s="91"/>
      <c r="O348" s="91"/>
      <c r="P348" s="54"/>
      <c r="Q348" s="54"/>
      <c r="R348" s="54"/>
      <c r="S348" s="54"/>
      <c r="T348" s="54"/>
    </row>
    <row r="349" spans="2:20" ht="15.75">
      <c r="B349" s="80" t="s">
        <v>324</v>
      </c>
      <c r="C349" s="21"/>
      <c r="D349" s="52"/>
      <c r="E349" s="52"/>
      <c r="F349" s="52"/>
      <c r="G349" s="52"/>
      <c r="H349" s="53"/>
      <c r="J349" s="91"/>
      <c r="K349" s="91"/>
      <c r="L349" s="91"/>
      <c r="M349" s="91"/>
      <c r="N349" s="91"/>
      <c r="O349" s="91"/>
      <c r="P349" s="54"/>
      <c r="Q349" s="54"/>
      <c r="R349" s="54"/>
      <c r="S349" s="54"/>
      <c r="T349" s="54"/>
    </row>
    <row r="350" spans="2:20" ht="15.75">
      <c r="B350" s="75"/>
      <c r="C350" s="21"/>
      <c r="D350" s="52"/>
      <c r="E350" s="52"/>
      <c r="F350" s="52"/>
      <c r="G350" s="52"/>
      <c r="H350" s="53"/>
      <c r="J350" s="91"/>
      <c r="K350" s="91"/>
      <c r="L350" s="91"/>
      <c r="M350" s="91"/>
      <c r="N350" s="91"/>
      <c r="O350" s="91"/>
      <c r="P350" s="54"/>
      <c r="Q350" s="54"/>
      <c r="R350" s="54"/>
      <c r="S350" s="54"/>
      <c r="T350" s="54"/>
    </row>
    <row r="351" spans="2:20" ht="15.75">
      <c r="B351" s="75" t="s">
        <v>325</v>
      </c>
      <c r="C351" s="21"/>
      <c r="D351" s="52"/>
      <c r="E351" s="52"/>
      <c r="F351" s="52"/>
      <c r="G351" s="52"/>
      <c r="H351" s="53"/>
      <c r="J351" s="91"/>
      <c r="K351" s="91"/>
      <c r="L351" s="91"/>
      <c r="M351" s="91"/>
      <c r="N351" s="91"/>
      <c r="O351" s="91"/>
      <c r="P351" s="54"/>
      <c r="Q351" s="54"/>
      <c r="R351" s="54"/>
      <c r="S351" s="54"/>
      <c r="T351" s="54"/>
    </row>
    <row r="352" spans="2:20" ht="15.75">
      <c r="B352" s="80" t="s">
        <v>326</v>
      </c>
      <c r="C352" s="21"/>
      <c r="D352" s="52"/>
      <c r="E352" s="52"/>
      <c r="F352" s="52"/>
      <c r="G352" s="52"/>
      <c r="H352" s="53"/>
      <c r="J352" s="91"/>
      <c r="K352" s="91"/>
      <c r="L352" s="91"/>
      <c r="M352" s="91"/>
      <c r="N352" s="91"/>
      <c r="O352" s="91"/>
      <c r="P352" s="54"/>
      <c r="Q352" s="54"/>
      <c r="R352" s="54"/>
      <c r="S352" s="54"/>
      <c r="T352" s="54"/>
    </row>
    <row r="353" spans="2:20" ht="15.75">
      <c r="B353" s="80" t="s">
        <v>327</v>
      </c>
      <c r="C353" s="21"/>
      <c r="D353" s="52"/>
      <c r="E353" s="52"/>
      <c r="F353" s="52"/>
      <c r="G353" s="52"/>
      <c r="H353" s="53"/>
      <c r="J353" s="91"/>
      <c r="K353" s="91"/>
      <c r="L353" s="91"/>
      <c r="M353" s="91"/>
      <c r="N353" s="91"/>
      <c r="O353" s="91"/>
      <c r="P353" s="54"/>
      <c r="Q353" s="54"/>
      <c r="R353" s="54"/>
      <c r="S353" s="54"/>
      <c r="T353" s="54"/>
    </row>
    <row r="354" spans="2:20" ht="15.75">
      <c r="B354" s="80" t="s">
        <v>328</v>
      </c>
      <c r="C354" s="21"/>
      <c r="D354" s="52"/>
      <c r="E354" s="52"/>
      <c r="F354" s="52"/>
      <c r="G354" s="52"/>
      <c r="H354" s="53"/>
      <c r="J354" s="91"/>
      <c r="K354" s="91"/>
      <c r="L354" s="91"/>
      <c r="M354" s="91"/>
      <c r="N354" s="91"/>
      <c r="O354" s="91"/>
      <c r="P354" s="54"/>
      <c r="Q354" s="54"/>
      <c r="R354" s="54"/>
      <c r="S354" s="54"/>
      <c r="T354" s="54"/>
    </row>
    <row r="355" spans="2:20" ht="15.75">
      <c r="B355" s="80" t="s">
        <v>329</v>
      </c>
      <c r="C355" s="21"/>
      <c r="D355" s="52"/>
      <c r="E355" s="52"/>
      <c r="F355" s="52"/>
      <c r="G355" s="52"/>
      <c r="H355" s="53"/>
      <c r="J355" s="91"/>
      <c r="K355" s="91"/>
      <c r="L355" s="91"/>
      <c r="M355" s="91"/>
      <c r="N355" s="91"/>
      <c r="O355" s="91"/>
      <c r="P355" s="54"/>
      <c r="Q355" s="54"/>
      <c r="R355" s="54"/>
      <c r="S355" s="54"/>
      <c r="T355" s="54"/>
    </row>
    <row r="356" spans="2:20" ht="15.75">
      <c r="B356" s="80" t="s">
        <v>330</v>
      </c>
      <c r="C356" s="21"/>
      <c r="D356" s="52"/>
      <c r="E356" s="52"/>
      <c r="F356" s="52"/>
      <c r="G356" s="52"/>
      <c r="H356" s="53"/>
      <c r="J356" s="91"/>
      <c r="K356" s="91"/>
      <c r="L356" s="91"/>
      <c r="M356" s="91"/>
      <c r="N356" s="91"/>
      <c r="O356" s="91"/>
      <c r="P356" s="54"/>
      <c r="Q356" s="54"/>
      <c r="R356" s="54"/>
      <c r="S356" s="54"/>
      <c r="T356" s="54"/>
    </row>
    <row r="357" spans="2:20" ht="15.75">
      <c r="B357" s="80" t="s">
        <v>331</v>
      </c>
      <c r="C357" s="21"/>
      <c r="D357" s="52"/>
      <c r="E357" s="52"/>
      <c r="F357" s="52"/>
      <c r="G357" s="52"/>
      <c r="H357" s="53"/>
      <c r="J357" s="91"/>
      <c r="K357" s="91"/>
      <c r="L357" s="91"/>
      <c r="M357" s="91"/>
      <c r="N357" s="91"/>
      <c r="O357" s="91"/>
      <c r="P357" s="54"/>
      <c r="Q357" s="54"/>
      <c r="R357" s="54"/>
      <c r="S357" s="54"/>
      <c r="T357" s="54"/>
    </row>
    <row r="358" spans="2:20" ht="15.75">
      <c r="B358" s="75"/>
      <c r="C358" s="99"/>
      <c r="D358" s="52"/>
      <c r="E358" s="52"/>
      <c r="F358" s="52"/>
      <c r="G358" s="52"/>
      <c r="H358" s="53"/>
      <c r="J358" s="91"/>
      <c r="K358" s="91"/>
      <c r="L358" s="91"/>
      <c r="M358" s="91"/>
      <c r="N358" s="91"/>
      <c r="O358" s="91"/>
      <c r="P358" s="54"/>
      <c r="Q358" s="54"/>
      <c r="R358" s="54"/>
      <c r="S358" s="54"/>
      <c r="T358" s="54"/>
    </row>
    <row r="359" spans="2:20" ht="15.75">
      <c r="B359" s="75" t="s">
        <v>332</v>
      </c>
      <c r="C359" s="99" t="s">
        <v>333</v>
      </c>
      <c r="D359" s="52"/>
      <c r="E359" s="52"/>
      <c r="F359" s="52"/>
      <c r="G359" s="52"/>
      <c r="H359" s="53"/>
      <c r="J359" s="91"/>
      <c r="K359" s="91"/>
      <c r="L359" s="91"/>
      <c r="M359" s="91"/>
      <c r="N359" s="91"/>
      <c r="O359" s="91"/>
      <c r="P359" s="54"/>
      <c r="Q359" s="54"/>
      <c r="R359" s="54"/>
      <c r="S359" s="54"/>
      <c r="T359" s="54"/>
    </row>
    <row r="360" spans="2:20" ht="15.75" outlineLevel="1">
      <c r="B360" s="75"/>
      <c r="C360" s="99" t="s">
        <v>334</v>
      </c>
      <c r="D360" s="52"/>
      <c r="E360" s="52"/>
      <c r="F360" s="52"/>
      <c r="G360" s="52"/>
      <c r="H360" s="53"/>
      <c r="J360" s="91"/>
      <c r="K360" s="91"/>
      <c r="L360" s="91"/>
      <c r="M360" s="91"/>
      <c r="N360" s="91"/>
      <c r="O360" s="91"/>
      <c r="P360" s="54"/>
      <c r="Q360" s="54"/>
      <c r="R360" s="54"/>
      <c r="S360" s="54"/>
      <c r="T360" s="54"/>
    </row>
    <row r="361" spans="2:20" ht="15.75" outlineLevel="1">
      <c r="B361" s="75"/>
      <c r="C361" s="99" t="s">
        <v>335</v>
      </c>
      <c r="D361" s="52"/>
      <c r="E361" s="52"/>
      <c r="F361" s="52"/>
      <c r="G361" s="52"/>
      <c r="H361" s="53"/>
      <c r="J361" s="91"/>
      <c r="K361" s="91"/>
      <c r="L361" s="91"/>
      <c r="M361" s="91"/>
      <c r="N361" s="91"/>
      <c r="O361" s="91"/>
      <c r="P361" s="54"/>
      <c r="Q361" s="54"/>
      <c r="R361" s="54"/>
      <c r="S361" s="54"/>
      <c r="T361" s="54"/>
    </row>
    <row r="362" spans="2:20" ht="15.75" outlineLevel="1">
      <c r="B362" s="75"/>
      <c r="C362" s="99" t="s">
        <v>336</v>
      </c>
      <c r="D362" s="52"/>
      <c r="E362" s="52"/>
      <c r="F362" s="52"/>
      <c r="G362" s="52"/>
      <c r="H362" s="53"/>
      <c r="J362" s="91"/>
      <c r="K362" s="91"/>
      <c r="L362" s="91"/>
      <c r="M362" s="91"/>
      <c r="N362" s="91"/>
      <c r="O362" s="91"/>
      <c r="P362" s="54"/>
      <c r="Q362" s="54"/>
      <c r="R362" s="54"/>
      <c r="S362" s="54"/>
      <c r="T362" s="54"/>
    </row>
    <row r="363" spans="2:20" ht="15.75" outlineLevel="1">
      <c r="B363" s="75"/>
      <c r="C363" s="99" t="s">
        <v>337</v>
      </c>
      <c r="D363" s="52"/>
      <c r="E363" s="52"/>
      <c r="F363" s="52"/>
      <c r="G363" s="52"/>
      <c r="H363" s="53"/>
      <c r="J363" s="91"/>
      <c r="K363" s="91"/>
      <c r="L363" s="91"/>
      <c r="M363" s="91"/>
      <c r="N363" s="91"/>
      <c r="O363" s="91"/>
      <c r="P363" s="54"/>
      <c r="Q363" s="54"/>
      <c r="R363" s="54"/>
      <c r="S363" s="54"/>
      <c r="T363" s="54"/>
    </row>
    <row r="364" spans="2:20" ht="15.75" outlineLevel="1">
      <c r="B364" s="75"/>
      <c r="C364" s="99"/>
      <c r="D364" s="52"/>
      <c r="E364" s="52"/>
      <c r="F364" s="52"/>
      <c r="G364" s="52"/>
      <c r="H364" s="53"/>
      <c r="J364" s="91"/>
      <c r="K364" s="91"/>
      <c r="L364" s="91"/>
      <c r="M364" s="91"/>
      <c r="N364" s="91"/>
      <c r="O364" s="91"/>
      <c r="P364" s="54"/>
      <c r="Q364" s="54"/>
      <c r="R364" s="54"/>
      <c r="S364" s="54"/>
      <c r="T364" s="54"/>
    </row>
    <row r="365" spans="2:20" ht="15.75" outlineLevel="1">
      <c r="B365" s="75"/>
      <c r="C365" s="99" t="s">
        <v>338</v>
      </c>
      <c r="D365" s="52"/>
      <c r="E365" s="52"/>
      <c r="F365" s="52"/>
      <c r="G365" s="52"/>
      <c r="H365" s="53"/>
      <c r="J365" s="91"/>
      <c r="K365" s="91"/>
      <c r="L365" s="91"/>
      <c r="M365" s="91"/>
      <c r="N365" s="91"/>
      <c r="O365" s="91"/>
      <c r="P365" s="54"/>
      <c r="Q365" s="54"/>
      <c r="R365" s="54"/>
      <c r="S365" s="54"/>
      <c r="T365" s="54"/>
    </row>
    <row r="366" spans="2:20" ht="15.75" outlineLevel="1">
      <c r="B366" s="75"/>
      <c r="C366" s="99" t="s">
        <v>339</v>
      </c>
      <c r="D366" s="52"/>
      <c r="E366" s="52"/>
      <c r="F366" s="52"/>
      <c r="G366" s="52"/>
      <c r="H366" s="53"/>
      <c r="J366" s="91"/>
      <c r="K366" s="91"/>
      <c r="L366" s="91"/>
      <c r="M366" s="91"/>
      <c r="N366" s="91"/>
      <c r="O366" s="91"/>
      <c r="P366" s="54"/>
      <c r="Q366" s="54"/>
      <c r="R366" s="54"/>
      <c r="S366" s="54"/>
      <c r="T366" s="54"/>
    </row>
    <row r="367" spans="2:20" ht="15.75" outlineLevel="1">
      <c r="B367" s="75"/>
      <c r="C367" s="99" t="s">
        <v>183</v>
      </c>
      <c r="D367" s="52"/>
      <c r="E367" s="52"/>
      <c r="F367" s="52"/>
      <c r="G367" s="52"/>
      <c r="H367" s="53"/>
      <c r="J367" s="91"/>
      <c r="K367" s="91"/>
      <c r="L367" s="91"/>
      <c r="M367" s="91"/>
      <c r="N367" s="91"/>
      <c r="O367" s="91"/>
      <c r="P367" s="54"/>
      <c r="Q367" s="54"/>
      <c r="R367" s="54"/>
      <c r="S367" s="54"/>
      <c r="T367" s="54"/>
    </row>
    <row r="368" spans="2:20" ht="15.75" outlineLevel="1">
      <c r="B368" s="75"/>
      <c r="C368" s="99" t="s">
        <v>340</v>
      </c>
      <c r="D368" s="52"/>
      <c r="E368" s="52"/>
      <c r="F368" s="52"/>
      <c r="G368" s="52"/>
      <c r="H368" s="53"/>
      <c r="J368" s="91"/>
      <c r="K368" s="91"/>
      <c r="L368" s="91"/>
      <c r="M368" s="91"/>
      <c r="N368" s="91"/>
      <c r="O368" s="91"/>
      <c r="P368" s="54"/>
      <c r="Q368" s="54"/>
      <c r="R368" s="54"/>
      <c r="S368" s="54"/>
      <c r="T368" s="54"/>
    </row>
    <row r="369" spans="2:20" ht="15.75" outlineLevel="1">
      <c r="B369" s="75"/>
      <c r="C369" s="99" t="s">
        <v>341</v>
      </c>
      <c r="D369" s="52"/>
      <c r="E369" s="52"/>
      <c r="F369" s="52"/>
      <c r="G369" s="52"/>
      <c r="H369" s="53"/>
      <c r="J369" s="91"/>
      <c r="K369" s="91"/>
      <c r="L369" s="91"/>
      <c r="M369" s="91"/>
      <c r="N369" s="91"/>
      <c r="O369" s="91"/>
      <c r="P369" s="54"/>
      <c r="Q369" s="54"/>
      <c r="R369" s="54"/>
      <c r="S369" s="54"/>
      <c r="T369" s="54"/>
    </row>
    <row r="370" spans="2:20" ht="15.75" outlineLevel="1">
      <c r="B370" s="75"/>
      <c r="C370" s="99" t="s">
        <v>342</v>
      </c>
      <c r="D370" s="52"/>
      <c r="E370" s="52"/>
      <c r="F370" s="52"/>
      <c r="G370" s="52"/>
      <c r="H370" s="53"/>
      <c r="J370" s="91"/>
      <c r="K370" s="91"/>
      <c r="L370" s="91"/>
      <c r="M370" s="91"/>
      <c r="N370" s="91"/>
      <c r="O370" s="91"/>
      <c r="P370" s="54"/>
      <c r="Q370" s="54"/>
      <c r="R370" s="54"/>
      <c r="S370" s="54"/>
      <c r="T370" s="54"/>
    </row>
    <row r="371" spans="2:20" ht="15.75">
      <c r="B371" s="75"/>
      <c r="C371" s="99"/>
      <c r="D371" s="52"/>
      <c r="E371" s="52"/>
      <c r="F371" s="52"/>
      <c r="G371" s="52"/>
      <c r="H371" s="53"/>
      <c r="J371" s="91"/>
      <c r="K371" s="91"/>
      <c r="L371" s="91"/>
      <c r="M371" s="91"/>
      <c r="N371" s="91"/>
      <c r="O371" s="91"/>
      <c r="P371" s="54"/>
      <c r="Q371" s="54"/>
      <c r="R371" s="54"/>
      <c r="S371" s="54"/>
      <c r="T371" s="54"/>
    </row>
    <row r="372" spans="2:20" ht="15.75">
      <c r="B372" s="75" t="s">
        <v>343</v>
      </c>
      <c r="C372" s="99"/>
      <c r="D372" s="52"/>
      <c r="E372" s="52"/>
      <c r="F372" s="52"/>
      <c r="G372" s="52"/>
      <c r="H372" s="53"/>
      <c r="J372" s="91"/>
      <c r="K372" s="91"/>
      <c r="L372" s="91"/>
      <c r="M372" s="91"/>
      <c r="N372" s="91"/>
      <c r="O372" s="91"/>
      <c r="P372" s="54"/>
      <c r="Q372" s="54"/>
      <c r="R372" s="54"/>
      <c r="S372" s="54"/>
      <c r="T372" s="54"/>
    </row>
    <row r="373" spans="2:20" ht="15.75">
      <c r="B373" s="80" t="s">
        <v>344</v>
      </c>
      <c r="C373" s="99"/>
      <c r="D373" s="52"/>
      <c r="E373" s="52"/>
      <c r="F373" s="52"/>
      <c r="G373" s="52"/>
      <c r="H373" s="53"/>
      <c r="J373" s="91"/>
      <c r="K373" s="91"/>
      <c r="L373" s="91"/>
      <c r="M373" s="91"/>
      <c r="N373" s="91"/>
      <c r="O373" s="91"/>
      <c r="P373" s="54"/>
      <c r="Q373" s="54"/>
      <c r="R373" s="54"/>
      <c r="S373" s="54"/>
      <c r="T373" s="54"/>
    </row>
    <row r="374" spans="2:20" ht="15.75">
      <c r="B374" s="80"/>
      <c r="C374" s="99"/>
      <c r="D374" s="52"/>
      <c r="E374" s="52"/>
      <c r="F374" s="52"/>
      <c r="G374" s="52"/>
      <c r="H374" s="53"/>
      <c r="J374" s="91"/>
      <c r="K374" s="91"/>
      <c r="L374" s="91"/>
      <c r="M374" s="91"/>
      <c r="N374" s="91"/>
      <c r="O374" s="91"/>
      <c r="P374" s="54"/>
      <c r="Q374" s="54"/>
      <c r="R374" s="54"/>
      <c r="S374" s="54"/>
      <c r="T374" s="54"/>
    </row>
    <row r="375" spans="2:20" ht="15.75">
      <c r="B375" s="80"/>
      <c r="C375" s="50" t="s">
        <v>345</v>
      </c>
      <c r="D375" s="52"/>
      <c r="E375" s="52"/>
      <c r="F375" s="52"/>
      <c r="G375" s="52"/>
      <c r="H375" s="53"/>
      <c r="J375" s="91"/>
      <c r="K375" s="91"/>
      <c r="L375" s="91"/>
      <c r="M375" s="91"/>
      <c r="N375" s="91"/>
      <c r="O375" s="91"/>
      <c r="P375" s="54"/>
      <c r="Q375" s="54"/>
      <c r="R375" s="54"/>
      <c r="S375" s="54"/>
      <c r="T375" s="54"/>
    </row>
    <row r="376" spans="2:20" ht="15.75">
      <c r="B376" s="80"/>
      <c r="C376" s="50" t="s">
        <v>346</v>
      </c>
      <c r="D376" s="52"/>
      <c r="E376" s="52"/>
      <c r="F376" s="52"/>
      <c r="G376" s="52"/>
      <c r="H376" s="53"/>
      <c r="J376" s="91"/>
      <c r="K376" s="91"/>
      <c r="L376" s="91"/>
      <c r="M376" s="91"/>
      <c r="N376" s="91"/>
      <c r="O376" s="91"/>
      <c r="P376" s="54"/>
      <c r="Q376" s="54"/>
      <c r="R376" s="54"/>
      <c r="S376" s="54"/>
      <c r="T376" s="54"/>
    </row>
    <row r="377" spans="2:20" ht="15.75">
      <c r="B377" s="80"/>
      <c r="C377" s="50" t="s">
        <v>347</v>
      </c>
      <c r="D377" s="52"/>
      <c r="E377" s="52"/>
      <c r="F377" s="52"/>
      <c r="G377" s="52"/>
      <c r="H377" s="53"/>
      <c r="J377" s="91"/>
      <c r="K377" s="91"/>
      <c r="L377" s="91"/>
      <c r="M377" s="91"/>
      <c r="N377" s="91"/>
      <c r="O377" s="91"/>
      <c r="P377" s="54"/>
      <c r="Q377" s="54"/>
      <c r="R377" s="54"/>
      <c r="S377" s="54"/>
      <c r="T377" s="54"/>
    </row>
    <row r="378" spans="2:20" ht="14.25" customHeight="1" thickBot="1">
      <c r="B378" s="54"/>
      <c r="C378" s="54"/>
      <c r="D378" s="54"/>
      <c r="E378" s="54"/>
      <c r="F378" s="54"/>
      <c r="G378" s="54"/>
      <c r="H378" s="87"/>
      <c r="I378" s="92"/>
      <c r="J378" s="74" t="s">
        <v>60</v>
      </c>
      <c r="K378" s="91"/>
      <c r="L378" s="91"/>
      <c r="M378" s="91"/>
      <c r="N378" s="91"/>
      <c r="O378" s="91"/>
      <c r="P378" s="108"/>
    </row>
    <row r="379" spans="2:20" ht="25.5" customHeight="1" thickBot="1">
      <c r="B379" s="42" t="s">
        <v>9</v>
      </c>
      <c r="C379" s="42" t="s">
        <v>62</v>
      </c>
      <c r="D379" s="42" t="s">
        <v>11</v>
      </c>
      <c r="E379" s="42" t="s">
        <v>63</v>
      </c>
      <c r="F379" s="42" t="s">
        <v>13</v>
      </c>
      <c r="G379" s="42" t="s">
        <v>14</v>
      </c>
      <c r="H379" s="42" t="s">
        <v>15</v>
      </c>
      <c r="J379" s="1" t="s">
        <v>64</v>
      </c>
      <c r="K379" s="1" t="s">
        <v>133</v>
      </c>
      <c r="L379" s="1" t="s">
        <v>223</v>
      </c>
      <c r="M379" s="1" t="s">
        <v>295</v>
      </c>
      <c r="N379" s="54"/>
      <c r="O379" s="1" t="s">
        <v>348</v>
      </c>
      <c r="P379" s="91"/>
      <c r="Q379" s="91"/>
      <c r="R379" s="91"/>
      <c r="S379" s="91"/>
      <c r="T379" s="91"/>
    </row>
    <row r="380" spans="2:20" ht="15" customHeight="1">
      <c r="B380" s="52"/>
      <c r="C380" s="52"/>
      <c r="D380" s="52"/>
      <c r="E380" s="52"/>
      <c r="F380" s="52"/>
      <c r="G380" s="52"/>
      <c r="H380" s="53"/>
      <c r="J380" s="59"/>
      <c r="L380" s="54"/>
      <c r="M380" s="54"/>
      <c r="N380" s="54"/>
      <c r="O380" s="91"/>
      <c r="P380" s="91"/>
      <c r="Q380" s="91"/>
      <c r="R380" s="91"/>
      <c r="S380" s="91"/>
      <c r="T380" s="91"/>
    </row>
    <row r="381" spans="2:20" ht="23.25" customHeight="1">
      <c r="B381" s="68" t="s">
        <v>349</v>
      </c>
      <c r="C381" s="68">
        <v>6</v>
      </c>
      <c r="D381" s="76">
        <v>0</v>
      </c>
      <c r="E381" s="2" t="s">
        <v>66</v>
      </c>
      <c r="F381" s="3" t="s">
        <v>67</v>
      </c>
      <c r="G381" s="3" t="s">
        <v>68</v>
      </c>
      <c r="H381" s="47">
        <v>6</v>
      </c>
      <c r="I381" s="111">
        <f>IF(ISBLANK(H381),0,IF(H381=Answers!H381,1,-1))</f>
        <v>1</v>
      </c>
      <c r="J381" s="78">
        <v>3401368</v>
      </c>
      <c r="K381" s="88">
        <v>241.39</v>
      </c>
      <c r="L381" s="78" t="s">
        <v>227</v>
      </c>
      <c r="M381" s="78">
        <v>200</v>
      </c>
      <c r="N381" s="54"/>
      <c r="O381" s="78" t="s">
        <v>350</v>
      </c>
      <c r="P381" s="91"/>
      <c r="Q381" s="91"/>
      <c r="R381" s="91"/>
      <c r="S381" s="91"/>
      <c r="T381" s="91"/>
    </row>
    <row r="382" spans="2:20" ht="15" customHeight="1">
      <c r="B382" s="52"/>
      <c r="C382" s="52"/>
      <c r="D382" s="52"/>
      <c r="E382" s="52"/>
      <c r="F382" s="77"/>
      <c r="G382" s="77"/>
      <c r="H382" s="85"/>
      <c r="J382" s="79"/>
      <c r="K382" s="90"/>
      <c r="L382" s="90"/>
      <c r="M382" s="90"/>
      <c r="N382" s="54"/>
      <c r="O382" s="91"/>
      <c r="P382" s="100"/>
      <c r="Q382" s="100"/>
      <c r="R382" s="100"/>
      <c r="S382" s="100"/>
      <c r="T382" s="100"/>
    </row>
    <row r="383" spans="2:20" ht="23.25">
      <c r="B383" s="68">
        <v>101</v>
      </c>
      <c r="C383" s="68">
        <f>C381</f>
        <v>6</v>
      </c>
      <c r="D383" s="76">
        <v>12</v>
      </c>
      <c r="E383" s="2">
        <v>1</v>
      </c>
      <c r="F383" s="3" t="s">
        <v>67</v>
      </c>
      <c r="G383" s="3" t="s">
        <v>71</v>
      </c>
      <c r="H383" s="47" t="e">
        <f>'L6 Calc'!Q34</f>
        <v>#N/A</v>
      </c>
      <c r="I383" s="111" t="e">
        <f>IF(ISBLANK(H383),0,IF(H383=Answers!H383,1,-1))</f>
        <v>#N/A</v>
      </c>
      <c r="J383" s="78" t="s">
        <v>351</v>
      </c>
      <c r="K383" s="78" t="s">
        <v>351</v>
      </c>
      <c r="L383" s="78" t="s">
        <v>351</v>
      </c>
      <c r="M383" s="78" t="s">
        <v>351</v>
      </c>
      <c r="N383" s="54"/>
      <c r="O383" s="78" t="s">
        <v>352</v>
      </c>
      <c r="P383" s="100"/>
      <c r="Q383" s="100"/>
      <c r="R383" s="100"/>
      <c r="S383" s="100"/>
      <c r="T383" s="100"/>
    </row>
    <row r="384" spans="2:20" ht="23.25">
      <c r="B384" s="68">
        <v>102</v>
      </c>
      <c r="C384" s="68">
        <f>C383</f>
        <v>6</v>
      </c>
      <c r="D384" s="76">
        <v>12</v>
      </c>
      <c r="E384" s="2">
        <v>2</v>
      </c>
      <c r="F384" s="3" t="s">
        <v>72</v>
      </c>
      <c r="G384" s="3" t="s">
        <v>73</v>
      </c>
      <c r="H384" s="47" t="e">
        <f>'L6 Calc'!Q35</f>
        <v>#N/A</v>
      </c>
      <c r="I384" s="111" t="e">
        <f>IF(ISBLANK(H384),0,IF(H384=Answers!H384,1,-1))</f>
        <v>#N/A</v>
      </c>
      <c r="J384" s="78" t="s">
        <v>351</v>
      </c>
      <c r="K384" s="78" t="s">
        <v>351</v>
      </c>
      <c r="L384" s="78" t="s">
        <v>351</v>
      </c>
      <c r="M384" s="78" t="s">
        <v>351</v>
      </c>
      <c r="N384" s="54"/>
      <c r="O384" s="78" t="s">
        <v>353</v>
      </c>
      <c r="P384" s="100"/>
      <c r="Q384" s="100"/>
      <c r="R384" s="100"/>
      <c r="S384" s="100"/>
      <c r="T384" s="100"/>
    </row>
    <row r="385" spans="2:20" ht="23.25">
      <c r="B385" s="68">
        <v>103</v>
      </c>
      <c r="C385" s="68">
        <f t="shared" ref="C385:C402" si="73">C384</f>
        <v>6</v>
      </c>
      <c r="D385" s="76">
        <v>12</v>
      </c>
      <c r="E385" s="2">
        <v>3</v>
      </c>
      <c r="F385" s="3" t="s">
        <v>74</v>
      </c>
      <c r="G385" s="3" t="s">
        <v>68</v>
      </c>
      <c r="H385" s="47" t="e">
        <f>'L6 Calc'!Q36</f>
        <v>#N/A</v>
      </c>
      <c r="I385" s="111" t="e">
        <f>IF(ISBLANK(H385),0,IF(H385=Answers!H385,1,-1))</f>
        <v>#N/A</v>
      </c>
      <c r="J385" s="78" t="s">
        <v>351</v>
      </c>
      <c r="K385" s="78" t="s">
        <v>351</v>
      </c>
      <c r="L385" s="78" t="s">
        <v>351</v>
      </c>
      <c r="M385" s="78" t="s">
        <v>351</v>
      </c>
      <c r="N385" s="54"/>
      <c r="O385" s="78" t="s">
        <v>350</v>
      </c>
      <c r="P385" s="100"/>
      <c r="Q385" s="100"/>
      <c r="R385" s="100"/>
      <c r="S385" s="100"/>
      <c r="T385" s="100"/>
    </row>
    <row r="386" spans="2:20" ht="23.25">
      <c r="B386" s="68">
        <v>104</v>
      </c>
      <c r="C386" s="68">
        <f t="shared" si="73"/>
        <v>6</v>
      </c>
      <c r="D386" s="76">
        <v>12</v>
      </c>
      <c r="E386" s="2">
        <v>4</v>
      </c>
      <c r="F386" s="3" t="s">
        <v>75</v>
      </c>
      <c r="G386" s="3" t="s">
        <v>71</v>
      </c>
      <c r="H386" s="47" t="e">
        <f>'L6 Calc'!Q37</f>
        <v>#N/A</v>
      </c>
      <c r="I386" s="111" t="e">
        <f>IF(ISBLANK(H386),0,IF(H386=Answers!H386,1,-1))</f>
        <v>#N/A</v>
      </c>
      <c r="J386" s="78" t="s">
        <v>351</v>
      </c>
      <c r="K386" s="78" t="s">
        <v>351</v>
      </c>
      <c r="L386" s="78" t="s">
        <v>351</v>
      </c>
      <c r="M386" s="78" t="s">
        <v>351</v>
      </c>
      <c r="N386" s="54"/>
      <c r="O386" s="78" t="s">
        <v>354</v>
      </c>
      <c r="P386" s="100"/>
      <c r="Q386" s="100"/>
      <c r="R386" s="100"/>
      <c r="S386" s="100"/>
      <c r="T386" s="100"/>
    </row>
    <row r="387" spans="2:20" ht="23.25">
      <c r="B387" s="68">
        <v>105</v>
      </c>
      <c r="C387" s="68">
        <f t="shared" si="73"/>
        <v>6</v>
      </c>
      <c r="D387" s="76">
        <v>12</v>
      </c>
      <c r="E387" s="2">
        <v>5</v>
      </c>
      <c r="F387" s="3" t="s">
        <v>75</v>
      </c>
      <c r="G387" s="3" t="s">
        <v>76</v>
      </c>
      <c r="H387" s="47" t="e">
        <f>'L6 Calc'!Q38</f>
        <v>#N/A</v>
      </c>
      <c r="I387" s="111" t="e">
        <f>IF(ISBLANK(H387),0,IF(H387=Answers!H387,1,-1))</f>
        <v>#N/A</v>
      </c>
      <c r="J387" s="78" t="s">
        <v>351</v>
      </c>
      <c r="K387" s="78" t="s">
        <v>351</v>
      </c>
      <c r="L387" s="78" t="s">
        <v>351</v>
      </c>
      <c r="M387" s="78" t="s">
        <v>351</v>
      </c>
      <c r="N387" s="54"/>
      <c r="O387" s="78" t="s">
        <v>355</v>
      </c>
      <c r="P387" s="100"/>
      <c r="Q387" s="100"/>
      <c r="R387" s="100"/>
      <c r="S387" s="100"/>
      <c r="T387" s="100"/>
    </row>
    <row r="388" spans="2:20" ht="23.25">
      <c r="B388" s="68">
        <v>106</v>
      </c>
      <c r="C388" s="68">
        <f t="shared" si="73"/>
        <v>6</v>
      </c>
      <c r="D388" s="76">
        <v>12</v>
      </c>
      <c r="E388" s="2">
        <v>6</v>
      </c>
      <c r="F388" s="3" t="s">
        <v>74</v>
      </c>
      <c r="G388" s="3" t="s">
        <v>73</v>
      </c>
      <c r="H388" s="47" t="e">
        <f>'L6 Calc'!Q39</f>
        <v>#N/A</v>
      </c>
      <c r="I388" s="111" t="e">
        <f>IF(ISBLANK(H388),0,IF(H388=Answers!H388,1,-1))</f>
        <v>#N/A</v>
      </c>
      <c r="J388" s="78" t="s">
        <v>351</v>
      </c>
      <c r="K388" s="78" t="s">
        <v>351</v>
      </c>
      <c r="L388" s="78" t="s">
        <v>351</v>
      </c>
      <c r="M388" s="78" t="s">
        <v>351</v>
      </c>
      <c r="N388" s="54"/>
      <c r="O388" s="78" t="s">
        <v>356</v>
      </c>
      <c r="P388" s="100"/>
      <c r="Q388" s="100"/>
      <c r="R388" s="100"/>
      <c r="S388" s="100"/>
      <c r="T388" s="100"/>
    </row>
    <row r="389" spans="2:20" ht="23.25">
      <c r="B389" s="68">
        <v>107</v>
      </c>
      <c r="C389" s="68">
        <f t="shared" si="73"/>
        <v>6</v>
      </c>
      <c r="D389" s="76">
        <v>12</v>
      </c>
      <c r="E389" s="2">
        <v>7</v>
      </c>
      <c r="F389" s="3" t="s">
        <v>72</v>
      </c>
      <c r="G389" s="3" t="s">
        <v>76</v>
      </c>
      <c r="H389" s="47" t="e">
        <f>'L6 Calc'!Q40</f>
        <v>#N/A</v>
      </c>
      <c r="I389" s="111" t="e">
        <f>IF(ISBLANK(H389),0,IF(H389=Answers!H389,1,-1))</f>
        <v>#N/A</v>
      </c>
      <c r="J389" s="78" t="s">
        <v>351</v>
      </c>
      <c r="K389" s="78" t="s">
        <v>351</v>
      </c>
      <c r="L389" s="78" t="s">
        <v>351</v>
      </c>
      <c r="M389" s="78" t="s">
        <v>351</v>
      </c>
      <c r="N389" s="54"/>
      <c r="O389" s="78" t="s">
        <v>357</v>
      </c>
      <c r="P389" s="100"/>
      <c r="Q389" s="100"/>
      <c r="R389" s="100"/>
      <c r="S389" s="100"/>
      <c r="T389" s="100"/>
    </row>
    <row r="390" spans="2:20" ht="23.25">
      <c r="B390" s="68">
        <v>108</v>
      </c>
      <c r="C390" s="68">
        <f t="shared" si="73"/>
        <v>6</v>
      </c>
      <c r="D390" s="76">
        <v>12</v>
      </c>
      <c r="E390" s="2">
        <v>8</v>
      </c>
      <c r="F390" s="3" t="s">
        <v>67</v>
      </c>
      <c r="G390" s="3" t="s">
        <v>77</v>
      </c>
      <c r="H390" s="47" t="e">
        <f>'L6 Calc'!Q41</f>
        <v>#N/A</v>
      </c>
      <c r="I390" s="111" t="e">
        <f>IF(ISBLANK(H390),0,IF(H390=Answers!H390,1,-1))</f>
        <v>#N/A</v>
      </c>
      <c r="J390" s="78" t="s">
        <v>351</v>
      </c>
      <c r="K390" s="78" t="s">
        <v>351</v>
      </c>
      <c r="L390" s="78" t="s">
        <v>351</v>
      </c>
      <c r="M390" s="78" t="s">
        <v>351</v>
      </c>
      <c r="N390" s="54"/>
      <c r="O390" s="78" t="s">
        <v>357</v>
      </c>
      <c r="P390" s="100"/>
      <c r="Q390" s="100"/>
      <c r="R390" s="100"/>
      <c r="S390" s="100"/>
      <c r="T390" s="100"/>
    </row>
    <row r="391" spans="2:20" ht="23.25">
      <c r="B391" s="68">
        <v>109</v>
      </c>
      <c r="C391" s="68">
        <f t="shared" si="73"/>
        <v>6</v>
      </c>
      <c r="D391" s="76">
        <v>12</v>
      </c>
      <c r="E391" s="2">
        <v>9</v>
      </c>
      <c r="F391" s="3" t="s">
        <v>67</v>
      </c>
      <c r="G391" s="3" t="s">
        <v>78</v>
      </c>
      <c r="H391" s="47" t="e">
        <f>'L6 Calc'!Q42</f>
        <v>#N/A</v>
      </c>
      <c r="I391" s="111" t="e">
        <f>IF(ISBLANK(H391),0,IF(H391=Answers!H391,1,-1))</f>
        <v>#N/A</v>
      </c>
      <c r="J391" s="78" t="s">
        <v>351</v>
      </c>
      <c r="K391" s="78" t="s">
        <v>351</v>
      </c>
      <c r="L391" s="78" t="s">
        <v>351</v>
      </c>
      <c r="M391" s="78" t="s">
        <v>351</v>
      </c>
      <c r="N391" s="54"/>
      <c r="O391" s="78" t="s">
        <v>353</v>
      </c>
      <c r="P391" s="100"/>
      <c r="Q391" s="100"/>
      <c r="R391" s="100"/>
      <c r="S391" s="100"/>
      <c r="T391" s="100"/>
    </row>
    <row r="392" spans="2:20" ht="23.25">
      <c r="B392" s="68">
        <v>110</v>
      </c>
      <c r="C392" s="68">
        <f t="shared" si="73"/>
        <v>6</v>
      </c>
      <c r="D392" s="76">
        <v>12</v>
      </c>
      <c r="E392" s="2">
        <v>10</v>
      </c>
      <c r="F392" s="3" t="s">
        <v>74</v>
      </c>
      <c r="G392" s="3" t="s">
        <v>79</v>
      </c>
      <c r="H392" s="47" t="e">
        <f>'L6 Calc'!Q43</f>
        <v>#N/A</v>
      </c>
      <c r="I392" s="111" t="e">
        <f>IF(ISBLANK(H392),0,IF(H392=Answers!H392,1,-1))</f>
        <v>#N/A</v>
      </c>
      <c r="J392" s="78" t="s">
        <v>351</v>
      </c>
      <c r="K392" s="78" t="s">
        <v>351</v>
      </c>
      <c r="L392" s="78" t="s">
        <v>351</v>
      </c>
      <c r="M392" s="78" t="s">
        <v>351</v>
      </c>
      <c r="N392" s="54"/>
      <c r="O392" s="78" t="s">
        <v>353</v>
      </c>
      <c r="P392" s="100"/>
      <c r="Q392" s="100"/>
      <c r="R392" s="100"/>
      <c r="S392" s="100"/>
      <c r="T392" s="100"/>
    </row>
    <row r="393" spans="2:20" ht="23.25">
      <c r="B393" s="68">
        <v>111</v>
      </c>
      <c r="C393" s="68">
        <f t="shared" si="73"/>
        <v>6</v>
      </c>
      <c r="D393" s="76">
        <v>12</v>
      </c>
      <c r="E393" s="2">
        <v>11</v>
      </c>
      <c r="F393" s="3" t="s">
        <v>67</v>
      </c>
      <c r="G393" s="3" t="s">
        <v>68</v>
      </c>
      <c r="H393" s="47" t="e">
        <f>'L6 Calc'!Q44</f>
        <v>#N/A</v>
      </c>
      <c r="I393" s="111" t="e">
        <f>IF(ISBLANK(H393),0,IF(H393=Answers!H393,1,-1))</f>
        <v>#N/A</v>
      </c>
      <c r="J393" s="78" t="s">
        <v>351</v>
      </c>
      <c r="K393" s="78" t="s">
        <v>351</v>
      </c>
      <c r="L393" s="78" t="s">
        <v>351</v>
      </c>
      <c r="M393" s="78" t="s">
        <v>351</v>
      </c>
      <c r="N393" s="54"/>
      <c r="O393" s="78" t="s">
        <v>358</v>
      </c>
      <c r="P393" s="100"/>
      <c r="Q393" s="100"/>
      <c r="R393" s="100"/>
      <c r="S393" s="100"/>
      <c r="T393" s="100"/>
    </row>
    <row r="394" spans="2:20" ht="23.25">
      <c r="B394" s="68">
        <v>112</v>
      </c>
      <c r="C394" s="68">
        <f t="shared" si="73"/>
        <v>6</v>
      </c>
      <c r="D394" s="76">
        <v>12</v>
      </c>
      <c r="E394" s="2">
        <v>12</v>
      </c>
      <c r="F394" s="3" t="s">
        <v>72</v>
      </c>
      <c r="G394" s="3" t="s">
        <v>71</v>
      </c>
      <c r="H394" s="47" t="e">
        <f>'L6 Calc'!Q45</f>
        <v>#N/A</v>
      </c>
      <c r="I394" s="111" t="e">
        <f>IF(ISBLANK(H394),0,IF(H394=Answers!H394,1,-1))</f>
        <v>#N/A</v>
      </c>
      <c r="J394" s="78" t="s">
        <v>351</v>
      </c>
      <c r="K394" s="78" t="s">
        <v>351</v>
      </c>
      <c r="L394" s="78" t="s">
        <v>351</v>
      </c>
      <c r="M394" s="78" t="s">
        <v>351</v>
      </c>
      <c r="N394" s="54"/>
      <c r="O394" s="78" t="s">
        <v>358</v>
      </c>
      <c r="P394" s="100"/>
      <c r="Q394" s="100"/>
      <c r="R394" s="100"/>
      <c r="S394" s="100"/>
      <c r="T394" s="100"/>
    </row>
    <row r="395" spans="2:20" ht="23.25">
      <c r="B395" s="68">
        <v>113</v>
      </c>
      <c r="C395" s="68">
        <f t="shared" si="73"/>
        <v>6</v>
      </c>
      <c r="D395" s="76">
        <v>12</v>
      </c>
      <c r="E395" s="2">
        <v>13</v>
      </c>
      <c r="F395" s="3" t="s">
        <v>74</v>
      </c>
      <c r="G395" s="3" t="s">
        <v>77</v>
      </c>
      <c r="H395" s="47" t="e">
        <f>'L6 Calc'!Q46</f>
        <v>#N/A</v>
      </c>
      <c r="I395" s="111" t="e">
        <f>IF(ISBLANK(H395),0,IF(H395=Answers!H395,1,-1))</f>
        <v>#N/A</v>
      </c>
      <c r="J395" s="78" t="s">
        <v>351</v>
      </c>
      <c r="K395" s="78" t="s">
        <v>351</v>
      </c>
      <c r="L395" s="78" t="s">
        <v>351</v>
      </c>
      <c r="M395" s="78" t="s">
        <v>351</v>
      </c>
      <c r="N395" s="54"/>
      <c r="O395" s="78" t="s">
        <v>356</v>
      </c>
      <c r="P395" s="100"/>
      <c r="Q395" s="100"/>
      <c r="R395" s="100"/>
      <c r="S395" s="100"/>
      <c r="T395" s="100"/>
    </row>
    <row r="396" spans="2:20" ht="23.25">
      <c r="B396" s="68">
        <v>114</v>
      </c>
      <c r="C396" s="68">
        <f t="shared" si="73"/>
        <v>6</v>
      </c>
      <c r="D396" s="76">
        <v>12</v>
      </c>
      <c r="E396" s="2">
        <v>14</v>
      </c>
      <c r="F396" s="3" t="s">
        <v>72</v>
      </c>
      <c r="G396" s="3" t="s">
        <v>79</v>
      </c>
      <c r="H396" s="47" t="e">
        <f>'L6 Calc'!Q47</f>
        <v>#N/A</v>
      </c>
      <c r="I396" s="111" t="e">
        <f>IF(ISBLANK(H396),0,IF(H396=Answers!H396,1,-1))</f>
        <v>#N/A</v>
      </c>
      <c r="J396" s="78" t="s">
        <v>351</v>
      </c>
      <c r="K396" s="78" t="s">
        <v>351</v>
      </c>
      <c r="L396" s="78" t="s">
        <v>351</v>
      </c>
      <c r="M396" s="78" t="s">
        <v>351</v>
      </c>
      <c r="N396" s="54"/>
      <c r="O396" s="78" t="s">
        <v>359</v>
      </c>
      <c r="P396" s="100"/>
      <c r="Q396" s="100"/>
      <c r="R396" s="100"/>
      <c r="S396" s="100"/>
      <c r="T396" s="100"/>
    </row>
    <row r="397" spans="2:20" ht="23.25">
      <c r="B397" s="68">
        <v>115</v>
      </c>
      <c r="C397" s="68">
        <f t="shared" si="73"/>
        <v>6</v>
      </c>
      <c r="D397" s="76">
        <v>12</v>
      </c>
      <c r="E397" s="2">
        <v>15</v>
      </c>
      <c r="F397" s="3" t="s">
        <v>75</v>
      </c>
      <c r="G397" s="3" t="s">
        <v>78</v>
      </c>
      <c r="H397" s="47" t="e">
        <f>'L6 Calc'!Q48</f>
        <v>#N/A</v>
      </c>
      <c r="I397" s="111" t="e">
        <f>IF(ISBLANK(H397),0,IF(H397=Answers!H397,1,-1))</f>
        <v>#N/A</v>
      </c>
      <c r="J397" s="78" t="s">
        <v>351</v>
      </c>
      <c r="K397" s="78" t="s">
        <v>351</v>
      </c>
      <c r="L397" s="78" t="s">
        <v>351</v>
      </c>
      <c r="M397" s="78" t="s">
        <v>351</v>
      </c>
      <c r="N397" s="54"/>
      <c r="O397" s="78" t="s">
        <v>350</v>
      </c>
      <c r="P397" s="100"/>
      <c r="Q397" s="100"/>
      <c r="R397" s="100"/>
      <c r="S397" s="100"/>
      <c r="T397" s="100"/>
    </row>
    <row r="398" spans="2:20" ht="23.25">
      <c r="B398" s="68">
        <v>116</v>
      </c>
      <c r="C398" s="68">
        <f t="shared" si="73"/>
        <v>6</v>
      </c>
      <c r="D398" s="76">
        <v>12</v>
      </c>
      <c r="E398" s="2">
        <v>16</v>
      </c>
      <c r="F398" s="3" t="s">
        <v>72</v>
      </c>
      <c r="G398" s="3" t="s">
        <v>78</v>
      </c>
      <c r="H398" s="47" t="e">
        <f>'L6 Calc'!Q49</f>
        <v>#N/A</v>
      </c>
      <c r="I398" s="111" t="e">
        <f>IF(ISBLANK(H398),0,IF(H398=Answers!H398,1,-1))</f>
        <v>#N/A</v>
      </c>
      <c r="J398" s="78" t="s">
        <v>351</v>
      </c>
      <c r="K398" s="78" t="s">
        <v>351</v>
      </c>
      <c r="L398" s="78" t="s">
        <v>351</v>
      </c>
      <c r="M398" s="78" t="s">
        <v>351</v>
      </c>
      <c r="N398" s="54"/>
      <c r="O398" s="78" t="s">
        <v>350</v>
      </c>
      <c r="P398" s="100"/>
      <c r="Q398" s="100"/>
      <c r="R398" s="100"/>
      <c r="S398" s="100"/>
      <c r="T398" s="100"/>
    </row>
    <row r="399" spans="2:20" ht="23.25">
      <c r="B399" s="68">
        <v>117</v>
      </c>
      <c r="C399" s="68">
        <f t="shared" si="73"/>
        <v>6</v>
      </c>
      <c r="D399" s="76">
        <v>12</v>
      </c>
      <c r="E399" s="2">
        <v>17</v>
      </c>
      <c r="F399" s="3" t="s">
        <v>74</v>
      </c>
      <c r="G399" s="3" t="s">
        <v>77</v>
      </c>
      <c r="H399" s="47" t="e">
        <f>'L6 Calc'!Q50</f>
        <v>#N/A</v>
      </c>
      <c r="I399" s="111" t="e">
        <f>IF(ISBLANK(H399),0,IF(H399=Answers!H399,1,-1))</f>
        <v>#N/A</v>
      </c>
      <c r="J399" s="78" t="s">
        <v>351</v>
      </c>
      <c r="K399" s="78" t="s">
        <v>351</v>
      </c>
      <c r="L399" s="78" t="s">
        <v>351</v>
      </c>
      <c r="M399" s="78" t="s">
        <v>351</v>
      </c>
      <c r="N399" s="54"/>
      <c r="O399" s="78" t="s">
        <v>357</v>
      </c>
      <c r="P399" s="100"/>
      <c r="Q399" s="100"/>
      <c r="R399" s="100"/>
      <c r="S399" s="100"/>
      <c r="T399" s="100"/>
    </row>
    <row r="400" spans="2:20" ht="23.25">
      <c r="B400" s="68">
        <v>118</v>
      </c>
      <c r="C400" s="68">
        <f t="shared" si="73"/>
        <v>6</v>
      </c>
      <c r="D400" s="76">
        <v>12</v>
      </c>
      <c r="E400" s="2">
        <v>18</v>
      </c>
      <c r="F400" s="3" t="s">
        <v>72</v>
      </c>
      <c r="G400" s="3" t="s">
        <v>73</v>
      </c>
      <c r="H400" s="47" t="e">
        <f>'L6 Calc'!Q51</f>
        <v>#N/A</v>
      </c>
      <c r="I400" s="111" t="e">
        <f>IF(ISBLANK(H400),0,IF(H400=Answers!H400,1,-1))</f>
        <v>#N/A</v>
      </c>
      <c r="J400" s="78" t="s">
        <v>351</v>
      </c>
      <c r="K400" s="78" t="s">
        <v>351</v>
      </c>
      <c r="L400" s="78" t="s">
        <v>351</v>
      </c>
      <c r="M400" s="78" t="s">
        <v>351</v>
      </c>
      <c r="N400" s="54"/>
      <c r="O400" s="78" t="s">
        <v>360</v>
      </c>
      <c r="P400" s="100"/>
      <c r="Q400" s="100"/>
      <c r="R400" s="100"/>
      <c r="S400" s="100"/>
      <c r="T400" s="100"/>
    </row>
    <row r="401" spans="2:20" ht="23.25">
      <c r="B401" s="68">
        <v>119</v>
      </c>
      <c r="C401" s="68">
        <f t="shared" si="73"/>
        <v>6</v>
      </c>
      <c r="D401" s="76">
        <v>12</v>
      </c>
      <c r="E401" s="2">
        <v>19</v>
      </c>
      <c r="F401" s="3" t="s">
        <v>72</v>
      </c>
      <c r="G401" s="3" t="s">
        <v>73</v>
      </c>
      <c r="H401" s="47" t="e">
        <f>'L6 Calc'!Q52</f>
        <v>#N/A</v>
      </c>
      <c r="I401" s="111" t="e">
        <f>IF(ISBLANK(H401),0,IF(H401=Answers!H401,1,-1))</f>
        <v>#N/A</v>
      </c>
      <c r="J401" s="78" t="s">
        <v>351</v>
      </c>
      <c r="K401" s="78" t="s">
        <v>351</v>
      </c>
      <c r="L401" s="78" t="s">
        <v>351</v>
      </c>
      <c r="M401" s="78" t="s">
        <v>351</v>
      </c>
      <c r="N401" s="54"/>
      <c r="O401" s="78" t="s">
        <v>361</v>
      </c>
      <c r="P401" s="100"/>
      <c r="Q401" s="100"/>
      <c r="R401" s="100"/>
      <c r="S401" s="100"/>
      <c r="T401" s="100"/>
    </row>
    <row r="402" spans="2:20" ht="23.25">
      <c r="B402" s="68">
        <v>120</v>
      </c>
      <c r="C402" s="68">
        <f t="shared" si="73"/>
        <v>6</v>
      </c>
      <c r="D402" s="76">
        <v>12</v>
      </c>
      <c r="E402" s="2">
        <v>20</v>
      </c>
      <c r="F402" s="3" t="s">
        <v>75</v>
      </c>
      <c r="G402" s="3" t="s">
        <v>80</v>
      </c>
      <c r="H402" s="47" t="e">
        <f>'L6 Calc'!Q53</f>
        <v>#N/A</v>
      </c>
      <c r="I402" s="111" t="e">
        <f>IF(ISBLANK(H402),0,IF(H402=Answers!H402,1,-1))</f>
        <v>#N/A</v>
      </c>
      <c r="J402" s="78" t="s">
        <v>351</v>
      </c>
      <c r="K402" s="78" t="s">
        <v>351</v>
      </c>
      <c r="L402" s="78" t="s">
        <v>351</v>
      </c>
      <c r="M402" s="78" t="s">
        <v>351</v>
      </c>
      <c r="N402" s="54"/>
      <c r="O402" s="78" t="s">
        <v>358</v>
      </c>
      <c r="P402" s="100"/>
      <c r="Q402" s="100"/>
      <c r="R402" s="100"/>
      <c r="S402" s="100"/>
      <c r="T402" s="100"/>
    </row>
    <row r="403" spans="2:20" ht="15" customHeight="1">
      <c r="J403" s="91"/>
      <c r="K403" s="91"/>
      <c r="L403" s="91"/>
      <c r="M403" s="91"/>
      <c r="N403" s="91"/>
      <c r="O403" s="91"/>
    </row>
    <row r="404" spans="2:20" ht="15" customHeight="1" thickBot="1">
      <c r="J404" s="91"/>
      <c r="K404" s="91"/>
      <c r="L404" s="91"/>
      <c r="M404" s="91"/>
      <c r="N404" s="91"/>
      <c r="O404" s="91"/>
    </row>
    <row r="405" spans="2:20" ht="25.5" customHeight="1" thickBot="1">
      <c r="B405" s="48" t="s">
        <v>35</v>
      </c>
      <c r="C405" s="49" t="s">
        <v>362</v>
      </c>
      <c r="D405" s="73" t="s">
        <v>363</v>
      </c>
      <c r="E405" s="54"/>
      <c r="F405" s="54"/>
      <c r="G405" s="54"/>
      <c r="H405" s="87"/>
      <c r="I405" s="92"/>
      <c r="J405" s="1" t="s">
        <v>364</v>
      </c>
      <c r="K405" s="1" t="s">
        <v>365</v>
      </c>
      <c r="L405" s="1" t="s">
        <v>308</v>
      </c>
      <c r="M405" s="1" t="s">
        <v>366</v>
      </c>
      <c r="N405" s="1" t="s">
        <v>367</v>
      </c>
    </row>
    <row r="406" spans="2:20">
      <c r="B406" s="75"/>
      <c r="C406" s="54"/>
      <c r="D406" s="54"/>
      <c r="E406" s="54"/>
      <c r="F406" s="54"/>
      <c r="G406" s="54"/>
      <c r="H406" s="87"/>
      <c r="I406" s="92"/>
      <c r="J406" s="35" t="s">
        <v>368</v>
      </c>
      <c r="K406" s="110">
        <v>20000</v>
      </c>
      <c r="L406" s="110">
        <v>1100</v>
      </c>
      <c r="M406" s="110">
        <v>150000</v>
      </c>
      <c r="N406" s="110">
        <f>L406*2</f>
        <v>2200</v>
      </c>
    </row>
    <row r="407" spans="2:20">
      <c r="B407" s="75" t="s">
        <v>369</v>
      </c>
      <c r="C407" s="52"/>
      <c r="D407" s="52"/>
      <c r="E407" s="52"/>
      <c r="F407" s="52"/>
      <c r="G407" s="52"/>
      <c r="H407" s="53"/>
      <c r="J407" s="35" t="s">
        <v>370</v>
      </c>
      <c r="K407" s="110">
        <v>50000</v>
      </c>
      <c r="L407" s="110">
        <v>1250</v>
      </c>
      <c r="M407" s="110">
        <v>550000</v>
      </c>
      <c r="N407" s="110">
        <f t="shared" ref="N407:N415" si="74">L407*2</f>
        <v>2500</v>
      </c>
      <c r="S407" s="54"/>
      <c r="T407" s="54"/>
    </row>
    <row r="408" spans="2:20">
      <c r="B408" s="75" t="s">
        <v>371</v>
      </c>
      <c r="C408" s="21"/>
      <c r="D408" s="52"/>
      <c r="E408" s="52"/>
      <c r="F408" s="52"/>
      <c r="G408" s="52"/>
      <c r="H408" s="53"/>
      <c r="J408" s="35" t="s">
        <v>372</v>
      </c>
      <c r="K408" s="110">
        <v>25000</v>
      </c>
      <c r="L408" s="110">
        <v>1150</v>
      </c>
      <c r="M408" s="110">
        <v>175000</v>
      </c>
      <c r="N408" s="110">
        <f t="shared" si="74"/>
        <v>2300</v>
      </c>
      <c r="S408" s="54"/>
      <c r="T408" s="54"/>
    </row>
    <row r="409" spans="2:20">
      <c r="B409" s="75" t="s">
        <v>373</v>
      </c>
      <c r="C409" s="21"/>
      <c r="D409" s="52"/>
      <c r="E409" s="52"/>
      <c r="F409" s="52"/>
      <c r="G409" s="52"/>
      <c r="H409" s="53"/>
      <c r="J409" s="35" t="s">
        <v>374</v>
      </c>
      <c r="K409" s="110">
        <v>50000</v>
      </c>
      <c r="L409" s="110">
        <v>1300</v>
      </c>
      <c r="M409" s="110">
        <v>370000</v>
      </c>
      <c r="N409" s="110">
        <f t="shared" si="74"/>
        <v>2600</v>
      </c>
      <c r="S409" s="54"/>
      <c r="T409" s="54"/>
    </row>
    <row r="410" spans="2:20">
      <c r="B410" s="75" t="s">
        <v>375</v>
      </c>
      <c r="C410" s="21"/>
      <c r="D410" s="52"/>
      <c r="E410" s="52"/>
      <c r="F410" s="52"/>
      <c r="G410" s="52"/>
      <c r="H410" s="53"/>
      <c r="J410" s="35" t="s">
        <v>376</v>
      </c>
      <c r="K410" s="110">
        <v>60000</v>
      </c>
      <c r="L410" s="110">
        <v>1250</v>
      </c>
      <c r="M410" s="110">
        <v>300000</v>
      </c>
      <c r="N410" s="110">
        <f t="shared" si="74"/>
        <v>2500</v>
      </c>
      <c r="S410" s="54"/>
      <c r="T410" s="54"/>
    </row>
    <row r="411" spans="2:20">
      <c r="B411" s="75" t="s">
        <v>377</v>
      </c>
      <c r="C411" s="21"/>
      <c r="D411" s="52"/>
      <c r="E411" s="52"/>
      <c r="F411" s="52"/>
      <c r="G411" s="52"/>
      <c r="H411" s="53"/>
      <c r="J411" s="35" t="s">
        <v>378</v>
      </c>
      <c r="K411" s="110">
        <v>30000</v>
      </c>
      <c r="L411" s="110">
        <v>1200</v>
      </c>
      <c r="M411" s="110">
        <v>175000</v>
      </c>
      <c r="N411" s="110">
        <f t="shared" si="74"/>
        <v>2400</v>
      </c>
      <c r="S411" s="54"/>
      <c r="T411" s="54"/>
    </row>
    <row r="412" spans="2:20">
      <c r="C412" s="21"/>
      <c r="D412" s="52"/>
      <c r="E412" s="52"/>
      <c r="F412" s="52"/>
      <c r="G412" s="52"/>
      <c r="H412" s="53"/>
      <c r="J412" s="35" t="s">
        <v>379</v>
      </c>
      <c r="K412" s="110">
        <v>70000</v>
      </c>
      <c r="L412" s="110">
        <v>1400</v>
      </c>
      <c r="M412" s="110">
        <v>350000</v>
      </c>
      <c r="N412" s="110">
        <f t="shared" si="74"/>
        <v>2800</v>
      </c>
      <c r="S412" s="54"/>
      <c r="T412" s="54"/>
    </row>
    <row r="413" spans="2:20">
      <c r="B413" s="75" t="s">
        <v>380</v>
      </c>
      <c r="C413" s="21"/>
      <c r="D413" s="52"/>
      <c r="E413" s="52"/>
      <c r="F413" s="52"/>
      <c r="G413" s="52"/>
      <c r="H413" s="53"/>
      <c r="J413" s="35" t="s">
        <v>381</v>
      </c>
      <c r="K413" s="110">
        <v>75000</v>
      </c>
      <c r="L413" s="110">
        <v>1700</v>
      </c>
      <c r="M413" s="110">
        <v>550000</v>
      </c>
      <c r="N413" s="110">
        <f t="shared" si="74"/>
        <v>3400</v>
      </c>
      <c r="S413" s="54"/>
      <c r="T413" s="54"/>
    </row>
    <row r="414" spans="2:20">
      <c r="B414" s="75" t="s">
        <v>382</v>
      </c>
      <c r="C414" s="21"/>
      <c r="D414" s="52"/>
      <c r="E414" s="52"/>
      <c r="F414" s="52"/>
      <c r="G414" s="52"/>
      <c r="H414" s="53"/>
      <c r="J414" s="35" t="s">
        <v>383</v>
      </c>
      <c r="K414" s="110">
        <v>100000</v>
      </c>
      <c r="L414" s="110">
        <v>1350</v>
      </c>
      <c r="M414" s="110">
        <v>500000</v>
      </c>
      <c r="N414" s="110">
        <f t="shared" si="74"/>
        <v>2700</v>
      </c>
      <c r="S414" s="54"/>
      <c r="T414" s="54"/>
    </row>
    <row r="415" spans="2:20">
      <c r="B415" s="109" t="s">
        <v>384</v>
      </c>
      <c r="C415" s="52"/>
      <c r="D415" s="52"/>
      <c r="E415" s="52"/>
      <c r="F415" s="52"/>
      <c r="G415" s="52"/>
      <c r="H415" s="53"/>
      <c r="J415" s="35" t="s">
        <v>385</v>
      </c>
      <c r="K415" s="110">
        <v>500000</v>
      </c>
      <c r="L415" s="110">
        <v>2650</v>
      </c>
      <c r="M415" s="110">
        <v>1000000</v>
      </c>
      <c r="N415" s="110">
        <f t="shared" si="74"/>
        <v>5300</v>
      </c>
      <c r="S415" s="54"/>
      <c r="T415" s="54"/>
    </row>
    <row r="416" spans="2:20" ht="15.75">
      <c r="B416" s="109" t="s">
        <v>386</v>
      </c>
      <c r="C416" s="52"/>
      <c r="D416" s="52"/>
      <c r="E416" s="52"/>
      <c r="F416" s="52"/>
      <c r="G416" s="52"/>
      <c r="H416" s="53"/>
      <c r="J416" s="91"/>
      <c r="K416" s="91"/>
      <c r="L416" s="91"/>
      <c r="M416" s="91"/>
      <c r="N416" s="91"/>
      <c r="O416" s="91"/>
      <c r="P416" s="54"/>
      <c r="Q416" s="54"/>
      <c r="R416" s="54"/>
      <c r="S416" s="54"/>
      <c r="T416" s="54"/>
    </row>
    <row r="417" spans="2:20" ht="15.75">
      <c r="B417" s="109" t="s">
        <v>387</v>
      </c>
      <c r="C417" s="52"/>
      <c r="D417" s="52"/>
      <c r="E417" s="52"/>
      <c r="F417" s="52"/>
      <c r="G417" s="52"/>
      <c r="H417" s="53"/>
      <c r="J417" s="91"/>
      <c r="K417" s="91"/>
      <c r="L417" s="91"/>
      <c r="M417" s="91"/>
      <c r="N417" s="91"/>
      <c r="O417" s="91"/>
      <c r="P417" s="54"/>
      <c r="Q417" s="54"/>
      <c r="R417" s="54"/>
      <c r="S417" s="54"/>
      <c r="T417" s="54"/>
    </row>
    <row r="418" spans="2:20" ht="15.75">
      <c r="B418" s="109" t="s">
        <v>388</v>
      </c>
      <c r="C418" s="52"/>
      <c r="D418" s="52"/>
      <c r="E418" s="52"/>
      <c r="F418" s="52"/>
      <c r="G418" s="52"/>
      <c r="H418" s="53"/>
      <c r="J418" s="91"/>
      <c r="K418" s="91"/>
      <c r="L418" s="91"/>
      <c r="M418" s="91"/>
      <c r="N418" s="91"/>
      <c r="O418" s="91"/>
      <c r="P418" s="54"/>
      <c r="Q418" s="54"/>
      <c r="R418" s="54"/>
      <c r="S418" s="54"/>
      <c r="T418" s="54"/>
    </row>
    <row r="419" spans="2:20" ht="15.75">
      <c r="B419" s="75" t="s">
        <v>389</v>
      </c>
      <c r="C419" s="52"/>
      <c r="D419" s="52"/>
      <c r="E419" s="52"/>
      <c r="F419" s="52"/>
      <c r="G419" s="52"/>
      <c r="H419" s="53"/>
      <c r="J419" s="91" t="s">
        <v>54</v>
      </c>
      <c r="K419" s="91"/>
      <c r="L419" s="91"/>
      <c r="M419" s="91"/>
      <c r="N419" s="91"/>
      <c r="O419" s="91"/>
      <c r="P419" s="54"/>
      <c r="Q419" s="54"/>
      <c r="R419" s="54"/>
      <c r="S419" s="54"/>
      <c r="T419" s="54"/>
    </row>
    <row r="420" spans="2:20" ht="15.75">
      <c r="B420" s="75" t="s">
        <v>390</v>
      </c>
      <c r="C420" s="52"/>
      <c r="D420" s="52"/>
      <c r="E420" s="52"/>
      <c r="F420" s="52"/>
      <c r="G420" s="52"/>
      <c r="H420" s="53"/>
      <c r="J420" s="148" t="s">
        <v>391</v>
      </c>
      <c r="K420" s="91"/>
      <c r="L420" s="91"/>
      <c r="M420" s="91"/>
      <c r="N420" s="91"/>
      <c r="O420" s="91"/>
      <c r="P420" s="54"/>
      <c r="Q420" s="54"/>
      <c r="R420" s="54"/>
      <c r="S420" s="54"/>
      <c r="T420" s="54"/>
    </row>
    <row r="421" spans="2:20" ht="15.75">
      <c r="B421" s="80"/>
      <c r="C421" s="52"/>
      <c r="D421" s="52"/>
      <c r="E421" s="52"/>
      <c r="F421" s="52"/>
      <c r="G421" s="52"/>
      <c r="H421" s="53"/>
      <c r="J421" s="91"/>
      <c r="K421" s="91"/>
      <c r="L421" s="91"/>
      <c r="M421" s="91"/>
      <c r="N421" s="91"/>
      <c r="O421" s="91"/>
      <c r="P421" s="54"/>
      <c r="Q421" s="54"/>
      <c r="R421" s="54"/>
      <c r="S421" s="54"/>
      <c r="T421" s="54"/>
    </row>
    <row r="422" spans="2:20" ht="15.75">
      <c r="B422" s="75" t="s">
        <v>392</v>
      </c>
      <c r="C422" s="52" t="s">
        <v>393</v>
      </c>
      <c r="D422" s="52"/>
      <c r="E422" s="52"/>
      <c r="F422" s="52"/>
      <c r="G422" s="52"/>
      <c r="H422" s="53"/>
      <c r="J422" s="91"/>
      <c r="K422" s="91"/>
      <c r="L422" s="91"/>
      <c r="M422" s="91"/>
      <c r="N422" s="91"/>
      <c r="O422" s="91"/>
      <c r="P422" s="54"/>
      <c r="Q422" s="54"/>
      <c r="R422" s="54"/>
      <c r="S422" s="54"/>
      <c r="T422" s="54"/>
    </row>
    <row r="423" spans="2:20" ht="15.75" outlineLevel="1">
      <c r="B423" s="75"/>
      <c r="C423" s="52" t="s">
        <v>394</v>
      </c>
      <c r="D423" s="52"/>
      <c r="E423" s="52"/>
      <c r="F423" s="52"/>
      <c r="G423" s="52"/>
      <c r="H423" s="53"/>
      <c r="J423" s="91"/>
      <c r="K423" s="91"/>
      <c r="L423" s="91"/>
      <c r="M423" s="91"/>
      <c r="N423" s="91"/>
      <c r="O423" s="91"/>
      <c r="P423" s="54"/>
      <c r="Q423" s="54"/>
      <c r="R423" s="54"/>
      <c r="S423" s="54"/>
      <c r="T423" s="54"/>
    </row>
    <row r="424" spans="2:20" ht="15.75" outlineLevel="1">
      <c r="B424" s="75"/>
      <c r="C424" s="52" t="s">
        <v>395</v>
      </c>
      <c r="D424" s="52"/>
      <c r="E424" s="52"/>
      <c r="F424" s="52"/>
      <c r="G424" s="52"/>
      <c r="H424" s="53"/>
      <c r="J424" s="91"/>
      <c r="K424" s="91"/>
      <c r="L424" s="91"/>
      <c r="M424" s="91"/>
      <c r="N424" s="91"/>
      <c r="O424" s="91"/>
      <c r="P424" s="54"/>
      <c r="Q424" s="54"/>
      <c r="R424" s="54"/>
      <c r="S424" s="54"/>
      <c r="T424" s="54"/>
    </row>
    <row r="425" spans="2:20" ht="15.75" outlineLevel="1">
      <c r="B425" s="75"/>
      <c r="C425" s="52" t="s">
        <v>396</v>
      </c>
      <c r="D425" s="52"/>
      <c r="E425" s="52"/>
      <c r="F425" s="52"/>
      <c r="G425" s="52"/>
      <c r="H425" s="53"/>
      <c r="J425" s="91"/>
      <c r="K425" s="91"/>
      <c r="L425" s="91"/>
      <c r="M425" s="91"/>
      <c r="N425" s="91"/>
      <c r="O425" s="91"/>
      <c r="P425" s="54"/>
      <c r="Q425" s="54"/>
      <c r="R425" s="54"/>
      <c r="S425" s="54"/>
      <c r="T425" s="54"/>
    </row>
    <row r="426" spans="2:20" ht="15.75" outlineLevel="1">
      <c r="B426" s="75"/>
      <c r="C426" s="52"/>
      <c r="D426" s="52"/>
      <c r="E426" s="52"/>
      <c r="F426" s="52"/>
      <c r="G426" s="52"/>
      <c r="H426" s="53"/>
      <c r="J426" s="91"/>
      <c r="K426" s="91"/>
      <c r="L426" s="91"/>
      <c r="M426" s="91"/>
      <c r="N426" s="91"/>
      <c r="O426" s="91"/>
      <c r="P426" s="54"/>
      <c r="Q426" s="54"/>
      <c r="R426" s="54"/>
      <c r="S426" s="54"/>
      <c r="T426" s="54"/>
    </row>
    <row r="427" spans="2:20" ht="15.75" outlineLevel="1">
      <c r="B427" s="75"/>
      <c r="C427" s="52" t="s">
        <v>397</v>
      </c>
      <c r="D427" s="52"/>
      <c r="E427" s="52"/>
      <c r="F427" s="52"/>
      <c r="G427" s="52"/>
      <c r="H427" s="53"/>
      <c r="J427" s="91"/>
      <c r="K427" s="91"/>
      <c r="L427" s="91"/>
      <c r="M427" s="91"/>
      <c r="N427" s="91"/>
      <c r="O427" s="91"/>
      <c r="P427" s="54"/>
      <c r="Q427" s="54"/>
      <c r="R427" s="54"/>
      <c r="S427" s="54"/>
      <c r="T427" s="54"/>
    </row>
    <row r="428" spans="2:20" ht="15.75" outlineLevel="1">
      <c r="B428" s="75"/>
      <c r="C428" s="52" t="s">
        <v>398</v>
      </c>
      <c r="D428" s="52"/>
      <c r="E428" s="52"/>
      <c r="F428" s="52"/>
      <c r="G428" s="52"/>
      <c r="H428" s="53"/>
      <c r="J428" s="91"/>
      <c r="K428" s="91"/>
      <c r="L428" s="91"/>
      <c r="M428" s="91"/>
      <c r="N428" s="91"/>
      <c r="O428" s="91"/>
      <c r="P428" s="54"/>
      <c r="Q428" s="54"/>
      <c r="R428" s="54"/>
      <c r="S428" s="54"/>
      <c r="T428" s="54"/>
    </row>
    <row r="429" spans="2:20" ht="15.75" outlineLevel="1">
      <c r="B429" s="75"/>
      <c r="C429" s="52" t="s">
        <v>399</v>
      </c>
      <c r="D429" s="52"/>
      <c r="E429" s="52"/>
      <c r="F429" s="52"/>
      <c r="G429" s="52"/>
      <c r="H429" s="53"/>
      <c r="J429" s="91"/>
      <c r="K429" s="91"/>
      <c r="L429" s="91"/>
      <c r="M429" s="91"/>
      <c r="N429" s="91"/>
      <c r="O429" s="91"/>
      <c r="P429" s="54"/>
      <c r="Q429" s="54"/>
      <c r="R429" s="54"/>
      <c r="S429" s="54"/>
      <c r="T429" s="54"/>
    </row>
    <row r="430" spans="2:20" ht="15.75" outlineLevel="1">
      <c r="B430" s="75"/>
      <c r="C430" s="52"/>
      <c r="D430" s="52"/>
      <c r="E430" s="52"/>
      <c r="F430" s="52"/>
      <c r="G430" s="52"/>
      <c r="H430" s="53"/>
      <c r="J430" s="91"/>
      <c r="K430" s="91"/>
      <c r="L430" s="91"/>
      <c r="M430" s="91"/>
      <c r="N430" s="91"/>
      <c r="O430" s="91"/>
      <c r="P430" s="54"/>
      <c r="Q430" s="54"/>
      <c r="R430" s="54"/>
      <c r="S430" s="54"/>
      <c r="T430" s="54"/>
    </row>
    <row r="431" spans="2:20" ht="15.75" outlineLevel="1">
      <c r="B431" s="75"/>
      <c r="C431" s="52" t="s">
        <v>400</v>
      </c>
      <c r="D431" s="52"/>
      <c r="E431" s="52"/>
      <c r="F431" s="52"/>
      <c r="G431" s="52"/>
      <c r="H431" s="53"/>
      <c r="J431" s="91"/>
      <c r="K431" s="91"/>
      <c r="L431" s="91"/>
      <c r="M431" s="91"/>
      <c r="N431" s="91"/>
      <c r="O431" s="91"/>
      <c r="P431" s="54"/>
      <c r="Q431" s="54"/>
      <c r="R431" s="54"/>
      <c r="S431" s="54"/>
      <c r="T431" s="54"/>
    </row>
    <row r="432" spans="2:20" ht="15.75" outlineLevel="1">
      <c r="B432" s="75"/>
      <c r="C432" s="52" t="s">
        <v>401</v>
      </c>
      <c r="D432" s="52"/>
      <c r="E432" s="52"/>
      <c r="F432" s="52"/>
      <c r="G432" s="52"/>
      <c r="H432" s="53"/>
      <c r="J432" s="91"/>
      <c r="K432" s="91"/>
      <c r="L432" s="91"/>
      <c r="M432" s="91"/>
      <c r="N432" s="91"/>
      <c r="O432" s="91"/>
      <c r="P432" s="54"/>
      <c r="Q432" s="54"/>
      <c r="R432" s="54"/>
      <c r="S432" s="54"/>
      <c r="T432" s="54"/>
    </row>
    <row r="433" spans="2:20" ht="15.75" outlineLevel="1">
      <c r="B433" s="75"/>
      <c r="C433" s="52" t="s">
        <v>402</v>
      </c>
      <c r="D433" s="52"/>
      <c r="E433" s="52"/>
      <c r="F433" s="52"/>
      <c r="G433" s="52"/>
      <c r="H433" s="53"/>
      <c r="J433" s="91"/>
      <c r="K433" s="91"/>
      <c r="L433" s="91"/>
      <c r="M433" s="91"/>
      <c r="N433" s="91"/>
      <c r="O433" s="91"/>
      <c r="P433" s="54"/>
      <c r="Q433" s="54"/>
      <c r="R433" s="54"/>
      <c r="S433" s="54"/>
      <c r="T433" s="54"/>
    </row>
    <row r="434" spans="2:20" ht="15.75" outlineLevel="1">
      <c r="B434" s="75"/>
      <c r="C434" s="52" t="s">
        <v>183</v>
      </c>
      <c r="D434" s="52"/>
      <c r="E434" s="52"/>
      <c r="F434" s="52"/>
      <c r="G434" s="52"/>
      <c r="H434" s="53"/>
      <c r="J434" s="91"/>
      <c r="K434" s="91"/>
      <c r="L434" s="91"/>
      <c r="M434" s="91"/>
      <c r="N434" s="91"/>
      <c r="O434" s="91"/>
      <c r="P434" s="54"/>
      <c r="Q434" s="54"/>
      <c r="R434" s="54"/>
      <c r="S434" s="54"/>
      <c r="T434" s="54"/>
    </row>
    <row r="435" spans="2:20" ht="15.75" outlineLevel="1">
      <c r="B435" s="75"/>
      <c r="C435" s="52" t="s">
        <v>403</v>
      </c>
      <c r="D435" s="52"/>
      <c r="E435" s="52"/>
      <c r="F435" s="52"/>
      <c r="G435" s="52"/>
      <c r="H435" s="53"/>
      <c r="J435" s="91"/>
      <c r="K435" s="91"/>
      <c r="L435" s="91"/>
      <c r="M435" s="91"/>
      <c r="N435" s="91"/>
      <c r="O435" s="91"/>
      <c r="P435" s="54"/>
      <c r="Q435" s="54"/>
      <c r="R435" s="54"/>
      <c r="S435" s="54"/>
      <c r="T435" s="54"/>
    </row>
    <row r="436" spans="2:20" ht="15.75" outlineLevel="1">
      <c r="B436" s="75"/>
      <c r="C436" s="52" t="s">
        <v>404</v>
      </c>
      <c r="D436" s="52"/>
      <c r="E436" s="52"/>
      <c r="F436" s="52"/>
      <c r="G436" s="52"/>
      <c r="H436" s="53"/>
      <c r="J436" s="91"/>
      <c r="K436" s="91"/>
      <c r="L436" s="91"/>
      <c r="M436" s="91"/>
      <c r="N436" s="91"/>
      <c r="O436" s="91"/>
      <c r="P436" s="54"/>
      <c r="Q436" s="54"/>
      <c r="R436" s="54"/>
      <c r="S436" s="54"/>
      <c r="T436" s="54"/>
    </row>
    <row r="437" spans="2:20" ht="15.75" outlineLevel="1">
      <c r="B437" s="75"/>
      <c r="C437" s="52" t="s">
        <v>405</v>
      </c>
      <c r="D437" s="52"/>
      <c r="E437" s="52"/>
      <c r="F437" s="52"/>
      <c r="G437" s="52"/>
      <c r="H437" s="53"/>
      <c r="J437" s="91"/>
      <c r="K437" s="91"/>
      <c r="L437" s="91"/>
      <c r="M437" s="91"/>
      <c r="N437" s="91"/>
      <c r="O437" s="91"/>
      <c r="P437" s="54"/>
      <c r="Q437" s="54"/>
      <c r="R437" s="54"/>
      <c r="S437" s="54"/>
      <c r="T437" s="54"/>
    </row>
    <row r="438" spans="2:20" ht="15.75">
      <c r="B438" s="75"/>
      <c r="C438" s="52"/>
      <c r="D438" s="52"/>
      <c r="E438" s="52"/>
      <c r="F438" s="52"/>
      <c r="G438" s="52"/>
      <c r="H438" s="53"/>
      <c r="J438" s="91"/>
      <c r="K438" s="91"/>
      <c r="L438" s="91"/>
      <c r="M438" s="91"/>
      <c r="N438" s="91"/>
      <c r="O438" s="91"/>
      <c r="P438" s="54"/>
      <c r="Q438" s="54"/>
      <c r="R438" s="54"/>
      <c r="S438" s="54"/>
      <c r="T438" s="54"/>
    </row>
    <row r="439" spans="2:20" ht="15.75">
      <c r="B439" s="75" t="s">
        <v>343</v>
      </c>
      <c r="C439" s="52"/>
      <c r="D439" s="52"/>
      <c r="E439" s="52"/>
      <c r="F439" s="52"/>
      <c r="G439" s="52"/>
      <c r="H439" s="53"/>
      <c r="J439" s="91"/>
      <c r="K439" s="91"/>
      <c r="L439" s="91"/>
      <c r="M439" s="91"/>
      <c r="N439" s="91"/>
      <c r="O439" s="91"/>
      <c r="P439" s="54"/>
      <c r="Q439" s="54"/>
      <c r="R439" s="54"/>
      <c r="S439" s="54"/>
      <c r="T439" s="54"/>
    </row>
    <row r="440" spans="2:20" ht="15.75">
      <c r="B440" s="75"/>
      <c r="C440" s="52"/>
      <c r="D440" s="52"/>
      <c r="E440" s="52"/>
      <c r="F440" s="52"/>
      <c r="G440" s="52"/>
      <c r="H440" s="53"/>
      <c r="J440" s="91"/>
      <c r="K440" s="91"/>
      <c r="L440" s="91"/>
      <c r="M440" s="91"/>
      <c r="N440" s="91"/>
      <c r="O440" s="91"/>
      <c r="P440" s="54"/>
      <c r="Q440" s="54"/>
      <c r="R440" s="54"/>
      <c r="S440" s="54"/>
      <c r="T440" s="54"/>
    </row>
    <row r="441" spans="2:20" ht="15.75">
      <c r="B441" s="75"/>
      <c r="C441" s="50" t="s">
        <v>406</v>
      </c>
      <c r="D441" s="52"/>
      <c r="E441" s="52"/>
      <c r="F441" s="52"/>
      <c r="G441" s="52"/>
      <c r="H441" s="53"/>
      <c r="J441" s="91"/>
      <c r="K441" s="91"/>
      <c r="L441" s="91"/>
      <c r="M441" s="91"/>
      <c r="N441" s="91"/>
      <c r="O441" s="91"/>
      <c r="P441" s="54"/>
      <c r="Q441" s="54"/>
      <c r="R441" s="54"/>
      <c r="S441" s="54"/>
      <c r="T441" s="54"/>
    </row>
    <row r="442" spans="2:20" ht="15.75">
      <c r="B442" s="75"/>
      <c r="C442" s="50" t="s">
        <v>407</v>
      </c>
      <c r="D442" s="52"/>
      <c r="E442" s="52"/>
      <c r="F442" s="52"/>
      <c r="G442" s="52"/>
      <c r="H442" s="53"/>
      <c r="J442" s="91"/>
      <c r="K442" s="91"/>
      <c r="L442" s="91"/>
      <c r="M442" s="91"/>
      <c r="N442" s="91"/>
      <c r="O442" s="91"/>
      <c r="P442" s="54"/>
      <c r="Q442" s="54"/>
      <c r="R442" s="54"/>
      <c r="S442" s="54"/>
      <c r="T442" s="54"/>
    </row>
    <row r="443" spans="2:20" ht="15.75">
      <c r="B443" s="75"/>
      <c r="C443" s="50" t="s">
        <v>408</v>
      </c>
      <c r="D443" s="52"/>
      <c r="E443" s="52"/>
      <c r="F443" s="52"/>
      <c r="G443" s="52"/>
      <c r="H443" s="53"/>
      <c r="J443" s="91"/>
      <c r="K443" s="91"/>
      <c r="L443" s="91"/>
      <c r="M443" s="91"/>
      <c r="N443" s="91"/>
      <c r="O443" s="91"/>
      <c r="P443" s="54"/>
      <c r="Q443" s="54"/>
      <c r="R443" s="54"/>
      <c r="S443" s="54"/>
      <c r="T443" s="54"/>
    </row>
    <row r="444" spans="2:20" ht="14.25" customHeight="1" thickBot="1">
      <c r="B444" s="54"/>
      <c r="C444" s="54"/>
      <c r="D444" s="54"/>
      <c r="E444" s="54"/>
      <c r="F444" s="54"/>
      <c r="G444" s="54"/>
      <c r="H444" s="87"/>
      <c r="I444" s="92"/>
      <c r="J444" s="74" t="s">
        <v>60</v>
      </c>
      <c r="K444" s="91"/>
      <c r="L444" s="91"/>
      <c r="M444" s="91"/>
      <c r="N444" s="91"/>
      <c r="O444" s="91"/>
      <c r="P444" s="54"/>
      <c r="Q444" s="54"/>
      <c r="R444" s="54"/>
      <c r="S444" s="54"/>
      <c r="T444" s="54"/>
    </row>
    <row r="445" spans="2:20" ht="25.5" customHeight="1" thickBot="1">
      <c r="B445" s="42" t="s">
        <v>9</v>
      </c>
      <c r="C445" s="42" t="s">
        <v>62</v>
      </c>
      <c r="D445" s="42" t="s">
        <v>11</v>
      </c>
      <c r="E445" s="42" t="s">
        <v>63</v>
      </c>
      <c r="F445" s="42" t="s">
        <v>13</v>
      </c>
      <c r="G445" s="42" t="s">
        <v>14</v>
      </c>
      <c r="H445" s="42" t="s">
        <v>15</v>
      </c>
      <c r="J445" s="1" t="s">
        <v>64</v>
      </c>
      <c r="K445" s="1" t="s">
        <v>133</v>
      </c>
      <c r="L445" s="1" t="s">
        <v>365</v>
      </c>
      <c r="M445" s="1" t="s">
        <v>409</v>
      </c>
      <c r="O445" s="1" t="s">
        <v>410</v>
      </c>
      <c r="Q445" s="1" t="s">
        <v>411</v>
      </c>
      <c r="R445" s="1" t="s">
        <v>412</v>
      </c>
      <c r="S445" s="1" t="s">
        <v>413</v>
      </c>
      <c r="T445" s="1" t="s">
        <v>414</v>
      </c>
    </row>
    <row r="446" spans="2:20" ht="15" customHeight="1">
      <c r="B446" s="52"/>
      <c r="C446" s="52"/>
      <c r="D446" s="52"/>
      <c r="E446" s="52"/>
      <c r="F446" s="52"/>
      <c r="G446" s="52"/>
      <c r="H446" s="53"/>
      <c r="J446" s="59"/>
      <c r="L446" s="54"/>
      <c r="M446" s="54"/>
      <c r="O446" s="91"/>
      <c r="Q446" s="91"/>
      <c r="R446" s="91"/>
      <c r="S446" s="91"/>
      <c r="T446" s="91"/>
    </row>
    <row r="447" spans="2:20" ht="23.25" customHeight="1">
      <c r="B447" s="68" t="s">
        <v>415</v>
      </c>
      <c r="C447" s="68">
        <v>7</v>
      </c>
      <c r="D447" s="76">
        <v>0</v>
      </c>
      <c r="E447" s="2" t="s">
        <v>66</v>
      </c>
      <c r="F447" s="3" t="s">
        <v>67</v>
      </c>
      <c r="G447" s="3" t="s">
        <v>68</v>
      </c>
      <c r="H447" s="47">
        <v>13</v>
      </c>
      <c r="I447" s="111">
        <f>IF(ISBLANK(H447),0,IF(H447=Answers!H447,1,-1))</f>
        <v>1</v>
      </c>
      <c r="J447" s="78">
        <v>3401368</v>
      </c>
      <c r="K447" s="88">
        <v>241.39</v>
      </c>
      <c r="L447" s="78">
        <v>2400</v>
      </c>
      <c r="M447" s="78">
        <v>500</v>
      </c>
      <c r="O447" s="78" t="s">
        <v>368</v>
      </c>
      <c r="Q447" s="78" t="s">
        <v>350</v>
      </c>
      <c r="R447" s="78" t="s">
        <v>352</v>
      </c>
      <c r="S447" s="78" t="s">
        <v>358</v>
      </c>
      <c r="T447" s="78" t="s">
        <v>356</v>
      </c>
    </row>
    <row r="448" spans="2:20" ht="15" customHeight="1">
      <c r="B448" s="52"/>
      <c r="C448" s="52"/>
      <c r="D448" s="52"/>
      <c r="E448" s="52"/>
      <c r="F448" s="77"/>
      <c r="G448" s="77"/>
      <c r="H448" s="85"/>
      <c r="J448" s="79"/>
      <c r="K448" s="90"/>
      <c r="L448" s="90"/>
      <c r="M448" s="90"/>
      <c r="O448" s="91"/>
      <c r="Q448" s="91"/>
      <c r="R448" s="91"/>
      <c r="S448" s="91"/>
      <c r="T448" s="91"/>
    </row>
    <row r="449" spans="2:20" ht="23.25">
      <c r="B449" s="68">
        <v>121</v>
      </c>
      <c r="C449" s="68">
        <f>C447</f>
        <v>7</v>
      </c>
      <c r="D449" s="76">
        <v>15</v>
      </c>
      <c r="E449" s="2">
        <v>1</v>
      </c>
      <c r="F449" s="3" t="s">
        <v>67</v>
      </c>
      <c r="G449" s="3" t="s">
        <v>71</v>
      </c>
      <c r="H449" s="47">
        <f>'L7 Calc'!AO67</f>
        <v>1000</v>
      </c>
      <c r="I449" s="111">
        <f>IF(ISBLANK(H449),0,IF(H449=Answers!H449,1,-1))</f>
        <v>-1</v>
      </c>
      <c r="J449" s="78" t="s">
        <v>351</v>
      </c>
      <c r="K449" s="78" t="s">
        <v>351</v>
      </c>
      <c r="L449" s="78" t="s">
        <v>416</v>
      </c>
      <c r="M449" s="78" t="s">
        <v>416</v>
      </c>
      <c r="O449" s="78" t="s">
        <v>370</v>
      </c>
      <c r="Q449" s="78" t="s">
        <v>417</v>
      </c>
      <c r="R449" s="78" t="s">
        <v>357</v>
      </c>
      <c r="S449" s="78" t="s">
        <v>418</v>
      </c>
      <c r="T449" s="78" t="s">
        <v>360</v>
      </c>
    </row>
    <row r="450" spans="2:20" ht="23.25">
      <c r="B450" s="68">
        <v>122</v>
      </c>
      <c r="C450" s="68">
        <f>C449</f>
        <v>7</v>
      </c>
      <c r="D450" s="76">
        <v>15</v>
      </c>
      <c r="E450" s="2">
        <v>2</v>
      </c>
      <c r="F450" s="3" t="s">
        <v>72</v>
      </c>
      <c r="G450" s="3" t="s">
        <v>73</v>
      </c>
      <c r="H450" s="47">
        <f>'L7 Calc'!AO68</f>
        <v>1000</v>
      </c>
      <c r="I450" s="111">
        <f>IF(ISBLANK(H450),0,IF(H450=Answers!H450,1,-1))</f>
        <v>-1</v>
      </c>
      <c r="J450" s="78" t="s">
        <v>351</v>
      </c>
      <c r="K450" s="78" t="s">
        <v>351</v>
      </c>
      <c r="L450" s="78" t="s">
        <v>416</v>
      </c>
      <c r="M450" s="78" t="s">
        <v>416</v>
      </c>
      <c r="O450" s="78" t="s">
        <v>368</v>
      </c>
      <c r="Q450" s="78" t="s">
        <v>353</v>
      </c>
      <c r="R450" s="78" t="s">
        <v>354</v>
      </c>
      <c r="S450" s="78" t="s">
        <v>418</v>
      </c>
      <c r="T450" s="78" t="s">
        <v>356</v>
      </c>
    </row>
    <row r="451" spans="2:20" ht="23.25">
      <c r="B451" s="68">
        <v>123</v>
      </c>
      <c r="C451" s="68">
        <f t="shared" ref="C451:C468" si="75">C450</f>
        <v>7</v>
      </c>
      <c r="D451" s="76">
        <v>15</v>
      </c>
      <c r="E451" s="2">
        <v>3</v>
      </c>
      <c r="F451" s="3" t="s">
        <v>74</v>
      </c>
      <c r="G451" s="3" t="s">
        <v>68</v>
      </c>
      <c r="H451" s="47">
        <f>'L7 Calc'!AO69</f>
        <v>1000</v>
      </c>
      <c r="I451" s="111">
        <f>IF(ISBLANK(H451),0,IF(H451=Answers!H451,1,-1))</f>
        <v>-1</v>
      </c>
      <c r="J451" s="78" t="s">
        <v>351</v>
      </c>
      <c r="K451" s="78" t="s">
        <v>351</v>
      </c>
      <c r="L451" s="78" t="s">
        <v>416</v>
      </c>
      <c r="M451" s="78" t="s">
        <v>416</v>
      </c>
      <c r="O451" s="78" t="s">
        <v>372</v>
      </c>
      <c r="Q451" s="78" t="s">
        <v>355</v>
      </c>
      <c r="R451" s="78" t="s">
        <v>350</v>
      </c>
      <c r="S451" s="78" t="s">
        <v>419</v>
      </c>
      <c r="T451" s="78" t="s">
        <v>361</v>
      </c>
    </row>
    <row r="452" spans="2:20" ht="23.25">
      <c r="B452" s="68">
        <v>124</v>
      </c>
      <c r="C452" s="68">
        <f t="shared" si="75"/>
        <v>7</v>
      </c>
      <c r="D452" s="76">
        <v>15</v>
      </c>
      <c r="E452" s="2">
        <v>4</v>
      </c>
      <c r="F452" s="3" t="s">
        <v>75</v>
      </c>
      <c r="G452" s="3" t="s">
        <v>71</v>
      </c>
      <c r="H452" s="47">
        <f>'L7 Calc'!AO70</f>
        <v>1000</v>
      </c>
      <c r="I452" s="111">
        <f>IF(ISBLANK(H452),0,IF(H452=Answers!H452,1,-1))</f>
        <v>-1</v>
      </c>
      <c r="J452" s="78" t="s">
        <v>351</v>
      </c>
      <c r="K452" s="78" t="s">
        <v>351</v>
      </c>
      <c r="L452" s="78" t="s">
        <v>416</v>
      </c>
      <c r="M452" s="78" t="s">
        <v>416</v>
      </c>
      <c r="O452" s="78" t="s">
        <v>370</v>
      </c>
      <c r="Q452" s="78" t="s">
        <v>420</v>
      </c>
      <c r="R452" s="78" t="s">
        <v>418</v>
      </c>
      <c r="S452" s="78" t="s">
        <v>417</v>
      </c>
      <c r="T452" s="78" t="s">
        <v>421</v>
      </c>
    </row>
    <row r="453" spans="2:20" ht="23.25">
      <c r="B453" s="68">
        <v>125</v>
      </c>
      <c r="C453" s="68">
        <f t="shared" si="75"/>
        <v>7</v>
      </c>
      <c r="D453" s="76">
        <v>15</v>
      </c>
      <c r="E453" s="2">
        <v>5</v>
      </c>
      <c r="F453" s="3" t="s">
        <v>75</v>
      </c>
      <c r="G453" s="3" t="s">
        <v>76</v>
      </c>
      <c r="H453" s="47">
        <f>'L7 Calc'!AO71</f>
        <v>1000</v>
      </c>
      <c r="I453" s="111">
        <f>IF(ISBLANK(H453),0,IF(H453=Answers!H453,1,-1))</f>
        <v>-1</v>
      </c>
      <c r="J453" s="78" t="s">
        <v>351</v>
      </c>
      <c r="K453" s="78" t="s">
        <v>351</v>
      </c>
      <c r="L453" s="78" t="s">
        <v>416</v>
      </c>
      <c r="M453" s="78" t="s">
        <v>416</v>
      </c>
      <c r="O453" s="78" t="s">
        <v>368</v>
      </c>
      <c r="Q453" s="78" t="s">
        <v>422</v>
      </c>
      <c r="R453" s="78" t="s">
        <v>419</v>
      </c>
      <c r="S453" s="78" t="s">
        <v>359</v>
      </c>
      <c r="T453" s="78" t="s">
        <v>350</v>
      </c>
    </row>
    <row r="454" spans="2:20" ht="23.25">
      <c r="B454" s="68">
        <v>126</v>
      </c>
      <c r="C454" s="68">
        <f t="shared" si="75"/>
        <v>7</v>
      </c>
      <c r="D454" s="76">
        <v>15</v>
      </c>
      <c r="E454" s="2">
        <v>6</v>
      </c>
      <c r="F454" s="3" t="s">
        <v>74</v>
      </c>
      <c r="G454" s="3" t="s">
        <v>73</v>
      </c>
      <c r="H454" s="47">
        <f>'L7 Calc'!AO72</f>
        <v>1000</v>
      </c>
      <c r="I454" s="111">
        <f>IF(ISBLANK(H454),0,IF(H454=Answers!H454,1,-1))</f>
        <v>-1</v>
      </c>
      <c r="J454" s="78" t="s">
        <v>351</v>
      </c>
      <c r="K454" s="78" t="s">
        <v>351</v>
      </c>
      <c r="L454" s="78" t="s">
        <v>416</v>
      </c>
      <c r="M454" s="78" t="s">
        <v>416</v>
      </c>
      <c r="O454" s="78" t="s">
        <v>370</v>
      </c>
      <c r="Q454" s="78" t="s">
        <v>350</v>
      </c>
      <c r="R454" s="78" t="s">
        <v>359</v>
      </c>
      <c r="S454" s="78" t="s">
        <v>423</v>
      </c>
      <c r="T454" s="78" t="s">
        <v>358</v>
      </c>
    </row>
    <row r="455" spans="2:20" ht="23.25">
      <c r="B455" s="68">
        <v>127</v>
      </c>
      <c r="C455" s="68">
        <f t="shared" si="75"/>
        <v>7</v>
      </c>
      <c r="D455" s="76">
        <v>15</v>
      </c>
      <c r="E455" s="2">
        <v>7</v>
      </c>
      <c r="F455" s="3" t="s">
        <v>72</v>
      </c>
      <c r="G455" s="3" t="s">
        <v>76</v>
      </c>
      <c r="H455" s="47">
        <f>'L7 Calc'!AO73</f>
        <v>1000</v>
      </c>
      <c r="I455" s="111">
        <f>IF(ISBLANK(H455),0,IF(H455=Answers!H455,1,-1))</f>
        <v>-1</v>
      </c>
      <c r="J455" s="78" t="s">
        <v>351</v>
      </c>
      <c r="K455" s="78" t="s">
        <v>351</v>
      </c>
      <c r="L455" s="78" t="s">
        <v>416</v>
      </c>
      <c r="M455" s="78" t="s">
        <v>416</v>
      </c>
      <c r="O455" s="78" t="s">
        <v>370</v>
      </c>
      <c r="Q455" s="78" t="s">
        <v>350</v>
      </c>
      <c r="R455" s="78" t="s">
        <v>422</v>
      </c>
      <c r="S455" s="78" t="s">
        <v>354</v>
      </c>
      <c r="T455" s="78" t="s">
        <v>359</v>
      </c>
    </row>
    <row r="456" spans="2:20" ht="23.25">
      <c r="B456" s="68">
        <v>128</v>
      </c>
      <c r="C456" s="68">
        <f t="shared" si="75"/>
        <v>7</v>
      </c>
      <c r="D456" s="76">
        <v>15</v>
      </c>
      <c r="E456" s="2">
        <v>8</v>
      </c>
      <c r="F456" s="3" t="s">
        <v>67</v>
      </c>
      <c r="G456" s="3" t="s">
        <v>77</v>
      </c>
      <c r="H456" s="47">
        <f>'L7 Calc'!AO74</f>
        <v>1000</v>
      </c>
      <c r="I456" s="111">
        <f>IF(ISBLANK(H456),0,IF(H456=Answers!H456,1,-1))</f>
        <v>-1</v>
      </c>
      <c r="J456" s="78" t="s">
        <v>351</v>
      </c>
      <c r="K456" s="78" t="s">
        <v>351</v>
      </c>
      <c r="L456" s="78" t="s">
        <v>416</v>
      </c>
      <c r="M456" s="78" t="s">
        <v>416</v>
      </c>
      <c r="O456" s="78" t="s">
        <v>376</v>
      </c>
      <c r="Q456" s="78" t="s">
        <v>359</v>
      </c>
      <c r="R456" s="78" t="s">
        <v>357</v>
      </c>
      <c r="S456" s="78" t="s">
        <v>358</v>
      </c>
      <c r="T456" s="78" t="s">
        <v>355</v>
      </c>
    </row>
    <row r="457" spans="2:20" ht="23.25">
      <c r="B457" s="68">
        <v>129</v>
      </c>
      <c r="C457" s="68">
        <f t="shared" si="75"/>
        <v>7</v>
      </c>
      <c r="D457" s="76">
        <v>15</v>
      </c>
      <c r="E457" s="2">
        <v>9</v>
      </c>
      <c r="F457" s="3" t="s">
        <v>67</v>
      </c>
      <c r="G457" s="3" t="s">
        <v>78</v>
      </c>
      <c r="H457" s="47">
        <f>'L7 Calc'!AO75</f>
        <v>1000</v>
      </c>
      <c r="I457" s="111">
        <f>IF(ISBLANK(H457),0,IF(H457=Answers!H457,1,-1))</f>
        <v>-1</v>
      </c>
      <c r="J457" s="78" t="s">
        <v>351</v>
      </c>
      <c r="K457" s="78" t="s">
        <v>351</v>
      </c>
      <c r="L457" s="78" t="s">
        <v>416</v>
      </c>
      <c r="M457" s="78" t="s">
        <v>416</v>
      </c>
      <c r="O457" s="78" t="s">
        <v>374</v>
      </c>
      <c r="Q457" s="78" t="s">
        <v>421</v>
      </c>
      <c r="R457" s="78" t="s">
        <v>360</v>
      </c>
      <c r="S457" s="78" t="s">
        <v>355</v>
      </c>
      <c r="T457" s="78" t="s">
        <v>358</v>
      </c>
    </row>
    <row r="458" spans="2:20" ht="23.25">
      <c r="B458" s="68">
        <v>130</v>
      </c>
      <c r="C458" s="68">
        <f t="shared" si="75"/>
        <v>7</v>
      </c>
      <c r="D458" s="76">
        <v>15</v>
      </c>
      <c r="E458" s="2">
        <v>10</v>
      </c>
      <c r="F458" s="3" t="s">
        <v>74</v>
      </c>
      <c r="G458" s="3" t="s">
        <v>79</v>
      </c>
      <c r="H458" s="47">
        <f>'L7 Calc'!AO76</f>
        <v>1000</v>
      </c>
      <c r="I458" s="111">
        <f>IF(ISBLANK(H458),0,IF(H458=Answers!H458,1,-1))</f>
        <v>-1</v>
      </c>
      <c r="J458" s="78" t="s">
        <v>351</v>
      </c>
      <c r="K458" s="78" t="s">
        <v>351</v>
      </c>
      <c r="L458" s="78" t="s">
        <v>416</v>
      </c>
      <c r="M458" s="78" t="s">
        <v>416</v>
      </c>
      <c r="O458" s="78" t="s">
        <v>370</v>
      </c>
      <c r="Q458" s="78" t="s">
        <v>358</v>
      </c>
      <c r="R458" s="78" t="s">
        <v>424</v>
      </c>
      <c r="S458" s="78" t="s">
        <v>361</v>
      </c>
      <c r="T458" s="78" t="s">
        <v>417</v>
      </c>
    </row>
    <row r="459" spans="2:20" ht="23.25">
      <c r="B459" s="68">
        <v>131</v>
      </c>
      <c r="C459" s="68">
        <f t="shared" si="75"/>
        <v>7</v>
      </c>
      <c r="D459" s="76">
        <v>15</v>
      </c>
      <c r="E459" s="2">
        <v>11</v>
      </c>
      <c r="F459" s="3" t="s">
        <v>67</v>
      </c>
      <c r="G459" s="3" t="s">
        <v>68</v>
      </c>
      <c r="H459" s="47">
        <f>'L7 Calc'!AO77</f>
        <v>1000</v>
      </c>
      <c r="I459" s="111">
        <f>IF(ISBLANK(H459),0,IF(H459=Answers!H459,1,-1))</f>
        <v>-1</v>
      </c>
      <c r="J459" s="78" t="s">
        <v>351</v>
      </c>
      <c r="K459" s="78" t="s">
        <v>351</v>
      </c>
      <c r="L459" s="78" t="s">
        <v>416</v>
      </c>
      <c r="M459" s="78" t="s">
        <v>416</v>
      </c>
      <c r="O459" s="78" t="s">
        <v>378</v>
      </c>
      <c r="Q459" s="78" t="s">
        <v>417</v>
      </c>
      <c r="R459" s="78" t="s">
        <v>353</v>
      </c>
      <c r="S459" s="78" t="s">
        <v>418</v>
      </c>
      <c r="T459" s="78" t="s">
        <v>359</v>
      </c>
    </row>
    <row r="460" spans="2:20" ht="23.25">
      <c r="B460" s="68">
        <v>132</v>
      </c>
      <c r="C460" s="68">
        <f t="shared" si="75"/>
        <v>7</v>
      </c>
      <c r="D460" s="76">
        <v>15</v>
      </c>
      <c r="E460" s="2">
        <v>12</v>
      </c>
      <c r="F460" s="3" t="s">
        <v>72</v>
      </c>
      <c r="G460" s="3" t="s">
        <v>71</v>
      </c>
      <c r="H460" s="47">
        <f>'L7 Calc'!AO78</f>
        <v>1000</v>
      </c>
      <c r="I460" s="111">
        <f>IF(ISBLANK(H460),0,IF(H460=Answers!H460,1,-1))</f>
        <v>-1</v>
      </c>
      <c r="J460" s="78" t="s">
        <v>351</v>
      </c>
      <c r="K460" s="78" t="s">
        <v>351</v>
      </c>
      <c r="L460" s="78" t="s">
        <v>416</v>
      </c>
      <c r="M460" s="78" t="s">
        <v>416</v>
      </c>
      <c r="O460" s="78" t="s">
        <v>368</v>
      </c>
      <c r="Q460" s="78" t="s">
        <v>354</v>
      </c>
      <c r="R460" s="78" t="s">
        <v>417</v>
      </c>
      <c r="S460" s="78" t="s">
        <v>361</v>
      </c>
      <c r="T460" s="78" t="s">
        <v>350</v>
      </c>
    </row>
    <row r="461" spans="2:20" ht="23.25">
      <c r="B461" s="68">
        <v>133</v>
      </c>
      <c r="C461" s="68">
        <f t="shared" si="75"/>
        <v>7</v>
      </c>
      <c r="D461" s="76">
        <v>15</v>
      </c>
      <c r="E461" s="2">
        <v>13</v>
      </c>
      <c r="F461" s="3" t="s">
        <v>74</v>
      </c>
      <c r="G461" s="3" t="s">
        <v>77</v>
      </c>
      <c r="H461" s="47">
        <f>'L7 Calc'!AO79</f>
        <v>1000</v>
      </c>
      <c r="I461" s="111">
        <f>IF(ISBLANK(H461),0,IF(H461=Answers!H461,1,-1))</f>
        <v>-1</v>
      </c>
      <c r="J461" s="78" t="s">
        <v>351</v>
      </c>
      <c r="K461" s="78" t="s">
        <v>351</v>
      </c>
      <c r="L461" s="78" t="s">
        <v>416</v>
      </c>
      <c r="M461" s="78" t="s">
        <v>416</v>
      </c>
      <c r="O461" s="78" t="s">
        <v>378</v>
      </c>
      <c r="Q461" s="78" t="s">
        <v>353</v>
      </c>
      <c r="R461" s="78" t="s">
        <v>418</v>
      </c>
      <c r="S461" s="78" t="s">
        <v>358</v>
      </c>
      <c r="T461" s="78" t="s">
        <v>424</v>
      </c>
    </row>
    <row r="462" spans="2:20" ht="23.25">
      <c r="B462" s="68">
        <v>134</v>
      </c>
      <c r="C462" s="68">
        <f t="shared" si="75"/>
        <v>7</v>
      </c>
      <c r="D462" s="76">
        <v>15</v>
      </c>
      <c r="E462" s="2">
        <v>14</v>
      </c>
      <c r="F462" s="3" t="s">
        <v>72</v>
      </c>
      <c r="G462" s="3" t="s">
        <v>79</v>
      </c>
      <c r="H462" s="47">
        <f>'L7 Calc'!AO80</f>
        <v>1000</v>
      </c>
      <c r="I462" s="111">
        <f>IF(ISBLANK(H462),0,IF(H462=Answers!H462,1,-1))</f>
        <v>-1</v>
      </c>
      <c r="J462" s="78" t="s">
        <v>351</v>
      </c>
      <c r="K462" s="78" t="s">
        <v>351</v>
      </c>
      <c r="L462" s="78" t="s">
        <v>416</v>
      </c>
      <c r="M462" s="78" t="s">
        <v>416</v>
      </c>
      <c r="O462" s="78" t="s">
        <v>372</v>
      </c>
      <c r="Q462" s="78" t="s">
        <v>424</v>
      </c>
      <c r="R462" s="78" t="s">
        <v>422</v>
      </c>
      <c r="S462" s="78" t="s">
        <v>355</v>
      </c>
      <c r="T462" s="78" t="s">
        <v>423</v>
      </c>
    </row>
    <row r="463" spans="2:20" ht="23.25">
      <c r="B463" s="68">
        <v>135</v>
      </c>
      <c r="C463" s="68">
        <f t="shared" si="75"/>
        <v>7</v>
      </c>
      <c r="D463" s="76">
        <v>15</v>
      </c>
      <c r="E463" s="2">
        <v>15</v>
      </c>
      <c r="F463" s="3" t="s">
        <v>75</v>
      </c>
      <c r="G463" s="3" t="s">
        <v>78</v>
      </c>
      <c r="H463" s="47">
        <f>'L7 Calc'!AO81</f>
        <v>1000</v>
      </c>
      <c r="I463" s="111">
        <f>IF(ISBLANK(H463),0,IF(H463=Answers!H463,1,-1))</f>
        <v>-1</v>
      </c>
      <c r="J463" s="78" t="s">
        <v>351</v>
      </c>
      <c r="K463" s="78" t="s">
        <v>351</v>
      </c>
      <c r="L463" s="78" t="s">
        <v>416</v>
      </c>
      <c r="M463" s="78" t="s">
        <v>416</v>
      </c>
      <c r="O463" s="78" t="s">
        <v>378</v>
      </c>
      <c r="Q463" s="78" t="s">
        <v>356</v>
      </c>
      <c r="R463" s="78" t="s">
        <v>417</v>
      </c>
      <c r="S463" s="78" t="s">
        <v>421</v>
      </c>
      <c r="T463" s="78" t="s">
        <v>424</v>
      </c>
    </row>
    <row r="464" spans="2:20" ht="23.25">
      <c r="B464" s="68">
        <v>136</v>
      </c>
      <c r="C464" s="68">
        <f t="shared" si="75"/>
        <v>7</v>
      </c>
      <c r="D464" s="76">
        <v>15</v>
      </c>
      <c r="E464" s="2">
        <v>16</v>
      </c>
      <c r="F464" s="3" t="s">
        <v>72</v>
      </c>
      <c r="G464" s="3" t="s">
        <v>78</v>
      </c>
      <c r="H464" s="47">
        <f>'L7 Calc'!AO82</f>
        <v>1000</v>
      </c>
      <c r="I464" s="111">
        <f>IF(ISBLANK(H464),0,IF(H464=Answers!H464,1,-1))</f>
        <v>-1</v>
      </c>
      <c r="J464" s="78" t="s">
        <v>351</v>
      </c>
      <c r="K464" s="78" t="s">
        <v>351</v>
      </c>
      <c r="L464" s="78" t="s">
        <v>416</v>
      </c>
      <c r="M464" s="78" t="s">
        <v>416</v>
      </c>
      <c r="O464" s="78" t="s">
        <v>379</v>
      </c>
      <c r="Q464" s="78" t="s">
        <v>355</v>
      </c>
      <c r="R464" s="78" t="s">
        <v>424</v>
      </c>
      <c r="S464" s="78" t="s">
        <v>361</v>
      </c>
      <c r="T464" s="78" t="s">
        <v>357</v>
      </c>
    </row>
    <row r="465" spans="2:20" ht="23.25">
      <c r="B465" s="68">
        <v>137</v>
      </c>
      <c r="C465" s="68">
        <f t="shared" si="75"/>
        <v>7</v>
      </c>
      <c r="D465" s="76">
        <v>15</v>
      </c>
      <c r="E465" s="2">
        <v>17</v>
      </c>
      <c r="F465" s="3" t="s">
        <v>74</v>
      </c>
      <c r="G465" s="3" t="s">
        <v>77</v>
      </c>
      <c r="H465" s="47">
        <f>'L7 Calc'!AO83</f>
        <v>1000</v>
      </c>
      <c r="I465" s="111">
        <f>IF(ISBLANK(H465),0,IF(H465=Answers!H465,1,-1))</f>
        <v>-1</v>
      </c>
      <c r="J465" s="78" t="s">
        <v>351</v>
      </c>
      <c r="K465" s="78" t="s">
        <v>351</v>
      </c>
      <c r="L465" s="78" t="s">
        <v>416</v>
      </c>
      <c r="M465" s="78" t="s">
        <v>416</v>
      </c>
      <c r="O465" s="78" t="s">
        <v>378</v>
      </c>
      <c r="Q465" s="78" t="s">
        <v>425</v>
      </c>
      <c r="R465" s="78" t="s">
        <v>353</v>
      </c>
      <c r="S465" s="78" t="s">
        <v>356</v>
      </c>
      <c r="T465" s="78" t="s">
        <v>423</v>
      </c>
    </row>
    <row r="466" spans="2:20" ht="23.25">
      <c r="B466" s="68">
        <v>138</v>
      </c>
      <c r="C466" s="68">
        <f t="shared" si="75"/>
        <v>7</v>
      </c>
      <c r="D466" s="76">
        <v>15</v>
      </c>
      <c r="E466" s="2">
        <v>18</v>
      </c>
      <c r="F466" s="3" t="s">
        <v>72</v>
      </c>
      <c r="G466" s="3" t="s">
        <v>73</v>
      </c>
      <c r="H466" s="47">
        <f>'L7 Calc'!AO84</f>
        <v>1000</v>
      </c>
      <c r="I466" s="111">
        <f>IF(ISBLANK(H466),0,IF(H466=Answers!H466,1,-1))</f>
        <v>-1</v>
      </c>
      <c r="J466" s="78" t="s">
        <v>351</v>
      </c>
      <c r="K466" s="78" t="s">
        <v>351</v>
      </c>
      <c r="L466" s="78" t="s">
        <v>416</v>
      </c>
      <c r="M466" s="78" t="s">
        <v>416</v>
      </c>
      <c r="O466" s="78" t="s">
        <v>368</v>
      </c>
      <c r="Q466" s="78" t="s">
        <v>355</v>
      </c>
      <c r="R466" s="78" t="s">
        <v>423</v>
      </c>
      <c r="S466" s="78" t="s">
        <v>354</v>
      </c>
      <c r="T466" s="78" t="s">
        <v>353</v>
      </c>
    </row>
    <row r="467" spans="2:20" ht="23.25">
      <c r="B467" s="68">
        <v>139</v>
      </c>
      <c r="C467" s="68">
        <f t="shared" si="75"/>
        <v>7</v>
      </c>
      <c r="D467" s="76">
        <v>15</v>
      </c>
      <c r="E467" s="2">
        <v>19</v>
      </c>
      <c r="F467" s="3" t="s">
        <v>72</v>
      </c>
      <c r="G467" s="3" t="s">
        <v>73</v>
      </c>
      <c r="H467" s="47">
        <f>'L7 Calc'!AO85</f>
        <v>1000</v>
      </c>
      <c r="I467" s="111">
        <f>IF(ISBLANK(H467),0,IF(H467=Answers!H467,1,-1))</f>
        <v>-1</v>
      </c>
      <c r="J467" s="78" t="s">
        <v>351</v>
      </c>
      <c r="K467" s="78" t="s">
        <v>351</v>
      </c>
      <c r="L467" s="78" t="s">
        <v>416</v>
      </c>
      <c r="M467" s="78" t="s">
        <v>416</v>
      </c>
      <c r="O467" s="78" t="s">
        <v>374</v>
      </c>
      <c r="Q467" s="78" t="s">
        <v>350</v>
      </c>
      <c r="R467" s="78" t="s">
        <v>352</v>
      </c>
      <c r="S467" s="78" t="s">
        <v>358</v>
      </c>
      <c r="T467" s="78" t="s">
        <v>356</v>
      </c>
    </row>
    <row r="468" spans="2:20" ht="23.25">
      <c r="B468" s="68">
        <v>140</v>
      </c>
      <c r="C468" s="68">
        <f t="shared" si="75"/>
        <v>7</v>
      </c>
      <c r="D468" s="76">
        <v>15</v>
      </c>
      <c r="E468" s="2">
        <v>20</v>
      </c>
      <c r="F468" s="3" t="s">
        <v>75</v>
      </c>
      <c r="G468" s="3" t="s">
        <v>80</v>
      </c>
      <c r="H468" s="47">
        <f>'L7 Calc'!AO86</f>
        <v>1000</v>
      </c>
      <c r="I468" s="111">
        <f>IF(ISBLANK(H468),0,IF(H468=Answers!H468,1,-1))</f>
        <v>-1</v>
      </c>
      <c r="J468" s="78" t="s">
        <v>351</v>
      </c>
      <c r="K468" s="78" t="s">
        <v>351</v>
      </c>
      <c r="L468" s="78" t="s">
        <v>416</v>
      </c>
      <c r="M468" s="78" t="s">
        <v>416</v>
      </c>
      <c r="O468" s="78" t="s">
        <v>370</v>
      </c>
      <c r="Q468" s="78" t="s">
        <v>355</v>
      </c>
      <c r="R468" s="78" t="s">
        <v>352</v>
      </c>
      <c r="S468" s="78" t="s">
        <v>417</v>
      </c>
      <c r="T468" s="78" t="s">
        <v>354</v>
      </c>
    </row>
  </sheetData>
  <mergeCells count="15">
    <mergeCell ref="B15:P29"/>
    <mergeCell ref="B2:P2"/>
    <mergeCell ref="B4:M4"/>
    <mergeCell ref="O4:P4"/>
    <mergeCell ref="O12:P12"/>
    <mergeCell ref="B14:P14"/>
    <mergeCell ref="B43:P43"/>
    <mergeCell ref="O45:P45"/>
    <mergeCell ref="O46:P48"/>
    <mergeCell ref="B31:P31"/>
    <mergeCell ref="J37:P37"/>
    <mergeCell ref="J38:P38"/>
    <mergeCell ref="J39:P39"/>
    <mergeCell ref="J40:P40"/>
    <mergeCell ref="J41:P41"/>
  </mergeCells>
  <hyperlinks>
    <hyperlink ref="J224" location="'L4 Calc'!A1" display="Voor sheet uitleg, zie sheet L4 Calc" xr:uid="{530A2875-D4C9-4BE5-9AE2-2227B2352D90}"/>
    <hyperlink ref="K273" location="'L5 Calc'!A1" display="Zie sheet L5 Calc" xr:uid="{1163157C-5303-44FE-BFFA-095A0E4057E3}"/>
    <hyperlink ref="J345" location="'L6 Calc'!A1" display="Zie sheet L6 Calc" xr:uid="{98778822-9B25-4BB7-8312-1AF1B76558B0}"/>
    <hyperlink ref="Q41" location="'Bonus #5'!A1" display="Zie sheet Bonus #5" xr:uid="{59F785C5-8D74-41B7-8A48-BD3572ECA26F}"/>
    <hyperlink ref="J420" location="'L7 Calc'!A1" display="zie sheet L7 Calc" xr:uid="{BF19610A-3F37-412F-9F40-97F937728D13}"/>
  </hyperlinks>
  <pageMargins left="0.7" right="0.7" top="0.75" bottom="0.75" header="0.3" footer="0.3"/>
  <pageSetup paperSize="9" orientation="portrait" horizontalDpi="360" verticalDpi="360"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15" id="{BE0501E6-3849-4217-AFE1-1CB7C82299B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I37:I468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99F91-F37E-42A2-82A8-2B0611B8BC9C}">
  <sheetPr codeName="Sheet2">
    <tabColor theme="9" tint="0.79998168889431442"/>
  </sheetPr>
  <dimension ref="A1:T468"/>
  <sheetViews>
    <sheetView topLeftCell="A24" workbookViewId="0">
      <selection activeCell="A19" sqref="A19"/>
    </sheetView>
  </sheetViews>
  <sheetFormatPr defaultColWidth="8.5703125" defaultRowHeight="15" outlineLevelRow="1"/>
  <cols>
    <col min="1" max="1" width="3.140625" style="52" customWidth="1"/>
    <col min="2" max="2" width="13.85546875" style="59" customWidth="1"/>
    <col min="3" max="3" width="13" style="59" customWidth="1"/>
    <col min="4" max="4" width="22" style="59" customWidth="1"/>
    <col min="5" max="7" width="12.140625" style="59" customWidth="1"/>
    <col min="8" max="8" width="24.140625" style="63" customWidth="1"/>
    <col min="9" max="9" width="6" style="59" bestFit="1" customWidth="1"/>
    <col min="10" max="10" width="19.140625" style="52" bestFit="1" customWidth="1"/>
    <col min="11" max="13" width="19.7109375" style="52" bestFit="1" customWidth="1"/>
    <col min="14" max="14" width="23.140625" style="52" bestFit="1" customWidth="1"/>
    <col min="15" max="16" width="22" style="52" customWidth="1"/>
    <col min="17" max="20" width="19.7109375" style="52" bestFit="1" customWidth="1"/>
    <col min="21" max="16384" width="8.5703125" style="54"/>
  </cols>
  <sheetData>
    <row r="1" spans="2:20" ht="15" customHeight="1">
      <c r="B1" s="52"/>
      <c r="C1" s="52"/>
      <c r="D1" s="52"/>
      <c r="E1" s="52"/>
      <c r="F1" s="52"/>
      <c r="G1" s="52"/>
      <c r="H1" s="53"/>
      <c r="I1" s="52"/>
    </row>
    <row r="2" spans="2:20" ht="60.6" customHeight="1">
      <c r="B2" s="175" t="s">
        <v>0</v>
      </c>
      <c r="C2" s="175"/>
      <c r="D2" s="175"/>
      <c r="E2" s="175"/>
      <c r="F2" s="175"/>
      <c r="G2" s="175"/>
      <c r="H2" s="175"/>
      <c r="I2" s="175"/>
      <c r="J2" s="175"/>
      <c r="K2" s="175"/>
      <c r="L2" s="175"/>
      <c r="M2" s="175"/>
      <c r="N2" s="175"/>
      <c r="O2" s="175"/>
      <c r="P2" s="175"/>
    </row>
    <row r="3" spans="2:20" ht="15" customHeight="1">
      <c r="B3" s="52"/>
      <c r="C3" s="52"/>
      <c r="D3" s="52"/>
      <c r="E3" s="52"/>
      <c r="F3" s="52"/>
      <c r="G3" s="52"/>
      <c r="H3" s="53"/>
      <c r="I3" s="52"/>
    </row>
    <row r="4" spans="2:20" ht="33.6" customHeight="1">
      <c r="B4" s="176" t="s">
        <v>1</v>
      </c>
      <c r="C4" s="176"/>
      <c r="D4" s="176"/>
      <c r="E4" s="176"/>
      <c r="F4" s="176"/>
      <c r="G4" s="176"/>
      <c r="H4" s="176"/>
      <c r="I4" s="176"/>
      <c r="J4" s="176"/>
      <c r="K4" s="176"/>
      <c r="L4" s="176"/>
      <c r="M4" s="176"/>
      <c r="O4" s="177" t="s">
        <v>2</v>
      </c>
      <c r="P4" s="177"/>
      <c r="Q4" s="55"/>
      <c r="R4" s="55"/>
      <c r="S4" s="55"/>
      <c r="T4" s="55"/>
    </row>
    <row r="5" spans="2:20" ht="33.6" customHeight="1">
      <c r="B5" s="52"/>
      <c r="C5" s="52"/>
      <c r="D5" s="52"/>
      <c r="E5" s="52"/>
      <c r="F5" s="52"/>
      <c r="G5" s="52"/>
      <c r="H5" s="53"/>
      <c r="I5" s="52"/>
      <c r="N5" s="55"/>
      <c r="O5" s="55"/>
      <c r="P5" s="55"/>
      <c r="Q5" s="55"/>
      <c r="R5" s="55"/>
      <c r="S5" s="55"/>
      <c r="T5" s="55"/>
    </row>
    <row r="6" spans="2:20" ht="33.6" customHeight="1">
      <c r="B6" s="52"/>
      <c r="C6" s="52"/>
      <c r="D6" s="52"/>
      <c r="E6" s="52"/>
      <c r="F6" s="52"/>
      <c r="G6" s="52"/>
      <c r="H6" s="53"/>
      <c r="I6" s="52"/>
      <c r="N6" s="55"/>
      <c r="O6" s="55"/>
      <c r="P6" s="55"/>
      <c r="Q6" s="55"/>
      <c r="R6" s="55"/>
      <c r="S6" s="55"/>
      <c r="T6" s="55"/>
    </row>
    <row r="7" spans="2:20" ht="33.6" customHeight="1">
      <c r="B7" s="52"/>
      <c r="C7" s="52"/>
      <c r="D7" s="52"/>
      <c r="E7" s="52"/>
      <c r="F7" s="52"/>
      <c r="G7" s="52"/>
      <c r="H7" s="53"/>
      <c r="I7" s="52"/>
      <c r="N7" s="55"/>
      <c r="O7" s="55"/>
      <c r="P7" s="55"/>
      <c r="Q7" s="55"/>
      <c r="R7" s="55"/>
      <c r="S7" s="55"/>
      <c r="T7" s="55"/>
    </row>
    <row r="8" spans="2:20" ht="33.6" customHeight="1">
      <c r="B8" s="52"/>
      <c r="C8" s="52"/>
      <c r="D8" s="52"/>
      <c r="E8" s="52"/>
      <c r="F8" s="52"/>
      <c r="G8" s="52"/>
      <c r="H8" s="53"/>
      <c r="I8" s="52"/>
      <c r="N8" s="55"/>
      <c r="O8" s="55"/>
      <c r="P8" s="55"/>
      <c r="Q8" s="55"/>
      <c r="R8" s="55"/>
      <c r="S8" s="55"/>
      <c r="T8" s="55"/>
    </row>
    <row r="9" spans="2:20" ht="33.6" customHeight="1">
      <c r="B9" s="52"/>
      <c r="C9" s="52"/>
      <c r="D9" s="52"/>
      <c r="E9" s="52"/>
      <c r="F9" s="52"/>
      <c r="G9" s="52"/>
      <c r="H9" s="53"/>
      <c r="I9" s="52"/>
      <c r="N9" s="55"/>
      <c r="O9" s="55"/>
      <c r="P9" s="55"/>
      <c r="Q9" s="55"/>
      <c r="R9" s="55"/>
      <c r="S9" s="55"/>
      <c r="T9" s="55"/>
    </row>
    <row r="10" spans="2:20" ht="33.6" customHeight="1">
      <c r="B10" s="52"/>
      <c r="C10" s="52"/>
      <c r="D10" s="52"/>
      <c r="E10" s="52"/>
      <c r="F10" s="52"/>
      <c r="G10" s="52"/>
      <c r="H10" s="53"/>
      <c r="I10" s="52"/>
      <c r="N10" s="55"/>
      <c r="O10" s="55"/>
      <c r="P10" s="55"/>
      <c r="Q10" s="55"/>
      <c r="R10" s="55"/>
      <c r="S10" s="55"/>
      <c r="T10" s="55"/>
    </row>
    <row r="11" spans="2:20" ht="33.75" customHeight="1">
      <c r="B11" s="52"/>
      <c r="C11" s="52"/>
      <c r="D11" s="52"/>
      <c r="E11" s="52"/>
      <c r="F11" s="52"/>
      <c r="G11" s="52"/>
      <c r="H11" s="53"/>
      <c r="I11" s="52"/>
      <c r="Q11" s="55"/>
      <c r="R11" s="55"/>
      <c r="S11" s="55"/>
      <c r="T11" s="55"/>
    </row>
    <row r="12" spans="2:20" ht="54" customHeight="1">
      <c r="B12" s="52"/>
      <c r="C12" s="52"/>
      <c r="D12" s="52"/>
      <c r="E12" s="52"/>
      <c r="F12" s="52"/>
      <c r="G12" s="52"/>
      <c r="H12" s="53"/>
      <c r="I12" s="52"/>
      <c r="O12" s="178" t="s">
        <v>3</v>
      </c>
      <c r="P12" s="179"/>
      <c r="Q12" s="55"/>
      <c r="R12" s="55"/>
      <c r="S12" s="55"/>
      <c r="T12" s="55"/>
    </row>
    <row r="13" spans="2:20" ht="15" customHeight="1">
      <c r="B13" s="52"/>
      <c r="C13" s="52"/>
      <c r="D13" s="52"/>
      <c r="E13" s="52"/>
      <c r="F13" s="52"/>
      <c r="G13" s="52"/>
      <c r="H13" s="53"/>
      <c r="I13" s="52"/>
      <c r="R13" s="55"/>
      <c r="S13" s="55"/>
      <c r="T13" s="55"/>
    </row>
    <row r="14" spans="2:20" ht="21.75" customHeight="1">
      <c r="B14" s="177" t="s">
        <v>4</v>
      </c>
      <c r="C14" s="177"/>
      <c r="D14" s="177"/>
      <c r="E14" s="177"/>
      <c r="F14" s="177"/>
      <c r="G14" s="177"/>
      <c r="H14" s="177"/>
      <c r="I14" s="177"/>
      <c r="J14" s="177"/>
      <c r="K14" s="177"/>
      <c r="L14" s="177"/>
      <c r="M14" s="177"/>
      <c r="N14" s="177"/>
      <c r="O14" s="177"/>
      <c r="P14" s="177"/>
    </row>
    <row r="15" spans="2:20" ht="25.5" customHeight="1">
      <c r="B15" s="166" t="s">
        <v>5</v>
      </c>
      <c r="C15" s="167"/>
      <c r="D15" s="167"/>
      <c r="E15" s="167"/>
      <c r="F15" s="167"/>
      <c r="G15" s="167"/>
      <c r="H15" s="167"/>
      <c r="I15" s="167"/>
      <c r="J15" s="167"/>
      <c r="K15" s="167"/>
      <c r="L15" s="167"/>
      <c r="M15" s="167"/>
      <c r="N15" s="167"/>
      <c r="O15" s="167"/>
      <c r="P15" s="168"/>
    </row>
    <row r="16" spans="2:20" ht="25.5" customHeight="1">
      <c r="B16" s="169"/>
      <c r="C16" s="170"/>
      <c r="D16" s="170"/>
      <c r="E16" s="170"/>
      <c r="F16" s="170"/>
      <c r="G16" s="170"/>
      <c r="H16" s="170"/>
      <c r="I16" s="170"/>
      <c r="J16" s="170"/>
      <c r="K16" s="170"/>
      <c r="L16" s="170"/>
      <c r="M16" s="170"/>
      <c r="N16" s="170"/>
      <c r="O16" s="170"/>
      <c r="P16" s="171"/>
    </row>
    <row r="17" spans="2:16" ht="25.5" customHeight="1">
      <c r="B17" s="169"/>
      <c r="C17" s="170"/>
      <c r="D17" s="170"/>
      <c r="E17" s="170"/>
      <c r="F17" s="170"/>
      <c r="G17" s="170"/>
      <c r="H17" s="170"/>
      <c r="I17" s="170"/>
      <c r="J17" s="170"/>
      <c r="K17" s="170"/>
      <c r="L17" s="170"/>
      <c r="M17" s="170"/>
      <c r="N17" s="170"/>
      <c r="O17" s="170"/>
      <c r="P17" s="171"/>
    </row>
    <row r="18" spans="2:16" ht="25.5" customHeight="1">
      <c r="B18" s="169"/>
      <c r="C18" s="170"/>
      <c r="D18" s="170"/>
      <c r="E18" s="170"/>
      <c r="F18" s="170"/>
      <c r="G18" s="170"/>
      <c r="H18" s="170"/>
      <c r="I18" s="170"/>
      <c r="J18" s="170"/>
      <c r="K18" s="170"/>
      <c r="L18" s="170"/>
      <c r="M18" s="170"/>
      <c r="N18" s="170"/>
      <c r="O18" s="170"/>
      <c r="P18" s="171"/>
    </row>
    <row r="19" spans="2:16" ht="25.5" customHeight="1">
      <c r="B19" s="169"/>
      <c r="C19" s="170"/>
      <c r="D19" s="170"/>
      <c r="E19" s="170"/>
      <c r="F19" s="170"/>
      <c r="G19" s="170"/>
      <c r="H19" s="170"/>
      <c r="I19" s="170"/>
      <c r="J19" s="170"/>
      <c r="K19" s="170"/>
      <c r="L19" s="170"/>
      <c r="M19" s="170"/>
      <c r="N19" s="170"/>
      <c r="O19" s="170"/>
      <c r="P19" s="171"/>
    </row>
    <row r="20" spans="2:16" ht="25.5" customHeight="1">
      <c r="B20" s="169"/>
      <c r="C20" s="170"/>
      <c r="D20" s="170"/>
      <c r="E20" s="170"/>
      <c r="F20" s="170"/>
      <c r="G20" s="170"/>
      <c r="H20" s="170"/>
      <c r="I20" s="170"/>
      <c r="J20" s="170"/>
      <c r="K20" s="170"/>
      <c r="L20" s="170"/>
      <c r="M20" s="170"/>
      <c r="N20" s="170"/>
      <c r="O20" s="170"/>
      <c r="P20" s="171"/>
    </row>
    <row r="21" spans="2:16" ht="25.5" customHeight="1">
      <c r="B21" s="169"/>
      <c r="C21" s="170"/>
      <c r="D21" s="170"/>
      <c r="E21" s="170"/>
      <c r="F21" s="170"/>
      <c r="G21" s="170"/>
      <c r="H21" s="170"/>
      <c r="I21" s="170"/>
      <c r="J21" s="170"/>
      <c r="K21" s="170"/>
      <c r="L21" s="170"/>
      <c r="M21" s="170"/>
      <c r="N21" s="170"/>
      <c r="O21" s="170"/>
      <c r="P21" s="171"/>
    </row>
    <row r="22" spans="2:16" ht="25.5" customHeight="1">
      <c r="B22" s="169"/>
      <c r="C22" s="170"/>
      <c r="D22" s="170"/>
      <c r="E22" s="170"/>
      <c r="F22" s="170"/>
      <c r="G22" s="170"/>
      <c r="H22" s="170"/>
      <c r="I22" s="170"/>
      <c r="J22" s="170"/>
      <c r="K22" s="170"/>
      <c r="L22" s="170"/>
      <c r="M22" s="170"/>
      <c r="N22" s="170"/>
      <c r="O22" s="170"/>
      <c r="P22" s="171"/>
    </row>
    <row r="23" spans="2:16" ht="25.5" customHeight="1">
      <c r="B23" s="169"/>
      <c r="C23" s="170"/>
      <c r="D23" s="170"/>
      <c r="E23" s="170"/>
      <c r="F23" s="170"/>
      <c r="G23" s="170"/>
      <c r="H23" s="170"/>
      <c r="I23" s="170"/>
      <c r="J23" s="170"/>
      <c r="K23" s="170"/>
      <c r="L23" s="170"/>
      <c r="M23" s="170"/>
      <c r="N23" s="170"/>
      <c r="O23" s="170"/>
      <c r="P23" s="171"/>
    </row>
    <row r="24" spans="2:16" ht="25.5" customHeight="1">
      <c r="B24" s="169"/>
      <c r="C24" s="170"/>
      <c r="D24" s="170"/>
      <c r="E24" s="170"/>
      <c r="F24" s="170"/>
      <c r="G24" s="170"/>
      <c r="H24" s="170"/>
      <c r="I24" s="170"/>
      <c r="J24" s="170"/>
      <c r="K24" s="170"/>
      <c r="L24" s="170"/>
      <c r="M24" s="170"/>
      <c r="N24" s="170"/>
      <c r="O24" s="170"/>
      <c r="P24" s="171"/>
    </row>
    <row r="25" spans="2:16" ht="25.5" customHeight="1">
      <c r="B25" s="169"/>
      <c r="C25" s="170"/>
      <c r="D25" s="170"/>
      <c r="E25" s="170"/>
      <c r="F25" s="170"/>
      <c r="G25" s="170"/>
      <c r="H25" s="170"/>
      <c r="I25" s="170"/>
      <c r="J25" s="170"/>
      <c r="K25" s="170"/>
      <c r="L25" s="170"/>
      <c r="M25" s="170"/>
      <c r="N25" s="170"/>
      <c r="O25" s="170"/>
      <c r="P25" s="171"/>
    </row>
    <row r="26" spans="2:16" ht="25.5" customHeight="1">
      <c r="B26" s="169"/>
      <c r="C26" s="170"/>
      <c r="D26" s="170"/>
      <c r="E26" s="170"/>
      <c r="F26" s="170"/>
      <c r="G26" s="170"/>
      <c r="H26" s="170"/>
      <c r="I26" s="170"/>
      <c r="J26" s="170"/>
      <c r="K26" s="170"/>
      <c r="L26" s="170"/>
      <c r="M26" s="170"/>
      <c r="N26" s="170"/>
      <c r="O26" s="170"/>
      <c r="P26" s="171"/>
    </row>
    <row r="27" spans="2:16" ht="25.5" customHeight="1">
      <c r="B27" s="169"/>
      <c r="C27" s="170"/>
      <c r="D27" s="170"/>
      <c r="E27" s="170"/>
      <c r="F27" s="170"/>
      <c r="G27" s="170"/>
      <c r="H27" s="170"/>
      <c r="I27" s="170"/>
      <c r="J27" s="170"/>
      <c r="K27" s="170"/>
      <c r="L27" s="170"/>
      <c r="M27" s="170"/>
      <c r="N27" s="170"/>
      <c r="O27" s="170"/>
      <c r="P27" s="171"/>
    </row>
    <row r="28" spans="2:16" ht="25.5" customHeight="1">
      <c r="B28" s="169"/>
      <c r="C28" s="170"/>
      <c r="D28" s="170"/>
      <c r="E28" s="170"/>
      <c r="F28" s="170"/>
      <c r="G28" s="170"/>
      <c r="H28" s="170"/>
      <c r="I28" s="170"/>
      <c r="J28" s="170"/>
      <c r="K28" s="170"/>
      <c r="L28" s="170"/>
      <c r="M28" s="170"/>
      <c r="N28" s="170"/>
      <c r="O28" s="170"/>
      <c r="P28" s="171"/>
    </row>
    <row r="29" spans="2:16" ht="25.5" customHeight="1">
      <c r="B29" s="172"/>
      <c r="C29" s="173"/>
      <c r="D29" s="173"/>
      <c r="E29" s="173"/>
      <c r="F29" s="173"/>
      <c r="G29" s="173"/>
      <c r="H29" s="173"/>
      <c r="I29" s="173"/>
      <c r="J29" s="173"/>
      <c r="K29" s="173"/>
      <c r="L29" s="173"/>
      <c r="M29" s="173"/>
      <c r="N29" s="173"/>
      <c r="O29" s="173"/>
      <c r="P29" s="174"/>
    </row>
    <row r="30" spans="2:16" ht="15" customHeight="1">
      <c r="B30" s="56"/>
      <c r="C30" s="56"/>
      <c r="D30" s="56"/>
      <c r="E30" s="56"/>
      <c r="F30" s="56"/>
      <c r="G30" s="56"/>
      <c r="H30" s="57"/>
      <c r="I30" s="56"/>
      <c r="J30" s="56"/>
      <c r="K30" s="56"/>
      <c r="L30" s="56"/>
      <c r="M30" s="56"/>
      <c r="N30" s="56"/>
      <c r="O30" s="56"/>
    </row>
    <row r="31" spans="2:16" ht="21.75" customHeight="1">
      <c r="B31" s="149" t="s">
        <v>6</v>
      </c>
      <c r="C31" s="150"/>
      <c r="D31" s="150"/>
      <c r="E31" s="150"/>
      <c r="F31" s="150"/>
      <c r="G31" s="150"/>
      <c r="H31" s="150"/>
      <c r="I31" s="150"/>
      <c r="J31" s="150"/>
      <c r="K31" s="150"/>
      <c r="L31" s="150"/>
      <c r="M31" s="150"/>
      <c r="N31" s="150"/>
      <c r="O31" s="150"/>
      <c r="P31" s="151"/>
    </row>
    <row r="32" spans="2:16" ht="14.25" customHeight="1">
      <c r="D32" s="56"/>
      <c r="E32" s="56"/>
      <c r="F32" s="56"/>
      <c r="G32" s="56"/>
      <c r="H32" s="57"/>
      <c r="I32" s="56"/>
      <c r="J32" s="56"/>
      <c r="K32" s="56"/>
      <c r="L32" s="56"/>
      <c r="M32" s="56"/>
      <c r="N32" s="56"/>
      <c r="O32" s="56"/>
      <c r="P32" s="60"/>
    </row>
    <row r="33" spans="2:20" ht="14.25" customHeight="1">
      <c r="B33" s="61" t="s">
        <v>7</v>
      </c>
      <c r="C33" s="58"/>
      <c r="D33" s="58"/>
      <c r="E33" s="58"/>
      <c r="F33" s="58"/>
      <c r="G33" s="58"/>
      <c r="H33" s="58"/>
      <c r="I33" s="58"/>
      <c r="J33" s="58"/>
      <c r="K33" s="58"/>
      <c r="L33" s="58"/>
      <c r="M33" s="58"/>
      <c r="N33" s="58"/>
      <c r="O33" s="58"/>
      <c r="P33" s="58"/>
      <c r="Q33" s="58"/>
      <c r="R33" s="58"/>
      <c r="S33" s="58"/>
      <c r="T33" s="58"/>
    </row>
    <row r="34" spans="2:20" ht="14.25" customHeight="1">
      <c r="B34" s="61" t="s">
        <v>8</v>
      </c>
      <c r="C34" s="58"/>
      <c r="D34" s="58"/>
      <c r="E34" s="58"/>
      <c r="F34" s="58"/>
      <c r="G34" s="58"/>
      <c r="H34" s="58"/>
      <c r="I34" s="58"/>
      <c r="J34" s="58"/>
      <c r="K34" s="58"/>
      <c r="L34" s="58"/>
      <c r="M34" s="58"/>
      <c r="N34" s="58"/>
      <c r="O34" s="58"/>
      <c r="P34" s="58"/>
      <c r="Q34" s="58"/>
      <c r="R34" s="58"/>
      <c r="S34" s="58"/>
      <c r="T34" s="58"/>
    </row>
    <row r="35" spans="2:20" ht="14.25" customHeight="1" thickBot="1">
      <c r="B35" s="62"/>
      <c r="P35" s="60"/>
    </row>
    <row r="36" spans="2:20" ht="30.75" thickBot="1">
      <c r="B36" s="42" t="s">
        <v>9</v>
      </c>
      <c r="C36" s="43" t="s">
        <v>10</v>
      </c>
      <c r="D36" s="42" t="s">
        <v>11</v>
      </c>
      <c r="E36" s="42" t="s">
        <v>12</v>
      </c>
      <c r="F36" s="42" t="s">
        <v>13</v>
      </c>
      <c r="G36" s="42" t="s">
        <v>14</v>
      </c>
      <c r="H36" s="42" t="s">
        <v>15</v>
      </c>
      <c r="J36" s="44" t="s">
        <v>16</v>
      </c>
      <c r="K36" s="45"/>
      <c r="L36" s="45"/>
      <c r="M36" s="45"/>
      <c r="N36" s="45"/>
      <c r="O36" s="45"/>
      <c r="P36" s="46"/>
    </row>
    <row r="37" spans="2:20" ht="33.75" customHeight="1">
      <c r="B37" s="65" t="s">
        <v>18</v>
      </c>
      <c r="C37" s="66" t="s">
        <v>19</v>
      </c>
      <c r="D37" s="67">
        <v>100</v>
      </c>
      <c r="E37" s="68" t="s">
        <v>20</v>
      </c>
      <c r="F37" s="2" t="s">
        <v>21</v>
      </c>
      <c r="G37" s="2" t="s">
        <v>21</v>
      </c>
      <c r="H37" s="47">
        <v>313100</v>
      </c>
      <c r="I37" s="64"/>
      <c r="J37" s="160" t="s">
        <v>22</v>
      </c>
      <c r="K37" s="161"/>
      <c r="L37" s="161"/>
      <c r="M37" s="161"/>
      <c r="N37" s="161"/>
      <c r="O37" s="161"/>
      <c r="P37" s="162"/>
    </row>
    <row r="38" spans="2:20" ht="33.75" customHeight="1">
      <c r="B38" s="69" t="s">
        <v>24</v>
      </c>
      <c r="C38" s="68" t="s">
        <v>25</v>
      </c>
      <c r="D38" s="70">
        <v>125</v>
      </c>
      <c r="E38" s="68" t="s">
        <v>26</v>
      </c>
      <c r="F38" s="2" t="s">
        <v>21</v>
      </c>
      <c r="G38" s="2" t="s">
        <v>21</v>
      </c>
      <c r="H38" s="47">
        <v>45</v>
      </c>
      <c r="I38" s="64"/>
      <c r="J38" s="163" t="s">
        <v>27</v>
      </c>
      <c r="K38" s="164"/>
      <c r="L38" s="164"/>
      <c r="M38" s="164"/>
      <c r="N38" s="164"/>
      <c r="O38" s="164"/>
      <c r="P38" s="165"/>
    </row>
    <row r="39" spans="2:20" ht="33.75" customHeight="1">
      <c r="B39" s="69" t="s">
        <v>29</v>
      </c>
      <c r="C39" s="68" t="s">
        <v>30</v>
      </c>
      <c r="D39" s="70">
        <v>150</v>
      </c>
      <c r="E39" s="68" t="s">
        <v>31</v>
      </c>
      <c r="F39" s="2" t="s">
        <v>21</v>
      </c>
      <c r="G39" s="2" t="s">
        <v>21</v>
      </c>
      <c r="H39" s="47">
        <v>56550</v>
      </c>
      <c r="I39" s="64"/>
      <c r="J39" s="163" t="s">
        <v>32</v>
      </c>
      <c r="K39" s="164"/>
      <c r="L39" s="164"/>
      <c r="M39" s="164"/>
      <c r="N39" s="164"/>
      <c r="O39" s="164"/>
      <c r="P39" s="165"/>
    </row>
    <row r="40" spans="2:20" ht="33.75" customHeight="1">
      <c r="B40" s="69" t="s">
        <v>34</v>
      </c>
      <c r="C40" s="68" t="s">
        <v>35</v>
      </c>
      <c r="D40" s="70">
        <v>175</v>
      </c>
      <c r="E40" s="68" t="s">
        <v>36</v>
      </c>
      <c r="F40" s="2" t="s">
        <v>21</v>
      </c>
      <c r="G40" s="2" t="s">
        <v>21</v>
      </c>
      <c r="H40" s="47">
        <v>70835562</v>
      </c>
      <c r="I40" s="64"/>
      <c r="J40" s="163" t="s">
        <v>37</v>
      </c>
      <c r="K40" s="164"/>
      <c r="L40" s="164"/>
      <c r="M40" s="164"/>
      <c r="N40" s="164"/>
      <c r="O40" s="164"/>
      <c r="P40" s="165"/>
    </row>
    <row r="41" spans="2:20" ht="33.75" customHeight="1">
      <c r="B41" s="69" t="s">
        <v>39</v>
      </c>
      <c r="C41" s="68" t="s">
        <v>35</v>
      </c>
      <c r="D41" s="70">
        <v>10</v>
      </c>
      <c r="E41" s="68" t="s">
        <v>40</v>
      </c>
      <c r="F41" s="2" t="s">
        <v>21</v>
      </c>
      <c r="G41" s="2" t="s">
        <v>21</v>
      </c>
      <c r="H41" s="47">
        <v>111</v>
      </c>
      <c r="I41" s="64"/>
      <c r="J41" s="163" t="s">
        <v>41</v>
      </c>
      <c r="K41" s="164"/>
      <c r="L41" s="164"/>
      <c r="M41" s="164"/>
      <c r="N41" s="164"/>
      <c r="O41" s="164"/>
      <c r="P41" s="165"/>
    </row>
    <row r="42" spans="2:20" ht="15" customHeight="1">
      <c r="B42" s="52"/>
      <c r="C42" s="52"/>
      <c r="D42" s="52"/>
      <c r="E42" s="52"/>
      <c r="F42" s="52"/>
      <c r="G42" s="52"/>
      <c r="H42" s="53"/>
    </row>
    <row r="43" spans="2:20" ht="21" customHeight="1">
      <c r="B43" s="149" t="s">
        <v>43</v>
      </c>
      <c r="C43" s="150"/>
      <c r="D43" s="150"/>
      <c r="E43" s="150"/>
      <c r="F43" s="150"/>
      <c r="G43" s="150"/>
      <c r="H43" s="150"/>
      <c r="I43" s="150"/>
      <c r="J43" s="150"/>
      <c r="K43" s="150"/>
      <c r="L43" s="150"/>
      <c r="M43" s="150"/>
      <c r="N43" s="150"/>
      <c r="O43" s="150"/>
      <c r="P43" s="151"/>
    </row>
    <row r="44" spans="2:20" ht="14.25" customHeight="1" thickBot="1">
      <c r="B44" s="71"/>
      <c r="C44" s="71"/>
      <c r="D44" s="71"/>
      <c r="E44" s="71"/>
      <c r="F44" s="71"/>
      <c r="G44" s="71"/>
      <c r="H44" s="72"/>
      <c r="I44" s="71"/>
      <c r="J44" s="71"/>
      <c r="K44" s="71"/>
      <c r="L44" s="71"/>
      <c r="M44" s="71"/>
      <c r="Q44" s="71"/>
      <c r="R44" s="71"/>
      <c r="S44" s="71"/>
      <c r="T44" s="71"/>
    </row>
    <row r="45" spans="2:20" ht="25.5" customHeight="1" thickBot="1">
      <c r="B45" s="48" t="s">
        <v>19</v>
      </c>
      <c r="C45" s="49" t="s">
        <v>44</v>
      </c>
      <c r="D45" s="73" t="s">
        <v>45</v>
      </c>
      <c r="E45" s="73"/>
      <c r="F45" s="73"/>
      <c r="G45" s="73"/>
    </row>
    <row r="46" spans="2:20" ht="15" customHeight="1"/>
    <row r="47" spans="2:20" ht="15" customHeight="1">
      <c r="B47" s="75" t="s">
        <v>47</v>
      </c>
    </row>
    <row r="48" spans="2:20" ht="15" customHeight="1">
      <c r="B48" s="75" t="s">
        <v>48</v>
      </c>
    </row>
    <row r="49" spans="2:20" ht="15" customHeight="1">
      <c r="B49" s="75" t="s">
        <v>49</v>
      </c>
    </row>
    <row r="50" spans="2:20" ht="15" customHeight="1">
      <c r="B50" s="75" t="s">
        <v>50</v>
      </c>
    </row>
    <row r="51" spans="2:20" ht="15" customHeight="1">
      <c r="B51" s="75" t="s">
        <v>51</v>
      </c>
      <c r="J51" s="74"/>
    </row>
    <row r="52" spans="2:20" ht="15" customHeight="1">
      <c r="B52" s="75"/>
      <c r="J52" s="74"/>
    </row>
    <row r="53" spans="2:20" ht="15" customHeight="1">
      <c r="B53" s="75" t="s">
        <v>52</v>
      </c>
      <c r="J53" s="74"/>
    </row>
    <row r="54" spans="2:20" ht="15" customHeight="1">
      <c r="B54" s="75"/>
      <c r="J54" s="74"/>
    </row>
    <row r="55" spans="2:20" ht="15" customHeight="1">
      <c r="B55" s="75" t="s">
        <v>53</v>
      </c>
      <c r="J55" s="74"/>
    </row>
    <row r="56" spans="2:20" ht="15" customHeight="1">
      <c r="B56" s="75"/>
      <c r="J56" s="74"/>
    </row>
    <row r="57" spans="2:20" ht="15" customHeight="1">
      <c r="B57" s="75"/>
      <c r="C57" s="50" t="s">
        <v>55</v>
      </c>
      <c r="J57" s="74"/>
    </row>
    <row r="58" spans="2:20" ht="15" customHeight="1">
      <c r="B58" s="75"/>
      <c r="C58" s="50" t="s">
        <v>57</v>
      </c>
      <c r="J58" s="74"/>
    </row>
    <row r="59" spans="2:20" ht="15" customHeight="1">
      <c r="B59" s="75"/>
      <c r="C59" s="50" t="s">
        <v>59</v>
      </c>
      <c r="J59" s="74"/>
    </row>
    <row r="60" spans="2:20" ht="15" customHeight="1" thickBot="1">
      <c r="B60" s="75"/>
      <c r="J60" s="74" t="s">
        <v>60</v>
      </c>
    </row>
    <row r="61" spans="2:20" ht="25.5" customHeight="1" thickBot="1">
      <c r="B61" s="42" t="s">
        <v>61</v>
      </c>
      <c r="C61" s="42" t="s">
        <v>62</v>
      </c>
      <c r="D61" s="42" t="s">
        <v>11</v>
      </c>
      <c r="E61" s="42" t="s">
        <v>63</v>
      </c>
      <c r="F61" s="42" t="s">
        <v>13</v>
      </c>
      <c r="G61" s="42" t="s">
        <v>14</v>
      </c>
      <c r="H61" s="42" t="s">
        <v>15</v>
      </c>
      <c r="J61" s="42" t="s">
        <v>64</v>
      </c>
      <c r="R61" s="54"/>
      <c r="S61" s="54"/>
      <c r="T61" s="54"/>
    </row>
    <row r="62" spans="2:20">
      <c r="B62" s="52"/>
      <c r="C62" s="52"/>
      <c r="D62" s="52"/>
      <c r="E62" s="52"/>
      <c r="F62" s="52"/>
      <c r="G62" s="52"/>
      <c r="H62" s="53"/>
      <c r="J62" s="59"/>
      <c r="R62" s="54"/>
      <c r="S62" s="54"/>
      <c r="T62" s="54"/>
    </row>
    <row r="63" spans="2:20" ht="23.25">
      <c r="B63" s="69" t="s">
        <v>65</v>
      </c>
      <c r="C63" s="68">
        <v>1</v>
      </c>
      <c r="D63" s="70">
        <v>0</v>
      </c>
      <c r="E63" s="2" t="s">
        <v>66</v>
      </c>
      <c r="F63" s="3" t="s">
        <v>67</v>
      </c>
      <c r="G63" s="3" t="s">
        <v>68</v>
      </c>
      <c r="H63" s="47">
        <v>3</v>
      </c>
      <c r="I63" s="64"/>
      <c r="J63" s="78">
        <v>908</v>
      </c>
      <c r="R63" s="54"/>
      <c r="S63" s="54"/>
      <c r="T63" s="54"/>
    </row>
    <row r="64" spans="2:20" ht="15" customHeight="1">
      <c r="B64" s="52"/>
      <c r="C64" s="52"/>
      <c r="D64" s="52"/>
      <c r="E64" s="52"/>
      <c r="F64" s="77"/>
      <c r="G64" s="77"/>
      <c r="H64" s="53"/>
      <c r="J64" s="79"/>
      <c r="R64" s="54"/>
      <c r="S64" s="54"/>
      <c r="T64" s="54"/>
    </row>
    <row r="65" spans="2:20" ht="23.25">
      <c r="B65" s="68">
        <v>1</v>
      </c>
      <c r="C65" s="68">
        <v>1</v>
      </c>
      <c r="D65" s="76">
        <v>7</v>
      </c>
      <c r="E65" s="2">
        <v>1</v>
      </c>
      <c r="F65" s="3" t="s">
        <v>67</v>
      </c>
      <c r="G65" s="3" t="s">
        <v>71</v>
      </c>
      <c r="H65" s="47">
        <v>10</v>
      </c>
      <c r="I65" s="64"/>
      <c r="J65" s="78">
        <v>6945</v>
      </c>
      <c r="R65" s="54"/>
      <c r="S65" s="54"/>
      <c r="T65" s="54"/>
    </row>
    <row r="66" spans="2:20" ht="23.25">
      <c r="B66" s="68">
        <v>2</v>
      </c>
      <c r="C66" s="68">
        <v>1</v>
      </c>
      <c r="D66" s="76">
        <v>7</v>
      </c>
      <c r="E66" s="2">
        <v>2</v>
      </c>
      <c r="F66" s="3" t="s">
        <v>72</v>
      </c>
      <c r="G66" s="3" t="s">
        <v>73</v>
      </c>
      <c r="H66" s="47">
        <v>10</v>
      </c>
      <c r="I66" s="64"/>
      <c r="J66" s="78">
        <v>6612</v>
      </c>
      <c r="R66" s="54"/>
      <c r="S66" s="54"/>
      <c r="T66" s="54"/>
    </row>
    <row r="67" spans="2:20" ht="23.25">
      <c r="B67" s="68">
        <v>3</v>
      </c>
      <c r="C67" s="68">
        <v>1</v>
      </c>
      <c r="D67" s="76">
        <v>7</v>
      </c>
      <c r="E67" s="2">
        <v>3</v>
      </c>
      <c r="F67" s="3" t="s">
        <v>74</v>
      </c>
      <c r="G67" s="3" t="s">
        <v>68</v>
      </c>
      <c r="H67" s="47">
        <v>4</v>
      </c>
      <c r="I67" s="64"/>
      <c r="J67" s="78">
        <v>1500</v>
      </c>
      <c r="R67" s="54"/>
      <c r="S67" s="54"/>
      <c r="T67" s="54"/>
    </row>
    <row r="68" spans="2:20" ht="23.25">
      <c r="B68" s="68">
        <v>4</v>
      </c>
      <c r="C68" s="68">
        <v>1</v>
      </c>
      <c r="D68" s="76">
        <v>7</v>
      </c>
      <c r="E68" s="2">
        <v>4</v>
      </c>
      <c r="F68" s="3" t="s">
        <v>75</v>
      </c>
      <c r="G68" s="3" t="s">
        <v>71</v>
      </c>
      <c r="H68" s="47">
        <v>9</v>
      </c>
      <c r="I68" s="64"/>
      <c r="J68" s="78">
        <v>5191</v>
      </c>
      <c r="R68" s="54"/>
      <c r="S68" s="54"/>
      <c r="T68" s="54"/>
    </row>
    <row r="69" spans="2:20" ht="23.25">
      <c r="B69" s="68">
        <v>5</v>
      </c>
      <c r="C69" s="68">
        <v>1</v>
      </c>
      <c r="D69" s="76">
        <v>7</v>
      </c>
      <c r="E69" s="2">
        <v>5</v>
      </c>
      <c r="F69" s="3" t="s">
        <v>75</v>
      </c>
      <c r="G69" s="3" t="s">
        <v>76</v>
      </c>
      <c r="H69" s="47">
        <v>8</v>
      </c>
      <c r="I69" s="64"/>
      <c r="J69" s="78">
        <v>4777</v>
      </c>
      <c r="R69" s="54"/>
      <c r="S69" s="54"/>
      <c r="T69" s="54"/>
    </row>
    <row r="70" spans="2:20" ht="23.25">
      <c r="B70" s="68">
        <v>6</v>
      </c>
      <c r="C70" s="68">
        <v>1</v>
      </c>
      <c r="D70" s="76">
        <v>7</v>
      </c>
      <c r="E70" s="2">
        <v>6</v>
      </c>
      <c r="F70" s="3" t="s">
        <v>74</v>
      </c>
      <c r="G70" s="3" t="s">
        <v>73</v>
      </c>
      <c r="H70" s="47">
        <v>8</v>
      </c>
      <c r="I70" s="64"/>
      <c r="J70" s="78">
        <v>4229</v>
      </c>
      <c r="R70" s="54"/>
      <c r="S70" s="54"/>
      <c r="T70" s="54"/>
    </row>
    <row r="71" spans="2:20" ht="23.25">
      <c r="B71" s="68">
        <v>7</v>
      </c>
      <c r="C71" s="68">
        <v>1</v>
      </c>
      <c r="D71" s="76">
        <v>7</v>
      </c>
      <c r="E71" s="2">
        <v>7</v>
      </c>
      <c r="F71" s="3" t="s">
        <v>72</v>
      </c>
      <c r="G71" s="3" t="s">
        <v>76</v>
      </c>
      <c r="H71" s="47">
        <v>11</v>
      </c>
      <c r="I71" s="64"/>
      <c r="J71" s="78">
        <v>7365</v>
      </c>
      <c r="R71" s="54"/>
      <c r="S71" s="54"/>
      <c r="T71" s="54"/>
    </row>
    <row r="72" spans="2:20" ht="23.25">
      <c r="B72" s="68">
        <v>8</v>
      </c>
      <c r="C72" s="68">
        <v>1</v>
      </c>
      <c r="D72" s="76">
        <v>7</v>
      </c>
      <c r="E72" s="2">
        <v>8</v>
      </c>
      <c r="F72" s="3" t="s">
        <v>67</v>
      </c>
      <c r="G72" s="3" t="s">
        <v>77</v>
      </c>
      <c r="H72" s="47">
        <v>9</v>
      </c>
      <c r="I72" s="64"/>
      <c r="J72" s="78">
        <v>5739</v>
      </c>
      <c r="R72" s="54"/>
      <c r="S72" s="54"/>
      <c r="T72" s="54"/>
    </row>
    <row r="73" spans="2:20" ht="23.25">
      <c r="B73" s="68">
        <v>9</v>
      </c>
      <c r="C73" s="68">
        <v>1</v>
      </c>
      <c r="D73" s="76">
        <v>7</v>
      </c>
      <c r="E73" s="2">
        <v>9</v>
      </c>
      <c r="F73" s="3" t="s">
        <v>67</v>
      </c>
      <c r="G73" s="3" t="s">
        <v>78</v>
      </c>
      <c r="H73" s="47">
        <v>10</v>
      </c>
      <c r="I73" s="64"/>
      <c r="J73" s="78">
        <v>7158</v>
      </c>
      <c r="R73" s="54"/>
      <c r="S73" s="54"/>
      <c r="T73" s="54"/>
    </row>
    <row r="74" spans="2:20" ht="23.25">
      <c r="B74" s="68">
        <v>10</v>
      </c>
      <c r="C74" s="68">
        <v>1</v>
      </c>
      <c r="D74" s="76">
        <v>7</v>
      </c>
      <c r="E74" s="2">
        <v>10</v>
      </c>
      <c r="F74" s="3" t="s">
        <v>74</v>
      </c>
      <c r="G74" s="3" t="s">
        <v>79</v>
      </c>
      <c r="H74" s="47">
        <v>6</v>
      </c>
      <c r="I74" s="64"/>
      <c r="J74" s="78">
        <v>3250</v>
      </c>
      <c r="P74" s="54"/>
      <c r="Q74" s="54"/>
      <c r="R74" s="54"/>
      <c r="S74" s="54"/>
      <c r="T74" s="54"/>
    </row>
    <row r="75" spans="2:20" ht="23.25">
      <c r="B75" s="68">
        <v>11</v>
      </c>
      <c r="C75" s="68">
        <v>1</v>
      </c>
      <c r="D75" s="76">
        <v>7</v>
      </c>
      <c r="E75" s="2">
        <v>11</v>
      </c>
      <c r="F75" s="3" t="s">
        <v>67</v>
      </c>
      <c r="G75" s="3" t="s">
        <v>68</v>
      </c>
      <c r="H75" s="47">
        <v>10</v>
      </c>
      <c r="I75" s="64"/>
      <c r="J75" s="78">
        <v>6212</v>
      </c>
      <c r="P75" s="54"/>
      <c r="Q75" s="54"/>
      <c r="R75" s="54"/>
      <c r="S75" s="54"/>
      <c r="T75" s="54"/>
    </row>
    <row r="76" spans="2:20" ht="23.25">
      <c r="B76" s="68">
        <v>12</v>
      </c>
      <c r="C76" s="68">
        <v>1</v>
      </c>
      <c r="D76" s="76">
        <v>7</v>
      </c>
      <c r="E76" s="2">
        <v>12</v>
      </c>
      <c r="F76" s="3" t="s">
        <v>72</v>
      </c>
      <c r="G76" s="3" t="s">
        <v>71</v>
      </c>
      <c r="H76" s="47">
        <v>11</v>
      </c>
      <c r="I76" s="64"/>
      <c r="J76" s="78">
        <v>7492</v>
      </c>
      <c r="P76" s="54"/>
      <c r="Q76" s="54"/>
      <c r="R76" s="54"/>
      <c r="S76" s="54"/>
      <c r="T76" s="54"/>
    </row>
    <row r="77" spans="2:20" ht="23.25">
      <c r="B77" s="68">
        <v>13</v>
      </c>
      <c r="C77" s="68">
        <v>1</v>
      </c>
      <c r="D77" s="76">
        <v>7</v>
      </c>
      <c r="E77" s="2">
        <v>13</v>
      </c>
      <c r="F77" s="3" t="s">
        <v>74</v>
      </c>
      <c r="G77" s="3" t="s">
        <v>77</v>
      </c>
      <c r="H77" s="47">
        <v>7</v>
      </c>
      <c r="I77" s="64"/>
      <c r="J77" s="78">
        <v>3971</v>
      </c>
      <c r="P77" s="54"/>
      <c r="Q77" s="54"/>
      <c r="R77" s="54"/>
      <c r="S77" s="54"/>
      <c r="T77" s="54"/>
    </row>
    <row r="78" spans="2:20" ht="23.25">
      <c r="B78" s="68">
        <v>14</v>
      </c>
      <c r="C78" s="68">
        <v>1</v>
      </c>
      <c r="D78" s="76">
        <v>7</v>
      </c>
      <c r="E78" s="2">
        <v>14</v>
      </c>
      <c r="F78" s="3" t="s">
        <v>72</v>
      </c>
      <c r="G78" s="3" t="s">
        <v>79</v>
      </c>
      <c r="H78" s="47">
        <v>10</v>
      </c>
      <c r="I78" s="64"/>
      <c r="J78" s="78">
        <v>6783</v>
      </c>
      <c r="P78" s="54"/>
      <c r="Q78" s="54"/>
      <c r="R78" s="54"/>
      <c r="S78" s="54"/>
      <c r="T78" s="54"/>
    </row>
    <row r="79" spans="2:20" ht="23.25">
      <c r="B79" s="68">
        <v>15</v>
      </c>
      <c r="C79" s="68">
        <v>1</v>
      </c>
      <c r="D79" s="76">
        <v>7</v>
      </c>
      <c r="E79" s="2">
        <v>15</v>
      </c>
      <c r="F79" s="3" t="s">
        <v>75</v>
      </c>
      <c r="G79" s="3" t="s">
        <v>78</v>
      </c>
      <c r="H79" s="47">
        <v>10</v>
      </c>
      <c r="I79" s="64"/>
      <c r="J79" s="78">
        <v>6297</v>
      </c>
      <c r="P79" s="54"/>
      <c r="Q79" s="54"/>
      <c r="R79" s="54"/>
      <c r="S79" s="54"/>
      <c r="T79" s="54"/>
    </row>
    <row r="80" spans="2:20" ht="23.25">
      <c r="B80" s="68">
        <v>16</v>
      </c>
      <c r="C80" s="68">
        <v>1</v>
      </c>
      <c r="D80" s="76">
        <v>7</v>
      </c>
      <c r="E80" s="2">
        <v>16</v>
      </c>
      <c r="F80" s="3" t="s">
        <v>72</v>
      </c>
      <c r="G80" s="3" t="s">
        <v>78</v>
      </c>
      <c r="H80" s="47">
        <v>9</v>
      </c>
      <c r="I80" s="64"/>
      <c r="J80" s="78">
        <v>5589</v>
      </c>
      <c r="P80" s="54"/>
      <c r="Q80" s="54"/>
      <c r="R80" s="54"/>
      <c r="S80" s="54"/>
      <c r="T80" s="54"/>
    </row>
    <row r="81" spans="2:20" ht="23.25">
      <c r="B81" s="68">
        <v>17</v>
      </c>
      <c r="C81" s="68">
        <v>1</v>
      </c>
      <c r="D81" s="76">
        <v>7</v>
      </c>
      <c r="E81" s="2">
        <v>17</v>
      </c>
      <c r="F81" s="3" t="s">
        <v>74</v>
      </c>
      <c r="G81" s="3" t="s">
        <v>77</v>
      </c>
      <c r="H81" s="47">
        <v>9</v>
      </c>
      <c r="I81" s="64"/>
      <c r="J81" s="78">
        <v>5266</v>
      </c>
      <c r="P81" s="54"/>
      <c r="Q81" s="54"/>
      <c r="R81" s="54"/>
      <c r="S81" s="54"/>
      <c r="T81" s="54"/>
    </row>
    <row r="82" spans="2:20" ht="23.25">
      <c r="B82" s="68">
        <v>18</v>
      </c>
      <c r="C82" s="68">
        <v>1</v>
      </c>
      <c r="D82" s="76">
        <v>7</v>
      </c>
      <c r="E82" s="2">
        <v>18</v>
      </c>
      <c r="F82" s="3" t="s">
        <v>72</v>
      </c>
      <c r="G82" s="3" t="s">
        <v>73</v>
      </c>
      <c r="H82" s="47">
        <v>7</v>
      </c>
      <c r="I82" s="64"/>
      <c r="J82" s="78">
        <v>3966</v>
      </c>
      <c r="P82" s="54"/>
      <c r="Q82" s="54"/>
      <c r="R82" s="54"/>
      <c r="S82" s="54"/>
      <c r="T82" s="54"/>
    </row>
    <row r="83" spans="2:20" ht="23.25">
      <c r="B83" s="68">
        <v>19</v>
      </c>
      <c r="C83" s="68">
        <v>1</v>
      </c>
      <c r="D83" s="76">
        <v>7</v>
      </c>
      <c r="E83" s="2">
        <v>19</v>
      </c>
      <c r="F83" s="3" t="s">
        <v>72</v>
      </c>
      <c r="G83" s="3" t="s">
        <v>73</v>
      </c>
      <c r="H83" s="47">
        <v>8</v>
      </c>
      <c r="I83" s="64"/>
      <c r="J83" s="78">
        <v>4640</v>
      </c>
      <c r="P83" s="54"/>
      <c r="Q83" s="54"/>
      <c r="R83" s="54"/>
      <c r="S83" s="54"/>
      <c r="T83" s="54"/>
    </row>
    <row r="84" spans="2:20" ht="23.25">
      <c r="B84" s="68">
        <v>20</v>
      </c>
      <c r="C84" s="68">
        <v>1</v>
      </c>
      <c r="D84" s="76">
        <v>7</v>
      </c>
      <c r="E84" s="2">
        <v>20</v>
      </c>
      <c r="F84" s="3" t="s">
        <v>75</v>
      </c>
      <c r="G84" s="3" t="s">
        <v>80</v>
      </c>
      <c r="H84" s="47">
        <v>12</v>
      </c>
      <c r="I84" s="64"/>
      <c r="J84" s="78">
        <v>9500</v>
      </c>
      <c r="P84" s="54"/>
      <c r="Q84" s="54"/>
      <c r="R84" s="54"/>
      <c r="S84" s="54"/>
      <c r="T84" s="54"/>
    </row>
    <row r="85" spans="2:20">
      <c r="B85" s="52"/>
      <c r="C85" s="52"/>
      <c r="D85" s="52"/>
      <c r="E85" s="52"/>
      <c r="F85" s="52"/>
      <c r="G85" s="52"/>
      <c r="H85" s="53"/>
    </row>
    <row r="86" spans="2:20" ht="15" customHeight="1" thickBot="1">
      <c r="B86" s="52"/>
      <c r="C86" s="52"/>
      <c r="D86" s="52"/>
      <c r="E86" s="52"/>
      <c r="F86" s="52"/>
      <c r="G86" s="52"/>
      <c r="H86" s="53"/>
    </row>
    <row r="87" spans="2:20" ht="25.5" customHeight="1" thickBot="1">
      <c r="B87" s="48" t="s">
        <v>81</v>
      </c>
      <c r="C87" s="49" t="s">
        <v>82</v>
      </c>
      <c r="D87" s="73" t="s">
        <v>83</v>
      </c>
      <c r="E87" s="73"/>
      <c r="F87" s="73"/>
      <c r="G87" s="73"/>
      <c r="H87" s="53"/>
      <c r="J87" s="42" t="s">
        <v>84</v>
      </c>
      <c r="K87" s="42" t="s">
        <v>67</v>
      </c>
      <c r="L87" s="42" t="s">
        <v>72</v>
      </c>
      <c r="M87" s="42" t="s">
        <v>74</v>
      </c>
      <c r="N87" s="42" t="s">
        <v>75</v>
      </c>
    </row>
    <row r="88" spans="2:20">
      <c r="B88" s="75"/>
      <c r="C88" s="52"/>
      <c r="D88" s="52"/>
      <c r="E88" s="52"/>
      <c r="F88" s="52"/>
      <c r="G88" s="52"/>
      <c r="H88" s="53"/>
      <c r="J88" s="51" t="s">
        <v>85</v>
      </c>
      <c r="K88" s="82" t="s">
        <v>86</v>
      </c>
      <c r="L88" s="82" t="s">
        <v>86</v>
      </c>
      <c r="M88" s="82" t="s">
        <v>87</v>
      </c>
      <c r="N88" s="82" t="s">
        <v>88</v>
      </c>
    </row>
    <row r="89" spans="2:20">
      <c r="B89" s="75" t="s">
        <v>89</v>
      </c>
      <c r="C89" s="52"/>
      <c r="D89" s="52"/>
      <c r="E89" s="52"/>
      <c r="F89" s="52"/>
      <c r="G89" s="52"/>
      <c r="H89" s="53"/>
      <c r="J89" s="4" t="s">
        <v>90</v>
      </c>
      <c r="K89" s="82" t="s">
        <v>91</v>
      </c>
      <c r="L89" s="82" t="s">
        <v>91</v>
      </c>
      <c r="M89" s="82" t="s">
        <v>92</v>
      </c>
      <c r="N89" s="82" t="s">
        <v>91</v>
      </c>
    </row>
    <row r="90" spans="2:20">
      <c r="B90" s="75" t="s">
        <v>93</v>
      </c>
      <c r="C90" s="52"/>
      <c r="D90" s="52"/>
      <c r="E90" s="52"/>
      <c r="F90" s="52"/>
      <c r="G90" s="52"/>
      <c r="H90" s="53"/>
      <c r="J90" s="4" t="s">
        <v>94</v>
      </c>
      <c r="K90" s="82" t="s">
        <v>95</v>
      </c>
      <c r="L90" s="82" t="s">
        <v>95</v>
      </c>
      <c r="M90" s="82" t="s">
        <v>95</v>
      </c>
      <c r="N90" s="82" t="s">
        <v>95</v>
      </c>
    </row>
    <row r="91" spans="2:20">
      <c r="B91" s="75" t="s">
        <v>96</v>
      </c>
      <c r="C91" s="52"/>
      <c r="D91" s="52"/>
      <c r="E91" s="52"/>
      <c r="F91" s="52"/>
      <c r="G91" s="52"/>
      <c r="H91" s="53"/>
      <c r="J91" s="4" t="s">
        <v>97</v>
      </c>
      <c r="K91" s="82" t="s">
        <v>98</v>
      </c>
      <c r="L91" s="82" t="s">
        <v>98</v>
      </c>
      <c r="M91" s="82" t="s">
        <v>99</v>
      </c>
      <c r="N91" s="82" t="s">
        <v>98</v>
      </c>
    </row>
    <row r="92" spans="2:20">
      <c r="E92" s="52"/>
      <c r="F92" s="52"/>
      <c r="G92" s="52"/>
      <c r="H92" s="53"/>
      <c r="J92" s="4" t="s">
        <v>100</v>
      </c>
      <c r="K92" s="82" t="s">
        <v>101</v>
      </c>
      <c r="L92" s="82" t="s">
        <v>101</v>
      </c>
      <c r="M92" s="82" t="s">
        <v>102</v>
      </c>
      <c r="N92" s="82" t="s">
        <v>101</v>
      </c>
    </row>
    <row r="93" spans="2:20">
      <c r="B93" s="74" t="s">
        <v>103</v>
      </c>
      <c r="E93" s="52"/>
      <c r="F93" s="52"/>
      <c r="G93" s="52"/>
      <c r="H93" s="53"/>
      <c r="J93" s="4" t="s">
        <v>104</v>
      </c>
      <c r="K93" s="82" t="s">
        <v>105</v>
      </c>
      <c r="L93" s="82" t="s">
        <v>105</v>
      </c>
      <c r="M93" s="82" t="s">
        <v>21</v>
      </c>
      <c r="N93" s="82" t="s">
        <v>105</v>
      </c>
    </row>
    <row r="94" spans="2:20">
      <c r="B94" s="75" t="s">
        <v>106</v>
      </c>
      <c r="C94" s="52"/>
      <c r="D94" s="52"/>
      <c r="E94" s="52"/>
      <c r="F94" s="52"/>
      <c r="G94" s="52"/>
      <c r="H94" s="53"/>
      <c r="J94" s="54"/>
      <c r="K94" s="54"/>
      <c r="L94" s="54"/>
      <c r="M94" s="54"/>
      <c r="N94" s="54"/>
    </row>
    <row r="95" spans="2:20">
      <c r="B95" s="75" t="s">
        <v>107</v>
      </c>
      <c r="C95" s="52"/>
      <c r="D95" s="52"/>
      <c r="E95" s="52"/>
      <c r="F95" s="52"/>
      <c r="G95" s="52"/>
      <c r="H95" s="53"/>
    </row>
    <row r="96" spans="2:20">
      <c r="B96" s="75"/>
      <c r="C96" s="52"/>
      <c r="D96" s="52"/>
      <c r="E96" s="52"/>
      <c r="F96" s="52"/>
      <c r="G96" s="52"/>
      <c r="H96" s="53"/>
    </row>
    <row r="97" spans="2:8">
      <c r="B97" s="74" t="s">
        <v>108</v>
      </c>
      <c r="C97" s="52"/>
      <c r="D97" s="52"/>
      <c r="E97" s="52"/>
      <c r="F97" s="52"/>
      <c r="G97" s="52"/>
      <c r="H97" s="53"/>
    </row>
    <row r="98" spans="2:8">
      <c r="B98" s="75" t="s">
        <v>109</v>
      </c>
      <c r="C98" s="52"/>
      <c r="D98" s="52"/>
      <c r="E98" s="52"/>
      <c r="F98" s="52"/>
      <c r="G98" s="52"/>
      <c r="H98" s="53"/>
    </row>
    <row r="99" spans="2:8">
      <c r="B99" s="75" t="s">
        <v>110</v>
      </c>
      <c r="C99" s="52"/>
      <c r="D99" s="52"/>
      <c r="E99" s="52"/>
      <c r="F99" s="52"/>
      <c r="G99" s="52"/>
      <c r="H99" s="53"/>
    </row>
    <row r="100" spans="2:8">
      <c r="B100" s="75" t="s">
        <v>111</v>
      </c>
      <c r="C100" s="52"/>
      <c r="D100" s="52"/>
      <c r="E100" s="52"/>
      <c r="F100" s="52"/>
      <c r="G100" s="52"/>
      <c r="H100" s="53"/>
    </row>
    <row r="101" spans="2:8">
      <c r="B101" s="75"/>
      <c r="C101" s="52"/>
      <c r="D101" s="52"/>
      <c r="E101" s="52"/>
      <c r="F101" s="52"/>
      <c r="G101" s="52"/>
      <c r="H101" s="53"/>
    </row>
    <row r="102" spans="2:8">
      <c r="B102" s="75" t="s">
        <v>112</v>
      </c>
      <c r="C102" s="52" t="s">
        <v>113</v>
      </c>
      <c r="D102" s="52"/>
      <c r="E102" s="52"/>
      <c r="F102" s="52"/>
      <c r="G102" s="52"/>
      <c r="H102" s="53"/>
    </row>
    <row r="103" spans="2:8">
      <c r="B103" s="75"/>
      <c r="C103" s="52" t="s">
        <v>114</v>
      </c>
      <c r="D103" s="52"/>
      <c r="E103" s="52"/>
      <c r="F103" s="52"/>
      <c r="G103" s="52"/>
      <c r="H103" s="53"/>
    </row>
    <row r="104" spans="2:8" outlineLevel="1">
      <c r="B104" s="75"/>
      <c r="C104" s="52" t="s">
        <v>115</v>
      </c>
      <c r="D104" s="52"/>
      <c r="E104" s="52"/>
      <c r="F104" s="52"/>
      <c r="G104" s="52"/>
      <c r="H104" s="53"/>
    </row>
    <row r="105" spans="2:8" outlineLevel="1">
      <c r="B105" s="75"/>
      <c r="C105" s="52" t="s">
        <v>116</v>
      </c>
      <c r="D105" s="52"/>
      <c r="E105" s="52"/>
      <c r="F105" s="52"/>
      <c r="G105" s="52"/>
      <c r="H105" s="53"/>
    </row>
    <row r="106" spans="2:8" outlineLevel="1">
      <c r="B106" s="75"/>
      <c r="C106" s="52" t="s">
        <v>117</v>
      </c>
      <c r="D106" s="52"/>
      <c r="G106" s="52"/>
      <c r="H106" s="53"/>
    </row>
    <row r="107" spans="2:8" outlineLevel="1">
      <c r="B107" s="75"/>
      <c r="C107" s="52" t="s">
        <v>118</v>
      </c>
      <c r="D107" s="52"/>
      <c r="G107" s="52"/>
      <c r="H107" s="53"/>
    </row>
    <row r="108" spans="2:8" outlineLevel="1">
      <c r="B108" s="75"/>
      <c r="C108" s="52" t="s">
        <v>119</v>
      </c>
      <c r="D108" s="52"/>
      <c r="G108" s="52"/>
      <c r="H108" s="53"/>
    </row>
    <row r="109" spans="2:8">
      <c r="B109" s="75"/>
      <c r="C109" s="52"/>
      <c r="D109" s="52"/>
      <c r="G109" s="52"/>
      <c r="H109" s="53"/>
    </row>
    <row r="110" spans="2:8">
      <c r="B110" s="75" t="s">
        <v>121</v>
      </c>
      <c r="C110" s="52"/>
      <c r="D110" s="52"/>
      <c r="E110" s="52"/>
      <c r="F110" s="52"/>
      <c r="G110" s="52"/>
      <c r="H110" s="53"/>
    </row>
    <row r="111" spans="2:8">
      <c r="B111" s="80" t="s">
        <v>123</v>
      </c>
      <c r="C111" s="52"/>
      <c r="D111" s="52"/>
      <c r="E111" s="52"/>
      <c r="F111" s="52"/>
      <c r="G111" s="52"/>
      <c r="H111" s="53"/>
    </row>
    <row r="112" spans="2:8">
      <c r="B112" s="80" t="s">
        <v>125</v>
      </c>
      <c r="C112" s="52"/>
      <c r="D112" s="52"/>
      <c r="E112" s="52"/>
      <c r="F112" s="52"/>
      <c r="G112" s="52"/>
      <c r="H112" s="53"/>
    </row>
    <row r="113" spans="2:20">
      <c r="B113" s="80"/>
      <c r="C113" s="52"/>
      <c r="D113" s="52"/>
      <c r="E113" s="52"/>
      <c r="F113" s="52"/>
      <c r="G113" s="52"/>
      <c r="H113" s="53"/>
    </row>
    <row r="114" spans="2:20">
      <c r="B114" s="80"/>
      <c r="C114" s="50" t="s">
        <v>128</v>
      </c>
      <c r="D114" s="52"/>
      <c r="E114" s="52"/>
      <c r="F114" s="52"/>
      <c r="G114" s="52"/>
      <c r="H114" s="53"/>
    </row>
    <row r="115" spans="2:20">
      <c r="B115" s="80"/>
      <c r="C115" s="50" t="s">
        <v>130</v>
      </c>
      <c r="D115" s="52"/>
      <c r="E115" s="52"/>
      <c r="F115" s="52"/>
      <c r="G115" s="52"/>
      <c r="H115" s="53"/>
    </row>
    <row r="116" spans="2:20">
      <c r="B116" s="80"/>
      <c r="C116" s="50" t="s">
        <v>132</v>
      </c>
      <c r="D116" s="52"/>
      <c r="E116" s="52"/>
      <c r="F116" s="52"/>
      <c r="G116" s="52"/>
      <c r="H116" s="53"/>
    </row>
    <row r="117" spans="2:20" ht="15.75" thickBot="1">
      <c r="B117" s="75"/>
      <c r="C117" s="52"/>
      <c r="D117" s="52"/>
      <c r="E117" s="52"/>
      <c r="F117" s="52"/>
      <c r="G117" s="52"/>
      <c r="H117" s="53"/>
      <c r="J117" s="74" t="s">
        <v>60</v>
      </c>
      <c r="P117" s="81"/>
      <c r="Q117" s="81"/>
      <c r="R117" s="81"/>
      <c r="S117" s="81"/>
      <c r="T117" s="81"/>
    </row>
    <row r="118" spans="2:20" ht="25.5" customHeight="1" thickBot="1">
      <c r="B118" s="42" t="s">
        <v>9</v>
      </c>
      <c r="C118" s="42" t="s">
        <v>62</v>
      </c>
      <c r="D118" s="42" t="s">
        <v>11</v>
      </c>
      <c r="E118" s="42" t="s">
        <v>63</v>
      </c>
      <c r="F118" s="42" t="s">
        <v>13</v>
      </c>
      <c r="G118" s="42" t="s">
        <v>14</v>
      </c>
      <c r="H118" s="42" t="s">
        <v>15</v>
      </c>
      <c r="J118" s="1" t="s">
        <v>64</v>
      </c>
      <c r="K118" s="1" t="s">
        <v>133</v>
      </c>
      <c r="L118" s="1" t="s">
        <v>134</v>
      </c>
      <c r="M118" s="54"/>
    </row>
    <row r="119" spans="2:20">
      <c r="B119" s="52"/>
      <c r="C119" s="52"/>
      <c r="D119" s="52"/>
      <c r="E119" s="52"/>
      <c r="F119" s="52"/>
      <c r="G119" s="52"/>
      <c r="H119" s="53"/>
      <c r="J119" s="59"/>
      <c r="M119" s="54"/>
    </row>
    <row r="120" spans="2:20" ht="23.25" customHeight="1">
      <c r="B120" s="68" t="s">
        <v>153</v>
      </c>
      <c r="C120" s="68">
        <v>2</v>
      </c>
      <c r="D120" s="76">
        <v>0</v>
      </c>
      <c r="E120" s="2" t="s">
        <v>66</v>
      </c>
      <c r="F120" s="3" t="s">
        <v>67</v>
      </c>
      <c r="G120" s="3" t="s">
        <v>68</v>
      </c>
      <c r="H120" s="47">
        <v>5725</v>
      </c>
      <c r="I120" s="64"/>
      <c r="J120" s="78">
        <v>908</v>
      </c>
      <c r="K120" s="88">
        <v>28.779999999999994</v>
      </c>
      <c r="L120" s="89" t="s">
        <v>86</v>
      </c>
      <c r="M120" s="54"/>
    </row>
    <row r="121" spans="2:20" ht="15" customHeight="1">
      <c r="B121" s="52"/>
      <c r="C121" s="52"/>
      <c r="D121" s="52"/>
      <c r="E121" s="52"/>
      <c r="F121" s="77"/>
      <c r="G121" s="77"/>
      <c r="H121" s="85"/>
      <c r="J121" s="79"/>
      <c r="K121" s="90"/>
      <c r="L121" s="77"/>
      <c r="M121" s="54"/>
    </row>
    <row r="122" spans="2:20" ht="23.25" customHeight="1">
      <c r="B122" s="68">
        <v>21</v>
      </c>
      <c r="C122" s="68">
        <f>C120</f>
        <v>2</v>
      </c>
      <c r="D122" s="76">
        <v>8</v>
      </c>
      <c r="E122" s="2">
        <v>1</v>
      </c>
      <c r="F122" s="3" t="s">
        <v>67</v>
      </c>
      <c r="G122" s="3" t="s">
        <v>71</v>
      </c>
      <c r="H122" s="47">
        <v>5554.9999999999973</v>
      </c>
      <c r="I122" s="64"/>
      <c r="J122" s="78">
        <v>6945</v>
      </c>
      <c r="K122" s="88">
        <v>27.419999999999991</v>
      </c>
      <c r="L122" s="89" t="s">
        <v>86</v>
      </c>
      <c r="M122" s="54"/>
    </row>
    <row r="123" spans="2:20" ht="23.25" customHeight="1">
      <c r="B123" s="68">
        <v>22</v>
      </c>
      <c r="C123" s="68">
        <f>C122</f>
        <v>2</v>
      </c>
      <c r="D123" s="76">
        <v>8</v>
      </c>
      <c r="E123" s="2">
        <v>2</v>
      </c>
      <c r="F123" s="3" t="s">
        <v>72</v>
      </c>
      <c r="G123" s="3" t="s">
        <v>73</v>
      </c>
      <c r="H123" s="47">
        <v>5459.9999999999973</v>
      </c>
      <c r="I123" s="64"/>
      <c r="J123" s="78">
        <v>6612</v>
      </c>
      <c r="K123" s="88">
        <v>26.469999999999992</v>
      </c>
      <c r="L123" s="89" t="s">
        <v>86</v>
      </c>
      <c r="M123" s="54"/>
    </row>
    <row r="124" spans="2:20" ht="23.25" customHeight="1">
      <c r="B124" s="68">
        <v>23</v>
      </c>
      <c r="C124" s="68">
        <f t="shared" ref="C124:C141" si="0">C123</f>
        <v>2</v>
      </c>
      <c r="D124" s="76">
        <v>8</v>
      </c>
      <c r="E124" s="2">
        <v>3</v>
      </c>
      <c r="F124" s="3" t="s">
        <v>74</v>
      </c>
      <c r="G124" s="3" t="s">
        <v>68</v>
      </c>
      <c r="H124" s="47">
        <v>5613.9999999999973</v>
      </c>
      <c r="I124" s="64"/>
      <c r="J124" s="78">
        <v>1500</v>
      </c>
      <c r="K124" s="88">
        <v>27.819999999999997</v>
      </c>
      <c r="L124" s="89" t="s">
        <v>87</v>
      </c>
      <c r="M124" s="54"/>
    </row>
    <row r="125" spans="2:20" ht="23.25" customHeight="1">
      <c r="B125" s="68">
        <v>24</v>
      </c>
      <c r="C125" s="68">
        <f t="shared" si="0"/>
        <v>2</v>
      </c>
      <c r="D125" s="76">
        <v>8</v>
      </c>
      <c r="E125" s="2">
        <v>4</v>
      </c>
      <c r="F125" s="3" t="s">
        <v>75</v>
      </c>
      <c r="G125" s="3" t="s">
        <v>71</v>
      </c>
      <c r="H125" s="47">
        <v>5916</v>
      </c>
      <c r="I125" s="64"/>
      <c r="J125" s="78">
        <v>5191</v>
      </c>
      <c r="K125" s="88">
        <v>27.749999999999989</v>
      </c>
      <c r="L125" s="89" t="s">
        <v>88</v>
      </c>
      <c r="M125" s="54"/>
    </row>
    <row r="126" spans="2:20" ht="23.25" customHeight="1">
      <c r="B126" s="68">
        <v>25</v>
      </c>
      <c r="C126" s="68">
        <f t="shared" si="0"/>
        <v>2</v>
      </c>
      <c r="D126" s="76">
        <v>8</v>
      </c>
      <c r="E126" s="2">
        <v>5</v>
      </c>
      <c r="F126" s="3" t="s">
        <v>75</v>
      </c>
      <c r="G126" s="3" t="s">
        <v>76</v>
      </c>
      <c r="H126" s="47">
        <v>5952</v>
      </c>
      <c r="I126" s="64"/>
      <c r="J126" s="78">
        <v>4777</v>
      </c>
      <c r="K126" s="88">
        <v>28.109999999999992</v>
      </c>
      <c r="L126" s="89" t="s">
        <v>88</v>
      </c>
      <c r="M126" s="54"/>
    </row>
    <row r="127" spans="2:20" ht="23.25" customHeight="1">
      <c r="B127" s="68">
        <v>26</v>
      </c>
      <c r="C127" s="68">
        <f t="shared" si="0"/>
        <v>2</v>
      </c>
      <c r="D127" s="76">
        <v>8</v>
      </c>
      <c r="E127" s="2">
        <v>6</v>
      </c>
      <c r="F127" s="3" t="s">
        <v>74</v>
      </c>
      <c r="G127" s="3" t="s">
        <v>73</v>
      </c>
      <c r="H127" s="47">
        <v>5360.9999999999982</v>
      </c>
      <c r="I127" s="64"/>
      <c r="J127" s="78">
        <v>4229</v>
      </c>
      <c r="K127" s="88">
        <v>25.759999999999998</v>
      </c>
      <c r="L127" s="89" t="s">
        <v>87</v>
      </c>
      <c r="M127" s="54"/>
    </row>
    <row r="128" spans="2:20" ht="23.25" customHeight="1">
      <c r="B128" s="68">
        <v>27</v>
      </c>
      <c r="C128" s="68">
        <f t="shared" si="0"/>
        <v>2</v>
      </c>
      <c r="D128" s="76">
        <v>8</v>
      </c>
      <c r="E128" s="2">
        <v>7</v>
      </c>
      <c r="F128" s="3" t="s">
        <v>72</v>
      </c>
      <c r="G128" s="3" t="s">
        <v>76</v>
      </c>
      <c r="H128" s="47">
        <v>5459.9999999999973</v>
      </c>
      <c r="I128" s="64"/>
      <c r="J128" s="78">
        <v>7365</v>
      </c>
      <c r="K128" s="88">
        <v>26.469999999999992</v>
      </c>
      <c r="L128" s="89" t="s">
        <v>86</v>
      </c>
      <c r="M128" s="54"/>
    </row>
    <row r="129" spans="2:20" ht="23.25" customHeight="1">
      <c r="B129" s="68">
        <v>28</v>
      </c>
      <c r="C129" s="68">
        <f t="shared" si="0"/>
        <v>2</v>
      </c>
      <c r="D129" s="76">
        <v>8</v>
      </c>
      <c r="E129" s="2">
        <v>8</v>
      </c>
      <c r="F129" s="3" t="s">
        <v>67</v>
      </c>
      <c r="G129" s="3" t="s">
        <v>77</v>
      </c>
      <c r="H129" s="47">
        <v>5631.9999999999973</v>
      </c>
      <c r="I129" s="64"/>
      <c r="J129" s="78">
        <v>5739</v>
      </c>
      <c r="K129" s="88">
        <v>28.189999999999994</v>
      </c>
      <c r="L129" s="89" t="s">
        <v>86</v>
      </c>
      <c r="M129" s="54"/>
    </row>
    <row r="130" spans="2:20" ht="23.25" customHeight="1">
      <c r="B130" s="68">
        <v>29</v>
      </c>
      <c r="C130" s="68">
        <f t="shared" si="0"/>
        <v>2</v>
      </c>
      <c r="D130" s="76">
        <v>8</v>
      </c>
      <c r="E130" s="2">
        <v>9</v>
      </c>
      <c r="F130" s="3" t="s">
        <v>67</v>
      </c>
      <c r="G130" s="3" t="s">
        <v>78</v>
      </c>
      <c r="H130" s="47">
        <v>5554.9999999999973</v>
      </c>
      <c r="I130" s="64"/>
      <c r="J130" s="78">
        <v>7158</v>
      </c>
      <c r="K130" s="88">
        <v>27.419999999999991</v>
      </c>
      <c r="L130" s="89" t="s">
        <v>86</v>
      </c>
      <c r="M130" s="54"/>
    </row>
    <row r="131" spans="2:20" ht="23.25" customHeight="1">
      <c r="B131" s="68">
        <v>30</v>
      </c>
      <c r="C131" s="68">
        <f t="shared" si="0"/>
        <v>2</v>
      </c>
      <c r="D131" s="76">
        <v>8</v>
      </c>
      <c r="E131" s="2">
        <v>10</v>
      </c>
      <c r="F131" s="3" t="s">
        <v>74</v>
      </c>
      <c r="G131" s="3" t="s">
        <v>79</v>
      </c>
      <c r="H131" s="47">
        <v>5575.9999999999973</v>
      </c>
      <c r="I131" s="64"/>
      <c r="J131" s="78">
        <v>3250</v>
      </c>
      <c r="K131" s="88">
        <v>27.439999999999994</v>
      </c>
      <c r="L131" s="89" t="s">
        <v>87</v>
      </c>
      <c r="M131" s="54"/>
    </row>
    <row r="132" spans="2:20" ht="23.25" customHeight="1">
      <c r="B132" s="68">
        <v>31</v>
      </c>
      <c r="C132" s="68">
        <f t="shared" si="0"/>
        <v>2</v>
      </c>
      <c r="D132" s="76">
        <v>8</v>
      </c>
      <c r="E132" s="2">
        <v>11</v>
      </c>
      <c r="F132" s="3" t="s">
        <v>67</v>
      </c>
      <c r="G132" s="3" t="s">
        <v>68</v>
      </c>
      <c r="H132" s="47">
        <v>5554.9999999999973</v>
      </c>
      <c r="I132" s="64"/>
      <c r="J132" s="78">
        <v>6212</v>
      </c>
      <c r="K132" s="88">
        <v>27.419999999999991</v>
      </c>
      <c r="L132" s="89" t="s">
        <v>86</v>
      </c>
      <c r="M132" s="54"/>
    </row>
    <row r="133" spans="2:20" ht="23.25" customHeight="1">
      <c r="B133" s="68">
        <v>32</v>
      </c>
      <c r="C133" s="68">
        <f t="shared" si="0"/>
        <v>2</v>
      </c>
      <c r="D133" s="76">
        <v>8</v>
      </c>
      <c r="E133" s="2">
        <v>12</v>
      </c>
      <c r="F133" s="3" t="s">
        <v>72</v>
      </c>
      <c r="G133" s="3" t="s">
        <v>71</v>
      </c>
      <c r="H133" s="47">
        <v>5459.9999999999973</v>
      </c>
      <c r="I133" s="64"/>
      <c r="J133" s="78">
        <v>7492</v>
      </c>
      <c r="K133" s="88">
        <v>26.469999999999992</v>
      </c>
      <c r="L133" s="89" t="s">
        <v>86</v>
      </c>
      <c r="M133" s="54"/>
    </row>
    <row r="134" spans="2:20" ht="23.25" customHeight="1">
      <c r="B134" s="68">
        <v>33</v>
      </c>
      <c r="C134" s="68">
        <f t="shared" si="0"/>
        <v>2</v>
      </c>
      <c r="D134" s="76">
        <v>8</v>
      </c>
      <c r="E134" s="2">
        <v>13</v>
      </c>
      <c r="F134" s="3" t="s">
        <v>74</v>
      </c>
      <c r="G134" s="3" t="s">
        <v>77</v>
      </c>
      <c r="H134" s="47">
        <v>5264.9999999999982</v>
      </c>
      <c r="I134" s="64"/>
      <c r="J134" s="78">
        <v>3971</v>
      </c>
      <c r="K134" s="88">
        <v>24.79999999999999</v>
      </c>
      <c r="L134" s="89" t="s">
        <v>87</v>
      </c>
      <c r="M134" s="54"/>
    </row>
    <row r="135" spans="2:20" ht="23.25" customHeight="1">
      <c r="B135" s="68">
        <v>34</v>
      </c>
      <c r="C135" s="68">
        <f t="shared" si="0"/>
        <v>2</v>
      </c>
      <c r="D135" s="76">
        <v>8</v>
      </c>
      <c r="E135" s="2">
        <v>14</v>
      </c>
      <c r="F135" s="3" t="s">
        <v>72</v>
      </c>
      <c r="G135" s="3" t="s">
        <v>79</v>
      </c>
      <c r="H135" s="47">
        <v>5554.9999999999973</v>
      </c>
      <c r="I135" s="64"/>
      <c r="J135" s="78">
        <v>6783</v>
      </c>
      <c r="K135" s="88">
        <v>27.419999999999991</v>
      </c>
      <c r="L135" s="89" t="s">
        <v>86</v>
      </c>
      <c r="M135" s="54"/>
    </row>
    <row r="136" spans="2:20" ht="23.25" customHeight="1">
      <c r="B136" s="68">
        <v>35</v>
      </c>
      <c r="C136" s="68">
        <f t="shared" si="0"/>
        <v>2</v>
      </c>
      <c r="D136" s="76">
        <v>8</v>
      </c>
      <c r="E136" s="2">
        <v>15</v>
      </c>
      <c r="F136" s="3" t="s">
        <v>75</v>
      </c>
      <c r="G136" s="3" t="s">
        <v>78</v>
      </c>
      <c r="H136" s="47">
        <v>5788</v>
      </c>
      <c r="I136" s="64"/>
      <c r="J136" s="78">
        <v>6297</v>
      </c>
      <c r="K136" s="88">
        <v>26.469999999999992</v>
      </c>
      <c r="L136" s="89" t="s">
        <v>88</v>
      </c>
      <c r="M136" s="54"/>
    </row>
    <row r="137" spans="2:20" ht="23.25" customHeight="1">
      <c r="B137" s="68">
        <v>36</v>
      </c>
      <c r="C137" s="68">
        <f t="shared" si="0"/>
        <v>2</v>
      </c>
      <c r="D137" s="76">
        <v>8</v>
      </c>
      <c r="E137" s="2">
        <v>16</v>
      </c>
      <c r="F137" s="3" t="s">
        <v>72</v>
      </c>
      <c r="G137" s="3" t="s">
        <v>78</v>
      </c>
      <c r="H137" s="47">
        <v>5631.9999999999973</v>
      </c>
      <c r="I137" s="64"/>
      <c r="J137" s="78">
        <v>5589</v>
      </c>
      <c r="K137" s="88">
        <v>28.189999999999994</v>
      </c>
      <c r="L137" s="89" t="s">
        <v>86</v>
      </c>
      <c r="M137" s="54"/>
    </row>
    <row r="138" spans="2:20" ht="23.25" customHeight="1">
      <c r="B138" s="68">
        <v>37</v>
      </c>
      <c r="C138" s="68">
        <f t="shared" si="0"/>
        <v>2</v>
      </c>
      <c r="D138" s="76">
        <v>8</v>
      </c>
      <c r="E138" s="2">
        <v>17</v>
      </c>
      <c r="F138" s="3" t="s">
        <v>74</v>
      </c>
      <c r="G138" s="3" t="s">
        <v>77</v>
      </c>
      <c r="H138" s="47">
        <v>5264.9999999999982</v>
      </c>
      <c r="I138" s="64"/>
      <c r="J138" s="78">
        <v>5266</v>
      </c>
      <c r="K138" s="88">
        <v>24.79999999999999</v>
      </c>
      <c r="L138" s="89" t="s">
        <v>87</v>
      </c>
      <c r="M138" s="54"/>
    </row>
    <row r="139" spans="2:20" ht="23.25" customHeight="1">
      <c r="B139" s="68">
        <v>38</v>
      </c>
      <c r="C139" s="68">
        <f t="shared" si="0"/>
        <v>2</v>
      </c>
      <c r="D139" s="76">
        <v>8</v>
      </c>
      <c r="E139" s="2">
        <v>18</v>
      </c>
      <c r="F139" s="3" t="s">
        <v>72</v>
      </c>
      <c r="G139" s="3" t="s">
        <v>73</v>
      </c>
      <c r="H139" s="47">
        <v>5678.9999999999982</v>
      </c>
      <c r="I139" s="64"/>
      <c r="J139" s="78">
        <v>3966</v>
      </c>
      <c r="K139" s="88">
        <v>28.319999999999993</v>
      </c>
      <c r="L139" s="89" t="s">
        <v>86</v>
      </c>
      <c r="M139" s="54"/>
    </row>
    <row r="140" spans="2:20" ht="23.25" customHeight="1">
      <c r="B140" s="68">
        <v>39</v>
      </c>
      <c r="C140" s="68">
        <f t="shared" si="0"/>
        <v>2</v>
      </c>
      <c r="D140" s="76">
        <v>8</v>
      </c>
      <c r="E140" s="2">
        <v>19</v>
      </c>
      <c r="F140" s="3" t="s">
        <v>72</v>
      </c>
      <c r="G140" s="3" t="s">
        <v>73</v>
      </c>
      <c r="H140" s="47">
        <v>5594.9999999999973</v>
      </c>
      <c r="I140" s="64"/>
      <c r="J140" s="78">
        <v>4640</v>
      </c>
      <c r="K140" s="88">
        <v>27.819999999999993</v>
      </c>
      <c r="L140" s="89" t="s">
        <v>86</v>
      </c>
      <c r="M140" s="54"/>
    </row>
    <row r="141" spans="2:20" ht="23.25" customHeight="1">
      <c r="B141" s="68">
        <v>40</v>
      </c>
      <c r="C141" s="68">
        <f t="shared" si="0"/>
        <v>2</v>
      </c>
      <c r="D141" s="76">
        <v>8</v>
      </c>
      <c r="E141" s="2">
        <v>20</v>
      </c>
      <c r="F141" s="3" t="s">
        <v>75</v>
      </c>
      <c r="G141" s="3" t="s">
        <v>80</v>
      </c>
      <c r="H141" s="47">
        <v>5688</v>
      </c>
      <c r="I141" s="64"/>
      <c r="J141" s="78">
        <v>9500</v>
      </c>
      <c r="K141" s="88">
        <v>25.469999999999992</v>
      </c>
      <c r="L141" s="89" t="s">
        <v>88</v>
      </c>
      <c r="M141" s="54"/>
    </row>
    <row r="142" spans="2:20" ht="15" customHeight="1">
      <c r="B142" s="83"/>
      <c r="C142" s="83"/>
      <c r="D142" s="84"/>
      <c r="E142" s="84"/>
      <c r="F142" s="84"/>
      <c r="G142" s="84"/>
      <c r="H142" s="86"/>
      <c r="J142" s="91"/>
      <c r="K142" s="91"/>
      <c r="P142" s="54"/>
      <c r="Q142" s="54"/>
      <c r="R142" s="54"/>
      <c r="S142" s="54"/>
      <c r="T142" s="54"/>
    </row>
    <row r="143" spans="2:20" ht="15" customHeight="1" thickBot="1">
      <c r="B143" s="54"/>
      <c r="C143" s="54"/>
      <c r="D143" s="54"/>
      <c r="E143" s="54"/>
      <c r="F143" s="54"/>
      <c r="G143" s="54"/>
      <c r="H143" s="87"/>
      <c r="I143" s="92"/>
      <c r="J143" s="91"/>
      <c r="K143" s="91"/>
      <c r="L143" s="91"/>
      <c r="M143" s="91"/>
      <c r="N143" s="91"/>
      <c r="O143" s="91"/>
      <c r="P143" s="54"/>
      <c r="Q143" s="54"/>
      <c r="R143" s="54"/>
      <c r="S143" s="54"/>
      <c r="T143" s="54"/>
    </row>
    <row r="144" spans="2:20" ht="25.5" customHeight="1" thickBot="1">
      <c r="B144" s="48" t="s">
        <v>25</v>
      </c>
      <c r="C144" s="49" t="s">
        <v>154</v>
      </c>
      <c r="D144" s="73" t="s">
        <v>155</v>
      </c>
      <c r="E144" s="73"/>
      <c r="F144" s="73"/>
      <c r="G144" s="73"/>
      <c r="H144" s="87"/>
      <c r="I144" s="92"/>
      <c r="J144" s="93"/>
      <c r="K144" s="93"/>
      <c r="L144" s="93"/>
      <c r="M144" s="91"/>
      <c r="N144" s="91"/>
      <c r="O144" s="91"/>
      <c r="P144" s="54"/>
      <c r="Q144" s="54"/>
      <c r="R144" s="54"/>
      <c r="S144" s="54"/>
      <c r="T144" s="54"/>
    </row>
    <row r="145" spans="2:20" ht="16.5" thickBot="1">
      <c r="B145" s="75"/>
      <c r="C145" s="54"/>
      <c r="D145" s="54"/>
      <c r="E145" s="54"/>
      <c r="F145" s="54"/>
      <c r="G145" s="54"/>
      <c r="H145" s="87"/>
      <c r="I145" s="92"/>
      <c r="J145" s="1" t="s">
        <v>156</v>
      </c>
      <c r="K145" s="1" t="s">
        <v>156</v>
      </c>
      <c r="L145" s="1" t="s">
        <v>156</v>
      </c>
      <c r="M145" s="1" t="s">
        <v>156</v>
      </c>
      <c r="N145" s="1" t="s">
        <v>156</v>
      </c>
      <c r="O145" s="91"/>
      <c r="P145" s="54"/>
      <c r="Q145" s="54"/>
      <c r="R145" s="54"/>
      <c r="S145" s="54"/>
      <c r="T145" s="54"/>
    </row>
    <row r="146" spans="2:20" ht="15.75">
      <c r="B146" s="75" t="s">
        <v>157</v>
      </c>
      <c r="C146" s="52"/>
      <c r="D146" s="52"/>
      <c r="E146" s="52"/>
      <c r="F146" s="52"/>
      <c r="G146" s="52"/>
      <c r="H146" s="53"/>
      <c r="J146" s="8" t="s">
        <v>158</v>
      </c>
      <c r="K146" s="9" t="s">
        <v>159</v>
      </c>
      <c r="L146" s="11" t="s">
        <v>160</v>
      </c>
      <c r="M146" s="12" t="s">
        <v>161</v>
      </c>
      <c r="N146" s="10" t="s">
        <v>162</v>
      </c>
      <c r="O146" s="91"/>
      <c r="P146" s="54"/>
      <c r="Q146" s="54"/>
      <c r="R146" s="54"/>
      <c r="S146" s="54"/>
      <c r="T146" s="54"/>
    </row>
    <row r="147" spans="2:20" ht="15.75">
      <c r="B147" s="75" t="s">
        <v>163</v>
      </c>
      <c r="C147" s="52"/>
      <c r="D147" s="52"/>
      <c r="E147" s="52"/>
      <c r="F147" s="52"/>
      <c r="G147" s="52"/>
      <c r="H147" s="53"/>
      <c r="J147" s="91"/>
      <c r="K147" s="91"/>
      <c r="L147" s="91"/>
      <c r="M147" s="91"/>
      <c r="N147" s="91"/>
      <c r="O147" s="91"/>
      <c r="P147" s="54"/>
      <c r="Q147" s="54"/>
      <c r="R147" s="54"/>
      <c r="S147" s="54"/>
      <c r="T147" s="54"/>
    </row>
    <row r="148" spans="2:20" ht="15.75">
      <c r="B148" s="75"/>
      <c r="C148" s="52"/>
      <c r="D148" s="52"/>
      <c r="E148" s="52"/>
      <c r="F148" s="52"/>
      <c r="G148" s="52"/>
      <c r="H148" s="53"/>
      <c r="J148" s="91"/>
      <c r="K148" s="91"/>
      <c r="L148" s="91"/>
      <c r="M148" s="91"/>
      <c r="N148" s="91"/>
      <c r="O148" s="91"/>
      <c r="P148" s="54"/>
      <c r="Q148" s="54"/>
      <c r="R148" s="54"/>
      <c r="S148" s="54"/>
      <c r="T148" s="54"/>
    </row>
    <row r="149" spans="2:20" ht="15.75">
      <c r="B149" s="75" t="s">
        <v>164</v>
      </c>
      <c r="C149" s="52"/>
      <c r="D149" s="52"/>
      <c r="E149" s="52"/>
      <c r="F149" s="52"/>
      <c r="G149" s="52"/>
      <c r="H149" s="53"/>
      <c r="J149" s="91"/>
      <c r="K149" s="91"/>
      <c r="L149" s="91"/>
      <c r="M149" s="91"/>
      <c r="N149" s="91"/>
      <c r="O149" s="91"/>
      <c r="P149" s="54"/>
      <c r="Q149" s="54"/>
      <c r="R149" s="54"/>
      <c r="S149" s="54"/>
      <c r="T149" s="54"/>
    </row>
    <row r="150" spans="2:20" ht="15.75">
      <c r="B150" s="75" t="s">
        <v>165</v>
      </c>
      <c r="C150" s="52"/>
      <c r="D150" s="52"/>
      <c r="E150" s="52"/>
      <c r="F150" s="52"/>
      <c r="G150" s="52"/>
      <c r="H150" s="53"/>
      <c r="J150" s="91"/>
      <c r="K150" s="91"/>
      <c r="L150" s="91"/>
      <c r="M150" s="91"/>
      <c r="N150" s="91"/>
      <c r="O150" s="91"/>
      <c r="P150" s="54"/>
      <c r="Q150" s="54"/>
      <c r="R150" s="54"/>
      <c r="S150" s="54"/>
      <c r="T150" s="54"/>
    </row>
    <row r="151" spans="2:20" ht="15.75">
      <c r="B151" s="75"/>
      <c r="C151" s="52"/>
      <c r="D151" s="52"/>
      <c r="E151" s="52"/>
      <c r="F151" s="52"/>
      <c r="G151" s="52"/>
      <c r="H151" s="53"/>
      <c r="J151" s="91"/>
      <c r="K151" s="91"/>
      <c r="L151" s="91"/>
      <c r="M151" s="91"/>
      <c r="N151" s="91"/>
      <c r="O151" s="91"/>
      <c r="P151" s="54"/>
      <c r="Q151" s="54"/>
      <c r="R151" s="54"/>
      <c r="S151" s="54"/>
      <c r="T151" s="54"/>
    </row>
    <row r="152" spans="2:20" ht="15.75">
      <c r="B152" s="75" t="s">
        <v>166</v>
      </c>
      <c r="C152" s="52"/>
      <c r="D152" s="52"/>
      <c r="E152" s="52"/>
      <c r="F152" s="52"/>
      <c r="G152" s="52"/>
      <c r="H152" s="53"/>
      <c r="J152" s="91"/>
      <c r="K152" s="91"/>
      <c r="L152" s="91"/>
      <c r="M152" s="91"/>
      <c r="N152" s="91"/>
      <c r="O152" s="91"/>
      <c r="P152" s="54"/>
      <c r="Q152" s="54"/>
      <c r="R152" s="54"/>
      <c r="S152" s="54"/>
      <c r="T152" s="54"/>
    </row>
    <row r="153" spans="2:20" ht="15.75">
      <c r="B153" s="75" t="s">
        <v>167</v>
      </c>
      <c r="C153" s="52"/>
      <c r="D153" s="52"/>
      <c r="E153" s="52"/>
      <c r="F153" s="52"/>
      <c r="G153" s="52"/>
      <c r="H153" s="53"/>
      <c r="J153" s="91"/>
      <c r="K153" s="91"/>
      <c r="L153" s="91"/>
      <c r="M153" s="91"/>
      <c r="N153" s="91"/>
      <c r="O153" s="91"/>
      <c r="P153" s="54"/>
      <c r="Q153" s="54"/>
      <c r="R153" s="54"/>
      <c r="S153" s="54"/>
      <c r="T153" s="54"/>
    </row>
    <row r="154" spans="2:20" ht="15.75">
      <c r="B154" s="75" t="s">
        <v>168</v>
      </c>
      <c r="C154" s="52"/>
      <c r="D154" s="52"/>
      <c r="E154" s="52"/>
      <c r="F154" s="52"/>
      <c r="G154" s="52"/>
      <c r="H154" s="53"/>
      <c r="J154" s="91"/>
      <c r="K154" s="91"/>
      <c r="L154" s="91"/>
      <c r="M154" s="91"/>
      <c r="N154" s="91"/>
      <c r="O154" s="91"/>
      <c r="P154" s="54"/>
      <c r="Q154" s="54"/>
      <c r="R154" s="54"/>
      <c r="S154" s="54"/>
      <c r="T154" s="54"/>
    </row>
    <row r="155" spans="2:20" ht="15.75">
      <c r="B155" s="75" t="s">
        <v>169</v>
      </c>
      <c r="C155" s="52"/>
      <c r="D155" s="52"/>
      <c r="E155" s="52"/>
      <c r="F155" s="52"/>
      <c r="G155" s="52"/>
      <c r="H155" s="53"/>
      <c r="J155" s="91"/>
      <c r="K155" s="91"/>
      <c r="L155" s="91"/>
      <c r="M155" s="91"/>
      <c r="N155" s="91"/>
      <c r="O155" s="91"/>
      <c r="P155" s="54"/>
      <c r="Q155" s="54"/>
      <c r="R155" s="54"/>
      <c r="S155" s="54"/>
      <c r="T155" s="54"/>
    </row>
    <row r="156" spans="2:20" ht="15.75">
      <c r="B156" s="75" t="s">
        <v>170</v>
      </c>
      <c r="C156" s="52"/>
      <c r="D156" s="52"/>
      <c r="E156" s="52"/>
      <c r="F156" s="52"/>
      <c r="G156" s="52"/>
      <c r="H156" s="53"/>
      <c r="J156" s="91"/>
      <c r="K156" s="91"/>
      <c r="L156" s="91"/>
      <c r="M156" s="91"/>
      <c r="N156" s="91"/>
      <c r="O156" s="91"/>
      <c r="P156" s="54"/>
      <c r="Q156" s="54"/>
      <c r="R156" s="54"/>
      <c r="S156" s="54"/>
      <c r="T156" s="54"/>
    </row>
    <row r="157" spans="2:20" ht="15.75">
      <c r="B157" s="75" t="s">
        <v>171</v>
      </c>
      <c r="C157" s="52"/>
      <c r="D157" s="52"/>
      <c r="E157" s="52"/>
      <c r="F157" s="52"/>
      <c r="G157" s="52"/>
      <c r="H157" s="53"/>
      <c r="J157" s="91"/>
      <c r="K157" s="91"/>
      <c r="L157" s="91"/>
      <c r="M157" s="91"/>
      <c r="N157" s="91"/>
      <c r="O157" s="91"/>
      <c r="P157" s="54"/>
      <c r="Q157" s="54"/>
      <c r="R157" s="54"/>
      <c r="S157" s="54"/>
      <c r="T157" s="54"/>
    </row>
    <row r="158" spans="2:20" ht="15.75">
      <c r="B158" s="75" t="s">
        <v>172</v>
      </c>
      <c r="C158" s="52"/>
      <c r="D158" s="52"/>
      <c r="E158" s="52"/>
      <c r="F158" s="52"/>
      <c r="G158" s="52"/>
      <c r="H158" s="53"/>
      <c r="J158" s="91"/>
      <c r="K158" s="91"/>
      <c r="L158" s="91"/>
      <c r="M158" s="91"/>
      <c r="N158" s="91"/>
      <c r="O158" s="91"/>
      <c r="P158" s="54"/>
      <c r="Q158" s="54"/>
      <c r="R158" s="54"/>
      <c r="S158" s="54"/>
      <c r="T158" s="54"/>
    </row>
    <row r="159" spans="2:20" ht="15.75">
      <c r="B159" s="75"/>
      <c r="C159" s="52"/>
      <c r="D159" s="52"/>
      <c r="E159" s="52"/>
      <c r="F159" s="52"/>
      <c r="G159" s="52"/>
      <c r="H159" s="53"/>
      <c r="J159" s="91"/>
      <c r="K159" s="91"/>
      <c r="L159" s="91"/>
      <c r="M159" s="91"/>
      <c r="N159" s="91"/>
      <c r="O159" s="91"/>
      <c r="P159" s="54"/>
      <c r="Q159" s="54"/>
      <c r="R159" s="54"/>
      <c r="S159" s="54"/>
      <c r="T159" s="54"/>
    </row>
    <row r="160" spans="2:20" ht="15.75">
      <c r="B160" s="75" t="s">
        <v>173</v>
      </c>
      <c r="C160" s="54" t="s">
        <v>174</v>
      </c>
      <c r="D160" s="52"/>
      <c r="E160" s="52"/>
      <c r="F160" s="52"/>
      <c r="G160" s="52"/>
      <c r="H160" s="53"/>
      <c r="J160" s="91"/>
      <c r="K160" s="91"/>
      <c r="L160" s="91"/>
      <c r="M160" s="91"/>
      <c r="N160" s="91"/>
      <c r="O160" s="91"/>
      <c r="P160" s="54"/>
      <c r="Q160" s="54"/>
      <c r="R160" s="54"/>
      <c r="S160" s="54"/>
      <c r="T160" s="54"/>
    </row>
    <row r="161" spans="2:20" ht="15.75" outlineLevel="1">
      <c r="B161" s="75"/>
      <c r="C161" s="52" t="s">
        <v>175</v>
      </c>
      <c r="D161" s="52"/>
      <c r="E161" s="52"/>
      <c r="F161" s="52"/>
      <c r="G161" s="52"/>
      <c r="H161" s="53"/>
      <c r="J161" s="91"/>
      <c r="K161" s="91"/>
      <c r="L161" s="91"/>
      <c r="M161" s="91"/>
      <c r="N161" s="91"/>
      <c r="O161" s="91"/>
      <c r="P161" s="54"/>
      <c r="Q161" s="54"/>
      <c r="R161" s="54"/>
      <c r="S161" s="54"/>
      <c r="T161" s="54"/>
    </row>
    <row r="162" spans="2:20" ht="15.75" outlineLevel="1">
      <c r="B162" s="75"/>
      <c r="C162" s="52" t="s">
        <v>176</v>
      </c>
      <c r="D162" s="52"/>
      <c r="E162" s="52"/>
      <c r="F162" s="52"/>
      <c r="G162" s="52"/>
      <c r="H162" s="53"/>
      <c r="J162" s="91"/>
      <c r="K162" s="91"/>
      <c r="L162" s="91"/>
      <c r="M162" s="91"/>
      <c r="N162" s="91"/>
      <c r="O162" s="91"/>
      <c r="P162" s="54"/>
      <c r="Q162" s="54"/>
      <c r="R162" s="54"/>
      <c r="S162" s="54"/>
      <c r="T162" s="54"/>
    </row>
    <row r="163" spans="2:20" ht="15.75" outlineLevel="1">
      <c r="B163" s="75"/>
      <c r="C163" s="52" t="s">
        <v>177</v>
      </c>
      <c r="D163" s="52"/>
      <c r="E163" s="52"/>
      <c r="F163" s="52"/>
      <c r="G163" s="52"/>
      <c r="H163" s="53"/>
      <c r="J163" s="91"/>
      <c r="K163" s="91"/>
      <c r="L163" s="91"/>
      <c r="M163" s="91"/>
      <c r="N163" s="91"/>
      <c r="O163" s="91"/>
      <c r="P163" s="54"/>
      <c r="Q163" s="54"/>
      <c r="R163" s="54"/>
      <c r="S163" s="54"/>
      <c r="T163" s="54"/>
    </row>
    <row r="164" spans="2:20" ht="15.75" outlineLevel="1">
      <c r="B164" s="75"/>
      <c r="C164" s="54" t="s">
        <v>178</v>
      </c>
      <c r="D164" s="52"/>
      <c r="E164" s="52"/>
      <c r="F164" s="52"/>
      <c r="G164" s="52"/>
      <c r="H164" s="53"/>
      <c r="J164" s="91"/>
      <c r="K164" s="91"/>
      <c r="L164" s="91"/>
      <c r="M164" s="91"/>
      <c r="N164" s="91"/>
      <c r="O164" s="91"/>
      <c r="P164" s="54"/>
      <c r="Q164" s="54"/>
      <c r="R164" s="54"/>
      <c r="S164" s="54"/>
      <c r="T164" s="54"/>
    </row>
    <row r="165" spans="2:20" ht="15.75" outlineLevel="1">
      <c r="B165" s="75"/>
      <c r="C165" s="54" t="s">
        <v>179</v>
      </c>
      <c r="D165" s="52"/>
      <c r="E165" s="52"/>
      <c r="F165" s="52"/>
      <c r="G165" s="52"/>
      <c r="H165" s="53"/>
      <c r="J165" s="91"/>
      <c r="K165" s="91"/>
      <c r="L165" s="91"/>
      <c r="M165" s="91"/>
      <c r="N165" s="91"/>
      <c r="O165" s="91"/>
      <c r="P165" s="54"/>
      <c r="Q165" s="54"/>
      <c r="R165" s="54"/>
      <c r="S165" s="54"/>
      <c r="T165" s="54"/>
    </row>
    <row r="166" spans="2:20" ht="15.75" outlineLevel="1">
      <c r="B166" s="75"/>
      <c r="C166" s="54" t="s">
        <v>180</v>
      </c>
      <c r="D166" s="52"/>
      <c r="E166" s="52"/>
      <c r="F166" s="52"/>
      <c r="G166" s="52"/>
      <c r="H166" s="53"/>
      <c r="J166" s="91"/>
      <c r="K166" s="91"/>
      <c r="L166" s="91"/>
      <c r="M166" s="91"/>
      <c r="N166" s="91"/>
      <c r="O166" s="91"/>
      <c r="P166" s="54"/>
      <c r="Q166" s="54"/>
      <c r="R166" s="54"/>
      <c r="S166" s="54"/>
      <c r="T166" s="54"/>
    </row>
    <row r="167" spans="2:20" ht="15.75" outlineLevel="1">
      <c r="B167" s="75"/>
      <c r="C167" s="54" t="s">
        <v>181</v>
      </c>
      <c r="D167" s="52"/>
      <c r="E167" s="52"/>
      <c r="F167" s="52"/>
      <c r="G167" s="52"/>
      <c r="H167" s="53"/>
      <c r="J167" s="91"/>
      <c r="K167" s="91"/>
      <c r="L167" s="91"/>
      <c r="M167" s="91"/>
      <c r="N167" s="91"/>
      <c r="O167" s="91"/>
      <c r="P167" s="54"/>
      <c r="Q167" s="54"/>
      <c r="R167" s="54"/>
      <c r="S167" s="54"/>
      <c r="T167" s="54"/>
    </row>
    <row r="168" spans="2:20" ht="15.75" outlineLevel="1">
      <c r="B168" s="75"/>
      <c r="C168" s="54" t="s">
        <v>183</v>
      </c>
      <c r="D168" s="52"/>
      <c r="E168" s="52"/>
      <c r="F168" s="52"/>
      <c r="G168" s="52"/>
      <c r="H168" s="53"/>
      <c r="J168" s="91"/>
      <c r="K168" s="91"/>
      <c r="L168" s="91"/>
      <c r="M168" s="91"/>
      <c r="N168" s="91"/>
      <c r="O168" s="91"/>
      <c r="P168" s="54"/>
      <c r="Q168" s="54"/>
      <c r="R168" s="54"/>
      <c r="S168" s="54"/>
      <c r="T168" s="54"/>
    </row>
    <row r="169" spans="2:20" ht="15.75" outlineLevel="1">
      <c r="B169" s="75"/>
      <c r="C169" s="54" t="s">
        <v>185</v>
      </c>
      <c r="D169" s="52"/>
      <c r="E169" s="52"/>
      <c r="F169" s="52"/>
      <c r="G169" s="52"/>
      <c r="H169" s="53"/>
      <c r="J169" s="91"/>
      <c r="K169" s="91"/>
      <c r="L169" s="91"/>
      <c r="M169" s="91"/>
      <c r="N169" s="91"/>
      <c r="O169" s="91"/>
      <c r="P169" s="54"/>
      <c r="Q169" s="54"/>
      <c r="R169" s="54"/>
      <c r="S169" s="54"/>
      <c r="T169" s="54"/>
    </row>
    <row r="170" spans="2:20" ht="15.75" outlineLevel="1">
      <c r="B170" s="75"/>
      <c r="C170" s="54" t="s">
        <v>187</v>
      </c>
      <c r="D170" s="52"/>
      <c r="E170" s="52"/>
      <c r="F170" s="52"/>
      <c r="G170" s="52"/>
      <c r="H170" s="53"/>
      <c r="J170" s="91"/>
      <c r="K170" s="91"/>
      <c r="L170" s="91"/>
      <c r="M170" s="91"/>
      <c r="N170" s="91"/>
      <c r="O170" s="91"/>
      <c r="P170" s="54"/>
      <c r="Q170" s="54"/>
      <c r="R170" s="54"/>
      <c r="S170" s="54"/>
      <c r="T170" s="54"/>
    </row>
    <row r="171" spans="2:20" ht="15.75" outlineLevel="1">
      <c r="B171" s="75"/>
      <c r="C171" s="54" t="s">
        <v>189</v>
      </c>
      <c r="D171" s="52"/>
      <c r="E171" s="52"/>
      <c r="F171" s="52"/>
      <c r="G171" s="52"/>
      <c r="H171" s="53"/>
      <c r="J171" s="91"/>
      <c r="K171" s="91"/>
      <c r="L171" s="91"/>
      <c r="M171" s="91"/>
      <c r="N171" s="91"/>
      <c r="O171" s="91"/>
      <c r="P171" s="54"/>
      <c r="Q171" s="54"/>
      <c r="R171" s="54"/>
      <c r="S171" s="54"/>
      <c r="T171" s="54"/>
    </row>
    <row r="172" spans="2:20" ht="15.75">
      <c r="B172" s="75"/>
      <c r="C172" s="52"/>
      <c r="D172" s="52"/>
      <c r="E172" s="52"/>
      <c r="F172" s="52"/>
      <c r="G172" s="52"/>
      <c r="H172" s="53"/>
      <c r="J172" s="91"/>
      <c r="K172" s="91"/>
      <c r="L172" s="91"/>
      <c r="M172" s="91"/>
      <c r="N172" s="91"/>
      <c r="O172" s="91"/>
      <c r="P172" s="54"/>
      <c r="Q172" s="54"/>
      <c r="R172" s="54"/>
      <c r="S172" s="54"/>
      <c r="T172" s="54"/>
    </row>
    <row r="173" spans="2:20" ht="15.75">
      <c r="B173" s="75" t="s">
        <v>192</v>
      </c>
      <c r="C173" s="52"/>
      <c r="D173" s="52"/>
      <c r="E173" s="52"/>
      <c r="F173" s="52"/>
      <c r="G173" s="52"/>
      <c r="H173" s="53"/>
      <c r="J173" s="91"/>
      <c r="K173" s="91"/>
      <c r="L173" s="91"/>
      <c r="M173" s="91"/>
      <c r="N173" s="91"/>
      <c r="O173" s="91"/>
      <c r="P173" s="54"/>
      <c r="Q173" s="54"/>
      <c r="R173" s="54"/>
      <c r="S173" s="54"/>
      <c r="T173" s="54"/>
    </row>
    <row r="174" spans="2:20" ht="15.75">
      <c r="B174" s="75" t="s">
        <v>194</v>
      </c>
      <c r="C174" s="52"/>
      <c r="D174" s="52"/>
      <c r="E174" s="52"/>
      <c r="F174" s="52"/>
      <c r="G174" s="52"/>
      <c r="H174" s="53"/>
      <c r="J174" s="91"/>
      <c r="K174" s="91"/>
      <c r="L174" s="91"/>
      <c r="M174" s="91"/>
      <c r="N174" s="91"/>
      <c r="O174" s="91"/>
      <c r="P174" s="54"/>
      <c r="Q174" s="54"/>
      <c r="R174" s="54"/>
      <c r="S174" s="54"/>
      <c r="T174" s="54"/>
    </row>
    <row r="175" spans="2:20" ht="15.75">
      <c r="B175" s="75"/>
      <c r="C175" s="52"/>
      <c r="D175" s="52"/>
      <c r="E175" s="52"/>
      <c r="F175" s="52"/>
      <c r="G175" s="52"/>
      <c r="H175" s="53"/>
      <c r="J175" s="91"/>
      <c r="K175" s="91"/>
      <c r="L175" s="91"/>
      <c r="M175" s="91"/>
      <c r="N175" s="91"/>
      <c r="O175" s="91"/>
      <c r="P175" s="54"/>
      <c r="Q175" s="54"/>
      <c r="R175" s="54"/>
      <c r="S175" s="54"/>
      <c r="T175" s="54"/>
    </row>
    <row r="176" spans="2:20" ht="15.75">
      <c r="B176" s="75"/>
      <c r="C176" s="50" t="s">
        <v>197</v>
      </c>
      <c r="D176" s="52"/>
      <c r="E176" s="52"/>
      <c r="F176" s="52"/>
      <c r="G176" s="52"/>
      <c r="H176" s="53"/>
      <c r="J176" s="91"/>
      <c r="K176" s="91"/>
      <c r="L176" s="91"/>
      <c r="M176" s="91"/>
      <c r="N176" s="91"/>
      <c r="O176" s="91"/>
      <c r="P176" s="54"/>
      <c r="Q176" s="54"/>
      <c r="R176" s="54"/>
      <c r="S176" s="54"/>
      <c r="T176" s="54"/>
    </row>
    <row r="177" spans="2:20" ht="15.75">
      <c r="B177" s="75"/>
      <c r="C177" s="50" t="s">
        <v>198</v>
      </c>
      <c r="D177" s="52"/>
      <c r="E177" s="52"/>
      <c r="F177" s="52"/>
      <c r="G177" s="52"/>
      <c r="H177" s="53"/>
      <c r="J177" s="91"/>
      <c r="K177" s="91"/>
      <c r="L177" s="91"/>
      <c r="M177" s="91"/>
      <c r="N177" s="91"/>
      <c r="O177" s="91"/>
      <c r="P177" s="54"/>
      <c r="Q177" s="54"/>
      <c r="R177" s="54"/>
      <c r="S177" s="54"/>
      <c r="T177" s="54"/>
    </row>
    <row r="178" spans="2:20" ht="15.75">
      <c r="B178" s="75"/>
      <c r="C178" s="50" t="s">
        <v>199</v>
      </c>
      <c r="D178" s="52"/>
      <c r="E178" s="52"/>
      <c r="F178" s="52"/>
      <c r="G178" s="52"/>
      <c r="H178" s="53"/>
      <c r="J178" s="91"/>
      <c r="K178" s="91"/>
      <c r="L178" s="91"/>
      <c r="M178" s="91"/>
      <c r="N178" s="91"/>
      <c r="O178" s="91"/>
      <c r="P178" s="54"/>
      <c r="Q178" s="54"/>
      <c r="R178" s="54"/>
      <c r="S178" s="54"/>
      <c r="T178" s="54"/>
    </row>
    <row r="179" spans="2:20" ht="14.25" customHeight="1" thickBot="1">
      <c r="B179" s="54"/>
      <c r="C179" s="54"/>
      <c r="D179" s="54"/>
      <c r="E179" s="54"/>
      <c r="F179" s="54"/>
      <c r="G179" s="54"/>
      <c r="H179" s="87"/>
      <c r="I179" s="92"/>
      <c r="J179" s="74" t="s">
        <v>60</v>
      </c>
      <c r="K179" s="91"/>
      <c r="L179" s="91"/>
      <c r="M179" s="94" t="s">
        <v>200</v>
      </c>
      <c r="N179" s="91"/>
      <c r="O179" s="54"/>
      <c r="P179" s="54"/>
      <c r="Q179" s="54"/>
      <c r="R179" s="54"/>
      <c r="S179" s="54"/>
      <c r="T179" s="54"/>
    </row>
    <row r="180" spans="2:20" ht="25.5" customHeight="1" thickBot="1">
      <c r="B180" s="42" t="s">
        <v>9</v>
      </c>
      <c r="C180" s="42" t="s">
        <v>62</v>
      </c>
      <c r="D180" s="42" t="s">
        <v>11</v>
      </c>
      <c r="E180" s="42" t="s">
        <v>63</v>
      </c>
      <c r="F180" s="42" t="s">
        <v>13</v>
      </c>
      <c r="G180" s="42" t="s">
        <v>14</v>
      </c>
      <c r="H180" s="42" t="s">
        <v>15</v>
      </c>
      <c r="J180" s="1" t="s">
        <v>64</v>
      </c>
      <c r="K180" s="1" t="s">
        <v>133</v>
      </c>
      <c r="L180" s="54"/>
      <c r="M180" s="1" t="s">
        <v>213</v>
      </c>
      <c r="N180" s="5" t="s">
        <v>214</v>
      </c>
      <c r="O180" s="6" t="s">
        <v>215</v>
      </c>
      <c r="P180" s="6" t="s">
        <v>216</v>
      </c>
      <c r="Q180" s="6" t="s">
        <v>217</v>
      </c>
      <c r="R180" s="7" t="s">
        <v>218</v>
      </c>
      <c r="S180" s="54"/>
      <c r="T180" s="54"/>
    </row>
    <row r="181" spans="2:20" ht="14.25" customHeight="1">
      <c r="B181" s="52"/>
      <c r="C181" s="52"/>
      <c r="D181" s="52"/>
      <c r="E181" s="52"/>
      <c r="F181" s="52"/>
      <c r="G181" s="52"/>
      <c r="H181" s="53"/>
      <c r="J181" s="59"/>
      <c r="L181" s="54"/>
      <c r="N181" s="91"/>
      <c r="O181" s="91"/>
      <c r="P181" s="91"/>
      <c r="Q181" s="91"/>
      <c r="R181" s="91"/>
      <c r="S181" s="54"/>
      <c r="T181" s="54"/>
    </row>
    <row r="182" spans="2:20" ht="23.25">
      <c r="B182" s="68" t="s">
        <v>219</v>
      </c>
      <c r="C182" s="68">
        <v>3</v>
      </c>
      <c r="D182" s="76">
        <v>0</v>
      </c>
      <c r="E182" s="2" t="s">
        <v>66</v>
      </c>
      <c r="F182" s="3" t="s">
        <v>67</v>
      </c>
      <c r="G182" s="3" t="s">
        <v>68</v>
      </c>
      <c r="H182" s="47">
        <v>2169</v>
      </c>
      <c r="I182" s="64"/>
      <c r="J182" s="78">
        <v>315908</v>
      </c>
      <c r="K182" s="88">
        <v>57.25</v>
      </c>
      <c r="L182" s="54"/>
      <c r="M182" s="95">
        <v>45292</v>
      </c>
      <c r="N182" s="8">
        <v>999</v>
      </c>
      <c r="O182" s="8">
        <v>354</v>
      </c>
      <c r="P182" s="10">
        <v>210</v>
      </c>
      <c r="Q182" s="11">
        <v>599</v>
      </c>
      <c r="R182" s="10">
        <v>123</v>
      </c>
      <c r="S182" s="54"/>
    </row>
    <row r="183" spans="2:20" ht="15" customHeight="1">
      <c r="B183" s="52"/>
      <c r="C183" s="52"/>
      <c r="D183" s="52"/>
      <c r="E183" s="52"/>
      <c r="F183" s="77"/>
      <c r="G183" s="77"/>
      <c r="H183" s="85"/>
      <c r="J183" s="79"/>
      <c r="K183" s="90"/>
      <c r="L183" s="54"/>
      <c r="M183" s="96"/>
      <c r="N183" s="97"/>
      <c r="O183" s="97"/>
      <c r="P183" s="97"/>
      <c r="Q183" s="50"/>
      <c r="R183" s="97"/>
      <c r="S183" s="54"/>
    </row>
    <row r="184" spans="2:20" ht="23.25">
      <c r="B184" s="68">
        <v>41</v>
      </c>
      <c r="C184" s="68">
        <f>C182</f>
        <v>3</v>
      </c>
      <c r="D184" s="76">
        <v>9</v>
      </c>
      <c r="E184" s="2">
        <v>1</v>
      </c>
      <c r="F184" s="3" t="s">
        <v>67</v>
      </c>
      <c r="G184" s="3" t="s">
        <v>71</v>
      </c>
      <c r="H184" s="47">
        <v>745</v>
      </c>
      <c r="I184" s="64"/>
      <c r="J184" s="78" t="s">
        <v>220</v>
      </c>
      <c r="K184" s="78" t="s">
        <v>220</v>
      </c>
      <c r="L184" s="54"/>
      <c r="M184" s="95">
        <v>45474</v>
      </c>
      <c r="N184" s="9">
        <v>300</v>
      </c>
      <c r="O184" s="8">
        <v>450</v>
      </c>
      <c r="P184" s="12">
        <v>370</v>
      </c>
      <c r="Q184" s="10">
        <v>200</v>
      </c>
      <c r="R184" s="11">
        <v>1314</v>
      </c>
      <c r="S184" s="54"/>
    </row>
    <row r="185" spans="2:20" ht="23.25">
      <c r="B185" s="68">
        <v>42</v>
      </c>
      <c r="C185" s="68">
        <f>C184</f>
        <v>3</v>
      </c>
      <c r="D185" s="76">
        <v>9</v>
      </c>
      <c r="E185" s="2">
        <v>2</v>
      </c>
      <c r="F185" s="3" t="s">
        <v>72</v>
      </c>
      <c r="G185" s="3" t="s">
        <v>73</v>
      </c>
      <c r="H185" s="47">
        <v>1696</v>
      </c>
      <c r="I185" s="64"/>
      <c r="J185" s="78" t="s">
        <v>220</v>
      </c>
      <c r="K185" s="78" t="s">
        <v>220</v>
      </c>
      <c r="L185" s="54"/>
      <c r="M185" s="95">
        <v>45534</v>
      </c>
      <c r="N185" s="10">
        <v>350</v>
      </c>
      <c r="O185" s="12">
        <v>344</v>
      </c>
      <c r="P185" s="12">
        <v>412</v>
      </c>
      <c r="Q185" s="9">
        <v>325</v>
      </c>
      <c r="R185" s="10">
        <v>100</v>
      </c>
      <c r="S185" s="54"/>
    </row>
    <row r="186" spans="2:20" ht="23.25">
      <c r="B186" s="68">
        <v>43</v>
      </c>
      <c r="C186" s="68">
        <f t="shared" ref="C186:C203" si="1">C185</f>
        <v>3</v>
      </c>
      <c r="D186" s="76">
        <v>9</v>
      </c>
      <c r="E186" s="2">
        <v>3</v>
      </c>
      <c r="F186" s="3" t="s">
        <v>74</v>
      </c>
      <c r="G186" s="3" t="s">
        <v>68</v>
      </c>
      <c r="H186" s="47">
        <v>243.00000000000003</v>
      </c>
      <c r="I186" s="64"/>
      <c r="J186" s="78" t="s">
        <v>220</v>
      </c>
      <c r="K186" s="78" t="s">
        <v>220</v>
      </c>
      <c r="L186" s="54"/>
      <c r="M186" s="95">
        <v>45414</v>
      </c>
      <c r="N186" s="12">
        <v>55</v>
      </c>
      <c r="O186" s="8">
        <v>214</v>
      </c>
      <c r="P186" s="11">
        <v>600</v>
      </c>
      <c r="Q186" s="9">
        <v>350</v>
      </c>
      <c r="R186" s="10">
        <v>55</v>
      </c>
      <c r="S186" s="54"/>
    </row>
    <row r="187" spans="2:20" ht="23.25">
      <c r="B187" s="68">
        <v>44</v>
      </c>
      <c r="C187" s="68">
        <f t="shared" si="1"/>
        <v>3</v>
      </c>
      <c r="D187" s="76">
        <v>9</v>
      </c>
      <c r="E187" s="2">
        <v>4</v>
      </c>
      <c r="F187" s="3" t="s">
        <v>75</v>
      </c>
      <c r="G187" s="3" t="s">
        <v>71</v>
      </c>
      <c r="H187" s="47">
        <v>1160</v>
      </c>
      <c r="I187" s="64"/>
      <c r="J187" s="78" t="s">
        <v>220</v>
      </c>
      <c r="K187" s="78" t="s">
        <v>220</v>
      </c>
      <c r="L187" s="54"/>
      <c r="M187" s="95">
        <v>45539</v>
      </c>
      <c r="N187" s="8">
        <v>834</v>
      </c>
      <c r="O187" s="9">
        <v>1</v>
      </c>
      <c r="P187" s="11">
        <v>622</v>
      </c>
      <c r="Q187" s="12">
        <v>248</v>
      </c>
      <c r="R187" s="9">
        <v>443</v>
      </c>
      <c r="S187" s="54"/>
      <c r="T187" s="54"/>
    </row>
    <row r="188" spans="2:20" ht="23.25">
      <c r="B188" s="68">
        <v>45</v>
      </c>
      <c r="C188" s="68">
        <f t="shared" si="1"/>
        <v>3</v>
      </c>
      <c r="D188" s="76">
        <v>9</v>
      </c>
      <c r="E188" s="2">
        <v>5</v>
      </c>
      <c r="F188" s="3" t="s">
        <v>75</v>
      </c>
      <c r="G188" s="3" t="s">
        <v>76</v>
      </c>
      <c r="H188" s="47">
        <v>279</v>
      </c>
      <c r="I188" s="64"/>
      <c r="J188" s="78" t="s">
        <v>220</v>
      </c>
      <c r="K188" s="78" t="s">
        <v>220</v>
      </c>
      <c r="L188" s="54"/>
      <c r="M188" s="95">
        <v>45474</v>
      </c>
      <c r="N188" s="9">
        <v>95</v>
      </c>
      <c r="O188" s="10">
        <v>155</v>
      </c>
      <c r="P188" s="12">
        <v>345</v>
      </c>
      <c r="Q188" s="9">
        <v>87</v>
      </c>
      <c r="R188" s="11">
        <v>160</v>
      </c>
      <c r="S188" s="54"/>
      <c r="T188" s="54"/>
    </row>
    <row r="189" spans="2:20" ht="23.25">
      <c r="B189" s="68">
        <v>46</v>
      </c>
      <c r="C189" s="68">
        <f t="shared" si="1"/>
        <v>3</v>
      </c>
      <c r="D189" s="76">
        <v>9</v>
      </c>
      <c r="E189" s="2">
        <v>6</v>
      </c>
      <c r="F189" s="3" t="s">
        <v>74</v>
      </c>
      <c r="G189" s="3" t="s">
        <v>73</v>
      </c>
      <c r="H189" s="47">
        <v>518</v>
      </c>
      <c r="I189" s="64"/>
      <c r="J189" s="78" t="s">
        <v>220</v>
      </c>
      <c r="K189" s="78" t="s">
        <v>220</v>
      </c>
      <c r="L189" s="54"/>
      <c r="M189" s="95">
        <v>45442</v>
      </c>
      <c r="N189" s="10">
        <v>178</v>
      </c>
      <c r="O189" s="9">
        <v>875</v>
      </c>
      <c r="P189" s="8">
        <v>582</v>
      </c>
      <c r="Q189" s="12">
        <v>251</v>
      </c>
      <c r="R189" s="11">
        <v>970</v>
      </c>
      <c r="S189" s="54"/>
      <c r="T189" s="54"/>
    </row>
    <row r="190" spans="2:20" ht="23.25">
      <c r="B190" s="68">
        <v>47</v>
      </c>
      <c r="C190" s="68">
        <f t="shared" si="1"/>
        <v>3</v>
      </c>
      <c r="D190" s="76">
        <v>9</v>
      </c>
      <c r="E190" s="2">
        <v>7</v>
      </c>
      <c r="F190" s="3" t="s">
        <v>72</v>
      </c>
      <c r="G190" s="3" t="s">
        <v>76</v>
      </c>
      <c r="H190" s="47">
        <v>558</v>
      </c>
      <c r="I190" s="64"/>
      <c r="J190" s="78" t="s">
        <v>220</v>
      </c>
      <c r="K190" s="78" t="s">
        <v>220</v>
      </c>
      <c r="L190" s="54"/>
      <c r="M190" s="95">
        <v>45519</v>
      </c>
      <c r="N190" s="9">
        <v>754</v>
      </c>
      <c r="O190" s="12">
        <v>475</v>
      </c>
      <c r="P190" s="10">
        <v>55</v>
      </c>
      <c r="Q190" s="12">
        <v>775</v>
      </c>
      <c r="R190" s="8">
        <v>600</v>
      </c>
      <c r="S190" s="54"/>
      <c r="T190" s="54"/>
    </row>
    <row r="191" spans="2:20" ht="23.25">
      <c r="B191" s="68">
        <v>48</v>
      </c>
      <c r="C191" s="68">
        <f t="shared" si="1"/>
        <v>3</v>
      </c>
      <c r="D191" s="76">
        <v>9</v>
      </c>
      <c r="E191" s="2">
        <v>8</v>
      </c>
      <c r="F191" s="3" t="s">
        <v>67</v>
      </c>
      <c r="G191" s="3" t="s">
        <v>77</v>
      </c>
      <c r="H191" s="47">
        <v>2981</v>
      </c>
      <c r="I191" s="64"/>
      <c r="J191" s="78" t="s">
        <v>220</v>
      </c>
      <c r="K191" s="78" t="s">
        <v>220</v>
      </c>
      <c r="L191" s="54"/>
      <c r="M191" s="95">
        <v>45329</v>
      </c>
      <c r="N191" s="10">
        <v>101</v>
      </c>
      <c r="O191" s="8">
        <v>817</v>
      </c>
      <c r="P191" s="12">
        <v>896</v>
      </c>
      <c r="Q191" s="10">
        <v>425</v>
      </c>
      <c r="R191" s="8">
        <v>3</v>
      </c>
      <c r="S191" s="54"/>
      <c r="T191" s="54"/>
    </row>
    <row r="192" spans="2:20" ht="23.25">
      <c r="B192" s="68">
        <v>49</v>
      </c>
      <c r="C192" s="68">
        <f t="shared" si="1"/>
        <v>3</v>
      </c>
      <c r="D192" s="76">
        <v>9</v>
      </c>
      <c r="E192" s="2">
        <v>9</v>
      </c>
      <c r="F192" s="3" t="s">
        <v>67</v>
      </c>
      <c r="G192" s="3" t="s">
        <v>78</v>
      </c>
      <c r="H192" s="47">
        <v>5153</v>
      </c>
      <c r="I192" s="64"/>
      <c r="J192" s="78" t="s">
        <v>220</v>
      </c>
      <c r="K192" s="78" t="s">
        <v>220</v>
      </c>
      <c r="L192" s="54"/>
      <c r="M192" s="95">
        <v>45299</v>
      </c>
      <c r="N192" s="11">
        <v>590</v>
      </c>
      <c r="O192" s="12">
        <v>1133</v>
      </c>
      <c r="P192" s="11">
        <v>100</v>
      </c>
      <c r="Q192" s="10">
        <v>60</v>
      </c>
      <c r="R192" s="8">
        <v>333</v>
      </c>
      <c r="S192" s="54"/>
      <c r="T192" s="54"/>
    </row>
    <row r="193" spans="2:20" ht="23.25">
      <c r="B193" s="68">
        <v>50</v>
      </c>
      <c r="C193" s="68">
        <f t="shared" si="1"/>
        <v>3</v>
      </c>
      <c r="D193" s="76">
        <v>9</v>
      </c>
      <c r="E193" s="2">
        <v>10</v>
      </c>
      <c r="F193" s="3" t="s">
        <v>74</v>
      </c>
      <c r="G193" s="3" t="s">
        <v>79</v>
      </c>
      <c r="H193" s="47">
        <v>1288</v>
      </c>
      <c r="I193" s="64"/>
      <c r="J193" s="78" t="s">
        <v>220</v>
      </c>
      <c r="K193" s="78" t="s">
        <v>220</v>
      </c>
      <c r="L193" s="54"/>
      <c r="M193" s="95">
        <v>45359</v>
      </c>
      <c r="N193" s="8">
        <v>454</v>
      </c>
      <c r="O193" s="8">
        <v>1234</v>
      </c>
      <c r="P193" s="8">
        <v>1200</v>
      </c>
      <c r="Q193" s="10">
        <v>166</v>
      </c>
      <c r="R193" s="12">
        <v>77</v>
      </c>
      <c r="S193" s="54"/>
      <c r="T193" s="54"/>
    </row>
    <row r="194" spans="2:20" ht="23.25">
      <c r="B194" s="68">
        <v>51</v>
      </c>
      <c r="C194" s="68">
        <f t="shared" si="1"/>
        <v>3</v>
      </c>
      <c r="D194" s="76">
        <v>9</v>
      </c>
      <c r="E194" s="2">
        <v>11</v>
      </c>
      <c r="F194" s="3" t="s">
        <v>67</v>
      </c>
      <c r="G194" s="3" t="s">
        <v>68</v>
      </c>
      <c r="H194" s="47">
        <v>2677</v>
      </c>
      <c r="I194" s="64"/>
      <c r="J194" s="78" t="s">
        <v>220</v>
      </c>
      <c r="K194" s="78" t="s">
        <v>220</v>
      </c>
      <c r="L194" s="54"/>
      <c r="M194" s="95">
        <v>45334</v>
      </c>
      <c r="N194" s="11">
        <v>333</v>
      </c>
      <c r="O194" s="9">
        <v>627</v>
      </c>
      <c r="P194" s="12">
        <v>668</v>
      </c>
      <c r="Q194" s="10">
        <v>224</v>
      </c>
      <c r="R194" s="12">
        <v>1091</v>
      </c>
      <c r="S194" s="54"/>
      <c r="T194" s="54"/>
    </row>
    <row r="195" spans="2:20" ht="23.25">
      <c r="B195" s="68">
        <v>52</v>
      </c>
      <c r="C195" s="68">
        <f t="shared" si="1"/>
        <v>3</v>
      </c>
      <c r="D195" s="76">
        <v>9</v>
      </c>
      <c r="E195" s="2">
        <v>12</v>
      </c>
      <c r="F195" s="3" t="s">
        <v>72</v>
      </c>
      <c r="G195" s="3" t="s">
        <v>71</v>
      </c>
      <c r="H195" s="47">
        <v>756</v>
      </c>
      <c r="I195" s="64"/>
      <c r="J195" s="78" t="s">
        <v>220</v>
      </c>
      <c r="K195" s="78" t="s">
        <v>220</v>
      </c>
      <c r="L195" s="54"/>
      <c r="M195" s="95">
        <v>45459</v>
      </c>
      <c r="N195" s="10">
        <v>155</v>
      </c>
      <c r="O195" s="8">
        <v>780</v>
      </c>
      <c r="P195" s="9">
        <v>432</v>
      </c>
      <c r="Q195" s="9">
        <v>606</v>
      </c>
      <c r="R195" s="11">
        <v>327</v>
      </c>
      <c r="S195" s="54"/>
      <c r="T195" s="54"/>
    </row>
    <row r="196" spans="2:20" ht="23.25">
      <c r="B196" s="68">
        <v>53</v>
      </c>
      <c r="C196" s="68">
        <f t="shared" si="1"/>
        <v>3</v>
      </c>
      <c r="D196" s="76">
        <v>9</v>
      </c>
      <c r="E196" s="2">
        <v>13</v>
      </c>
      <c r="F196" s="3" t="s">
        <v>74</v>
      </c>
      <c r="G196" s="3" t="s">
        <v>77</v>
      </c>
      <c r="H196" s="47">
        <v>64</v>
      </c>
      <c r="I196" s="64"/>
      <c r="J196" s="78" t="s">
        <v>220</v>
      </c>
      <c r="K196" s="78" t="s">
        <v>220</v>
      </c>
      <c r="L196" s="54"/>
      <c r="M196" s="95">
        <v>45489</v>
      </c>
      <c r="N196" s="12">
        <v>310</v>
      </c>
      <c r="O196" s="10">
        <v>343</v>
      </c>
      <c r="P196" s="12">
        <v>20</v>
      </c>
      <c r="Q196" s="9">
        <v>295</v>
      </c>
      <c r="R196" s="9">
        <v>491</v>
      </c>
      <c r="S196" s="54"/>
      <c r="T196" s="54"/>
    </row>
    <row r="197" spans="2:20" ht="23.25">
      <c r="B197" s="68">
        <v>54</v>
      </c>
      <c r="C197" s="68">
        <f t="shared" si="1"/>
        <v>3</v>
      </c>
      <c r="D197" s="76">
        <v>9</v>
      </c>
      <c r="E197" s="2">
        <v>14</v>
      </c>
      <c r="F197" s="3" t="s">
        <v>72</v>
      </c>
      <c r="G197" s="3" t="s">
        <v>79</v>
      </c>
      <c r="H197" s="47">
        <v>385</v>
      </c>
      <c r="I197" s="64"/>
      <c r="J197" s="78" t="s">
        <v>220</v>
      </c>
      <c r="K197" s="78" t="s">
        <v>220</v>
      </c>
      <c r="L197" s="54"/>
      <c r="M197" s="95">
        <v>45364</v>
      </c>
      <c r="N197" s="8">
        <v>1492</v>
      </c>
      <c r="O197" s="12">
        <v>178</v>
      </c>
      <c r="P197" s="8">
        <v>320</v>
      </c>
      <c r="Q197" s="11">
        <v>324</v>
      </c>
      <c r="R197" s="12">
        <v>462</v>
      </c>
      <c r="S197" s="54"/>
      <c r="T197" s="54"/>
    </row>
    <row r="198" spans="2:20" ht="23.25">
      <c r="B198" s="68">
        <v>55</v>
      </c>
      <c r="C198" s="68">
        <f t="shared" si="1"/>
        <v>3</v>
      </c>
      <c r="D198" s="76">
        <v>9</v>
      </c>
      <c r="E198" s="2">
        <v>15</v>
      </c>
      <c r="F198" s="3" t="s">
        <v>75</v>
      </c>
      <c r="G198" s="3" t="s">
        <v>78</v>
      </c>
      <c r="H198" s="47">
        <v>2046</v>
      </c>
      <c r="I198" s="64"/>
      <c r="J198" s="78" t="s">
        <v>220</v>
      </c>
      <c r="K198" s="78" t="s">
        <v>220</v>
      </c>
      <c r="L198" s="54"/>
      <c r="M198" s="95">
        <v>45564</v>
      </c>
      <c r="N198" s="10">
        <v>125</v>
      </c>
      <c r="O198" s="12">
        <v>150</v>
      </c>
      <c r="P198" s="10">
        <v>112</v>
      </c>
      <c r="Q198" s="8">
        <v>263</v>
      </c>
      <c r="R198" s="11">
        <v>481</v>
      </c>
      <c r="S198" s="54"/>
      <c r="T198" s="54"/>
    </row>
    <row r="199" spans="2:20" ht="23.25">
      <c r="B199" s="68">
        <v>56</v>
      </c>
      <c r="C199" s="68">
        <f t="shared" si="1"/>
        <v>3</v>
      </c>
      <c r="D199" s="76">
        <v>9</v>
      </c>
      <c r="E199" s="2">
        <v>16</v>
      </c>
      <c r="F199" s="3" t="s">
        <v>72</v>
      </c>
      <c r="G199" s="3" t="s">
        <v>78</v>
      </c>
      <c r="H199" s="47">
        <v>2849</v>
      </c>
      <c r="I199" s="64"/>
      <c r="J199" s="78" t="s">
        <v>220</v>
      </c>
      <c r="K199" s="78" t="s">
        <v>220</v>
      </c>
      <c r="L199" s="54"/>
      <c r="M199" s="95">
        <v>45594</v>
      </c>
      <c r="N199" s="8">
        <v>800</v>
      </c>
      <c r="O199" s="8">
        <v>360</v>
      </c>
      <c r="P199" s="9">
        <v>101</v>
      </c>
      <c r="Q199" s="12">
        <v>111</v>
      </c>
      <c r="R199" s="10">
        <v>510</v>
      </c>
      <c r="S199" s="54"/>
      <c r="T199" s="54"/>
    </row>
    <row r="200" spans="2:20" ht="23.25">
      <c r="B200" s="68">
        <v>57</v>
      </c>
      <c r="C200" s="68">
        <f t="shared" si="1"/>
        <v>3</v>
      </c>
      <c r="D200" s="76">
        <v>9</v>
      </c>
      <c r="E200" s="2">
        <v>17</v>
      </c>
      <c r="F200" s="3" t="s">
        <v>74</v>
      </c>
      <c r="G200" s="3" t="s">
        <v>77</v>
      </c>
      <c r="H200" s="47">
        <v>3609.0000000000005</v>
      </c>
      <c r="I200" s="64"/>
      <c r="J200" s="78" t="s">
        <v>220</v>
      </c>
      <c r="K200" s="78" t="s">
        <v>220</v>
      </c>
      <c r="L200" s="54"/>
      <c r="M200" s="95">
        <v>45369</v>
      </c>
      <c r="N200" s="9">
        <v>574</v>
      </c>
      <c r="O200" s="10">
        <v>161</v>
      </c>
      <c r="P200" s="12">
        <v>199</v>
      </c>
      <c r="Q200" s="11">
        <v>110</v>
      </c>
      <c r="R200" s="10">
        <v>483</v>
      </c>
      <c r="S200" s="54"/>
      <c r="T200" s="54"/>
    </row>
    <row r="201" spans="2:20" ht="23.25">
      <c r="B201" s="68">
        <v>58</v>
      </c>
      <c r="C201" s="68">
        <f t="shared" si="1"/>
        <v>3</v>
      </c>
      <c r="D201" s="76">
        <v>9</v>
      </c>
      <c r="E201" s="2">
        <v>18</v>
      </c>
      <c r="F201" s="3" t="s">
        <v>72</v>
      </c>
      <c r="G201" s="3" t="s">
        <v>73</v>
      </c>
      <c r="H201" s="47">
        <v>1714.9999999999998</v>
      </c>
      <c r="I201" s="64"/>
      <c r="J201" s="78" t="s">
        <v>220</v>
      </c>
      <c r="K201" s="78" t="s">
        <v>220</v>
      </c>
      <c r="L201" s="54"/>
      <c r="M201" s="95">
        <v>45417</v>
      </c>
      <c r="N201" s="11">
        <v>98</v>
      </c>
      <c r="O201" s="12">
        <v>82</v>
      </c>
      <c r="P201" s="8">
        <v>149</v>
      </c>
      <c r="Q201" s="10">
        <v>317</v>
      </c>
      <c r="R201" s="11">
        <v>500</v>
      </c>
      <c r="S201" s="54"/>
      <c r="T201" s="54"/>
    </row>
    <row r="202" spans="2:20" ht="23.25">
      <c r="B202" s="68">
        <v>59</v>
      </c>
      <c r="C202" s="68">
        <f t="shared" si="1"/>
        <v>3</v>
      </c>
      <c r="D202" s="76">
        <v>9</v>
      </c>
      <c r="E202" s="2">
        <v>19</v>
      </c>
      <c r="F202" s="3" t="s">
        <v>72</v>
      </c>
      <c r="G202" s="3" t="s">
        <v>73</v>
      </c>
      <c r="H202" s="47">
        <v>999</v>
      </c>
      <c r="I202" s="64"/>
      <c r="J202" s="78" t="s">
        <v>220</v>
      </c>
      <c r="K202" s="78" t="s">
        <v>220</v>
      </c>
      <c r="L202" s="54"/>
      <c r="M202" s="95">
        <v>45382</v>
      </c>
      <c r="N202" s="8">
        <v>530</v>
      </c>
      <c r="O202" s="9">
        <v>271</v>
      </c>
      <c r="P202" s="12">
        <v>185</v>
      </c>
      <c r="Q202" s="9">
        <v>809</v>
      </c>
      <c r="R202" s="10">
        <v>223</v>
      </c>
      <c r="S202" s="54"/>
      <c r="T202" s="54"/>
    </row>
    <row r="203" spans="2:20" ht="23.25">
      <c r="B203" s="68">
        <v>60</v>
      </c>
      <c r="C203" s="68">
        <f t="shared" si="1"/>
        <v>3</v>
      </c>
      <c r="D203" s="76">
        <v>9</v>
      </c>
      <c r="E203" s="2">
        <v>20</v>
      </c>
      <c r="F203" s="3" t="s">
        <v>75</v>
      </c>
      <c r="G203" s="3" t="s">
        <v>80</v>
      </c>
      <c r="H203" s="47">
        <v>1684</v>
      </c>
      <c r="I203" s="64"/>
      <c r="J203" s="78" t="s">
        <v>220</v>
      </c>
      <c r="K203" s="78" t="s">
        <v>220</v>
      </c>
      <c r="L203" s="54"/>
      <c r="M203" s="95">
        <v>45352</v>
      </c>
      <c r="N203" s="12">
        <v>325</v>
      </c>
      <c r="O203" s="11">
        <v>691</v>
      </c>
      <c r="P203" s="9">
        <v>450</v>
      </c>
      <c r="Q203" s="12">
        <v>6</v>
      </c>
      <c r="R203" s="10">
        <v>311</v>
      </c>
      <c r="S203" s="54"/>
      <c r="T203" s="54"/>
    </row>
    <row r="204" spans="2:20" ht="15" customHeight="1">
      <c r="B204" s="54"/>
      <c r="C204" s="54"/>
      <c r="D204" s="54"/>
      <c r="E204" s="54"/>
      <c r="F204" s="54"/>
      <c r="G204" s="54"/>
      <c r="H204" s="87"/>
      <c r="I204" s="92"/>
      <c r="J204" s="91"/>
      <c r="K204" s="91"/>
      <c r="L204" s="91"/>
      <c r="M204" s="91"/>
      <c r="N204" s="91"/>
      <c r="O204" s="91"/>
      <c r="P204" s="54"/>
      <c r="Q204" s="54"/>
      <c r="R204" s="54"/>
      <c r="S204" s="54"/>
      <c r="T204" s="54"/>
    </row>
    <row r="205" spans="2:20" ht="14.25" customHeight="1" thickBot="1">
      <c r="B205" s="54"/>
      <c r="C205" s="54"/>
      <c r="D205" s="54"/>
      <c r="E205" s="54"/>
      <c r="F205" s="54"/>
      <c r="G205" s="54"/>
      <c r="H205" s="87"/>
      <c r="I205" s="92"/>
      <c r="J205" s="91"/>
      <c r="K205" s="91"/>
      <c r="L205" s="91"/>
      <c r="M205" s="91"/>
      <c r="N205" s="91"/>
      <c r="O205" s="91"/>
      <c r="P205" s="54"/>
      <c r="Q205" s="54"/>
      <c r="R205" s="54"/>
      <c r="S205" s="54"/>
      <c r="T205" s="54"/>
    </row>
    <row r="206" spans="2:20" ht="25.5" customHeight="1" thickBot="1">
      <c r="B206" s="48" t="s">
        <v>221</v>
      </c>
      <c r="C206" s="49" t="s">
        <v>154</v>
      </c>
      <c r="D206" s="73" t="s">
        <v>222</v>
      </c>
      <c r="E206" s="54"/>
      <c r="F206" s="54"/>
      <c r="G206" s="54"/>
      <c r="H206" s="87"/>
      <c r="I206" s="92"/>
      <c r="J206" s="1" t="s">
        <v>14</v>
      </c>
      <c r="K206" s="1" t="s">
        <v>223</v>
      </c>
      <c r="L206" s="1" t="s">
        <v>224</v>
      </c>
      <c r="M206" s="91"/>
      <c r="Q206" s="54"/>
      <c r="R206" s="54"/>
      <c r="S206" s="54"/>
      <c r="T206" s="54"/>
    </row>
    <row r="207" spans="2:20" ht="15.75">
      <c r="B207" s="75"/>
      <c r="C207" s="54"/>
      <c r="D207" s="54"/>
      <c r="E207" s="54"/>
      <c r="F207" s="54"/>
      <c r="G207" s="54"/>
      <c r="H207" s="87"/>
      <c r="I207" s="92"/>
      <c r="J207" s="35" t="s">
        <v>78</v>
      </c>
      <c r="K207" s="89" t="s">
        <v>225</v>
      </c>
      <c r="L207" s="89">
        <v>45</v>
      </c>
      <c r="M207" s="91"/>
      <c r="Q207" s="54"/>
      <c r="R207" s="54"/>
      <c r="S207" s="54"/>
      <c r="T207" s="54"/>
    </row>
    <row r="208" spans="2:20" ht="15.75">
      <c r="B208" s="21" t="s">
        <v>226</v>
      </c>
      <c r="C208" s="52"/>
      <c r="D208" s="52"/>
      <c r="E208" s="52"/>
      <c r="F208" s="52"/>
      <c r="G208" s="52"/>
      <c r="H208" s="53"/>
      <c r="J208" s="35" t="s">
        <v>73</v>
      </c>
      <c r="K208" s="89" t="s">
        <v>227</v>
      </c>
      <c r="L208" s="89">
        <v>65</v>
      </c>
      <c r="M208" s="91"/>
      <c r="Q208" s="54"/>
      <c r="R208" s="54"/>
    </row>
    <row r="209" spans="2:20" ht="15.75">
      <c r="B209" s="21" t="s">
        <v>228</v>
      </c>
      <c r="C209" s="52"/>
      <c r="D209" s="52"/>
      <c r="E209" s="52"/>
      <c r="F209" s="52"/>
      <c r="G209" s="52"/>
      <c r="H209" s="53"/>
      <c r="J209" s="35" t="s">
        <v>71</v>
      </c>
      <c r="K209" s="89" t="s">
        <v>229</v>
      </c>
      <c r="L209" s="89">
        <v>300</v>
      </c>
      <c r="M209" s="91"/>
      <c r="Q209" s="54"/>
      <c r="R209" s="54"/>
    </row>
    <row r="210" spans="2:20" ht="15.75">
      <c r="B210" s="21" t="s">
        <v>230</v>
      </c>
      <c r="J210" s="35" t="s">
        <v>76</v>
      </c>
      <c r="K210" s="89" t="s">
        <v>231</v>
      </c>
      <c r="L210" s="89">
        <v>60</v>
      </c>
      <c r="M210" s="91"/>
      <c r="Q210" s="54"/>
      <c r="R210" s="54"/>
    </row>
    <row r="211" spans="2:20" ht="15.75">
      <c r="B211" s="21" t="s">
        <v>232</v>
      </c>
      <c r="J211" s="35" t="s">
        <v>79</v>
      </c>
      <c r="K211" s="89" t="s">
        <v>227</v>
      </c>
      <c r="L211" s="89">
        <v>120</v>
      </c>
      <c r="M211" s="91"/>
      <c r="Q211" s="54"/>
      <c r="R211" s="54"/>
    </row>
    <row r="212" spans="2:20" ht="15.75">
      <c r="B212" s="21" t="s">
        <v>233</v>
      </c>
      <c r="C212" s="52"/>
      <c r="D212" s="52"/>
      <c r="E212" s="52"/>
      <c r="F212" s="52"/>
      <c r="G212" s="52"/>
      <c r="H212" s="53"/>
      <c r="J212" s="35" t="s">
        <v>80</v>
      </c>
      <c r="K212" s="89" t="s">
        <v>231</v>
      </c>
      <c r="L212" s="89">
        <v>75</v>
      </c>
      <c r="M212" s="91"/>
      <c r="Q212" s="54"/>
      <c r="R212" s="54"/>
    </row>
    <row r="213" spans="2:20" ht="15.75">
      <c r="B213" s="21" t="s">
        <v>234</v>
      </c>
      <c r="C213" s="52"/>
      <c r="D213" s="52"/>
      <c r="E213" s="52"/>
      <c r="F213" s="52"/>
      <c r="G213" s="52"/>
      <c r="H213" s="53"/>
      <c r="J213" s="35" t="s">
        <v>68</v>
      </c>
      <c r="K213" s="89" t="s">
        <v>227</v>
      </c>
      <c r="L213" s="89">
        <v>80</v>
      </c>
      <c r="M213" s="91"/>
      <c r="Q213" s="54"/>
      <c r="R213" s="54"/>
    </row>
    <row r="214" spans="2:20" ht="15.75">
      <c r="C214" s="52"/>
      <c r="D214" s="52"/>
      <c r="E214" s="52"/>
      <c r="F214" s="52"/>
      <c r="G214" s="52"/>
      <c r="H214" s="53"/>
      <c r="J214" s="35" t="s">
        <v>77</v>
      </c>
      <c r="K214" s="89" t="s">
        <v>231</v>
      </c>
      <c r="L214" s="89">
        <v>50</v>
      </c>
      <c r="M214" s="91"/>
      <c r="Q214" s="54"/>
      <c r="R214" s="54"/>
    </row>
    <row r="215" spans="2:20" ht="15.75">
      <c r="B215" s="21" t="s">
        <v>235</v>
      </c>
      <c r="C215" s="54"/>
      <c r="D215" s="54"/>
      <c r="E215" s="52"/>
      <c r="F215" s="52"/>
      <c r="G215" s="52"/>
      <c r="H215" s="53"/>
      <c r="J215" s="54"/>
      <c r="K215" s="54"/>
      <c r="L215" s="54"/>
      <c r="M215" s="91"/>
      <c r="Q215" s="54"/>
      <c r="R215" s="54"/>
    </row>
    <row r="216" spans="2:20" ht="15.75">
      <c r="B216" s="21" t="s">
        <v>236</v>
      </c>
      <c r="C216" s="54"/>
      <c r="D216" s="54"/>
      <c r="E216" s="52"/>
      <c r="F216" s="52"/>
      <c r="G216" s="52"/>
      <c r="H216" s="53"/>
      <c r="J216" s="91"/>
      <c r="K216" s="91"/>
      <c r="L216" s="91"/>
      <c r="M216" s="91"/>
      <c r="Q216" s="54"/>
      <c r="R216" s="54"/>
    </row>
    <row r="217" spans="2:20" ht="15.75">
      <c r="B217" s="21" t="s">
        <v>237</v>
      </c>
      <c r="C217" s="54"/>
      <c r="D217" s="54"/>
      <c r="E217" s="52"/>
      <c r="F217" s="52"/>
      <c r="G217" s="52"/>
      <c r="H217" s="53"/>
      <c r="J217" s="91"/>
      <c r="K217" s="91"/>
      <c r="L217" s="91"/>
      <c r="M217" s="91"/>
      <c r="Q217" s="54"/>
      <c r="R217" s="54"/>
    </row>
    <row r="218" spans="2:20" ht="15.75">
      <c r="B218" s="21" t="s">
        <v>238</v>
      </c>
      <c r="C218" s="54"/>
      <c r="D218" s="54"/>
      <c r="E218" s="52"/>
      <c r="F218" s="52"/>
      <c r="G218" s="52"/>
      <c r="H218" s="53"/>
      <c r="J218" s="91"/>
      <c r="K218" s="91"/>
      <c r="L218" s="91"/>
      <c r="M218" s="91"/>
      <c r="Q218" s="54"/>
      <c r="R218" s="54"/>
    </row>
    <row r="219" spans="2:20" ht="15.75">
      <c r="B219" s="21" t="s">
        <v>239</v>
      </c>
      <c r="C219" s="54"/>
      <c r="D219" s="54"/>
      <c r="E219" s="52"/>
      <c r="F219" s="52"/>
      <c r="G219" s="52"/>
      <c r="H219" s="53"/>
      <c r="J219" s="91"/>
      <c r="K219" s="91"/>
      <c r="L219" s="91"/>
      <c r="M219" s="91"/>
      <c r="N219" s="91"/>
      <c r="O219" s="91"/>
      <c r="P219" s="54"/>
      <c r="Q219" s="54"/>
      <c r="R219" s="54"/>
      <c r="S219" s="54"/>
      <c r="T219" s="54"/>
    </row>
    <row r="220" spans="2:20" ht="15.75">
      <c r="B220" s="21" t="s">
        <v>240</v>
      </c>
      <c r="C220" s="54"/>
      <c r="D220" s="54"/>
      <c r="E220" s="52"/>
      <c r="F220" s="52"/>
      <c r="G220" s="52"/>
      <c r="H220" s="53"/>
      <c r="J220" s="91"/>
      <c r="K220" s="91"/>
      <c r="L220" s="91"/>
      <c r="M220" s="91"/>
      <c r="N220" s="91"/>
      <c r="O220" s="91"/>
      <c r="P220" s="54"/>
      <c r="Q220" s="54"/>
      <c r="R220" s="54"/>
      <c r="S220" s="54"/>
      <c r="T220" s="54"/>
    </row>
    <row r="221" spans="2:20" ht="15.75">
      <c r="B221" s="21" t="s">
        <v>241</v>
      </c>
      <c r="C221" s="54"/>
      <c r="D221" s="54"/>
      <c r="E221" s="52"/>
      <c r="F221" s="52"/>
      <c r="G221" s="52"/>
      <c r="H221" s="53"/>
      <c r="J221" s="91"/>
      <c r="K221" s="91"/>
      <c r="L221" s="91"/>
      <c r="M221" s="91"/>
      <c r="N221" s="91"/>
      <c r="O221" s="91"/>
      <c r="P221" s="54"/>
      <c r="Q221" s="54"/>
      <c r="R221" s="54"/>
      <c r="S221" s="54"/>
      <c r="T221" s="54"/>
    </row>
    <row r="223" spans="2:20" ht="15.75">
      <c r="B223" s="98" t="s">
        <v>242</v>
      </c>
      <c r="C223" s="99" t="s">
        <v>243</v>
      </c>
      <c r="D223" s="52"/>
      <c r="E223" s="52"/>
      <c r="F223" s="52"/>
      <c r="G223" s="52"/>
      <c r="H223" s="53"/>
      <c r="J223" s="91"/>
      <c r="K223" s="91"/>
      <c r="L223" s="91"/>
      <c r="M223" s="91"/>
      <c r="N223" s="91"/>
      <c r="O223" s="91"/>
      <c r="P223" s="54"/>
      <c r="Q223" s="54"/>
      <c r="R223" s="54"/>
      <c r="S223" s="54"/>
      <c r="T223" s="54"/>
    </row>
    <row r="224" spans="2:20" ht="15.75" outlineLevel="1">
      <c r="B224" s="98"/>
      <c r="C224" s="99" t="s">
        <v>244</v>
      </c>
      <c r="D224" s="52"/>
      <c r="E224" s="52"/>
      <c r="F224" s="52"/>
      <c r="G224" s="52"/>
      <c r="H224" s="53"/>
      <c r="J224" s="91"/>
      <c r="K224" s="91"/>
      <c r="L224" s="91"/>
      <c r="M224" s="91"/>
      <c r="N224" s="91"/>
      <c r="O224" s="91"/>
      <c r="P224" s="54"/>
      <c r="Q224" s="54"/>
      <c r="R224" s="54"/>
      <c r="S224" s="54"/>
      <c r="T224" s="54"/>
    </row>
    <row r="225" spans="2:20" ht="15.75" outlineLevel="1">
      <c r="B225" s="98"/>
      <c r="C225" s="99" t="s">
        <v>246</v>
      </c>
      <c r="D225" s="52"/>
      <c r="E225" s="52"/>
      <c r="F225" s="52"/>
      <c r="G225" s="52"/>
      <c r="H225" s="53"/>
      <c r="J225" s="91"/>
      <c r="K225" s="91"/>
      <c r="L225" s="91"/>
      <c r="M225" s="91"/>
      <c r="N225" s="91"/>
      <c r="O225" s="91"/>
      <c r="P225" s="54"/>
      <c r="Q225" s="54"/>
      <c r="R225" s="54"/>
      <c r="S225" s="54"/>
      <c r="T225" s="54"/>
    </row>
    <row r="226" spans="2:20" ht="15.75" outlineLevel="1">
      <c r="B226" s="98"/>
      <c r="C226" s="99" t="s">
        <v>247</v>
      </c>
      <c r="D226" s="52"/>
      <c r="E226" s="52"/>
      <c r="F226" s="52"/>
      <c r="G226" s="52"/>
      <c r="H226" s="53"/>
      <c r="J226" s="91"/>
      <c r="K226" s="91"/>
      <c r="L226" s="91"/>
      <c r="M226" s="91"/>
      <c r="N226" s="91"/>
      <c r="O226" s="91"/>
      <c r="P226" s="54"/>
      <c r="Q226" s="54"/>
      <c r="R226" s="54"/>
      <c r="S226" s="54"/>
      <c r="T226" s="54"/>
    </row>
    <row r="227" spans="2:20" ht="15.75" outlineLevel="1">
      <c r="B227" s="98"/>
      <c r="C227" s="99"/>
      <c r="D227" s="52"/>
      <c r="E227" s="52"/>
      <c r="F227" s="52"/>
      <c r="G227" s="52"/>
      <c r="H227" s="53"/>
      <c r="J227" s="91"/>
      <c r="K227" s="91"/>
      <c r="L227" s="91"/>
      <c r="M227" s="91"/>
      <c r="N227" s="91"/>
      <c r="O227" s="91"/>
      <c r="P227" s="54"/>
      <c r="Q227" s="54"/>
      <c r="R227" s="54"/>
      <c r="S227" s="54"/>
      <c r="T227" s="54"/>
    </row>
    <row r="228" spans="2:20" ht="15.75" outlineLevel="1">
      <c r="B228" s="98"/>
      <c r="C228" s="99" t="s">
        <v>248</v>
      </c>
      <c r="D228" s="52"/>
      <c r="E228" s="52"/>
      <c r="F228" s="52"/>
      <c r="G228" s="52"/>
      <c r="H228" s="53"/>
      <c r="J228" s="91"/>
      <c r="K228" s="91"/>
      <c r="L228" s="91"/>
      <c r="M228" s="91"/>
      <c r="N228" s="91"/>
      <c r="O228" s="91"/>
      <c r="P228" s="54"/>
      <c r="Q228" s="54"/>
      <c r="R228" s="54"/>
      <c r="S228" s="54"/>
      <c r="T228" s="54"/>
    </row>
    <row r="229" spans="2:20" ht="15.75" outlineLevel="1">
      <c r="B229" s="98"/>
      <c r="C229" s="99" t="s">
        <v>249</v>
      </c>
      <c r="D229" s="52"/>
      <c r="E229" s="52"/>
      <c r="F229" s="52"/>
      <c r="G229" s="52"/>
      <c r="H229" s="53"/>
      <c r="J229" s="91"/>
      <c r="K229" s="91"/>
      <c r="L229" s="91"/>
      <c r="M229" s="91"/>
      <c r="N229" s="91"/>
      <c r="O229" s="91"/>
      <c r="P229" s="54"/>
      <c r="Q229" s="54"/>
      <c r="R229" s="54"/>
      <c r="S229" s="54"/>
      <c r="T229" s="54"/>
    </row>
    <row r="230" spans="2:20" ht="15.75" outlineLevel="1">
      <c r="B230" s="98"/>
      <c r="C230" s="99" t="s">
        <v>250</v>
      </c>
      <c r="D230" s="52"/>
      <c r="E230" s="52"/>
      <c r="F230" s="52"/>
      <c r="G230" s="52"/>
      <c r="H230" s="53"/>
      <c r="J230" s="91"/>
      <c r="K230" s="91"/>
      <c r="L230" s="91"/>
      <c r="M230" s="91"/>
      <c r="N230" s="91"/>
      <c r="O230" s="91"/>
      <c r="P230" s="54"/>
      <c r="Q230" s="54"/>
      <c r="R230" s="54"/>
      <c r="S230" s="54"/>
      <c r="T230" s="54"/>
    </row>
    <row r="231" spans="2:20" ht="15.75" outlineLevel="1">
      <c r="B231" s="98"/>
      <c r="C231" s="99"/>
      <c r="D231" s="52"/>
      <c r="E231" s="52"/>
      <c r="F231" s="52"/>
      <c r="G231" s="52"/>
      <c r="H231" s="53"/>
      <c r="J231" s="91"/>
      <c r="K231" s="91"/>
      <c r="L231" s="91"/>
      <c r="M231" s="91"/>
      <c r="N231" s="91"/>
      <c r="O231" s="91"/>
      <c r="P231" s="54"/>
      <c r="Q231" s="54"/>
      <c r="R231" s="54"/>
      <c r="S231" s="54"/>
      <c r="T231" s="54"/>
    </row>
    <row r="232" spans="2:20" ht="15.75" outlineLevel="1">
      <c r="B232" s="98"/>
      <c r="C232" s="99" t="s">
        <v>251</v>
      </c>
      <c r="D232" s="52"/>
      <c r="E232" s="52"/>
      <c r="F232" s="52"/>
      <c r="G232" s="52"/>
      <c r="H232" s="53"/>
      <c r="J232" s="91"/>
      <c r="K232" s="91"/>
      <c r="L232" s="91"/>
      <c r="M232" s="91"/>
      <c r="N232" s="91"/>
      <c r="O232" s="91"/>
      <c r="P232" s="54"/>
      <c r="Q232" s="54"/>
      <c r="R232" s="54"/>
      <c r="S232" s="54"/>
      <c r="T232" s="54"/>
    </row>
    <row r="233" spans="2:20" ht="15.75" outlineLevel="1">
      <c r="B233" s="98"/>
      <c r="C233" s="99" t="s">
        <v>252</v>
      </c>
      <c r="D233" s="52"/>
      <c r="E233" s="52"/>
      <c r="F233" s="52"/>
      <c r="G233" s="52"/>
      <c r="H233" s="53"/>
      <c r="J233" s="91"/>
      <c r="K233" s="91"/>
      <c r="L233" s="91"/>
      <c r="M233" s="91"/>
      <c r="N233" s="91"/>
      <c r="O233" s="91"/>
      <c r="P233" s="54"/>
      <c r="Q233" s="54"/>
      <c r="R233" s="54"/>
      <c r="S233" s="54"/>
      <c r="T233" s="54"/>
    </row>
    <row r="234" spans="2:20" ht="15.75" outlineLevel="1">
      <c r="B234" s="98"/>
      <c r="C234" s="99" t="s">
        <v>253</v>
      </c>
      <c r="D234" s="52"/>
      <c r="E234" s="52"/>
      <c r="F234" s="52"/>
      <c r="G234" s="52"/>
      <c r="H234" s="53"/>
      <c r="J234" s="91"/>
      <c r="K234" s="91"/>
      <c r="L234" s="91"/>
      <c r="M234" s="91"/>
      <c r="N234" s="91"/>
      <c r="O234" s="91"/>
      <c r="P234" s="54"/>
      <c r="Q234" s="54"/>
      <c r="R234" s="54"/>
      <c r="S234" s="54"/>
      <c r="T234" s="54"/>
    </row>
    <row r="235" spans="2:20" ht="15.75" outlineLevel="1">
      <c r="B235" s="98"/>
      <c r="C235" s="99" t="s">
        <v>254</v>
      </c>
      <c r="D235" s="52"/>
      <c r="E235" s="52"/>
      <c r="F235" s="52"/>
      <c r="G235" s="52"/>
      <c r="H235" s="53"/>
      <c r="J235" s="91"/>
      <c r="K235" s="91"/>
      <c r="L235" s="91"/>
      <c r="M235" s="91"/>
      <c r="N235" s="91"/>
      <c r="O235" s="91"/>
      <c r="P235" s="54"/>
      <c r="Q235" s="54"/>
      <c r="R235" s="54"/>
      <c r="S235" s="54"/>
      <c r="T235" s="54"/>
    </row>
    <row r="236" spans="2:20" ht="15.75" outlineLevel="1">
      <c r="B236" s="98"/>
      <c r="C236" s="99" t="s">
        <v>255</v>
      </c>
      <c r="D236" s="52"/>
      <c r="E236" s="52"/>
      <c r="F236" s="52"/>
      <c r="G236" s="52"/>
      <c r="H236" s="53"/>
      <c r="J236" s="91"/>
      <c r="K236" s="91"/>
      <c r="L236" s="91"/>
      <c r="M236" s="91"/>
      <c r="N236" s="91"/>
      <c r="O236" s="91"/>
      <c r="P236" s="54"/>
      <c r="Q236" s="54"/>
      <c r="R236" s="54"/>
      <c r="S236" s="54"/>
      <c r="T236" s="54"/>
    </row>
    <row r="237" spans="2:20" ht="15.75">
      <c r="B237" s="21"/>
      <c r="C237" s="54"/>
      <c r="D237" s="54"/>
      <c r="E237" s="54"/>
      <c r="F237" s="54"/>
      <c r="G237" s="54"/>
      <c r="H237" s="87"/>
      <c r="I237" s="92"/>
      <c r="J237" s="91"/>
      <c r="K237" s="100"/>
      <c r="L237" s="91"/>
      <c r="M237" s="91"/>
      <c r="N237" s="91"/>
      <c r="O237" s="91"/>
      <c r="P237" s="100"/>
      <c r="Q237" s="100"/>
      <c r="R237" s="100"/>
      <c r="S237" s="100"/>
      <c r="T237" s="100"/>
    </row>
    <row r="238" spans="2:20" ht="15.75">
      <c r="B238" s="21" t="s">
        <v>256</v>
      </c>
      <c r="C238" s="54"/>
      <c r="D238" s="54"/>
      <c r="E238" s="54"/>
      <c r="F238" s="54"/>
      <c r="G238" s="54"/>
      <c r="H238" s="87"/>
      <c r="I238" s="92"/>
      <c r="J238" s="91"/>
      <c r="K238" s="100"/>
      <c r="L238" s="91"/>
      <c r="M238" s="91"/>
      <c r="N238" s="91"/>
      <c r="O238" s="91"/>
      <c r="P238" s="100"/>
      <c r="Q238" s="100"/>
      <c r="R238" s="100"/>
      <c r="S238" s="100"/>
      <c r="T238" s="100"/>
    </row>
    <row r="239" spans="2:20" ht="15.75">
      <c r="B239" s="21"/>
      <c r="C239" s="54"/>
      <c r="D239" s="54"/>
      <c r="E239" s="54"/>
      <c r="F239" s="54"/>
      <c r="G239" s="54"/>
      <c r="H239" s="87"/>
      <c r="I239" s="92"/>
      <c r="J239" s="91"/>
      <c r="K239" s="100"/>
      <c r="L239" s="91"/>
      <c r="M239" s="91"/>
      <c r="N239" s="91"/>
      <c r="O239" s="91"/>
      <c r="P239" s="100"/>
      <c r="Q239" s="100"/>
      <c r="R239" s="100"/>
      <c r="S239" s="100"/>
      <c r="T239" s="100"/>
    </row>
    <row r="240" spans="2:20" ht="15.75">
      <c r="B240" s="21"/>
      <c r="C240" s="50" t="s">
        <v>257</v>
      </c>
      <c r="D240" s="54"/>
      <c r="E240" s="54"/>
      <c r="F240" s="54"/>
      <c r="G240" s="54"/>
      <c r="H240" s="87"/>
      <c r="I240" s="92"/>
      <c r="J240" s="91"/>
      <c r="K240" s="100"/>
      <c r="L240" s="91"/>
      <c r="M240" s="91"/>
      <c r="N240" s="91"/>
      <c r="O240" s="91"/>
      <c r="P240" s="100"/>
      <c r="Q240" s="100"/>
      <c r="R240" s="100"/>
      <c r="S240" s="100"/>
      <c r="T240" s="100"/>
    </row>
    <row r="241" spans="2:20" ht="15.75">
      <c r="B241" s="21"/>
      <c r="C241" s="50" t="s">
        <v>258</v>
      </c>
      <c r="D241" s="54"/>
      <c r="E241" s="54"/>
      <c r="F241" s="54"/>
      <c r="G241" s="54"/>
      <c r="H241" s="87"/>
      <c r="I241" s="92"/>
      <c r="J241" s="91"/>
      <c r="K241" s="100"/>
      <c r="L241" s="91"/>
      <c r="M241" s="91"/>
      <c r="N241" s="91"/>
      <c r="O241" s="91"/>
      <c r="P241" s="100"/>
      <c r="Q241" s="100"/>
      <c r="R241" s="100"/>
      <c r="S241" s="100"/>
      <c r="T241" s="100"/>
    </row>
    <row r="242" spans="2:20" ht="15.75">
      <c r="B242" s="21"/>
      <c r="C242" s="50" t="s">
        <v>259</v>
      </c>
      <c r="D242" s="54"/>
      <c r="E242" s="54"/>
      <c r="F242" s="54"/>
      <c r="G242" s="54"/>
      <c r="H242" s="87"/>
      <c r="I242" s="92"/>
      <c r="J242" s="91"/>
      <c r="K242" s="100"/>
      <c r="L242" s="91"/>
      <c r="M242" s="91"/>
      <c r="N242" s="91"/>
      <c r="O242" s="91"/>
      <c r="P242" s="100"/>
      <c r="Q242" s="100"/>
      <c r="R242" s="100"/>
      <c r="S242" s="100"/>
      <c r="T242" s="100"/>
    </row>
    <row r="243" spans="2:20" ht="14.25" customHeight="1" thickBot="1">
      <c r="B243" s="21"/>
      <c r="C243" s="54"/>
      <c r="D243" s="54"/>
      <c r="E243" s="54"/>
      <c r="F243" s="54"/>
      <c r="G243" s="54"/>
      <c r="H243" s="87"/>
      <c r="I243" s="92"/>
      <c r="J243" s="74" t="s">
        <v>60</v>
      </c>
      <c r="K243" s="100"/>
      <c r="L243" s="91"/>
      <c r="M243" s="91"/>
      <c r="N243" s="91"/>
      <c r="O243" s="91"/>
      <c r="P243" s="100"/>
      <c r="Q243" s="100"/>
      <c r="R243" s="100"/>
      <c r="S243" s="100"/>
      <c r="T243" s="100"/>
    </row>
    <row r="244" spans="2:20" ht="25.5" customHeight="1" thickBot="1">
      <c r="B244" s="42" t="s">
        <v>9</v>
      </c>
      <c r="C244" s="42" t="s">
        <v>62</v>
      </c>
      <c r="D244" s="42" t="s">
        <v>11</v>
      </c>
      <c r="E244" s="42" t="s">
        <v>63</v>
      </c>
      <c r="F244" s="42" t="s">
        <v>13</v>
      </c>
      <c r="G244" s="42" t="s">
        <v>14</v>
      </c>
      <c r="H244" s="42" t="s">
        <v>15</v>
      </c>
      <c r="J244" s="1" t="s">
        <v>64</v>
      </c>
      <c r="K244" s="1" t="s">
        <v>133</v>
      </c>
      <c r="L244" s="91"/>
      <c r="M244" s="91"/>
      <c r="N244" s="91"/>
      <c r="O244" s="91"/>
      <c r="P244" s="100"/>
      <c r="Q244" s="100"/>
      <c r="R244" s="100"/>
      <c r="S244" s="100"/>
      <c r="T244" s="100"/>
    </row>
    <row r="245" spans="2:20" ht="15" customHeight="1">
      <c r="B245" s="52"/>
      <c r="C245" s="52"/>
      <c r="D245" s="52"/>
      <c r="E245" s="52"/>
      <c r="F245" s="52"/>
      <c r="G245" s="52"/>
      <c r="H245" s="53"/>
      <c r="J245" s="59"/>
      <c r="L245" s="91"/>
      <c r="M245" s="91"/>
      <c r="N245" s="91"/>
      <c r="O245" s="91"/>
      <c r="P245" s="100"/>
      <c r="Q245" s="100"/>
      <c r="R245" s="100"/>
      <c r="S245" s="100"/>
      <c r="T245" s="100"/>
    </row>
    <row r="246" spans="2:20" ht="23.25">
      <c r="B246" s="68" t="s">
        <v>264</v>
      </c>
      <c r="C246" s="68">
        <v>4</v>
      </c>
      <c r="D246" s="76">
        <v>0</v>
      </c>
      <c r="E246" s="2" t="s">
        <v>66</v>
      </c>
      <c r="F246" s="3" t="s">
        <v>67</v>
      </c>
      <c r="G246" s="3" t="s">
        <v>68</v>
      </c>
      <c r="H246" s="47">
        <v>336368</v>
      </c>
      <c r="I246" s="64"/>
      <c r="J246" s="78">
        <v>315908</v>
      </c>
      <c r="K246" s="88">
        <v>21.69</v>
      </c>
      <c r="L246" s="54"/>
      <c r="M246" s="91"/>
      <c r="N246" s="91"/>
      <c r="O246" s="91"/>
      <c r="P246" s="100"/>
      <c r="Q246" s="100"/>
      <c r="R246" s="100"/>
      <c r="S246" s="100"/>
      <c r="T246" s="100"/>
    </row>
    <row r="247" spans="2:20" ht="15" customHeight="1">
      <c r="B247" s="52"/>
      <c r="C247" s="52"/>
      <c r="D247" s="52"/>
      <c r="E247" s="52"/>
      <c r="F247" s="77"/>
      <c r="G247" s="77"/>
      <c r="H247" s="85"/>
      <c r="J247" s="79"/>
      <c r="K247" s="90"/>
      <c r="L247" s="54"/>
      <c r="M247" s="91"/>
      <c r="N247" s="91"/>
      <c r="O247" s="91"/>
      <c r="P247" s="100"/>
      <c r="Q247" s="100"/>
      <c r="R247" s="100"/>
      <c r="S247" s="100"/>
      <c r="T247" s="100"/>
    </row>
    <row r="248" spans="2:20" ht="23.25">
      <c r="B248" s="68">
        <v>61</v>
      </c>
      <c r="C248" s="68">
        <f>C246</f>
        <v>4</v>
      </c>
      <c r="D248" s="76">
        <v>10</v>
      </c>
      <c r="E248" s="2">
        <v>1</v>
      </c>
      <c r="F248" s="3" t="s">
        <v>67</v>
      </c>
      <c r="G248" s="3" t="s">
        <v>71</v>
      </c>
      <c r="H248" s="47">
        <v>329970</v>
      </c>
      <c r="I248" s="64"/>
      <c r="J248" s="78" t="s">
        <v>265</v>
      </c>
      <c r="K248" s="78" t="s">
        <v>265</v>
      </c>
      <c r="L248" s="54"/>
      <c r="M248" s="91"/>
      <c r="N248" s="91"/>
      <c r="O248" s="91"/>
      <c r="P248" s="100"/>
      <c r="Q248" s="100"/>
      <c r="R248" s="100"/>
      <c r="S248" s="100"/>
      <c r="T248" s="100"/>
    </row>
    <row r="249" spans="2:20" ht="23.25">
      <c r="B249" s="68">
        <v>62</v>
      </c>
      <c r="C249" s="68">
        <f>C248</f>
        <v>4</v>
      </c>
      <c r="D249" s="76">
        <v>10</v>
      </c>
      <c r="E249" s="2">
        <v>2</v>
      </c>
      <c r="F249" s="3" t="s">
        <v>72</v>
      </c>
      <c r="G249" s="3" t="s">
        <v>73</v>
      </c>
      <c r="H249" s="47">
        <v>330822</v>
      </c>
      <c r="I249" s="64"/>
      <c r="J249" s="78" t="s">
        <v>265</v>
      </c>
      <c r="K249" s="78" t="s">
        <v>265</v>
      </c>
      <c r="L249" s="54"/>
      <c r="M249" s="91"/>
      <c r="N249" s="91"/>
      <c r="O249" s="91"/>
      <c r="P249" s="100"/>
      <c r="Q249" s="100"/>
      <c r="R249" s="100"/>
      <c r="S249" s="100"/>
      <c r="T249" s="100"/>
    </row>
    <row r="250" spans="2:20" ht="23.25">
      <c r="B250" s="68">
        <v>63</v>
      </c>
      <c r="C250" s="68">
        <f t="shared" ref="C250:C267" si="2">C249</f>
        <v>4</v>
      </c>
      <c r="D250" s="76">
        <v>10</v>
      </c>
      <c r="E250" s="2">
        <v>3</v>
      </c>
      <c r="F250" s="3" t="s">
        <v>74</v>
      </c>
      <c r="G250" s="3" t="s">
        <v>68</v>
      </c>
      <c r="H250" s="47">
        <v>337660</v>
      </c>
      <c r="I250" s="64"/>
      <c r="J250" s="78" t="s">
        <v>265</v>
      </c>
      <c r="K250" s="78" t="s">
        <v>265</v>
      </c>
      <c r="L250" s="54"/>
      <c r="M250" s="91"/>
      <c r="N250" s="91"/>
      <c r="O250" s="91"/>
      <c r="P250" s="100"/>
      <c r="Q250" s="100"/>
      <c r="R250" s="100"/>
      <c r="S250" s="100"/>
      <c r="T250" s="100"/>
    </row>
    <row r="251" spans="2:20" ht="23.25">
      <c r="B251" s="68">
        <v>64</v>
      </c>
      <c r="C251" s="68">
        <f t="shared" si="2"/>
        <v>4</v>
      </c>
      <c r="D251" s="76">
        <v>10</v>
      </c>
      <c r="E251" s="2">
        <v>4</v>
      </c>
      <c r="F251" s="3" t="s">
        <v>75</v>
      </c>
      <c r="G251" s="3" t="s">
        <v>71</v>
      </c>
      <c r="H251" s="47">
        <v>328716</v>
      </c>
      <c r="I251" s="64"/>
      <c r="J251" s="78" t="s">
        <v>265</v>
      </c>
      <c r="K251" s="78" t="s">
        <v>265</v>
      </c>
      <c r="L251" s="54"/>
      <c r="M251" s="91"/>
      <c r="N251" s="91"/>
      <c r="O251" s="91"/>
      <c r="P251" s="100"/>
      <c r="Q251" s="100"/>
      <c r="R251" s="100"/>
      <c r="S251" s="100"/>
      <c r="T251" s="100"/>
    </row>
    <row r="252" spans="2:20" ht="23.25">
      <c r="B252" s="68">
        <v>65</v>
      </c>
      <c r="C252" s="68">
        <f t="shared" si="2"/>
        <v>4</v>
      </c>
      <c r="D252" s="76">
        <v>10</v>
      </c>
      <c r="E252" s="2">
        <v>5</v>
      </c>
      <c r="F252" s="3" t="s">
        <v>75</v>
      </c>
      <c r="G252" s="3" t="s">
        <v>76</v>
      </c>
      <c r="H252" s="47">
        <v>329802</v>
      </c>
      <c r="I252" s="64"/>
      <c r="J252" s="78" t="s">
        <v>265</v>
      </c>
      <c r="K252" s="78" t="s">
        <v>265</v>
      </c>
      <c r="L252" s="54"/>
      <c r="M252" s="91"/>
      <c r="N252" s="91"/>
      <c r="O252" s="91"/>
      <c r="P252" s="100"/>
      <c r="Q252" s="100"/>
      <c r="R252" s="100"/>
      <c r="S252" s="100"/>
      <c r="T252" s="100"/>
    </row>
    <row r="253" spans="2:20" ht="23.25">
      <c r="B253" s="68">
        <v>66</v>
      </c>
      <c r="C253" s="68">
        <f t="shared" si="2"/>
        <v>4</v>
      </c>
      <c r="D253" s="76">
        <v>10</v>
      </c>
      <c r="E253" s="2">
        <v>6</v>
      </c>
      <c r="F253" s="3" t="s">
        <v>74</v>
      </c>
      <c r="G253" s="3" t="s">
        <v>73</v>
      </c>
      <c r="H253" s="47">
        <v>328639</v>
      </c>
      <c r="I253" s="64"/>
      <c r="J253" s="78" t="s">
        <v>265</v>
      </c>
      <c r="K253" s="78" t="s">
        <v>265</v>
      </c>
      <c r="L253" s="54"/>
      <c r="M253" s="91"/>
      <c r="N253" s="91"/>
      <c r="O253" s="91"/>
      <c r="P253" s="100"/>
      <c r="Q253" s="100"/>
      <c r="R253" s="100"/>
      <c r="S253" s="100"/>
      <c r="T253" s="100"/>
    </row>
    <row r="254" spans="2:20" ht="23.25">
      <c r="B254" s="68">
        <v>67</v>
      </c>
      <c r="C254" s="68">
        <f t="shared" si="2"/>
        <v>4</v>
      </c>
      <c r="D254" s="76">
        <v>10</v>
      </c>
      <c r="E254" s="2">
        <v>7</v>
      </c>
      <c r="F254" s="3" t="s">
        <v>72</v>
      </c>
      <c r="G254" s="3" t="s">
        <v>76</v>
      </c>
      <c r="H254" s="47">
        <v>331890</v>
      </c>
      <c r="I254" s="64"/>
      <c r="J254" s="78" t="s">
        <v>265</v>
      </c>
      <c r="K254" s="78" t="s">
        <v>265</v>
      </c>
      <c r="L254" s="54"/>
      <c r="M254" s="91"/>
      <c r="N254" s="91"/>
      <c r="O254" s="91"/>
      <c r="P254" s="100"/>
      <c r="Q254" s="100"/>
      <c r="R254" s="100"/>
      <c r="S254" s="100"/>
      <c r="T254" s="100"/>
    </row>
    <row r="255" spans="2:20" ht="23.25">
      <c r="B255" s="68">
        <v>68</v>
      </c>
      <c r="C255" s="68">
        <f t="shared" si="2"/>
        <v>4</v>
      </c>
      <c r="D255" s="76">
        <v>10</v>
      </c>
      <c r="E255" s="2">
        <v>8</v>
      </c>
      <c r="F255" s="3" t="s">
        <v>67</v>
      </c>
      <c r="G255" s="3" t="s">
        <v>77</v>
      </c>
      <c r="H255" s="47">
        <v>333728</v>
      </c>
      <c r="I255" s="64"/>
      <c r="J255" s="78" t="s">
        <v>265</v>
      </c>
      <c r="K255" s="78" t="s">
        <v>265</v>
      </c>
      <c r="L255" s="54"/>
      <c r="M255" s="91"/>
      <c r="N255" s="91"/>
      <c r="O255" s="91"/>
      <c r="P255" s="100"/>
      <c r="Q255" s="100"/>
      <c r="R255" s="100"/>
      <c r="S255" s="100"/>
      <c r="T255" s="100"/>
    </row>
    <row r="256" spans="2:20" ht="23.25">
      <c r="B256" s="68">
        <v>69</v>
      </c>
      <c r="C256" s="68">
        <f t="shared" si="2"/>
        <v>4</v>
      </c>
      <c r="D256" s="76">
        <v>10</v>
      </c>
      <c r="E256" s="2">
        <v>9</v>
      </c>
      <c r="F256" s="3" t="s">
        <v>67</v>
      </c>
      <c r="G256" s="3" t="s">
        <v>78</v>
      </c>
      <c r="H256" s="47">
        <v>338658</v>
      </c>
      <c r="I256" s="64"/>
      <c r="J256" s="78" t="s">
        <v>265</v>
      </c>
      <c r="K256" s="78" t="s">
        <v>265</v>
      </c>
      <c r="L256" s="54"/>
      <c r="M256" s="91"/>
      <c r="N256" s="91"/>
      <c r="O256" s="91"/>
      <c r="P256" s="100"/>
      <c r="Q256" s="100"/>
      <c r="R256" s="100"/>
      <c r="S256" s="100"/>
      <c r="T256" s="100"/>
    </row>
    <row r="257" spans="2:20" ht="23.25">
      <c r="B257" s="68">
        <v>70</v>
      </c>
      <c r="C257" s="68">
        <f t="shared" si="2"/>
        <v>4</v>
      </c>
      <c r="D257" s="76">
        <v>10</v>
      </c>
      <c r="E257" s="2">
        <v>10</v>
      </c>
      <c r="F257" s="3" t="s">
        <v>74</v>
      </c>
      <c r="G257" s="3" t="s">
        <v>79</v>
      </c>
      <c r="H257" s="47">
        <v>352717</v>
      </c>
      <c r="I257" s="64"/>
      <c r="J257" s="78" t="s">
        <v>265</v>
      </c>
      <c r="K257" s="78" t="s">
        <v>265</v>
      </c>
      <c r="L257" s="54"/>
      <c r="M257" s="91"/>
      <c r="N257" s="91"/>
      <c r="O257" s="91"/>
      <c r="P257" s="100"/>
      <c r="Q257" s="100"/>
      <c r="R257" s="100"/>
      <c r="S257" s="100"/>
      <c r="T257" s="100"/>
    </row>
    <row r="258" spans="2:20" ht="23.25">
      <c r="B258" s="68">
        <v>71</v>
      </c>
      <c r="C258" s="68">
        <f t="shared" si="2"/>
        <v>4</v>
      </c>
      <c r="D258" s="76">
        <v>10</v>
      </c>
      <c r="E258" s="2">
        <v>11</v>
      </c>
      <c r="F258" s="3" t="s">
        <v>67</v>
      </c>
      <c r="G258" s="3" t="s">
        <v>68</v>
      </c>
      <c r="H258" s="47">
        <v>335672</v>
      </c>
      <c r="I258" s="64"/>
      <c r="J258" s="78" t="s">
        <v>265</v>
      </c>
      <c r="K258" s="78" t="s">
        <v>265</v>
      </c>
      <c r="L258" s="54"/>
      <c r="M258" s="91"/>
      <c r="N258" s="91"/>
      <c r="O258" s="91"/>
      <c r="P258" s="100"/>
      <c r="Q258" s="100"/>
      <c r="R258" s="100"/>
      <c r="S258" s="100"/>
      <c r="T258" s="100"/>
    </row>
    <row r="259" spans="2:20" ht="23.25">
      <c r="B259" s="68">
        <v>72</v>
      </c>
      <c r="C259" s="68">
        <f t="shared" si="2"/>
        <v>4</v>
      </c>
      <c r="D259" s="76">
        <v>10</v>
      </c>
      <c r="E259" s="2">
        <v>12</v>
      </c>
      <c r="F259" s="3" t="s">
        <v>72</v>
      </c>
      <c r="G259" s="3" t="s">
        <v>71</v>
      </c>
      <c r="H259" s="47">
        <v>330517</v>
      </c>
      <c r="I259" s="64"/>
      <c r="J259" s="78" t="s">
        <v>265</v>
      </c>
      <c r="K259" s="78" t="s">
        <v>265</v>
      </c>
      <c r="L259" s="54"/>
      <c r="M259" s="91"/>
      <c r="N259" s="91"/>
      <c r="O259" s="91"/>
      <c r="P259" s="100"/>
      <c r="Q259" s="100"/>
      <c r="R259" s="100"/>
      <c r="S259" s="100"/>
      <c r="T259" s="100"/>
    </row>
    <row r="260" spans="2:20" ht="23.25">
      <c r="B260" s="68">
        <v>73</v>
      </c>
      <c r="C260" s="68">
        <f t="shared" si="2"/>
        <v>4</v>
      </c>
      <c r="D260" s="76">
        <v>10</v>
      </c>
      <c r="E260" s="2">
        <v>13</v>
      </c>
      <c r="F260" s="3" t="s">
        <v>74</v>
      </c>
      <c r="G260" s="3" t="s">
        <v>77</v>
      </c>
      <c r="H260" s="47">
        <v>332160</v>
      </c>
      <c r="I260" s="64"/>
      <c r="J260" s="78" t="s">
        <v>265</v>
      </c>
      <c r="K260" s="78" t="s">
        <v>265</v>
      </c>
      <c r="L260" s="54"/>
      <c r="M260" s="91"/>
      <c r="N260" s="91"/>
      <c r="O260" s="91"/>
      <c r="P260" s="100"/>
      <c r="Q260" s="100"/>
      <c r="R260" s="100"/>
      <c r="S260" s="100"/>
      <c r="T260" s="100"/>
    </row>
    <row r="261" spans="2:20" ht="23.25">
      <c r="B261" s="68">
        <v>74</v>
      </c>
      <c r="C261" s="68">
        <f t="shared" si="2"/>
        <v>4</v>
      </c>
      <c r="D261" s="76">
        <v>10</v>
      </c>
      <c r="E261" s="2">
        <v>14</v>
      </c>
      <c r="F261" s="3" t="s">
        <v>72</v>
      </c>
      <c r="G261" s="3" t="s">
        <v>79</v>
      </c>
      <c r="H261" s="47">
        <v>349550</v>
      </c>
      <c r="I261" s="64"/>
      <c r="J261" s="78" t="s">
        <v>265</v>
      </c>
      <c r="K261" s="78" t="s">
        <v>265</v>
      </c>
      <c r="L261" s="54"/>
      <c r="M261" s="91"/>
      <c r="N261" s="91"/>
      <c r="O261" s="91"/>
      <c r="P261" s="100"/>
      <c r="Q261" s="100"/>
      <c r="R261" s="100"/>
      <c r="S261" s="100"/>
      <c r="T261" s="100"/>
    </row>
    <row r="262" spans="2:20" ht="23.25">
      <c r="B262" s="68">
        <v>75</v>
      </c>
      <c r="C262" s="68">
        <f t="shared" si="2"/>
        <v>4</v>
      </c>
      <c r="D262" s="76">
        <v>10</v>
      </c>
      <c r="E262" s="2">
        <v>15</v>
      </c>
      <c r="F262" s="3" t="s">
        <v>75</v>
      </c>
      <c r="G262" s="3" t="s">
        <v>78</v>
      </c>
      <c r="H262" s="47">
        <v>338297</v>
      </c>
      <c r="I262" s="64"/>
      <c r="J262" s="78" t="s">
        <v>265</v>
      </c>
      <c r="K262" s="78" t="s">
        <v>265</v>
      </c>
      <c r="L262" s="54"/>
      <c r="M262" s="91"/>
      <c r="N262" s="91"/>
      <c r="O262" s="91"/>
      <c r="P262" s="100"/>
      <c r="Q262" s="100"/>
      <c r="R262" s="100"/>
      <c r="S262" s="100"/>
      <c r="T262" s="100"/>
    </row>
    <row r="263" spans="2:20" ht="23.25">
      <c r="B263" s="68">
        <v>76</v>
      </c>
      <c r="C263" s="68">
        <f t="shared" si="2"/>
        <v>4</v>
      </c>
      <c r="D263" s="76">
        <v>10</v>
      </c>
      <c r="E263" s="2">
        <v>16</v>
      </c>
      <c r="F263" s="3" t="s">
        <v>72</v>
      </c>
      <c r="G263" s="3" t="s">
        <v>78</v>
      </c>
      <c r="H263" s="47">
        <v>337089</v>
      </c>
      <c r="I263" s="64"/>
      <c r="J263" s="78" t="s">
        <v>265</v>
      </c>
      <c r="K263" s="78" t="s">
        <v>265</v>
      </c>
      <c r="L263" s="54"/>
      <c r="M263" s="91"/>
      <c r="N263" s="91"/>
      <c r="O263" s="91"/>
      <c r="P263" s="100"/>
      <c r="Q263" s="100"/>
      <c r="R263" s="100"/>
      <c r="S263" s="100"/>
      <c r="T263" s="100"/>
    </row>
    <row r="264" spans="2:20" ht="23.25">
      <c r="B264" s="68">
        <v>77</v>
      </c>
      <c r="C264" s="68">
        <f t="shared" si="2"/>
        <v>4</v>
      </c>
      <c r="D264" s="76">
        <v>10</v>
      </c>
      <c r="E264" s="2">
        <v>17</v>
      </c>
      <c r="F264" s="3" t="s">
        <v>74</v>
      </c>
      <c r="G264" s="3" t="s">
        <v>77</v>
      </c>
      <c r="H264" s="47">
        <v>333455</v>
      </c>
      <c r="I264" s="64"/>
      <c r="J264" s="78" t="s">
        <v>265</v>
      </c>
      <c r="K264" s="78" t="s">
        <v>265</v>
      </c>
      <c r="L264" s="54"/>
      <c r="M264" s="91"/>
      <c r="N264" s="91"/>
      <c r="O264" s="91"/>
      <c r="P264" s="100"/>
      <c r="Q264" s="100"/>
      <c r="R264" s="100"/>
      <c r="S264" s="100"/>
      <c r="T264" s="100"/>
    </row>
    <row r="265" spans="2:20" ht="23.25">
      <c r="B265" s="68">
        <v>78</v>
      </c>
      <c r="C265" s="68">
        <f t="shared" si="2"/>
        <v>4</v>
      </c>
      <c r="D265" s="76">
        <v>10</v>
      </c>
      <c r="E265" s="2">
        <v>18</v>
      </c>
      <c r="F265" s="3" t="s">
        <v>72</v>
      </c>
      <c r="G265" s="3" t="s">
        <v>73</v>
      </c>
      <c r="H265" s="47">
        <v>334176</v>
      </c>
      <c r="I265" s="64"/>
      <c r="J265" s="78" t="s">
        <v>265</v>
      </c>
      <c r="K265" s="78" t="s">
        <v>265</v>
      </c>
      <c r="L265" s="54"/>
      <c r="M265" s="91"/>
      <c r="N265" s="91"/>
      <c r="O265" s="91"/>
      <c r="P265" s="100"/>
      <c r="Q265" s="100"/>
      <c r="R265" s="100"/>
      <c r="S265" s="100"/>
      <c r="T265" s="100"/>
    </row>
    <row r="266" spans="2:20" ht="23.25">
      <c r="B266" s="68">
        <v>79</v>
      </c>
      <c r="C266" s="68">
        <f t="shared" si="2"/>
        <v>4</v>
      </c>
      <c r="D266" s="76">
        <v>10</v>
      </c>
      <c r="E266" s="2">
        <v>19</v>
      </c>
      <c r="F266" s="3" t="s">
        <v>72</v>
      </c>
      <c r="G266" s="3" t="s">
        <v>73</v>
      </c>
      <c r="H266" s="47">
        <v>328850</v>
      </c>
      <c r="I266" s="64"/>
      <c r="J266" s="78" t="s">
        <v>265</v>
      </c>
      <c r="K266" s="78" t="s">
        <v>265</v>
      </c>
      <c r="L266" s="54"/>
      <c r="M266" s="91"/>
      <c r="N266" s="91"/>
      <c r="O266" s="91"/>
      <c r="P266" s="100"/>
      <c r="Q266" s="100"/>
      <c r="R266" s="100"/>
      <c r="S266" s="100"/>
      <c r="T266" s="100"/>
    </row>
    <row r="267" spans="2:20" ht="23.25">
      <c r="B267" s="68">
        <v>80</v>
      </c>
      <c r="C267" s="68">
        <f t="shared" si="2"/>
        <v>4</v>
      </c>
      <c r="D267" s="76">
        <v>10</v>
      </c>
      <c r="E267" s="2">
        <v>20</v>
      </c>
      <c r="F267" s="3" t="s">
        <v>75</v>
      </c>
      <c r="G267" s="3" t="s">
        <v>80</v>
      </c>
      <c r="H267" s="47">
        <v>348194</v>
      </c>
      <c r="I267" s="64"/>
      <c r="J267" s="78" t="s">
        <v>265</v>
      </c>
      <c r="K267" s="78" t="s">
        <v>265</v>
      </c>
      <c r="L267" s="54"/>
      <c r="M267" s="91"/>
      <c r="N267" s="91"/>
      <c r="O267" s="91"/>
      <c r="P267" s="100"/>
      <c r="Q267" s="100"/>
      <c r="R267" s="100"/>
      <c r="S267" s="100"/>
      <c r="T267" s="100"/>
    </row>
    <row r="268" spans="2:20" ht="15" customHeight="1">
      <c r="J268" s="91"/>
      <c r="K268" s="100"/>
      <c r="L268" s="91"/>
      <c r="M268" s="91"/>
      <c r="N268" s="91"/>
      <c r="O268" s="91"/>
    </row>
    <row r="269" spans="2:20" ht="15" customHeight="1" thickBot="1">
      <c r="J269" s="91"/>
      <c r="K269" s="91"/>
      <c r="L269" s="91"/>
      <c r="M269" s="91"/>
      <c r="N269" s="91"/>
      <c r="O269" s="91"/>
    </row>
    <row r="270" spans="2:20" ht="25.5" customHeight="1" thickBot="1">
      <c r="B270" s="48" t="s">
        <v>266</v>
      </c>
      <c r="C270" s="49" t="s">
        <v>154</v>
      </c>
      <c r="D270" s="73" t="s">
        <v>267</v>
      </c>
      <c r="E270" s="54"/>
      <c r="F270" s="54"/>
      <c r="G270" s="54"/>
      <c r="H270" s="87"/>
      <c r="I270" s="92"/>
      <c r="J270" s="93"/>
      <c r="K270" s="93"/>
      <c r="L270" s="93"/>
      <c r="M270" s="91"/>
      <c r="N270" s="91"/>
      <c r="O270" s="91"/>
    </row>
    <row r="271" spans="2:20" ht="15.75">
      <c r="B271" s="75"/>
      <c r="C271" s="54"/>
      <c r="D271" s="54"/>
      <c r="E271" s="54"/>
      <c r="F271" s="54"/>
      <c r="G271" s="54"/>
      <c r="H271" s="87"/>
      <c r="I271" s="92"/>
      <c r="J271" s="93"/>
      <c r="K271" s="93"/>
      <c r="L271" s="93"/>
      <c r="M271" s="91"/>
      <c r="N271" s="91"/>
      <c r="O271" s="91"/>
    </row>
    <row r="272" spans="2:20" ht="15.75">
      <c r="B272" s="75" t="s">
        <v>268</v>
      </c>
      <c r="C272" s="54"/>
      <c r="D272" s="54"/>
      <c r="E272" s="54"/>
      <c r="F272" s="54"/>
      <c r="G272" s="54"/>
      <c r="H272" s="87"/>
      <c r="I272" s="92"/>
      <c r="J272" s="101"/>
      <c r="K272" s="93"/>
      <c r="L272" s="93"/>
      <c r="M272" s="91"/>
      <c r="N272" s="91"/>
      <c r="O272" s="91"/>
    </row>
    <row r="273" spans="2:20" ht="15.75">
      <c r="B273" s="75" t="s">
        <v>269</v>
      </c>
      <c r="C273" s="54"/>
      <c r="D273" s="54"/>
      <c r="E273" s="54"/>
      <c r="F273" s="54"/>
      <c r="G273" s="54"/>
      <c r="H273" s="87"/>
      <c r="I273" s="92"/>
      <c r="J273" s="102"/>
      <c r="K273" s="93"/>
      <c r="L273" s="93"/>
      <c r="M273" s="91"/>
      <c r="N273" s="91"/>
      <c r="O273" s="91"/>
    </row>
    <row r="274" spans="2:20" ht="15.75">
      <c r="B274" s="75" t="s">
        <v>271</v>
      </c>
      <c r="C274" s="54"/>
      <c r="D274" s="54"/>
      <c r="E274" s="54"/>
      <c r="F274" s="54"/>
      <c r="G274" s="54"/>
      <c r="H274" s="87"/>
      <c r="I274" s="92"/>
      <c r="J274" s="102"/>
      <c r="K274" s="93"/>
      <c r="L274" s="93"/>
      <c r="M274" s="91"/>
      <c r="N274" s="91"/>
      <c r="O274" s="91"/>
    </row>
    <row r="275" spans="2:20" ht="15.75">
      <c r="B275" s="75" t="s">
        <v>272</v>
      </c>
      <c r="C275" s="54"/>
      <c r="D275" s="54"/>
      <c r="E275" s="54"/>
      <c r="F275" s="54"/>
      <c r="G275" s="54"/>
      <c r="H275" s="87"/>
      <c r="I275" s="92"/>
      <c r="J275" s="102"/>
      <c r="K275" s="93"/>
      <c r="L275" s="93"/>
      <c r="M275" s="91"/>
      <c r="N275" s="91"/>
      <c r="O275" s="91"/>
    </row>
    <row r="276" spans="2:20" ht="15.75">
      <c r="B276" s="75" t="s">
        <v>273</v>
      </c>
      <c r="C276" s="52"/>
      <c r="D276" s="52"/>
      <c r="E276" s="52"/>
      <c r="F276" s="52"/>
      <c r="G276" s="52"/>
      <c r="H276" s="53"/>
      <c r="J276" s="102"/>
      <c r="K276" s="91"/>
      <c r="L276" s="91"/>
      <c r="M276" s="91"/>
      <c r="N276" s="91"/>
      <c r="O276" s="91"/>
      <c r="P276" s="54"/>
      <c r="Q276" s="54"/>
      <c r="R276" s="54"/>
      <c r="S276" s="54"/>
      <c r="T276" s="54"/>
    </row>
    <row r="277" spans="2:20" ht="15.75">
      <c r="C277" s="52"/>
      <c r="D277" s="52"/>
      <c r="E277" s="52"/>
      <c r="F277" s="52"/>
      <c r="G277" s="52"/>
      <c r="H277" s="53"/>
      <c r="J277" s="102"/>
      <c r="K277" s="91"/>
      <c r="L277" s="91"/>
      <c r="M277" s="91"/>
      <c r="N277" s="91"/>
      <c r="O277" s="91"/>
      <c r="P277" s="54"/>
      <c r="Q277" s="54"/>
      <c r="R277" s="54"/>
      <c r="S277" s="54"/>
      <c r="T277" s="54"/>
    </row>
    <row r="278" spans="2:20" ht="15.75">
      <c r="B278" s="75" t="s">
        <v>274</v>
      </c>
      <c r="C278" s="52"/>
      <c r="D278" s="52"/>
      <c r="E278" s="52"/>
      <c r="F278" s="52"/>
      <c r="G278" s="52"/>
      <c r="H278" s="53"/>
      <c r="J278" s="102"/>
      <c r="K278" s="91"/>
      <c r="L278" s="91"/>
      <c r="M278" s="91"/>
      <c r="N278" s="91"/>
      <c r="O278" s="91"/>
      <c r="P278" s="54"/>
      <c r="Q278" s="54"/>
      <c r="R278" s="54"/>
      <c r="S278" s="54"/>
      <c r="T278" s="54"/>
    </row>
    <row r="279" spans="2:20" ht="15.75">
      <c r="B279" s="75" t="s">
        <v>275</v>
      </c>
      <c r="C279" s="52"/>
      <c r="D279" s="52"/>
      <c r="E279" s="52"/>
      <c r="F279" s="52"/>
      <c r="G279" s="52"/>
      <c r="H279" s="53"/>
      <c r="J279" s="102"/>
      <c r="K279" s="91"/>
      <c r="L279" s="91"/>
      <c r="M279" s="91"/>
      <c r="N279" s="91"/>
      <c r="O279" s="91"/>
      <c r="P279" s="54"/>
      <c r="Q279" s="54"/>
      <c r="R279" s="54"/>
      <c r="S279" s="54"/>
      <c r="T279" s="54"/>
    </row>
    <row r="280" spans="2:20" ht="15.75">
      <c r="B280" s="75"/>
      <c r="C280" s="21"/>
      <c r="D280" s="52"/>
      <c r="E280" s="52"/>
      <c r="F280" s="52"/>
      <c r="G280" s="52"/>
      <c r="H280" s="53"/>
      <c r="J280" s="101"/>
      <c r="K280" s="91"/>
      <c r="L280" s="91"/>
      <c r="M280" s="91"/>
      <c r="N280" s="91"/>
      <c r="O280" s="91"/>
      <c r="P280" s="54"/>
      <c r="Q280" s="54"/>
      <c r="R280" s="54"/>
      <c r="S280" s="54"/>
      <c r="T280" s="54"/>
    </row>
    <row r="281" spans="2:20" ht="15.75">
      <c r="B281" s="75" t="s">
        <v>276</v>
      </c>
      <c r="C281" s="21"/>
      <c r="D281" s="52"/>
      <c r="E281" s="52"/>
      <c r="F281" s="52"/>
      <c r="G281" s="52"/>
      <c r="H281" s="53"/>
      <c r="J281" s="101"/>
      <c r="K281" s="91"/>
      <c r="L281" s="91"/>
      <c r="M281" s="91"/>
      <c r="N281" s="91"/>
      <c r="O281" s="91"/>
      <c r="P281" s="54"/>
      <c r="Q281" s="54"/>
      <c r="R281" s="54"/>
      <c r="S281" s="54"/>
      <c r="T281" s="54"/>
    </row>
    <row r="282" spans="2:20" ht="15.75">
      <c r="B282" s="75" t="s">
        <v>277</v>
      </c>
      <c r="C282" s="21"/>
      <c r="D282" s="52"/>
      <c r="E282" s="52"/>
      <c r="F282" s="52"/>
      <c r="G282" s="52"/>
      <c r="H282" s="53"/>
      <c r="J282" s="101"/>
      <c r="K282" s="91"/>
      <c r="L282" s="91"/>
      <c r="M282" s="91"/>
      <c r="N282" s="91"/>
      <c r="O282" s="91"/>
      <c r="P282" s="54"/>
      <c r="Q282" s="54"/>
      <c r="R282" s="54"/>
      <c r="S282" s="54"/>
      <c r="T282" s="54"/>
    </row>
    <row r="283" spans="2:20" ht="15.75">
      <c r="B283" s="75" t="s">
        <v>278</v>
      </c>
      <c r="C283" s="21"/>
      <c r="D283" s="52"/>
      <c r="E283" s="52"/>
      <c r="F283" s="52"/>
      <c r="G283" s="52"/>
      <c r="H283" s="53"/>
      <c r="J283" s="101"/>
      <c r="K283" s="91"/>
      <c r="L283" s="91"/>
      <c r="M283" s="91"/>
      <c r="N283" s="91"/>
      <c r="O283" s="91"/>
      <c r="P283" s="54"/>
      <c r="Q283" s="54"/>
      <c r="R283" s="54"/>
      <c r="S283" s="54"/>
      <c r="T283" s="54"/>
    </row>
    <row r="284" spans="2:20" ht="15.75">
      <c r="B284" s="54"/>
      <c r="C284" s="21"/>
      <c r="D284" s="52"/>
      <c r="E284" s="52"/>
      <c r="F284" s="52"/>
      <c r="G284" s="52"/>
      <c r="H284" s="53"/>
      <c r="J284" s="103"/>
      <c r="K284" s="91"/>
      <c r="L284" s="91"/>
      <c r="M284" s="91"/>
      <c r="N284" s="91"/>
      <c r="O284" s="91"/>
      <c r="P284" s="54"/>
      <c r="Q284" s="54"/>
      <c r="R284" s="54"/>
      <c r="S284" s="54"/>
      <c r="T284" s="54"/>
    </row>
    <row r="285" spans="2:20" ht="15.75">
      <c r="B285" s="104" t="s">
        <v>279</v>
      </c>
      <c r="C285" s="52" t="s">
        <v>280</v>
      </c>
      <c r="D285" s="52"/>
      <c r="E285" s="52"/>
      <c r="F285" s="52"/>
      <c r="G285" s="52"/>
      <c r="H285" s="53"/>
      <c r="J285" s="103"/>
      <c r="K285" s="91"/>
      <c r="L285" s="91"/>
      <c r="M285" s="91"/>
      <c r="N285" s="91"/>
      <c r="O285" s="91"/>
      <c r="P285" s="54"/>
      <c r="Q285" s="54"/>
      <c r="R285" s="54"/>
      <c r="S285" s="54"/>
      <c r="T285" s="54"/>
    </row>
    <row r="286" spans="2:20" ht="15.75" outlineLevel="1">
      <c r="B286" s="104"/>
      <c r="C286" s="52" t="s">
        <v>281</v>
      </c>
      <c r="D286" s="52"/>
      <c r="E286" s="52"/>
      <c r="F286" s="52"/>
      <c r="G286" s="52"/>
      <c r="H286" s="53"/>
      <c r="J286" s="103"/>
      <c r="K286" s="91"/>
      <c r="L286" s="91"/>
      <c r="M286" s="91"/>
      <c r="N286" s="91"/>
      <c r="O286" s="91"/>
      <c r="P286" s="54"/>
      <c r="Q286" s="54"/>
      <c r="R286" s="54"/>
      <c r="S286" s="54"/>
      <c r="T286" s="54"/>
    </row>
    <row r="287" spans="2:20" ht="15.75" outlineLevel="1">
      <c r="B287" s="104"/>
      <c r="C287" s="52" t="s">
        <v>282</v>
      </c>
      <c r="D287" s="52"/>
      <c r="E287" s="52"/>
      <c r="F287" s="52"/>
      <c r="G287" s="52"/>
      <c r="H287" s="53"/>
      <c r="J287" s="103"/>
      <c r="K287" s="91"/>
      <c r="L287" s="91"/>
      <c r="M287" s="91"/>
      <c r="N287" s="91"/>
      <c r="O287" s="91"/>
      <c r="P287" s="54"/>
      <c r="Q287" s="54"/>
      <c r="R287" s="54"/>
      <c r="S287" s="54"/>
      <c r="T287" s="54"/>
    </row>
    <row r="288" spans="2:20" ht="15.75" outlineLevel="1">
      <c r="B288" s="104"/>
      <c r="C288" s="52" t="s">
        <v>283</v>
      </c>
      <c r="D288" s="52"/>
      <c r="E288" s="52"/>
      <c r="F288" s="52"/>
      <c r="G288" s="52"/>
      <c r="H288" s="53"/>
      <c r="J288" s="103"/>
      <c r="K288" s="91"/>
      <c r="L288" s="91"/>
      <c r="M288" s="91"/>
      <c r="N288" s="91"/>
      <c r="O288" s="91"/>
      <c r="P288" s="54"/>
      <c r="Q288" s="54"/>
      <c r="R288" s="54"/>
      <c r="S288" s="54"/>
      <c r="T288" s="54"/>
    </row>
    <row r="289" spans="2:20" ht="15.75" outlineLevel="1">
      <c r="B289" s="104"/>
      <c r="C289" s="52" t="s">
        <v>284</v>
      </c>
      <c r="D289" s="52"/>
      <c r="E289" s="52"/>
      <c r="F289" s="52"/>
      <c r="G289" s="52"/>
      <c r="H289" s="53"/>
      <c r="J289" s="103"/>
      <c r="K289" s="91"/>
      <c r="L289" s="91"/>
      <c r="M289" s="91"/>
      <c r="N289" s="91"/>
      <c r="O289" s="91"/>
      <c r="P289" s="54"/>
      <c r="Q289" s="54"/>
      <c r="R289" s="54"/>
      <c r="S289" s="54"/>
      <c r="T289" s="54"/>
    </row>
    <row r="290" spans="2:20" ht="15.75" outlineLevel="1">
      <c r="B290" s="104"/>
      <c r="C290" s="52" t="s">
        <v>285</v>
      </c>
      <c r="D290" s="52"/>
      <c r="E290" s="52"/>
      <c r="F290" s="52"/>
      <c r="G290" s="52"/>
      <c r="H290" s="53"/>
      <c r="J290" s="103"/>
      <c r="K290" s="91"/>
      <c r="L290" s="91"/>
      <c r="M290" s="91"/>
      <c r="N290" s="91"/>
      <c r="O290" s="91"/>
      <c r="P290" s="54"/>
      <c r="Q290" s="54"/>
      <c r="R290" s="54"/>
      <c r="S290" s="54"/>
      <c r="T290" s="54"/>
    </row>
    <row r="291" spans="2:20" ht="15.75" outlineLevel="1">
      <c r="B291" s="104"/>
      <c r="C291" s="52" t="s">
        <v>286</v>
      </c>
      <c r="D291" s="52"/>
      <c r="E291" s="52"/>
      <c r="F291" s="52"/>
      <c r="G291" s="52"/>
      <c r="H291" s="53"/>
      <c r="J291" s="103"/>
      <c r="K291" s="91"/>
      <c r="L291" s="91"/>
      <c r="M291" s="91"/>
      <c r="N291" s="91"/>
      <c r="O291" s="91"/>
      <c r="P291" s="54"/>
      <c r="Q291" s="54"/>
      <c r="R291" s="54"/>
      <c r="S291" s="54"/>
      <c r="T291" s="54"/>
    </row>
    <row r="292" spans="2:20" ht="15.75" outlineLevel="1">
      <c r="B292" s="104"/>
      <c r="C292" s="52" t="s">
        <v>287</v>
      </c>
      <c r="D292" s="52"/>
      <c r="E292" s="52"/>
      <c r="F292" s="52"/>
      <c r="G292" s="52"/>
      <c r="H292" s="53"/>
      <c r="J292" s="103"/>
      <c r="K292" s="91"/>
      <c r="L292" s="91"/>
      <c r="M292" s="91"/>
      <c r="N292" s="91"/>
      <c r="O292" s="91"/>
      <c r="P292" s="54"/>
      <c r="Q292" s="54"/>
      <c r="R292" s="54"/>
      <c r="S292" s="54"/>
      <c r="T292" s="54"/>
    </row>
    <row r="293" spans="2:20" ht="15.75" outlineLevel="1">
      <c r="B293" s="104"/>
      <c r="C293" s="52" t="s">
        <v>183</v>
      </c>
      <c r="D293" s="52"/>
      <c r="E293" s="52"/>
      <c r="F293" s="52"/>
      <c r="G293" s="52"/>
      <c r="H293" s="53"/>
      <c r="J293" s="103"/>
      <c r="K293" s="91"/>
      <c r="L293" s="91"/>
      <c r="M293" s="91"/>
      <c r="N293" s="91"/>
      <c r="O293" s="91"/>
      <c r="P293" s="54"/>
      <c r="Q293" s="54"/>
      <c r="R293" s="54"/>
      <c r="S293" s="54"/>
      <c r="T293" s="54"/>
    </row>
    <row r="294" spans="2:20" ht="15.75" outlineLevel="1">
      <c r="B294" s="104"/>
      <c r="C294" s="52" t="s">
        <v>288</v>
      </c>
      <c r="D294" s="52"/>
      <c r="E294" s="52"/>
      <c r="F294" s="52"/>
      <c r="G294" s="52"/>
      <c r="H294" s="53"/>
      <c r="J294" s="103"/>
      <c r="K294" s="91"/>
      <c r="L294" s="91"/>
      <c r="M294" s="91"/>
      <c r="N294" s="91"/>
      <c r="O294" s="91"/>
      <c r="P294" s="54"/>
      <c r="Q294" s="54"/>
      <c r="R294" s="54"/>
      <c r="S294" s="54"/>
      <c r="T294" s="54"/>
    </row>
    <row r="295" spans="2:20" ht="15.75" outlineLevel="1">
      <c r="B295" s="104"/>
      <c r="C295" s="52" t="s">
        <v>289</v>
      </c>
      <c r="D295" s="52"/>
      <c r="E295" s="52"/>
      <c r="F295" s="52"/>
      <c r="G295" s="52"/>
      <c r="H295" s="53"/>
      <c r="J295" s="103"/>
      <c r="K295" s="91"/>
      <c r="L295" s="91"/>
      <c r="M295" s="91"/>
      <c r="N295" s="91"/>
      <c r="O295" s="91"/>
      <c r="P295" s="54"/>
      <c r="Q295" s="54"/>
      <c r="R295" s="54"/>
      <c r="S295" s="54"/>
      <c r="T295" s="54"/>
    </row>
    <row r="296" spans="2:20" ht="15.75" outlineLevel="1">
      <c r="B296" s="104"/>
      <c r="C296" s="52" t="s">
        <v>290</v>
      </c>
      <c r="D296" s="52"/>
      <c r="E296" s="52"/>
      <c r="F296" s="52"/>
      <c r="G296" s="52"/>
      <c r="H296" s="53"/>
      <c r="J296" s="103"/>
      <c r="K296" s="91"/>
      <c r="L296" s="91"/>
      <c r="M296" s="91"/>
      <c r="N296" s="91"/>
      <c r="O296" s="91"/>
      <c r="P296" s="54"/>
      <c r="Q296" s="54"/>
      <c r="R296" s="54"/>
      <c r="S296" s="54"/>
      <c r="T296" s="54"/>
    </row>
    <row r="297" spans="2:20" ht="15.75">
      <c r="B297" s="54"/>
      <c r="C297" s="21"/>
      <c r="D297" s="52"/>
      <c r="E297" s="52"/>
      <c r="F297" s="52"/>
      <c r="G297" s="52"/>
      <c r="H297" s="53"/>
      <c r="J297" s="103"/>
      <c r="K297" s="91"/>
      <c r="L297" s="91"/>
      <c r="M297" s="91"/>
      <c r="N297" s="91"/>
      <c r="O297" s="91"/>
      <c r="P297" s="54"/>
      <c r="Q297" s="54"/>
      <c r="R297" s="54"/>
      <c r="S297" s="54"/>
      <c r="T297" s="54"/>
    </row>
    <row r="298" spans="2:20" ht="15.75">
      <c r="B298" s="21" t="s">
        <v>291</v>
      </c>
      <c r="C298" s="52"/>
      <c r="D298" s="52"/>
      <c r="E298" s="52"/>
      <c r="F298" s="52"/>
      <c r="G298" s="52"/>
      <c r="H298" s="53"/>
      <c r="J298" s="101"/>
      <c r="K298" s="91"/>
      <c r="L298" s="91"/>
      <c r="M298" s="91"/>
      <c r="N298" s="91"/>
      <c r="O298" s="91"/>
      <c r="P298" s="54"/>
      <c r="Q298" s="54"/>
      <c r="R298" s="54"/>
      <c r="S298" s="54"/>
      <c r="T298" s="54"/>
    </row>
    <row r="299" spans="2:20" ht="15.75">
      <c r="B299" s="75" t="s">
        <v>125</v>
      </c>
      <c r="C299" s="99"/>
      <c r="D299" s="52"/>
      <c r="E299" s="52"/>
      <c r="F299" s="52"/>
      <c r="G299" s="52"/>
      <c r="H299" s="53"/>
      <c r="J299" s="102"/>
      <c r="K299" s="91"/>
      <c r="L299" s="91"/>
      <c r="M299" s="91"/>
      <c r="N299" s="91"/>
      <c r="O299" s="91"/>
      <c r="P299" s="54"/>
      <c r="Q299" s="54"/>
      <c r="R299" s="54"/>
      <c r="S299" s="54"/>
      <c r="T299" s="54"/>
    </row>
    <row r="300" spans="2:20" ht="15" customHeight="1">
      <c r="B300" s="75"/>
      <c r="C300" s="99"/>
      <c r="D300" s="52"/>
      <c r="E300" s="52"/>
      <c r="F300" s="52"/>
      <c r="G300" s="52"/>
      <c r="H300" s="53"/>
      <c r="J300" s="102"/>
      <c r="K300" s="91"/>
      <c r="L300" s="91"/>
      <c r="M300" s="91"/>
      <c r="N300" s="91"/>
      <c r="O300" s="91"/>
      <c r="P300" s="54"/>
      <c r="Q300" s="54"/>
      <c r="R300" s="54"/>
      <c r="S300" s="54"/>
      <c r="T300" s="54"/>
    </row>
    <row r="301" spans="2:20" ht="15" customHeight="1">
      <c r="B301" s="75"/>
      <c r="C301" s="50" t="s">
        <v>292</v>
      </c>
      <c r="D301" s="52"/>
      <c r="E301" s="52"/>
      <c r="F301" s="52"/>
      <c r="G301" s="52"/>
      <c r="H301" s="53"/>
      <c r="J301" s="102"/>
      <c r="K301" s="91"/>
      <c r="L301" s="91"/>
      <c r="M301" s="91"/>
      <c r="N301" s="91"/>
      <c r="O301" s="91"/>
      <c r="P301" s="54"/>
      <c r="Q301" s="54"/>
      <c r="R301" s="54"/>
      <c r="S301" s="54"/>
      <c r="T301" s="54"/>
    </row>
    <row r="302" spans="2:20" ht="15" customHeight="1">
      <c r="B302" s="75"/>
      <c r="C302" s="50" t="s">
        <v>293</v>
      </c>
      <c r="D302" s="52"/>
      <c r="E302" s="52"/>
      <c r="F302" s="52"/>
      <c r="G302" s="52"/>
      <c r="H302" s="53"/>
      <c r="J302" s="102"/>
      <c r="K302" s="91"/>
      <c r="L302" s="91"/>
      <c r="M302" s="91"/>
      <c r="N302" s="91"/>
      <c r="O302" s="91"/>
      <c r="P302" s="54"/>
      <c r="Q302" s="54"/>
      <c r="R302" s="54"/>
      <c r="S302" s="54"/>
      <c r="T302" s="54"/>
    </row>
    <row r="303" spans="2:20" ht="15" customHeight="1">
      <c r="B303" s="75"/>
      <c r="C303" s="50" t="s">
        <v>294</v>
      </c>
      <c r="D303" s="52"/>
      <c r="E303" s="52"/>
      <c r="F303" s="52"/>
      <c r="G303" s="52"/>
      <c r="H303" s="53"/>
      <c r="J303" s="102"/>
      <c r="K303" s="91"/>
      <c r="L303" s="91"/>
      <c r="M303" s="91"/>
      <c r="N303" s="91"/>
      <c r="O303" s="91"/>
      <c r="P303" s="54"/>
      <c r="Q303" s="54"/>
      <c r="R303" s="54"/>
      <c r="S303" s="54"/>
      <c r="T303" s="54"/>
    </row>
    <row r="304" spans="2:20" ht="15" customHeight="1" thickBot="1">
      <c r="B304" s="54"/>
      <c r="C304" s="54"/>
      <c r="D304" s="54"/>
      <c r="E304" s="54"/>
      <c r="F304" s="54"/>
      <c r="G304" s="54"/>
      <c r="H304" s="87"/>
      <c r="I304" s="92"/>
      <c r="J304" s="74" t="s">
        <v>60</v>
      </c>
      <c r="K304" s="91"/>
      <c r="L304" s="91"/>
      <c r="M304" s="91"/>
      <c r="N304" s="91"/>
      <c r="O304" s="91"/>
      <c r="P304" s="54"/>
      <c r="Q304" s="54"/>
      <c r="R304" s="54"/>
      <c r="S304" s="54"/>
      <c r="T304" s="54"/>
    </row>
    <row r="305" spans="2:20" ht="25.5" customHeight="1" thickBot="1">
      <c r="B305" s="42" t="s">
        <v>9</v>
      </c>
      <c r="C305" s="42" t="s">
        <v>62</v>
      </c>
      <c r="D305" s="42" t="s">
        <v>11</v>
      </c>
      <c r="E305" s="42" t="s">
        <v>63</v>
      </c>
      <c r="F305" s="42" t="s">
        <v>13</v>
      </c>
      <c r="G305" s="42" t="s">
        <v>14</v>
      </c>
      <c r="H305" s="42" t="s">
        <v>15</v>
      </c>
      <c r="J305" s="1" t="s">
        <v>64</v>
      </c>
      <c r="K305" s="1" t="s">
        <v>133</v>
      </c>
      <c r="L305" s="1" t="s">
        <v>223</v>
      </c>
      <c r="M305" s="1" t="s">
        <v>295</v>
      </c>
      <c r="N305" s="91"/>
      <c r="O305" s="91"/>
      <c r="P305" s="54"/>
      <c r="Q305" s="54"/>
      <c r="R305" s="54"/>
      <c r="S305" s="54"/>
      <c r="T305" s="54"/>
    </row>
    <row r="306" spans="2:20" ht="15" customHeight="1">
      <c r="B306" s="52"/>
      <c r="C306" s="52"/>
      <c r="D306" s="52"/>
      <c r="E306" s="52"/>
      <c r="F306" s="52"/>
      <c r="G306" s="52"/>
      <c r="H306" s="53"/>
      <c r="J306" s="59"/>
      <c r="L306" s="54"/>
      <c r="M306" s="54"/>
      <c r="N306" s="91"/>
      <c r="O306" s="91"/>
      <c r="P306" s="54"/>
      <c r="Q306" s="54"/>
      <c r="R306" s="54"/>
      <c r="S306" s="54"/>
      <c r="T306" s="54"/>
    </row>
    <row r="307" spans="2:20" ht="23.25" customHeight="1">
      <c r="B307" s="68" t="s">
        <v>296</v>
      </c>
      <c r="C307" s="68">
        <v>5</v>
      </c>
      <c r="D307" s="76">
        <v>0</v>
      </c>
      <c r="E307" s="2" t="s">
        <v>66</v>
      </c>
      <c r="F307" s="3" t="s">
        <v>67</v>
      </c>
      <c r="G307" s="3" t="s">
        <v>68</v>
      </c>
      <c r="H307" s="47">
        <v>24139</v>
      </c>
      <c r="I307" s="64"/>
      <c r="J307" s="78">
        <v>336368</v>
      </c>
      <c r="K307" s="88">
        <v>25.39</v>
      </c>
      <c r="L307" s="78" t="s">
        <v>227</v>
      </c>
      <c r="M307" s="78">
        <v>85</v>
      </c>
      <c r="N307" s="91"/>
      <c r="O307" s="91"/>
      <c r="P307" s="54"/>
      <c r="Q307" s="54"/>
      <c r="R307" s="54"/>
      <c r="S307" s="54"/>
      <c r="T307" s="54"/>
    </row>
    <row r="308" spans="2:20" ht="15" customHeight="1">
      <c r="B308" s="52"/>
      <c r="C308" s="52"/>
      <c r="D308" s="52"/>
      <c r="E308" s="52"/>
      <c r="F308" s="77"/>
      <c r="G308" s="77"/>
      <c r="H308" s="85"/>
      <c r="J308" s="79"/>
      <c r="K308" s="90"/>
      <c r="L308" s="90"/>
      <c r="M308" s="90"/>
      <c r="N308" s="91"/>
      <c r="O308" s="91"/>
      <c r="P308" s="54"/>
      <c r="Q308" s="54"/>
      <c r="R308" s="54"/>
      <c r="S308" s="54"/>
      <c r="T308" s="54"/>
    </row>
    <row r="309" spans="2:20" ht="23.25">
      <c r="B309" s="68">
        <v>81</v>
      </c>
      <c r="C309" s="68">
        <f>C307</f>
        <v>5</v>
      </c>
      <c r="D309" s="76">
        <v>11</v>
      </c>
      <c r="E309" s="2">
        <v>1</v>
      </c>
      <c r="F309" s="3" t="s">
        <v>67</v>
      </c>
      <c r="G309" s="3" t="s">
        <v>71</v>
      </c>
      <c r="H309" s="47">
        <v>22365.999999999996</v>
      </c>
      <c r="I309" s="64"/>
      <c r="J309" s="78" t="s">
        <v>297</v>
      </c>
      <c r="K309" s="78" t="s">
        <v>297</v>
      </c>
      <c r="L309" s="78" t="s">
        <v>297</v>
      </c>
      <c r="M309" s="78" t="s">
        <v>297</v>
      </c>
      <c r="N309" s="91"/>
      <c r="O309" s="91"/>
      <c r="P309" s="54"/>
      <c r="Q309" s="54"/>
      <c r="R309" s="54"/>
      <c r="S309" s="54"/>
      <c r="T309" s="54"/>
    </row>
    <row r="310" spans="2:20" ht="23.25">
      <c r="B310" s="68">
        <v>82</v>
      </c>
      <c r="C310" s="68">
        <f>C309</f>
        <v>5</v>
      </c>
      <c r="D310" s="76">
        <v>11</v>
      </c>
      <c r="E310" s="2">
        <v>2</v>
      </c>
      <c r="F310" s="3" t="s">
        <v>72</v>
      </c>
      <c r="G310" s="3" t="s">
        <v>73</v>
      </c>
      <c r="H310" s="47">
        <v>23420</v>
      </c>
      <c r="I310" s="64"/>
      <c r="J310" s="78" t="s">
        <v>297</v>
      </c>
      <c r="K310" s="78" t="s">
        <v>297</v>
      </c>
      <c r="L310" s="78" t="s">
        <v>297</v>
      </c>
      <c r="M310" s="78" t="s">
        <v>297</v>
      </c>
      <c r="N310" s="91"/>
      <c r="O310" s="91"/>
      <c r="P310" s="54"/>
      <c r="Q310" s="54"/>
      <c r="R310" s="54"/>
      <c r="S310" s="54"/>
      <c r="T310" s="54"/>
    </row>
    <row r="311" spans="2:20" ht="23.25">
      <c r="B311" s="68">
        <v>83</v>
      </c>
      <c r="C311" s="68">
        <f t="shared" ref="C311:C328" si="3">C310</f>
        <v>5</v>
      </c>
      <c r="D311" s="76">
        <v>11</v>
      </c>
      <c r="E311" s="2">
        <v>3</v>
      </c>
      <c r="F311" s="3" t="s">
        <v>74</v>
      </c>
      <c r="G311" s="3" t="s">
        <v>68</v>
      </c>
      <c r="H311" s="47">
        <v>22213</v>
      </c>
      <c r="I311" s="64"/>
      <c r="J311" s="78" t="s">
        <v>297</v>
      </c>
      <c r="K311" s="78" t="s">
        <v>297</v>
      </c>
      <c r="L311" s="78" t="s">
        <v>297</v>
      </c>
      <c r="M311" s="78" t="s">
        <v>297</v>
      </c>
      <c r="N311" s="91"/>
      <c r="O311" s="91"/>
      <c r="P311" s="54"/>
      <c r="Q311" s="54"/>
      <c r="R311" s="54"/>
      <c r="S311" s="54"/>
      <c r="T311" s="54"/>
    </row>
    <row r="312" spans="2:20" ht="23.25">
      <c r="B312" s="68">
        <v>84</v>
      </c>
      <c r="C312" s="68">
        <f t="shared" si="3"/>
        <v>5</v>
      </c>
      <c r="D312" s="76">
        <v>11</v>
      </c>
      <c r="E312" s="2">
        <v>4</v>
      </c>
      <c r="F312" s="3" t="s">
        <v>75</v>
      </c>
      <c r="G312" s="3" t="s">
        <v>71</v>
      </c>
      <c r="H312" s="47">
        <v>22780.999999999996</v>
      </c>
      <c r="I312" s="64"/>
      <c r="J312" s="78" t="s">
        <v>297</v>
      </c>
      <c r="K312" s="78" t="s">
        <v>297</v>
      </c>
      <c r="L312" s="78" t="s">
        <v>297</v>
      </c>
      <c r="M312" s="78" t="s">
        <v>297</v>
      </c>
      <c r="N312" s="91"/>
      <c r="O312" s="91"/>
      <c r="P312" s="54"/>
      <c r="Q312" s="54"/>
      <c r="R312" s="54"/>
      <c r="S312" s="54"/>
      <c r="T312" s="54"/>
    </row>
    <row r="313" spans="2:20" ht="23.25">
      <c r="B313" s="68">
        <v>85</v>
      </c>
      <c r="C313" s="68">
        <f t="shared" si="3"/>
        <v>5</v>
      </c>
      <c r="D313" s="76">
        <v>11</v>
      </c>
      <c r="E313" s="2">
        <v>5</v>
      </c>
      <c r="F313" s="3" t="s">
        <v>75</v>
      </c>
      <c r="G313" s="3" t="s">
        <v>76</v>
      </c>
      <c r="H313" s="47">
        <v>21808.999999999996</v>
      </c>
      <c r="I313" s="64"/>
      <c r="J313" s="78" t="s">
        <v>297</v>
      </c>
      <c r="K313" s="78" t="s">
        <v>297</v>
      </c>
      <c r="L313" s="78" t="s">
        <v>297</v>
      </c>
      <c r="M313" s="78" t="s">
        <v>297</v>
      </c>
      <c r="N313" s="91"/>
      <c r="O313" s="91"/>
      <c r="P313" s="54"/>
      <c r="Q313" s="54"/>
      <c r="R313" s="54"/>
      <c r="S313" s="54"/>
      <c r="T313" s="54"/>
    </row>
    <row r="314" spans="2:20" ht="23.25">
      <c r="B314" s="68">
        <v>86</v>
      </c>
      <c r="C314" s="68">
        <f t="shared" si="3"/>
        <v>5</v>
      </c>
      <c r="D314" s="76">
        <v>11</v>
      </c>
      <c r="E314" s="2">
        <v>6</v>
      </c>
      <c r="F314" s="3" t="s">
        <v>74</v>
      </c>
      <c r="G314" s="3" t="s">
        <v>73</v>
      </c>
      <c r="H314" s="47">
        <v>22242</v>
      </c>
      <c r="I314" s="64"/>
      <c r="J314" s="78" t="s">
        <v>297</v>
      </c>
      <c r="K314" s="78" t="s">
        <v>297</v>
      </c>
      <c r="L314" s="78" t="s">
        <v>297</v>
      </c>
      <c r="M314" s="78" t="s">
        <v>297</v>
      </c>
      <c r="N314" s="91"/>
      <c r="O314" s="91"/>
      <c r="P314" s="54"/>
      <c r="Q314" s="54"/>
      <c r="R314" s="54"/>
      <c r="S314" s="54"/>
      <c r="T314" s="54"/>
    </row>
    <row r="315" spans="2:20" ht="23.25">
      <c r="B315" s="68">
        <v>87</v>
      </c>
      <c r="C315" s="68">
        <f t="shared" si="3"/>
        <v>5</v>
      </c>
      <c r="D315" s="76">
        <v>11</v>
      </c>
      <c r="E315" s="2">
        <v>7</v>
      </c>
      <c r="F315" s="3" t="s">
        <v>72</v>
      </c>
      <c r="G315" s="3" t="s">
        <v>76</v>
      </c>
      <c r="H315" s="47">
        <v>22298</v>
      </c>
      <c r="I315" s="64"/>
      <c r="J315" s="78" t="s">
        <v>297</v>
      </c>
      <c r="K315" s="78" t="s">
        <v>297</v>
      </c>
      <c r="L315" s="78" t="s">
        <v>297</v>
      </c>
      <c r="M315" s="78" t="s">
        <v>297</v>
      </c>
      <c r="N315" s="91"/>
      <c r="O315" s="91"/>
      <c r="P315" s="54"/>
      <c r="Q315" s="54"/>
      <c r="R315" s="54"/>
      <c r="S315" s="54"/>
      <c r="T315" s="54"/>
    </row>
    <row r="316" spans="2:20" ht="23.25">
      <c r="B316" s="68">
        <v>88</v>
      </c>
      <c r="C316" s="68">
        <f t="shared" si="3"/>
        <v>5</v>
      </c>
      <c r="D316" s="76">
        <v>11</v>
      </c>
      <c r="E316" s="2">
        <v>8</v>
      </c>
      <c r="F316" s="3" t="s">
        <v>67</v>
      </c>
      <c r="G316" s="3" t="s">
        <v>77</v>
      </c>
      <c r="H316" s="47">
        <v>24651</v>
      </c>
      <c r="I316" s="64"/>
      <c r="J316" s="78" t="s">
        <v>297</v>
      </c>
      <c r="K316" s="78" t="s">
        <v>297</v>
      </c>
      <c r="L316" s="78" t="s">
        <v>297</v>
      </c>
      <c r="M316" s="78" t="s">
        <v>297</v>
      </c>
      <c r="N316" s="91"/>
      <c r="O316" s="91"/>
      <c r="P316" s="54"/>
      <c r="Q316" s="54"/>
      <c r="R316" s="54"/>
      <c r="S316" s="54"/>
      <c r="T316" s="54"/>
    </row>
    <row r="317" spans="2:20" ht="23.25">
      <c r="B317" s="68">
        <v>89</v>
      </c>
      <c r="C317" s="68">
        <f t="shared" si="3"/>
        <v>5</v>
      </c>
      <c r="D317" s="76">
        <v>11</v>
      </c>
      <c r="E317" s="2">
        <v>9</v>
      </c>
      <c r="F317" s="3" t="s">
        <v>67</v>
      </c>
      <c r="G317" s="3" t="s">
        <v>78</v>
      </c>
      <c r="H317" s="47">
        <v>26916.000000000004</v>
      </c>
      <c r="I317" s="64"/>
      <c r="J317" s="78" t="s">
        <v>297</v>
      </c>
      <c r="K317" s="78" t="s">
        <v>297</v>
      </c>
      <c r="L317" s="78" t="s">
        <v>297</v>
      </c>
      <c r="M317" s="78" t="s">
        <v>297</v>
      </c>
      <c r="N317" s="91"/>
      <c r="O317" s="91"/>
      <c r="P317" s="54"/>
      <c r="Q317" s="54"/>
      <c r="R317" s="54"/>
      <c r="S317" s="54"/>
      <c r="T317" s="54"/>
    </row>
    <row r="318" spans="2:20" ht="23.25">
      <c r="B318" s="68">
        <v>90</v>
      </c>
      <c r="C318" s="68">
        <f t="shared" si="3"/>
        <v>5</v>
      </c>
      <c r="D318" s="76">
        <v>11</v>
      </c>
      <c r="E318" s="2">
        <v>10</v>
      </c>
      <c r="F318" s="3" t="s">
        <v>74</v>
      </c>
      <c r="G318" s="3" t="s">
        <v>79</v>
      </c>
      <c r="H318" s="47">
        <v>22911</v>
      </c>
      <c r="I318" s="64"/>
      <c r="J318" s="78" t="s">
        <v>297</v>
      </c>
      <c r="K318" s="78" t="s">
        <v>297</v>
      </c>
      <c r="L318" s="78" t="s">
        <v>297</v>
      </c>
      <c r="M318" s="78" t="s">
        <v>297</v>
      </c>
      <c r="N318" s="91"/>
      <c r="O318" s="91"/>
      <c r="P318" s="54"/>
      <c r="Q318" s="54"/>
      <c r="R318" s="54"/>
      <c r="S318" s="54"/>
      <c r="T318" s="54"/>
    </row>
    <row r="319" spans="2:20" ht="23.25">
      <c r="B319" s="68">
        <v>91</v>
      </c>
      <c r="C319" s="68">
        <f t="shared" si="3"/>
        <v>5</v>
      </c>
      <c r="D319" s="76">
        <v>11</v>
      </c>
      <c r="E319" s="2">
        <v>11</v>
      </c>
      <c r="F319" s="3" t="s">
        <v>67</v>
      </c>
      <c r="G319" s="3" t="s">
        <v>68</v>
      </c>
      <c r="H319" s="47">
        <v>24647</v>
      </c>
      <c r="I319" s="64"/>
      <c r="J319" s="78" t="s">
        <v>297</v>
      </c>
      <c r="K319" s="78" t="s">
        <v>297</v>
      </c>
      <c r="L319" s="78" t="s">
        <v>297</v>
      </c>
      <c r="M319" s="78" t="s">
        <v>297</v>
      </c>
      <c r="N319" s="91"/>
      <c r="O319" s="91"/>
      <c r="P319" s="54"/>
      <c r="Q319" s="54"/>
      <c r="R319" s="54"/>
      <c r="S319" s="54"/>
      <c r="T319" s="54"/>
    </row>
    <row r="320" spans="2:20" ht="23.25">
      <c r="B320" s="68">
        <v>92</v>
      </c>
      <c r="C320" s="68">
        <f t="shared" si="3"/>
        <v>5</v>
      </c>
      <c r="D320" s="76">
        <v>11</v>
      </c>
      <c r="E320" s="2">
        <v>12</v>
      </c>
      <c r="F320" s="3" t="s">
        <v>72</v>
      </c>
      <c r="G320" s="3" t="s">
        <v>71</v>
      </c>
      <c r="H320" s="47">
        <v>22377</v>
      </c>
      <c r="I320" s="64"/>
      <c r="J320" s="78" t="s">
        <v>297</v>
      </c>
      <c r="K320" s="78" t="s">
        <v>297</v>
      </c>
      <c r="L320" s="78" t="s">
        <v>297</v>
      </c>
      <c r="M320" s="78" t="s">
        <v>297</v>
      </c>
      <c r="N320" s="91"/>
      <c r="O320" s="91"/>
      <c r="P320" s="54"/>
      <c r="Q320" s="54"/>
      <c r="R320" s="54"/>
      <c r="S320" s="54"/>
      <c r="T320" s="54"/>
    </row>
    <row r="321" spans="2:20" ht="23.25">
      <c r="B321" s="68">
        <v>93</v>
      </c>
      <c r="C321" s="68">
        <f t="shared" si="3"/>
        <v>5</v>
      </c>
      <c r="D321" s="76">
        <v>11</v>
      </c>
      <c r="E321" s="2">
        <v>13</v>
      </c>
      <c r="F321" s="3" t="s">
        <v>74</v>
      </c>
      <c r="G321" s="3" t="s">
        <v>77</v>
      </c>
      <c r="H321" s="47">
        <v>21733.999999999996</v>
      </c>
      <c r="I321" s="64"/>
      <c r="J321" s="78" t="s">
        <v>297</v>
      </c>
      <c r="K321" s="78" t="s">
        <v>297</v>
      </c>
      <c r="L321" s="78" t="s">
        <v>297</v>
      </c>
      <c r="M321" s="78" t="s">
        <v>297</v>
      </c>
      <c r="N321" s="91"/>
      <c r="O321" s="91"/>
      <c r="P321" s="54"/>
      <c r="Q321" s="54"/>
      <c r="R321" s="54"/>
      <c r="S321" s="54"/>
      <c r="T321" s="54"/>
    </row>
    <row r="322" spans="2:20" ht="23.25">
      <c r="B322" s="68">
        <v>94</v>
      </c>
      <c r="C322" s="68">
        <f t="shared" si="3"/>
        <v>5</v>
      </c>
      <c r="D322" s="76">
        <v>11</v>
      </c>
      <c r="E322" s="2">
        <v>14</v>
      </c>
      <c r="F322" s="3" t="s">
        <v>72</v>
      </c>
      <c r="G322" s="3" t="s">
        <v>79</v>
      </c>
      <c r="H322" s="47">
        <v>21827</v>
      </c>
      <c r="I322" s="64"/>
      <c r="J322" s="78" t="s">
        <v>297</v>
      </c>
      <c r="K322" s="78" t="s">
        <v>297</v>
      </c>
      <c r="L322" s="78" t="s">
        <v>297</v>
      </c>
      <c r="M322" s="78" t="s">
        <v>297</v>
      </c>
      <c r="N322" s="91"/>
      <c r="O322" s="91"/>
      <c r="P322" s="54"/>
      <c r="Q322" s="54"/>
      <c r="R322" s="54"/>
      <c r="S322" s="54"/>
      <c r="T322" s="54"/>
    </row>
    <row r="323" spans="2:20" ht="23.25">
      <c r="B323" s="68">
        <v>95</v>
      </c>
      <c r="C323" s="68">
        <f t="shared" si="3"/>
        <v>5</v>
      </c>
      <c r="D323" s="76">
        <v>11</v>
      </c>
      <c r="E323" s="2">
        <v>15</v>
      </c>
      <c r="F323" s="3" t="s">
        <v>75</v>
      </c>
      <c r="G323" s="3" t="s">
        <v>78</v>
      </c>
      <c r="H323" s="47">
        <v>23809</v>
      </c>
      <c r="I323" s="64"/>
      <c r="J323" s="78" t="s">
        <v>297</v>
      </c>
      <c r="K323" s="78" t="s">
        <v>297</v>
      </c>
      <c r="L323" s="78" t="s">
        <v>297</v>
      </c>
      <c r="M323" s="78" t="s">
        <v>297</v>
      </c>
      <c r="N323" s="91"/>
      <c r="O323" s="91"/>
      <c r="P323" s="54"/>
      <c r="Q323" s="54"/>
      <c r="R323" s="54"/>
      <c r="S323" s="54"/>
      <c r="T323" s="54"/>
    </row>
    <row r="324" spans="2:20" ht="23.25">
      <c r="B324" s="68">
        <v>96</v>
      </c>
      <c r="C324" s="68">
        <f t="shared" si="3"/>
        <v>5</v>
      </c>
      <c r="D324" s="76">
        <v>11</v>
      </c>
      <c r="E324" s="2">
        <v>16</v>
      </c>
      <c r="F324" s="3" t="s">
        <v>72</v>
      </c>
      <c r="G324" s="3" t="s">
        <v>78</v>
      </c>
      <c r="H324" s="47">
        <v>24612</v>
      </c>
      <c r="I324" s="64"/>
      <c r="J324" s="78" t="s">
        <v>297</v>
      </c>
      <c r="K324" s="78" t="s">
        <v>297</v>
      </c>
      <c r="L324" s="78" t="s">
        <v>297</v>
      </c>
      <c r="M324" s="78" t="s">
        <v>297</v>
      </c>
      <c r="N324" s="91"/>
      <c r="O324" s="91"/>
      <c r="P324" s="54"/>
      <c r="Q324" s="54"/>
      <c r="R324" s="54"/>
      <c r="S324" s="54"/>
      <c r="T324" s="54"/>
    </row>
    <row r="325" spans="2:20" ht="23.25">
      <c r="B325" s="68">
        <v>97</v>
      </c>
      <c r="C325" s="68">
        <f t="shared" si="3"/>
        <v>5</v>
      </c>
      <c r="D325" s="76">
        <v>11</v>
      </c>
      <c r="E325" s="2">
        <v>17</v>
      </c>
      <c r="F325" s="3" t="s">
        <v>74</v>
      </c>
      <c r="G325" s="3" t="s">
        <v>77</v>
      </c>
      <c r="H325" s="47">
        <v>25279</v>
      </c>
      <c r="I325" s="64"/>
      <c r="J325" s="78" t="s">
        <v>297</v>
      </c>
      <c r="K325" s="78" t="s">
        <v>297</v>
      </c>
      <c r="L325" s="78" t="s">
        <v>297</v>
      </c>
      <c r="M325" s="78" t="s">
        <v>297</v>
      </c>
      <c r="N325" s="91"/>
      <c r="O325" s="91"/>
      <c r="P325" s="54"/>
      <c r="Q325" s="54"/>
      <c r="R325" s="54"/>
      <c r="S325" s="54"/>
      <c r="T325" s="54"/>
    </row>
    <row r="326" spans="2:20" ht="23.25">
      <c r="B326" s="68">
        <v>98</v>
      </c>
      <c r="C326" s="68">
        <f t="shared" si="3"/>
        <v>5</v>
      </c>
      <c r="D326" s="76">
        <v>11</v>
      </c>
      <c r="E326" s="2">
        <v>18</v>
      </c>
      <c r="F326" s="3" t="s">
        <v>72</v>
      </c>
      <c r="G326" s="3" t="s">
        <v>73</v>
      </c>
      <c r="H326" s="47">
        <v>23648.999999999996</v>
      </c>
      <c r="I326" s="64"/>
      <c r="J326" s="78" t="s">
        <v>297</v>
      </c>
      <c r="K326" s="78" t="s">
        <v>297</v>
      </c>
      <c r="L326" s="78" t="s">
        <v>297</v>
      </c>
      <c r="M326" s="78" t="s">
        <v>297</v>
      </c>
      <c r="N326" s="91"/>
      <c r="O326" s="91"/>
      <c r="P326" s="54"/>
      <c r="Q326" s="54"/>
      <c r="R326" s="54"/>
      <c r="S326" s="54"/>
      <c r="T326" s="54"/>
    </row>
    <row r="327" spans="2:20" ht="23.25">
      <c r="B327" s="68">
        <v>99</v>
      </c>
      <c r="C327" s="68">
        <f t="shared" si="3"/>
        <v>5</v>
      </c>
      <c r="D327" s="76">
        <v>11</v>
      </c>
      <c r="E327" s="2">
        <v>19</v>
      </c>
      <c r="F327" s="3" t="s">
        <v>72</v>
      </c>
      <c r="G327" s="3" t="s">
        <v>73</v>
      </c>
      <c r="H327" s="47">
        <v>22723</v>
      </c>
      <c r="I327" s="64"/>
      <c r="J327" s="78" t="s">
        <v>297</v>
      </c>
      <c r="K327" s="78" t="s">
        <v>297</v>
      </c>
      <c r="L327" s="78" t="s">
        <v>297</v>
      </c>
      <c r="M327" s="78" t="s">
        <v>297</v>
      </c>
      <c r="N327" s="91"/>
      <c r="O327" s="91"/>
      <c r="P327" s="54"/>
      <c r="Q327" s="54"/>
      <c r="R327" s="54"/>
      <c r="S327" s="54"/>
      <c r="T327" s="54"/>
    </row>
    <row r="328" spans="2:20" ht="23.25">
      <c r="B328" s="68">
        <v>100</v>
      </c>
      <c r="C328" s="68">
        <f t="shared" si="3"/>
        <v>5</v>
      </c>
      <c r="D328" s="76">
        <v>11</v>
      </c>
      <c r="E328" s="2">
        <v>20</v>
      </c>
      <c r="F328" s="3" t="s">
        <v>75</v>
      </c>
      <c r="G328" s="3" t="s">
        <v>80</v>
      </c>
      <c r="H328" s="47">
        <v>22854.000000000004</v>
      </c>
      <c r="I328" s="64"/>
      <c r="J328" s="78" t="s">
        <v>297</v>
      </c>
      <c r="K328" s="78" t="s">
        <v>297</v>
      </c>
      <c r="L328" s="78" t="s">
        <v>297</v>
      </c>
      <c r="M328" s="78" t="s">
        <v>297</v>
      </c>
      <c r="N328" s="91"/>
      <c r="O328" s="91"/>
      <c r="P328" s="54"/>
      <c r="Q328" s="54"/>
      <c r="R328" s="54"/>
      <c r="S328" s="54"/>
      <c r="T328" s="54"/>
    </row>
    <row r="329" spans="2:20" ht="15" customHeight="1">
      <c r="B329" s="54"/>
      <c r="C329" s="54"/>
      <c r="D329" s="54"/>
      <c r="E329" s="54"/>
      <c r="F329" s="54"/>
      <c r="G329" s="54"/>
      <c r="H329" s="87"/>
      <c r="I329" s="92"/>
      <c r="J329" s="91"/>
      <c r="K329" s="91"/>
      <c r="L329" s="91"/>
      <c r="M329" s="91"/>
      <c r="N329" s="91"/>
      <c r="O329" s="91"/>
      <c r="P329" s="54"/>
      <c r="Q329" s="54"/>
      <c r="R329" s="54"/>
      <c r="S329" s="54"/>
      <c r="T329" s="54"/>
    </row>
    <row r="330" spans="2:20" ht="15" customHeight="1" thickBot="1">
      <c r="J330" s="91"/>
      <c r="K330" s="91"/>
      <c r="L330" s="91"/>
      <c r="M330" s="91"/>
      <c r="N330" s="91"/>
      <c r="O330" s="91"/>
      <c r="P330" s="54"/>
      <c r="Q330" s="54"/>
      <c r="R330" s="54"/>
      <c r="S330" s="54"/>
      <c r="T330" s="54"/>
    </row>
    <row r="331" spans="2:20" ht="25.5" customHeight="1" thickBot="1">
      <c r="B331" s="48" t="s">
        <v>30</v>
      </c>
      <c r="C331" s="49" t="s">
        <v>154</v>
      </c>
      <c r="D331" s="73" t="s">
        <v>298</v>
      </c>
      <c r="E331" s="54"/>
      <c r="F331" s="54"/>
      <c r="G331" s="54"/>
      <c r="H331" s="87"/>
      <c r="I331" s="92"/>
      <c r="J331" s="1" t="s">
        <v>14</v>
      </c>
      <c r="K331" s="1" t="s">
        <v>223</v>
      </c>
      <c r="L331" s="1" t="s">
        <v>299</v>
      </c>
      <c r="M331" s="1" t="s">
        <v>300</v>
      </c>
      <c r="N331" s="1" t="s">
        <v>301</v>
      </c>
      <c r="O331" s="1" t="s">
        <v>302</v>
      </c>
      <c r="P331" s="54"/>
      <c r="Q331" s="54"/>
      <c r="R331" s="54"/>
      <c r="S331" s="54"/>
      <c r="T331" s="54"/>
    </row>
    <row r="332" spans="2:20">
      <c r="B332" s="75"/>
      <c r="C332" s="54"/>
      <c r="D332" s="54"/>
      <c r="E332" s="54"/>
      <c r="F332" s="54"/>
      <c r="G332" s="54"/>
      <c r="H332" s="87"/>
      <c r="I332" s="92"/>
      <c r="J332" s="35" t="s">
        <v>78</v>
      </c>
      <c r="K332" s="89" t="s">
        <v>225</v>
      </c>
      <c r="L332" s="89" t="s">
        <v>303</v>
      </c>
      <c r="M332" s="89" t="s">
        <v>304</v>
      </c>
      <c r="N332" s="106">
        <v>2</v>
      </c>
      <c r="O332" s="107">
        <v>1</v>
      </c>
    </row>
    <row r="333" spans="2:20">
      <c r="B333" s="75" t="s">
        <v>305</v>
      </c>
      <c r="C333" s="52"/>
      <c r="D333" s="52"/>
      <c r="E333" s="52"/>
      <c r="F333" s="52"/>
      <c r="G333" s="52"/>
      <c r="H333" s="53"/>
      <c r="J333" s="35" t="s">
        <v>73</v>
      </c>
      <c r="K333" s="89" t="s">
        <v>227</v>
      </c>
      <c r="L333" s="89" t="s">
        <v>303</v>
      </c>
      <c r="M333" s="89" t="s">
        <v>304</v>
      </c>
      <c r="N333" s="106">
        <v>1.5</v>
      </c>
      <c r="O333" s="107">
        <v>0.8</v>
      </c>
      <c r="P333" s="54"/>
      <c r="Q333" s="54"/>
      <c r="R333" s="54"/>
      <c r="S333" s="54"/>
      <c r="T333" s="54"/>
    </row>
    <row r="334" spans="2:20">
      <c r="B334" s="75" t="s">
        <v>306</v>
      </c>
      <c r="C334" s="52"/>
      <c r="D334" s="52"/>
      <c r="E334" s="52"/>
      <c r="F334" s="52"/>
      <c r="G334" s="52"/>
      <c r="H334" s="53"/>
      <c r="J334" s="35" t="s">
        <v>71</v>
      </c>
      <c r="K334" s="89" t="s">
        <v>229</v>
      </c>
      <c r="L334" s="89" t="s">
        <v>307</v>
      </c>
      <c r="M334" s="89" t="s">
        <v>308</v>
      </c>
      <c r="N334" s="106">
        <v>1</v>
      </c>
      <c r="O334" s="107">
        <v>1.1499999999999999</v>
      </c>
      <c r="P334" s="54"/>
      <c r="Q334" s="54"/>
      <c r="R334" s="54"/>
      <c r="S334" s="54"/>
      <c r="T334" s="54"/>
    </row>
    <row r="335" spans="2:20">
      <c r="B335" s="75"/>
      <c r="C335" s="52"/>
      <c r="D335" s="52"/>
      <c r="E335" s="52"/>
      <c r="F335" s="52"/>
      <c r="G335" s="52"/>
      <c r="H335" s="53"/>
      <c r="J335" s="35" t="s">
        <v>76</v>
      </c>
      <c r="K335" s="89" t="s">
        <v>231</v>
      </c>
      <c r="L335" s="89" t="s">
        <v>307</v>
      </c>
      <c r="M335" s="89" t="s">
        <v>308</v>
      </c>
      <c r="N335" s="106">
        <v>2.5</v>
      </c>
      <c r="O335" s="107">
        <v>1</v>
      </c>
      <c r="P335" s="54"/>
      <c r="Q335" s="54"/>
      <c r="R335" s="54"/>
      <c r="S335" s="54"/>
      <c r="T335" s="54"/>
    </row>
    <row r="336" spans="2:20">
      <c r="B336" s="75" t="s">
        <v>309</v>
      </c>
      <c r="C336" s="52"/>
      <c r="D336" s="52"/>
      <c r="E336" s="52"/>
      <c r="F336" s="52"/>
      <c r="G336" s="52"/>
      <c r="H336" s="53"/>
      <c r="J336" s="35" t="s">
        <v>79</v>
      </c>
      <c r="K336" s="89" t="s">
        <v>227</v>
      </c>
      <c r="L336" s="89" t="s">
        <v>307</v>
      </c>
      <c r="M336" s="89" t="s">
        <v>308</v>
      </c>
      <c r="N336" s="106">
        <v>2.5</v>
      </c>
      <c r="O336" s="107">
        <v>0.8</v>
      </c>
      <c r="P336" s="54"/>
      <c r="Q336" s="54"/>
      <c r="R336" s="54"/>
      <c r="S336" s="54"/>
      <c r="T336" s="54"/>
    </row>
    <row r="337" spans="2:20">
      <c r="B337" s="80" t="s">
        <v>310</v>
      </c>
      <c r="C337" s="52"/>
      <c r="D337" s="52"/>
      <c r="E337" s="52"/>
      <c r="F337" s="52"/>
      <c r="G337" s="52"/>
      <c r="H337" s="53"/>
      <c r="J337" s="35" t="s">
        <v>80</v>
      </c>
      <c r="K337" s="89" t="s">
        <v>231</v>
      </c>
      <c r="L337" s="89" t="s">
        <v>307</v>
      </c>
      <c r="M337" s="89" t="s">
        <v>308</v>
      </c>
      <c r="N337" s="106">
        <v>2</v>
      </c>
      <c r="O337" s="107">
        <v>1</v>
      </c>
      <c r="P337" s="54"/>
      <c r="Q337" s="54"/>
      <c r="R337" s="54"/>
      <c r="S337" s="54"/>
      <c r="T337" s="54"/>
    </row>
    <row r="338" spans="2:20">
      <c r="B338" s="80" t="s">
        <v>311</v>
      </c>
      <c r="C338" s="52"/>
      <c r="D338" s="52"/>
      <c r="E338" s="52"/>
      <c r="F338" s="52"/>
      <c r="G338" s="52"/>
      <c r="H338" s="53"/>
      <c r="J338" s="35" t="s">
        <v>68</v>
      </c>
      <c r="K338" s="89" t="s">
        <v>227</v>
      </c>
      <c r="L338" s="89" t="s">
        <v>307</v>
      </c>
      <c r="M338" s="89" t="s">
        <v>308</v>
      </c>
      <c r="N338" s="106">
        <v>2.5</v>
      </c>
      <c r="O338" s="107">
        <v>0.8</v>
      </c>
      <c r="P338" s="54"/>
      <c r="Q338" s="54"/>
      <c r="R338" s="54"/>
      <c r="S338" s="54"/>
      <c r="T338" s="54"/>
    </row>
    <row r="339" spans="2:20">
      <c r="B339" s="80" t="s">
        <v>312</v>
      </c>
      <c r="C339" s="52"/>
      <c r="D339" s="52"/>
      <c r="E339" s="52"/>
      <c r="F339" s="52"/>
      <c r="G339" s="52"/>
      <c r="H339" s="53"/>
      <c r="J339" s="35" t="s">
        <v>77</v>
      </c>
      <c r="K339" s="89" t="s">
        <v>231</v>
      </c>
      <c r="L339" s="89" t="s">
        <v>307</v>
      </c>
      <c r="M339" s="89" t="s">
        <v>308</v>
      </c>
      <c r="N339" s="106">
        <v>2.5</v>
      </c>
      <c r="O339" s="107">
        <v>1</v>
      </c>
      <c r="P339" s="54"/>
      <c r="Q339" s="54"/>
      <c r="R339" s="54"/>
      <c r="S339" s="54"/>
      <c r="T339" s="54"/>
    </row>
    <row r="340" spans="2:20" ht="15.75">
      <c r="B340" s="80" t="s">
        <v>313</v>
      </c>
      <c r="C340" s="21"/>
      <c r="D340" s="52"/>
      <c r="E340" s="52"/>
      <c r="F340" s="52"/>
      <c r="G340" s="52"/>
      <c r="H340" s="53"/>
      <c r="J340" s="91"/>
      <c r="K340" s="91"/>
      <c r="L340" s="91"/>
      <c r="M340" s="105" t="s">
        <v>314</v>
      </c>
      <c r="N340" s="91"/>
      <c r="O340" s="91"/>
      <c r="P340" s="54"/>
      <c r="Q340" s="54"/>
      <c r="R340" s="54"/>
      <c r="S340" s="54"/>
      <c r="T340" s="54"/>
    </row>
    <row r="341" spans="2:20" ht="15.75">
      <c r="B341" s="80" t="s">
        <v>315</v>
      </c>
      <c r="C341" s="52"/>
      <c r="D341" s="52"/>
      <c r="E341" s="52"/>
      <c r="F341" s="52"/>
      <c r="G341" s="52"/>
      <c r="H341" s="53"/>
      <c r="J341" s="91"/>
      <c r="K341" s="91"/>
      <c r="L341" s="91"/>
      <c r="M341" s="105" t="s">
        <v>316</v>
      </c>
      <c r="N341" s="91"/>
      <c r="O341" s="91"/>
      <c r="P341" s="54"/>
      <c r="Q341" s="54"/>
      <c r="R341" s="54"/>
      <c r="S341" s="54"/>
      <c r="T341" s="54"/>
    </row>
    <row r="342" spans="2:20" ht="15.75">
      <c r="B342" s="80" t="s">
        <v>317</v>
      </c>
      <c r="C342" s="52"/>
      <c r="D342" s="52"/>
      <c r="E342" s="52"/>
      <c r="F342" s="52"/>
      <c r="G342" s="52"/>
      <c r="H342" s="53"/>
      <c r="J342" s="91"/>
      <c r="K342" s="91"/>
      <c r="L342" s="91"/>
      <c r="M342" s="91"/>
      <c r="N342" s="91"/>
      <c r="O342" s="91"/>
      <c r="P342" s="54"/>
      <c r="Q342" s="54"/>
      <c r="R342" s="54"/>
      <c r="S342" s="54"/>
      <c r="T342" s="54"/>
    </row>
    <row r="343" spans="2:20" ht="15.75">
      <c r="B343" s="75" t="s">
        <v>318</v>
      </c>
      <c r="C343" s="52"/>
      <c r="D343" s="52"/>
      <c r="E343" s="52"/>
      <c r="F343" s="52"/>
      <c r="G343" s="52"/>
      <c r="H343" s="53"/>
      <c r="J343" s="91"/>
      <c r="K343" s="91"/>
      <c r="L343" s="91"/>
      <c r="M343" s="91"/>
      <c r="N343" s="91"/>
      <c r="O343" s="91"/>
      <c r="P343" s="54"/>
      <c r="Q343" s="54"/>
      <c r="R343" s="54"/>
      <c r="S343" s="54"/>
      <c r="T343" s="54"/>
    </row>
    <row r="344" spans="2:20" ht="15.75">
      <c r="B344" s="80" t="s">
        <v>319</v>
      </c>
      <c r="C344" s="52"/>
      <c r="D344" s="52"/>
      <c r="E344" s="52"/>
      <c r="F344" s="52"/>
      <c r="G344" s="52"/>
      <c r="H344" s="53"/>
      <c r="J344" s="91"/>
      <c r="K344" s="91"/>
      <c r="L344" s="91"/>
      <c r="M344" s="91"/>
      <c r="N344" s="91"/>
      <c r="O344" s="91"/>
      <c r="P344" s="54"/>
      <c r="Q344" s="54"/>
      <c r="R344" s="54"/>
      <c r="S344" s="54"/>
      <c r="T344" s="54"/>
    </row>
    <row r="345" spans="2:20" ht="15.75">
      <c r="B345" s="75"/>
      <c r="C345" s="21"/>
      <c r="D345" s="52"/>
      <c r="E345" s="52"/>
      <c r="F345" s="52"/>
      <c r="G345" s="52"/>
      <c r="H345" s="53"/>
      <c r="J345" s="91"/>
      <c r="K345" s="91"/>
      <c r="L345" s="91"/>
      <c r="M345" s="91"/>
      <c r="N345" s="91"/>
      <c r="O345" s="91"/>
      <c r="P345" s="54"/>
      <c r="Q345" s="54"/>
      <c r="R345" s="54"/>
      <c r="S345" s="54"/>
      <c r="T345" s="54"/>
    </row>
    <row r="346" spans="2:20" ht="15.75">
      <c r="B346" s="75" t="s">
        <v>321</v>
      </c>
      <c r="C346" s="21"/>
      <c r="D346" s="52"/>
      <c r="E346" s="52"/>
      <c r="F346" s="52"/>
      <c r="G346" s="52"/>
      <c r="H346" s="53"/>
      <c r="J346" s="91"/>
      <c r="K346" s="91"/>
      <c r="L346" s="91"/>
      <c r="M346" s="91"/>
      <c r="N346" s="91"/>
      <c r="O346" s="91"/>
      <c r="P346" s="54"/>
      <c r="Q346" s="54"/>
      <c r="R346" s="54"/>
      <c r="S346" s="54"/>
      <c r="T346" s="54"/>
    </row>
    <row r="347" spans="2:20" ht="15.75">
      <c r="B347" s="80" t="s">
        <v>322</v>
      </c>
      <c r="C347" s="21"/>
      <c r="D347" s="52"/>
      <c r="E347" s="52"/>
      <c r="F347" s="52"/>
      <c r="G347" s="52"/>
      <c r="H347" s="53"/>
      <c r="J347" s="91"/>
      <c r="K347" s="91"/>
      <c r="L347" s="91"/>
      <c r="M347" s="91"/>
      <c r="N347" s="91"/>
      <c r="O347" s="91"/>
      <c r="P347" s="54"/>
      <c r="Q347" s="54"/>
      <c r="R347" s="54"/>
      <c r="S347" s="54"/>
      <c r="T347" s="54"/>
    </row>
    <row r="348" spans="2:20" ht="15.75">
      <c r="B348" s="75" t="s">
        <v>323</v>
      </c>
      <c r="C348" s="21"/>
      <c r="D348" s="52"/>
      <c r="E348" s="52"/>
      <c r="F348" s="52"/>
      <c r="G348" s="52"/>
      <c r="H348" s="53"/>
      <c r="J348" s="91"/>
      <c r="K348" s="91"/>
      <c r="L348" s="91"/>
      <c r="M348" s="91"/>
      <c r="N348" s="91"/>
      <c r="O348" s="91"/>
      <c r="P348" s="54"/>
      <c r="Q348" s="54"/>
      <c r="R348" s="54"/>
      <c r="S348" s="54"/>
      <c r="T348" s="54"/>
    </row>
    <row r="349" spans="2:20" ht="15.75">
      <c r="B349" s="80" t="s">
        <v>324</v>
      </c>
      <c r="C349" s="21"/>
      <c r="D349" s="52"/>
      <c r="E349" s="52"/>
      <c r="F349" s="52"/>
      <c r="G349" s="52"/>
      <c r="H349" s="53"/>
      <c r="J349" s="91"/>
      <c r="K349" s="91"/>
      <c r="L349" s="91"/>
      <c r="M349" s="91"/>
      <c r="N349" s="91"/>
      <c r="O349" s="91"/>
      <c r="P349" s="54"/>
      <c r="Q349" s="54"/>
      <c r="R349" s="54"/>
      <c r="S349" s="54"/>
      <c r="T349" s="54"/>
    </row>
    <row r="350" spans="2:20" ht="15.75">
      <c r="B350" s="75"/>
      <c r="C350" s="21"/>
      <c r="D350" s="52"/>
      <c r="E350" s="52"/>
      <c r="F350" s="52"/>
      <c r="G350" s="52"/>
      <c r="H350" s="53"/>
      <c r="J350" s="91"/>
      <c r="K350" s="91"/>
      <c r="L350" s="91"/>
      <c r="M350" s="91"/>
      <c r="N350" s="91"/>
      <c r="O350" s="91"/>
      <c r="P350" s="54"/>
      <c r="Q350" s="54"/>
      <c r="R350" s="54"/>
      <c r="S350" s="54"/>
      <c r="T350" s="54"/>
    </row>
    <row r="351" spans="2:20" ht="15.75">
      <c r="B351" s="75" t="s">
        <v>325</v>
      </c>
      <c r="C351" s="21"/>
      <c r="D351" s="52"/>
      <c r="E351" s="52"/>
      <c r="F351" s="52"/>
      <c r="G351" s="52"/>
      <c r="H351" s="53"/>
      <c r="J351" s="91"/>
      <c r="K351" s="91"/>
      <c r="L351" s="91"/>
      <c r="M351" s="91"/>
      <c r="N351" s="91"/>
      <c r="O351" s="91"/>
      <c r="P351" s="54"/>
      <c r="Q351" s="54"/>
      <c r="R351" s="54"/>
      <c r="S351" s="54"/>
      <c r="T351" s="54"/>
    </row>
    <row r="352" spans="2:20" ht="15.75">
      <c r="B352" s="80" t="s">
        <v>326</v>
      </c>
      <c r="C352" s="21"/>
      <c r="D352" s="52"/>
      <c r="E352" s="52"/>
      <c r="F352" s="52"/>
      <c r="G352" s="52"/>
      <c r="H352" s="53"/>
      <c r="J352" s="91"/>
      <c r="K352" s="91"/>
      <c r="L352" s="91"/>
      <c r="M352" s="91"/>
      <c r="N352" s="91"/>
      <c r="O352" s="91"/>
      <c r="P352" s="54"/>
      <c r="Q352" s="54"/>
      <c r="R352" s="54"/>
      <c r="S352" s="54"/>
      <c r="T352" s="54"/>
    </row>
    <row r="353" spans="2:20" ht="15.75">
      <c r="B353" s="80" t="s">
        <v>327</v>
      </c>
      <c r="C353" s="21"/>
      <c r="D353" s="52"/>
      <c r="E353" s="52"/>
      <c r="F353" s="52"/>
      <c r="G353" s="52"/>
      <c r="H353" s="53"/>
      <c r="J353" s="91"/>
      <c r="K353" s="91"/>
      <c r="L353" s="91"/>
      <c r="M353" s="91"/>
      <c r="N353" s="91"/>
      <c r="O353" s="91"/>
      <c r="P353" s="54"/>
      <c r="Q353" s="54"/>
      <c r="R353" s="54"/>
      <c r="S353" s="54"/>
      <c r="T353" s="54"/>
    </row>
    <row r="354" spans="2:20" ht="15.75">
      <c r="B354" s="80" t="s">
        <v>328</v>
      </c>
      <c r="C354" s="21"/>
      <c r="D354" s="52"/>
      <c r="E354" s="52"/>
      <c r="F354" s="52"/>
      <c r="G354" s="52"/>
      <c r="H354" s="53"/>
      <c r="J354" s="91"/>
      <c r="K354" s="91"/>
      <c r="L354" s="91"/>
      <c r="M354" s="91"/>
      <c r="N354" s="91"/>
      <c r="O354" s="91"/>
      <c r="P354" s="54"/>
      <c r="Q354" s="54"/>
      <c r="R354" s="54"/>
      <c r="S354" s="54"/>
      <c r="T354" s="54"/>
    </row>
    <row r="355" spans="2:20" ht="15.75">
      <c r="B355" s="80" t="s">
        <v>329</v>
      </c>
      <c r="C355" s="21"/>
      <c r="D355" s="52"/>
      <c r="E355" s="52"/>
      <c r="F355" s="52"/>
      <c r="G355" s="52"/>
      <c r="H355" s="53"/>
      <c r="J355" s="91"/>
      <c r="K355" s="91"/>
      <c r="L355" s="91"/>
      <c r="M355" s="91"/>
      <c r="N355" s="91"/>
      <c r="O355" s="91"/>
      <c r="P355" s="54"/>
      <c r="Q355" s="54"/>
      <c r="R355" s="54"/>
      <c r="S355" s="54"/>
      <c r="T355" s="54"/>
    </row>
    <row r="356" spans="2:20" ht="15.75">
      <c r="B356" s="80" t="s">
        <v>330</v>
      </c>
      <c r="C356" s="21"/>
      <c r="D356" s="52"/>
      <c r="E356" s="52"/>
      <c r="F356" s="52"/>
      <c r="G356" s="52"/>
      <c r="H356" s="53"/>
      <c r="J356" s="91"/>
      <c r="K356" s="91"/>
      <c r="L356" s="91"/>
      <c r="M356" s="91"/>
      <c r="N356" s="91"/>
      <c r="O356" s="91"/>
      <c r="P356" s="54"/>
      <c r="Q356" s="54"/>
      <c r="R356" s="54"/>
      <c r="S356" s="54"/>
      <c r="T356" s="54"/>
    </row>
    <row r="357" spans="2:20" ht="15.75">
      <c r="B357" s="80" t="s">
        <v>331</v>
      </c>
      <c r="C357" s="21"/>
      <c r="D357" s="52"/>
      <c r="E357" s="52"/>
      <c r="F357" s="52"/>
      <c r="G357" s="52"/>
      <c r="H357" s="53"/>
      <c r="J357" s="91"/>
      <c r="K357" s="91"/>
      <c r="L357" s="91"/>
      <c r="M357" s="91"/>
      <c r="N357" s="91"/>
      <c r="O357" s="91"/>
      <c r="P357" s="54"/>
      <c r="Q357" s="54"/>
      <c r="R357" s="54"/>
      <c r="S357" s="54"/>
      <c r="T357" s="54"/>
    </row>
    <row r="358" spans="2:20" ht="15.75">
      <c r="B358" s="75"/>
      <c r="C358" s="99"/>
      <c r="D358" s="52"/>
      <c r="E358" s="52"/>
      <c r="F358" s="52"/>
      <c r="G358" s="52"/>
      <c r="H358" s="53"/>
      <c r="J358" s="91"/>
      <c r="K358" s="91"/>
      <c r="L358" s="91"/>
      <c r="M358" s="91"/>
      <c r="N358" s="91"/>
      <c r="O358" s="91"/>
      <c r="P358" s="54"/>
      <c r="Q358" s="54"/>
      <c r="R358" s="54"/>
      <c r="S358" s="54"/>
      <c r="T358" s="54"/>
    </row>
    <row r="359" spans="2:20" ht="15.75">
      <c r="B359" s="75" t="s">
        <v>332</v>
      </c>
      <c r="C359" s="99" t="s">
        <v>333</v>
      </c>
      <c r="D359" s="52"/>
      <c r="E359" s="52"/>
      <c r="F359" s="52"/>
      <c r="G359" s="52"/>
      <c r="H359" s="53"/>
      <c r="J359" s="91"/>
      <c r="K359" s="91"/>
      <c r="L359" s="91"/>
      <c r="M359" s="91"/>
      <c r="N359" s="91"/>
      <c r="O359" s="91"/>
      <c r="P359" s="54"/>
      <c r="Q359" s="54"/>
      <c r="R359" s="54"/>
      <c r="S359" s="54"/>
      <c r="T359" s="54"/>
    </row>
    <row r="360" spans="2:20" ht="15.75" outlineLevel="1">
      <c r="B360" s="75"/>
      <c r="C360" s="99" t="s">
        <v>334</v>
      </c>
      <c r="D360" s="52"/>
      <c r="E360" s="52"/>
      <c r="F360" s="52"/>
      <c r="G360" s="52"/>
      <c r="H360" s="53"/>
      <c r="J360" s="91"/>
      <c r="K360" s="91"/>
      <c r="L360" s="91"/>
      <c r="M360" s="91"/>
      <c r="N360" s="91"/>
      <c r="O360" s="91"/>
      <c r="P360" s="54"/>
      <c r="Q360" s="54"/>
      <c r="R360" s="54"/>
      <c r="S360" s="54"/>
      <c r="T360" s="54"/>
    </row>
    <row r="361" spans="2:20" ht="15.75" outlineLevel="1">
      <c r="B361" s="75"/>
      <c r="C361" s="99" t="s">
        <v>335</v>
      </c>
      <c r="D361" s="52"/>
      <c r="E361" s="52"/>
      <c r="F361" s="52"/>
      <c r="G361" s="52"/>
      <c r="H361" s="53"/>
      <c r="J361" s="91"/>
      <c r="K361" s="91"/>
      <c r="L361" s="91"/>
      <c r="M361" s="91"/>
      <c r="N361" s="91"/>
      <c r="O361" s="91"/>
      <c r="P361" s="54"/>
      <c r="Q361" s="54"/>
      <c r="R361" s="54"/>
      <c r="S361" s="54"/>
      <c r="T361" s="54"/>
    </row>
    <row r="362" spans="2:20" ht="15.75" outlineLevel="1">
      <c r="B362" s="75"/>
      <c r="C362" s="99" t="s">
        <v>336</v>
      </c>
      <c r="D362" s="52"/>
      <c r="E362" s="52"/>
      <c r="F362" s="52"/>
      <c r="G362" s="52"/>
      <c r="H362" s="53"/>
      <c r="J362" s="91"/>
      <c r="K362" s="91"/>
      <c r="L362" s="91"/>
      <c r="M362" s="91"/>
      <c r="N362" s="91"/>
      <c r="O362" s="91"/>
      <c r="P362" s="54"/>
      <c r="Q362" s="54"/>
      <c r="R362" s="54"/>
      <c r="S362" s="54"/>
      <c r="T362" s="54"/>
    </row>
    <row r="363" spans="2:20" ht="15.75" outlineLevel="1">
      <c r="B363" s="75"/>
      <c r="C363" s="99" t="s">
        <v>337</v>
      </c>
      <c r="D363" s="52"/>
      <c r="E363" s="52"/>
      <c r="F363" s="52"/>
      <c r="G363" s="52"/>
      <c r="H363" s="53"/>
      <c r="J363" s="91"/>
      <c r="K363" s="91"/>
      <c r="L363" s="91"/>
      <c r="M363" s="91"/>
      <c r="N363" s="91"/>
      <c r="O363" s="91"/>
      <c r="P363" s="54"/>
      <c r="Q363" s="54"/>
      <c r="R363" s="54"/>
      <c r="S363" s="54"/>
      <c r="T363" s="54"/>
    </row>
    <row r="364" spans="2:20" ht="15.75" outlineLevel="1">
      <c r="B364" s="75"/>
      <c r="C364" s="99"/>
      <c r="D364" s="52"/>
      <c r="E364" s="52"/>
      <c r="F364" s="52"/>
      <c r="G364" s="52"/>
      <c r="H364" s="53"/>
      <c r="J364" s="91"/>
      <c r="K364" s="91"/>
      <c r="L364" s="91"/>
      <c r="M364" s="91"/>
      <c r="N364" s="91"/>
      <c r="O364" s="91"/>
      <c r="P364" s="54"/>
      <c r="Q364" s="54"/>
      <c r="R364" s="54"/>
      <c r="S364" s="54"/>
      <c r="T364" s="54"/>
    </row>
    <row r="365" spans="2:20" ht="15.75" outlineLevel="1">
      <c r="B365" s="75"/>
      <c r="C365" s="99" t="s">
        <v>338</v>
      </c>
      <c r="D365" s="52"/>
      <c r="E365" s="52"/>
      <c r="F365" s="52"/>
      <c r="G365" s="52"/>
      <c r="H365" s="53"/>
      <c r="J365" s="91"/>
      <c r="K365" s="91"/>
      <c r="L365" s="91"/>
      <c r="M365" s="91"/>
      <c r="N365" s="91"/>
      <c r="O365" s="91"/>
      <c r="P365" s="54"/>
      <c r="Q365" s="54"/>
      <c r="R365" s="54"/>
      <c r="S365" s="54"/>
      <c r="T365" s="54"/>
    </row>
    <row r="366" spans="2:20" ht="15.75" outlineLevel="1">
      <c r="B366" s="75"/>
      <c r="C366" s="99" t="s">
        <v>339</v>
      </c>
      <c r="D366" s="52"/>
      <c r="E366" s="52"/>
      <c r="F366" s="52"/>
      <c r="G366" s="52"/>
      <c r="H366" s="53"/>
      <c r="J366" s="91"/>
      <c r="K366" s="91"/>
      <c r="L366" s="91"/>
      <c r="M366" s="91"/>
      <c r="N366" s="91"/>
      <c r="O366" s="91"/>
      <c r="P366" s="54"/>
      <c r="Q366" s="54"/>
      <c r="R366" s="54"/>
      <c r="S366" s="54"/>
      <c r="T366" s="54"/>
    </row>
    <row r="367" spans="2:20" ht="15.75" outlineLevel="1">
      <c r="B367" s="75"/>
      <c r="C367" s="99" t="s">
        <v>183</v>
      </c>
      <c r="D367" s="52"/>
      <c r="E367" s="52"/>
      <c r="F367" s="52"/>
      <c r="G367" s="52"/>
      <c r="H367" s="53"/>
      <c r="J367" s="91"/>
      <c r="K367" s="91"/>
      <c r="L367" s="91"/>
      <c r="M367" s="91"/>
      <c r="N367" s="91"/>
      <c r="O367" s="91"/>
      <c r="P367" s="54"/>
      <c r="Q367" s="54"/>
      <c r="R367" s="54"/>
      <c r="S367" s="54"/>
      <c r="T367" s="54"/>
    </row>
    <row r="368" spans="2:20" ht="15.75" outlineLevel="1">
      <c r="B368" s="75"/>
      <c r="C368" s="99" t="s">
        <v>340</v>
      </c>
      <c r="D368" s="52"/>
      <c r="E368" s="52"/>
      <c r="F368" s="52"/>
      <c r="G368" s="52"/>
      <c r="H368" s="53"/>
      <c r="J368" s="91"/>
      <c r="K368" s="91"/>
      <c r="L368" s="91"/>
      <c r="M368" s="91"/>
      <c r="N368" s="91"/>
      <c r="O368" s="91"/>
      <c r="P368" s="54"/>
      <c r="Q368" s="54"/>
      <c r="R368" s="54"/>
      <c r="S368" s="54"/>
      <c r="T368" s="54"/>
    </row>
    <row r="369" spans="2:20" ht="15.75" outlineLevel="1">
      <c r="B369" s="75"/>
      <c r="C369" s="99" t="s">
        <v>341</v>
      </c>
      <c r="D369" s="52"/>
      <c r="E369" s="52"/>
      <c r="F369" s="52"/>
      <c r="G369" s="52"/>
      <c r="H369" s="53"/>
      <c r="J369" s="91"/>
      <c r="K369" s="91"/>
      <c r="L369" s="91"/>
      <c r="M369" s="91"/>
      <c r="N369" s="91"/>
      <c r="O369" s="91"/>
      <c r="P369" s="54"/>
      <c r="Q369" s="54"/>
      <c r="R369" s="54"/>
      <c r="S369" s="54"/>
      <c r="T369" s="54"/>
    </row>
    <row r="370" spans="2:20" ht="15.75" outlineLevel="1">
      <c r="B370" s="75"/>
      <c r="C370" s="99" t="s">
        <v>342</v>
      </c>
      <c r="D370" s="52"/>
      <c r="E370" s="52"/>
      <c r="F370" s="52"/>
      <c r="G370" s="52"/>
      <c r="H370" s="53"/>
      <c r="J370" s="91"/>
      <c r="K370" s="91"/>
      <c r="L370" s="91"/>
      <c r="M370" s="91"/>
      <c r="N370" s="91"/>
      <c r="O370" s="91"/>
      <c r="P370" s="54"/>
      <c r="Q370" s="54"/>
      <c r="R370" s="54"/>
      <c r="S370" s="54"/>
      <c r="T370" s="54"/>
    </row>
    <row r="371" spans="2:20" ht="15.75">
      <c r="B371" s="75"/>
      <c r="C371" s="99"/>
      <c r="D371" s="52"/>
      <c r="E371" s="52"/>
      <c r="F371" s="52"/>
      <c r="G371" s="52"/>
      <c r="H371" s="53"/>
      <c r="J371" s="91"/>
      <c r="K371" s="91"/>
      <c r="L371" s="91"/>
      <c r="M371" s="91"/>
      <c r="N371" s="91"/>
      <c r="O371" s="91"/>
      <c r="P371" s="54"/>
      <c r="Q371" s="54"/>
      <c r="R371" s="54"/>
      <c r="S371" s="54"/>
      <c r="T371" s="54"/>
    </row>
    <row r="372" spans="2:20" ht="15.75">
      <c r="B372" s="75" t="s">
        <v>343</v>
      </c>
      <c r="C372" s="99"/>
      <c r="D372" s="52"/>
      <c r="E372" s="52"/>
      <c r="F372" s="52"/>
      <c r="G372" s="52"/>
      <c r="H372" s="53"/>
      <c r="J372" s="91"/>
      <c r="K372" s="91"/>
      <c r="L372" s="91"/>
      <c r="M372" s="91"/>
      <c r="N372" s="91"/>
      <c r="O372" s="91"/>
      <c r="P372" s="54"/>
      <c r="Q372" s="54"/>
      <c r="R372" s="54"/>
      <c r="S372" s="54"/>
      <c r="T372" s="54"/>
    </row>
    <row r="373" spans="2:20" ht="15.75">
      <c r="B373" s="80" t="s">
        <v>344</v>
      </c>
      <c r="C373" s="99"/>
      <c r="D373" s="52"/>
      <c r="E373" s="52"/>
      <c r="F373" s="52"/>
      <c r="G373" s="52"/>
      <c r="H373" s="53"/>
      <c r="J373" s="91"/>
      <c r="K373" s="91"/>
      <c r="L373" s="91"/>
      <c r="M373" s="91"/>
      <c r="N373" s="91"/>
      <c r="O373" s="91"/>
      <c r="P373" s="54"/>
      <c r="Q373" s="54"/>
      <c r="R373" s="54"/>
      <c r="S373" s="54"/>
      <c r="T373" s="54"/>
    </row>
    <row r="374" spans="2:20" ht="15.75">
      <c r="B374" s="80"/>
      <c r="C374" s="99"/>
      <c r="D374" s="52"/>
      <c r="E374" s="52"/>
      <c r="F374" s="52"/>
      <c r="G374" s="52"/>
      <c r="H374" s="53"/>
      <c r="J374" s="91"/>
      <c r="K374" s="91"/>
      <c r="L374" s="91"/>
      <c r="M374" s="91"/>
      <c r="N374" s="91"/>
      <c r="O374" s="91"/>
      <c r="P374" s="54"/>
      <c r="Q374" s="54"/>
      <c r="R374" s="54"/>
      <c r="S374" s="54"/>
      <c r="T374" s="54"/>
    </row>
    <row r="375" spans="2:20" ht="15.75">
      <c r="B375" s="80"/>
      <c r="C375" s="50" t="s">
        <v>345</v>
      </c>
      <c r="D375" s="52"/>
      <c r="E375" s="52"/>
      <c r="F375" s="52"/>
      <c r="G375" s="52"/>
      <c r="H375" s="53"/>
      <c r="J375" s="91"/>
      <c r="K375" s="91"/>
      <c r="L375" s="91"/>
      <c r="M375" s="91"/>
      <c r="N375" s="91"/>
      <c r="O375" s="91"/>
      <c r="P375" s="54"/>
      <c r="Q375" s="54"/>
      <c r="R375" s="54"/>
      <c r="S375" s="54"/>
      <c r="T375" s="54"/>
    </row>
    <row r="376" spans="2:20" ht="15.75">
      <c r="B376" s="80"/>
      <c r="C376" s="50" t="s">
        <v>346</v>
      </c>
      <c r="D376" s="52"/>
      <c r="E376" s="52"/>
      <c r="F376" s="52"/>
      <c r="G376" s="52"/>
      <c r="H376" s="53"/>
      <c r="J376" s="91"/>
      <c r="K376" s="91"/>
      <c r="L376" s="91"/>
      <c r="M376" s="91"/>
      <c r="N376" s="91"/>
      <c r="O376" s="91"/>
      <c r="P376" s="54"/>
      <c r="Q376" s="54"/>
      <c r="R376" s="54"/>
      <c r="S376" s="54"/>
      <c r="T376" s="54"/>
    </row>
    <row r="377" spans="2:20" ht="15.75">
      <c r="B377" s="80"/>
      <c r="C377" s="50" t="s">
        <v>347</v>
      </c>
      <c r="D377" s="52"/>
      <c r="E377" s="52"/>
      <c r="F377" s="52"/>
      <c r="G377" s="52"/>
      <c r="H377" s="53"/>
      <c r="J377" s="91"/>
      <c r="K377" s="91"/>
      <c r="L377" s="91"/>
      <c r="M377" s="91"/>
      <c r="N377" s="91"/>
      <c r="O377" s="91"/>
      <c r="P377" s="54"/>
      <c r="Q377" s="54"/>
      <c r="R377" s="54"/>
      <c r="S377" s="54"/>
      <c r="T377" s="54"/>
    </row>
    <row r="378" spans="2:20" ht="14.25" customHeight="1" thickBot="1">
      <c r="B378" s="54"/>
      <c r="C378" s="54"/>
      <c r="D378" s="54"/>
      <c r="E378" s="54"/>
      <c r="F378" s="54"/>
      <c r="G378" s="54"/>
      <c r="H378" s="87"/>
      <c r="I378" s="92"/>
      <c r="J378" s="74" t="s">
        <v>60</v>
      </c>
      <c r="K378" s="91"/>
      <c r="L378" s="91"/>
      <c r="M378" s="91"/>
      <c r="N378" s="91"/>
      <c r="O378" s="91"/>
      <c r="P378" s="108"/>
    </row>
    <row r="379" spans="2:20" ht="25.5" customHeight="1" thickBot="1">
      <c r="B379" s="42" t="s">
        <v>9</v>
      </c>
      <c r="C379" s="42" t="s">
        <v>62</v>
      </c>
      <c r="D379" s="42" t="s">
        <v>11</v>
      </c>
      <c r="E379" s="42" t="s">
        <v>63</v>
      </c>
      <c r="F379" s="42" t="s">
        <v>13</v>
      </c>
      <c r="G379" s="42" t="s">
        <v>14</v>
      </c>
      <c r="H379" s="42" t="s">
        <v>15</v>
      </c>
      <c r="J379" s="1" t="s">
        <v>64</v>
      </c>
      <c r="K379" s="1" t="s">
        <v>133</v>
      </c>
      <c r="L379" s="1" t="s">
        <v>223</v>
      </c>
      <c r="M379" s="1" t="s">
        <v>295</v>
      </c>
      <c r="N379" s="54"/>
      <c r="O379" s="1" t="s">
        <v>348</v>
      </c>
      <c r="P379" s="91"/>
      <c r="Q379" s="91"/>
      <c r="R379" s="91"/>
      <c r="S379" s="91"/>
      <c r="T379" s="91"/>
    </row>
    <row r="380" spans="2:20" ht="15" customHeight="1">
      <c r="B380" s="52"/>
      <c r="C380" s="52"/>
      <c r="D380" s="52"/>
      <c r="E380" s="52"/>
      <c r="F380" s="52"/>
      <c r="G380" s="52"/>
      <c r="H380" s="53"/>
      <c r="J380" s="59"/>
      <c r="L380" s="54"/>
      <c r="M380" s="54"/>
      <c r="N380" s="54"/>
      <c r="O380" s="91"/>
      <c r="P380" s="91"/>
      <c r="Q380" s="91"/>
      <c r="R380" s="91"/>
      <c r="S380" s="91"/>
      <c r="T380" s="91"/>
    </row>
    <row r="381" spans="2:20" ht="23.25" customHeight="1">
      <c r="B381" s="68" t="s">
        <v>349</v>
      </c>
      <c r="C381" s="68">
        <v>6</v>
      </c>
      <c r="D381" s="76">
        <v>0</v>
      </c>
      <c r="E381" s="2" t="s">
        <v>66</v>
      </c>
      <c r="F381" s="3" t="s">
        <v>67</v>
      </c>
      <c r="G381" s="3" t="s">
        <v>68</v>
      </c>
      <c r="H381" s="47">
        <v>6</v>
      </c>
      <c r="I381" s="64"/>
      <c r="J381" s="78">
        <v>3401368</v>
      </c>
      <c r="K381" s="88">
        <v>241.39</v>
      </c>
      <c r="L381" s="78" t="s">
        <v>227</v>
      </c>
      <c r="M381" s="78">
        <v>200</v>
      </c>
      <c r="N381" s="54"/>
      <c r="O381" s="78" t="s">
        <v>350</v>
      </c>
      <c r="P381" s="91"/>
      <c r="Q381" s="91"/>
      <c r="R381" s="91"/>
      <c r="S381" s="91"/>
      <c r="T381" s="91"/>
    </row>
    <row r="382" spans="2:20" ht="15" customHeight="1">
      <c r="B382" s="52"/>
      <c r="C382" s="52"/>
      <c r="D382" s="52"/>
      <c r="E382" s="52"/>
      <c r="F382" s="77"/>
      <c r="G382" s="77"/>
      <c r="H382" s="85"/>
      <c r="J382" s="79"/>
      <c r="K382" s="90"/>
      <c r="L382" s="90"/>
      <c r="M382" s="90"/>
      <c r="N382" s="54"/>
      <c r="O382" s="91"/>
      <c r="P382" s="100"/>
      <c r="Q382" s="100"/>
      <c r="R382" s="100"/>
      <c r="S382" s="100"/>
      <c r="T382" s="100"/>
    </row>
    <row r="383" spans="2:20" ht="23.25">
      <c r="B383" s="68">
        <v>101</v>
      </c>
      <c r="C383" s="68">
        <f>C381</f>
        <v>6</v>
      </c>
      <c r="D383" s="76">
        <v>12</v>
      </c>
      <c r="E383" s="2">
        <v>1</v>
      </c>
      <c r="F383" s="3" t="s">
        <v>67</v>
      </c>
      <c r="G383" s="3" t="s">
        <v>71</v>
      </c>
      <c r="H383" s="47">
        <v>14</v>
      </c>
      <c r="I383" s="64"/>
      <c r="J383" s="78" t="s">
        <v>351</v>
      </c>
      <c r="K383" s="78" t="s">
        <v>351</v>
      </c>
      <c r="L383" s="78" t="s">
        <v>351</v>
      </c>
      <c r="M383" s="78" t="s">
        <v>351</v>
      </c>
      <c r="N383" s="54"/>
      <c r="O383" s="78" t="s">
        <v>352</v>
      </c>
      <c r="P383" s="100"/>
      <c r="Q383" s="100"/>
      <c r="R383" s="100"/>
      <c r="S383" s="100"/>
      <c r="T383" s="100"/>
    </row>
    <row r="384" spans="2:20" ht="23.25">
      <c r="B384" s="68">
        <v>102</v>
      </c>
      <c r="C384" s="68">
        <f>C383</f>
        <v>6</v>
      </c>
      <c r="D384" s="76">
        <v>12</v>
      </c>
      <c r="E384" s="2">
        <v>2</v>
      </c>
      <c r="F384" s="3" t="s">
        <v>72</v>
      </c>
      <c r="G384" s="3" t="s">
        <v>73</v>
      </c>
      <c r="H384" s="47">
        <v>23</v>
      </c>
      <c r="I384" s="64"/>
      <c r="J384" s="78" t="s">
        <v>351</v>
      </c>
      <c r="K384" s="78" t="s">
        <v>351</v>
      </c>
      <c r="L384" s="78" t="s">
        <v>351</v>
      </c>
      <c r="M384" s="78" t="s">
        <v>351</v>
      </c>
      <c r="N384" s="54"/>
      <c r="O384" s="78" t="s">
        <v>353</v>
      </c>
      <c r="P384" s="100"/>
      <c r="Q384" s="100"/>
      <c r="R384" s="100"/>
      <c r="S384" s="100"/>
      <c r="T384" s="100"/>
    </row>
    <row r="385" spans="2:20" ht="23.25">
      <c r="B385" s="68">
        <v>103</v>
      </c>
      <c r="C385" s="68">
        <f t="shared" ref="C385:C402" si="4">C384</f>
        <v>6</v>
      </c>
      <c r="D385" s="76">
        <v>12</v>
      </c>
      <c r="E385" s="2">
        <v>3</v>
      </c>
      <c r="F385" s="3" t="s">
        <v>74</v>
      </c>
      <c r="G385" s="3" t="s">
        <v>68</v>
      </c>
      <c r="H385" s="47">
        <v>6</v>
      </c>
      <c r="I385" s="64"/>
      <c r="J385" s="78" t="s">
        <v>351</v>
      </c>
      <c r="K385" s="78" t="s">
        <v>351</v>
      </c>
      <c r="L385" s="78" t="s">
        <v>351</v>
      </c>
      <c r="M385" s="78" t="s">
        <v>351</v>
      </c>
      <c r="N385" s="54"/>
      <c r="O385" s="78" t="s">
        <v>350</v>
      </c>
      <c r="P385" s="100"/>
      <c r="Q385" s="100"/>
      <c r="R385" s="100"/>
      <c r="S385" s="100"/>
      <c r="T385" s="100"/>
    </row>
    <row r="386" spans="2:20" ht="23.25">
      <c r="B386" s="68">
        <v>104</v>
      </c>
      <c r="C386" s="68">
        <f t="shared" si="4"/>
        <v>6</v>
      </c>
      <c r="D386" s="76">
        <v>12</v>
      </c>
      <c r="E386" s="2">
        <v>4</v>
      </c>
      <c r="F386" s="3" t="s">
        <v>75</v>
      </c>
      <c r="G386" s="3" t="s">
        <v>71</v>
      </c>
      <c r="H386" s="47">
        <v>7</v>
      </c>
      <c r="I386" s="64"/>
      <c r="J386" s="78" t="s">
        <v>351</v>
      </c>
      <c r="K386" s="78" t="s">
        <v>351</v>
      </c>
      <c r="L386" s="78" t="s">
        <v>351</v>
      </c>
      <c r="M386" s="78" t="s">
        <v>351</v>
      </c>
      <c r="N386" s="54"/>
      <c r="O386" s="78" t="s">
        <v>354</v>
      </c>
      <c r="P386" s="100"/>
      <c r="Q386" s="100"/>
      <c r="R386" s="100"/>
      <c r="S386" s="100"/>
      <c r="T386" s="100"/>
    </row>
    <row r="387" spans="2:20" ht="23.25">
      <c r="B387" s="68">
        <v>105</v>
      </c>
      <c r="C387" s="68">
        <f t="shared" si="4"/>
        <v>6</v>
      </c>
      <c r="D387" s="76">
        <v>12</v>
      </c>
      <c r="E387" s="2">
        <v>5</v>
      </c>
      <c r="F387" s="3" t="s">
        <v>75</v>
      </c>
      <c r="G387" s="3" t="s">
        <v>76</v>
      </c>
      <c r="H387" s="47">
        <v>6</v>
      </c>
      <c r="I387" s="64"/>
      <c r="J387" s="78" t="s">
        <v>351</v>
      </c>
      <c r="K387" s="78" t="s">
        <v>351</v>
      </c>
      <c r="L387" s="78" t="s">
        <v>351</v>
      </c>
      <c r="M387" s="78" t="s">
        <v>351</v>
      </c>
      <c r="N387" s="54"/>
      <c r="O387" s="78" t="s">
        <v>355</v>
      </c>
      <c r="P387" s="100"/>
      <c r="Q387" s="100"/>
      <c r="R387" s="100"/>
      <c r="S387" s="100"/>
      <c r="T387" s="100"/>
    </row>
    <row r="388" spans="2:20" ht="23.25">
      <c r="B388" s="68">
        <v>106</v>
      </c>
      <c r="C388" s="68">
        <f t="shared" si="4"/>
        <v>6</v>
      </c>
      <c r="D388" s="76">
        <v>12</v>
      </c>
      <c r="E388" s="2">
        <v>6</v>
      </c>
      <c r="F388" s="3" t="s">
        <v>74</v>
      </c>
      <c r="G388" s="3" t="s">
        <v>73</v>
      </c>
      <c r="H388" s="47">
        <v>14</v>
      </c>
      <c r="I388" s="64"/>
      <c r="J388" s="78" t="s">
        <v>351</v>
      </c>
      <c r="K388" s="78" t="s">
        <v>351</v>
      </c>
      <c r="L388" s="78" t="s">
        <v>351</v>
      </c>
      <c r="M388" s="78" t="s">
        <v>351</v>
      </c>
      <c r="N388" s="54"/>
      <c r="O388" s="78" t="s">
        <v>356</v>
      </c>
      <c r="P388" s="100"/>
      <c r="Q388" s="100"/>
      <c r="R388" s="100"/>
      <c r="S388" s="100"/>
      <c r="T388" s="100"/>
    </row>
    <row r="389" spans="2:20" ht="23.25">
      <c r="B389" s="68">
        <v>107</v>
      </c>
      <c r="C389" s="68">
        <f t="shared" si="4"/>
        <v>6</v>
      </c>
      <c r="D389" s="76">
        <v>12</v>
      </c>
      <c r="E389" s="2">
        <v>7</v>
      </c>
      <c r="F389" s="3" t="s">
        <v>72</v>
      </c>
      <c r="G389" s="3" t="s">
        <v>76</v>
      </c>
      <c r="H389" s="47">
        <v>5</v>
      </c>
      <c r="I389" s="64"/>
      <c r="J389" s="78" t="s">
        <v>351</v>
      </c>
      <c r="K389" s="78" t="s">
        <v>351</v>
      </c>
      <c r="L389" s="78" t="s">
        <v>351</v>
      </c>
      <c r="M389" s="78" t="s">
        <v>351</v>
      </c>
      <c r="N389" s="54"/>
      <c r="O389" s="78" t="s">
        <v>357</v>
      </c>
      <c r="P389" s="100"/>
      <c r="Q389" s="100"/>
      <c r="R389" s="100"/>
      <c r="S389" s="100"/>
      <c r="T389" s="100"/>
    </row>
    <row r="390" spans="2:20" ht="23.25">
      <c r="B390" s="68">
        <v>108</v>
      </c>
      <c r="C390" s="68">
        <f t="shared" si="4"/>
        <v>6</v>
      </c>
      <c r="D390" s="76">
        <v>12</v>
      </c>
      <c r="E390" s="2">
        <v>8</v>
      </c>
      <c r="F390" s="3" t="s">
        <v>67</v>
      </c>
      <c r="G390" s="3" t="s">
        <v>77</v>
      </c>
      <c r="H390" s="47">
        <v>5</v>
      </c>
      <c r="I390" s="64"/>
      <c r="J390" s="78" t="s">
        <v>351</v>
      </c>
      <c r="K390" s="78" t="s">
        <v>351</v>
      </c>
      <c r="L390" s="78" t="s">
        <v>351</v>
      </c>
      <c r="M390" s="78" t="s">
        <v>351</v>
      </c>
      <c r="N390" s="54"/>
      <c r="O390" s="78" t="s">
        <v>357</v>
      </c>
      <c r="P390" s="100"/>
      <c r="Q390" s="100"/>
      <c r="R390" s="100"/>
      <c r="S390" s="100"/>
      <c r="T390" s="100"/>
    </row>
    <row r="391" spans="2:20" ht="23.25">
      <c r="B391" s="68">
        <v>109</v>
      </c>
      <c r="C391" s="68">
        <f t="shared" si="4"/>
        <v>6</v>
      </c>
      <c r="D391" s="76">
        <v>12</v>
      </c>
      <c r="E391" s="2">
        <v>9</v>
      </c>
      <c r="F391" s="3" t="s">
        <v>67</v>
      </c>
      <c r="G391" s="3" t="s">
        <v>78</v>
      </c>
      <c r="H391" s="47">
        <v>150</v>
      </c>
      <c r="I391" s="64"/>
      <c r="J391" s="78" t="s">
        <v>351</v>
      </c>
      <c r="K391" s="78" t="s">
        <v>351</v>
      </c>
      <c r="L391" s="78" t="s">
        <v>351</v>
      </c>
      <c r="M391" s="78" t="s">
        <v>351</v>
      </c>
      <c r="N391" s="54"/>
      <c r="O391" s="78" t="s">
        <v>353</v>
      </c>
      <c r="P391" s="100"/>
      <c r="Q391" s="100"/>
      <c r="R391" s="100"/>
      <c r="S391" s="100"/>
      <c r="T391" s="100"/>
    </row>
    <row r="392" spans="2:20" ht="23.25">
      <c r="B392" s="68">
        <v>110</v>
      </c>
      <c r="C392" s="68">
        <f t="shared" si="4"/>
        <v>6</v>
      </c>
      <c r="D392" s="76">
        <v>12</v>
      </c>
      <c r="E392" s="2">
        <v>10</v>
      </c>
      <c r="F392" s="3" t="s">
        <v>74</v>
      </c>
      <c r="G392" s="3" t="s">
        <v>79</v>
      </c>
      <c r="H392" s="47">
        <v>5</v>
      </c>
      <c r="I392" s="64"/>
      <c r="J392" s="78" t="s">
        <v>351</v>
      </c>
      <c r="K392" s="78" t="s">
        <v>351</v>
      </c>
      <c r="L392" s="78" t="s">
        <v>351</v>
      </c>
      <c r="M392" s="78" t="s">
        <v>351</v>
      </c>
      <c r="N392" s="54"/>
      <c r="O392" s="78" t="s">
        <v>353</v>
      </c>
      <c r="P392" s="100"/>
      <c r="Q392" s="100"/>
      <c r="R392" s="100"/>
      <c r="S392" s="100"/>
      <c r="T392" s="100"/>
    </row>
    <row r="393" spans="2:20" ht="23.25">
      <c r="B393" s="68">
        <v>111</v>
      </c>
      <c r="C393" s="68">
        <f t="shared" si="4"/>
        <v>6</v>
      </c>
      <c r="D393" s="76">
        <v>12</v>
      </c>
      <c r="E393" s="2">
        <v>11</v>
      </c>
      <c r="F393" s="3" t="s">
        <v>67</v>
      </c>
      <c r="G393" s="3" t="s">
        <v>68</v>
      </c>
      <c r="H393" s="47">
        <v>5</v>
      </c>
      <c r="I393" s="64"/>
      <c r="J393" s="78" t="s">
        <v>351</v>
      </c>
      <c r="K393" s="78" t="s">
        <v>351</v>
      </c>
      <c r="L393" s="78" t="s">
        <v>351</v>
      </c>
      <c r="M393" s="78" t="s">
        <v>351</v>
      </c>
      <c r="N393" s="54"/>
      <c r="O393" s="78" t="s">
        <v>358</v>
      </c>
      <c r="P393" s="100"/>
      <c r="Q393" s="100"/>
      <c r="R393" s="100"/>
      <c r="S393" s="100"/>
      <c r="T393" s="100"/>
    </row>
    <row r="394" spans="2:20" ht="23.25">
      <c r="B394" s="68">
        <v>112</v>
      </c>
      <c r="C394" s="68">
        <f t="shared" si="4"/>
        <v>6</v>
      </c>
      <c r="D394" s="76">
        <v>12</v>
      </c>
      <c r="E394" s="2">
        <v>12</v>
      </c>
      <c r="F394" s="3" t="s">
        <v>72</v>
      </c>
      <c r="G394" s="3" t="s">
        <v>71</v>
      </c>
      <c r="H394" s="47">
        <v>6</v>
      </c>
      <c r="I394" s="64"/>
      <c r="J394" s="78" t="s">
        <v>351</v>
      </c>
      <c r="K394" s="78" t="s">
        <v>351</v>
      </c>
      <c r="L394" s="78" t="s">
        <v>351</v>
      </c>
      <c r="M394" s="78" t="s">
        <v>351</v>
      </c>
      <c r="N394" s="54"/>
      <c r="O394" s="78" t="s">
        <v>358</v>
      </c>
      <c r="P394" s="100"/>
      <c r="Q394" s="100"/>
      <c r="R394" s="100"/>
      <c r="S394" s="100"/>
      <c r="T394" s="100"/>
    </row>
    <row r="395" spans="2:20" ht="23.25">
      <c r="B395" s="68">
        <v>113</v>
      </c>
      <c r="C395" s="68">
        <f t="shared" si="4"/>
        <v>6</v>
      </c>
      <c r="D395" s="76">
        <v>12</v>
      </c>
      <c r="E395" s="2">
        <v>13</v>
      </c>
      <c r="F395" s="3" t="s">
        <v>74</v>
      </c>
      <c r="G395" s="3" t="s">
        <v>77</v>
      </c>
      <c r="H395" s="47">
        <v>7</v>
      </c>
      <c r="I395" s="64"/>
      <c r="J395" s="78" t="s">
        <v>351</v>
      </c>
      <c r="K395" s="78" t="s">
        <v>351</v>
      </c>
      <c r="L395" s="78" t="s">
        <v>351</v>
      </c>
      <c r="M395" s="78" t="s">
        <v>351</v>
      </c>
      <c r="N395" s="54"/>
      <c r="O395" s="78" t="s">
        <v>356</v>
      </c>
      <c r="P395" s="100"/>
      <c r="Q395" s="100"/>
      <c r="R395" s="100"/>
      <c r="S395" s="100"/>
      <c r="T395" s="100"/>
    </row>
    <row r="396" spans="2:20" ht="23.25">
      <c r="B396" s="68">
        <v>114</v>
      </c>
      <c r="C396" s="68">
        <f t="shared" si="4"/>
        <v>6</v>
      </c>
      <c r="D396" s="76">
        <v>12</v>
      </c>
      <c r="E396" s="2">
        <v>14</v>
      </c>
      <c r="F396" s="3" t="s">
        <v>72</v>
      </c>
      <c r="G396" s="3" t="s">
        <v>79</v>
      </c>
      <c r="H396" s="47">
        <v>14</v>
      </c>
      <c r="I396" s="64"/>
      <c r="J396" s="78" t="s">
        <v>351</v>
      </c>
      <c r="K396" s="78" t="s">
        <v>351</v>
      </c>
      <c r="L396" s="78" t="s">
        <v>351</v>
      </c>
      <c r="M396" s="78" t="s">
        <v>351</v>
      </c>
      <c r="N396" s="54"/>
      <c r="O396" s="78" t="s">
        <v>359</v>
      </c>
      <c r="P396" s="100"/>
      <c r="Q396" s="100"/>
      <c r="R396" s="100"/>
      <c r="S396" s="100"/>
      <c r="T396" s="100"/>
    </row>
    <row r="397" spans="2:20" ht="23.25">
      <c r="B397" s="68">
        <v>115</v>
      </c>
      <c r="C397" s="68">
        <f t="shared" si="4"/>
        <v>6</v>
      </c>
      <c r="D397" s="76">
        <v>12</v>
      </c>
      <c r="E397" s="2">
        <v>15</v>
      </c>
      <c r="F397" s="3" t="s">
        <v>75</v>
      </c>
      <c r="G397" s="3" t="s">
        <v>78</v>
      </c>
      <c r="H397" s="47">
        <v>35</v>
      </c>
      <c r="I397" s="64"/>
      <c r="J397" s="78" t="s">
        <v>351</v>
      </c>
      <c r="K397" s="78" t="s">
        <v>351</v>
      </c>
      <c r="L397" s="78" t="s">
        <v>351</v>
      </c>
      <c r="M397" s="78" t="s">
        <v>351</v>
      </c>
      <c r="N397" s="54"/>
      <c r="O397" s="78" t="s">
        <v>350</v>
      </c>
      <c r="P397" s="100"/>
      <c r="Q397" s="100"/>
      <c r="R397" s="100"/>
      <c r="S397" s="100"/>
      <c r="T397" s="100"/>
    </row>
    <row r="398" spans="2:20" ht="23.25">
      <c r="B398" s="68">
        <v>116</v>
      </c>
      <c r="C398" s="68">
        <f t="shared" si="4"/>
        <v>6</v>
      </c>
      <c r="D398" s="76">
        <v>12</v>
      </c>
      <c r="E398" s="2">
        <v>16</v>
      </c>
      <c r="F398" s="3" t="s">
        <v>72</v>
      </c>
      <c r="G398" s="3" t="s">
        <v>78</v>
      </c>
      <c r="H398" s="47">
        <v>35</v>
      </c>
      <c r="I398" s="64"/>
      <c r="J398" s="78" t="s">
        <v>351</v>
      </c>
      <c r="K398" s="78" t="s">
        <v>351</v>
      </c>
      <c r="L398" s="78" t="s">
        <v>351</v>
      </c>
      <c r="M398" s="78" t="s">
        <v>351</v>
      </c>
      <c r="N398" s="54"/>
      <c r="O398" s="78" t="s">
        <v>350</v>
      </c>
      <c r="P398" s="100"/>
      <c r="Q398" s="100"/>
      <c r="R398" s="100"/>
      <c r="S398" s="100"/>
      <c r="T398" s="100"/>
    </row>
    <row r="399" spans="2:20" ht="23.25">
      <c r="B399" s="68">
        <v>117</v>
      </c>
      <c r="C399" s="68">
        <f t="shared" si="4"/>
        <v>6</v>
      </c>
      <c r="D399" s="76">
        <v>12</v>
      </c>
      <c r="E399" s="2">
        <v>17</v>
      </c>
      <c r="F399" s="3" t="s">
        <v>74</v>
      </c>
      <c r="G399" s="3" t="s">
        <v>77</v>
      </c>
      <c r="H399" s="47">
        <v>5</v>
      </c>
      <c r="I399" s="64"/>
      <c r="J399" s="78" t="s">
        <v>351</v>
      </c>
      <c r="K399" s="78" t="s">
        <v>351</v>
      </c>
      <c r="L399" s="78" t="s">
        <v>351</v>
      </c>
      <c r="M399" s="78" t="s">
        <v>351</v>
      </c>
      <c r="N399" s="54"/>
      <c r="O399" s="78" t="s">
        <v>357</v>
      </c>
      <c r="P399" s="100"/>
      <c r="Q399" s="100"/>
      <c r="R399" s="100"/>
      <c r="S399" s="100"/>
      <c r="T399" s="100"/>
    </row>
    <row r="400" spans="2:20" ht="23.25">
      <c r="B400" s="68">
        <v>118</v>
      </c>
      <c r="C400" s="68">
        <f t="shared" si="4"/>
        <v>6</v>
      </c>
      <c r="D400" s="76">
        <v>12</v>
      </c>
      <c r="E400" s="2">
        <v>18</v>
      </c>
      <c r="F400" s="3" t="s">
        <v>72</v>
      </c>
      <c r="G400" s="3" t="s">
        <v>73</v>
      </c>
      <c r="H400" s="47">
        <v>22</v>
      </c>
      <c r="I400" s="64"/>
      <c r="J400" s="78" t="s">
        <v>351</v>
      </c>
      <c r="K400" s="78" t="s">
        <v>351</v>
      </c>
      <c r="L400" s="78" t="s">
        <v>351</v>
      </c>
      <c r="M400" s="78" t="s">
        <v>351</v>
      </c>
      <c r="N400" s="54"/>
      <c r="O400" s="78" t="s">
        <v>360</v>
      </c>
      <c r="P400" s="100"/>
      <c r="Q400" s="100"/>
      <c r="R400" s="100"/>
      <c r="S400" s="100"/>
      <c r="T400" s="100"/>
    </row>
    <row r="401" spans="2:20" ht="23.25">
      <c r="B401" s="68">
        <v>119</v>
      </c>
      <c r="C401" s="68">
        <f t="shared" si="4"/>
        <v>6</v>
      </c>
      <c r="D401" s="76">
        <v>12</v>
      </c>
      <c r="E401" s="2">
        <v>19</v>
      </c>
      <c r="F401" s="3" t="s">
        <v>72</v>
      </c>
      <c r="G401" s="3" t="s">
        <v>73</v>
      </c>
      <c r="H401" s="47">
        <v>18</v>
      </c>
      <c r="I401" s="64"/>
      <c r="J401" s="78" t="s">
        <v>351</v>
      </c>
      <c r="K401" s="78" t="s">
        <v>351</v>
      </c>
      <c r="L401" s="78" t="s">
        <v>351</v>
      </c>
      <c r="M401" s="78" t="s">
        <v>351</v>
      </c>
      <c r="N401" s="54"/>
      <c r="O401" s="78" t="s">
        <v>361</v>
      </c>
      <c r="P401" s="100"/>
      <c r="Q401" s="100"/>
      <c r="R401" s="100"/>
      <c r="S401" s="100"/>
      <c r="T401" s="100"/>
    </row>
    <row r="402" spans="2:20" ht="23.25">
      <c r="B402" s="68">
        <v>120</v>
      </c>
      <c r="C402" s="68">
        <f t="shared" si="4"/>
        <v>6</v>
      </c>
      <c r="D402" s="76">
        <v>12</v>
      </c>
      <c r="E402" s="2">
        <v>20</v>
      </c>
      <c r="F402" s="3" t="s">
        <v>75</v>
      </c>
      <c r="G402" s="3" t="s">
        <v>80</v>
      </c>
      <c r="H402" s="47">
        <v>6</v>
      </c>
      <c r="I402" s="64"/>
      <c r="J402" s="78" t="s">
        <v>351</v>
      </c>
      <c r="K402" s="78" t="s">
        <v>351</v>
      </c>
      <c r="L402" s="78" t="s">
        <v>351</v>
      </c>
      <c r="M402" s="78" t="s">
        <v>351</v>
      </c>
      <c r="N402" s="54"/>
      <c r="O402" s="78" t="s">
        <v>358</v>
      </c>
      <c r="P402" s="100"/>
      <c r="Q402" s="100"/>
      <c r="R402" s="100"/>
      <c r="S402" s="100"/>
      <c r="T402" s="100"/>
    </row>
    <row r="403" spans="2:20" ht="15" customHeight="1">
      <c r="J403" s="91"/>
      <c r="K403" s="91"/>
      <c r="L403" s="91"/>
      <c r="M403" s="91"/>
      <c r="N403" s="91"/>
      <c r="O403" s="91"/>
    </row>
    <row r="404" spans="2:20" ht="15" customHeight="1" thickBot="1">
      <c r="J404" s="91"/>
      <c r="K404" s="91"/>
      <c r="L404" s="91"/>
      <c r="M404" s="91"/>
      <c r="N404" s="91"/>
      <c r="O404" s="91"/>
    </row>
    <row r="405" spans="2:20" ht="25.5" customHeight="1" thickBot="1">
      <c r="B405" s="48" t="s">
        <v>35</v>
      </c>
      <c r="C405" s="49" t="s">
        <v>362</v>
      </c>
      <c r="D405" s="73" t="s">
        <v>363</v>
      </c>
      <c r="E405" s="54"/>
      <c r="F405" s="54"/>
      <c r="G405" s="54"/>
      <c r="H405" s="87"/>
      <c r="I405" s="92"/>
      <c r="J405" s="1" t="s">
        <v>364</v>
      </c>
      <c r="K405" s="1" t="s">
        <v>365</v>
      </c>
      <c r="L405" s="1" t="s">
        <v>308</v>
      </c>
      <c r="M405" s="1" t="s">
        <v>366</v>
      </c>
      <c r="N405" s="1" t="s">
        <v>367</v>
      </c>
    </row>
    <row r="406" spans="2:20">
      <c r="B406" s="75"/>
      <c r="C406" s="54"/>
      <c r="D406" s="54"/>
      <c r="E406" s="54"/>
      <c r="F406" s="54"/>
      <c r="G406" s="54"/>
      <c r="H406" s="87"/>
      <c r="I406" s="92"/>
      <c r="J406" s="35" t="s">
        <v>368</v>
      </c>
      <c r="K406" s="110">
        <v>20000</v>
      </c>
      <c r="L406" s="110">
        <v>1100</v>
      </c>
      <c r="M406" s="110">
        <v>150000</v>
      </c>
      <c r="N406" s="110">
        <f>L406*2</f>
        <v>2200</v>
      </c>
    </row>
    <row r="407" spans="2:20">
      <c r="B407" s="75" t="s">
        <v>369</v>
      </c>
      <c r="C407" s="52"/>
      <c r="D407" s="52"/>
      <c r="E407" s="52"/>
      <c r="F407" s="52"/>
      <c r="G407" s="52"/>
      <c r="H407" s="53"/>
      <c r="J407" s="35" t="s">
        <v>370</v>
      </c>
      <c r="K407" s="110">
        <v>50000</v>
      </c>
      <c r="L407" s="110">
        <v>1250</v>
      </c>
      <c r="M407" s="110">
        <v>550000</v>
      </c>
      <c r="N407" s="110">
        <f t="shared" ref="N407:N415" si="5">L407*2</f>
        <v>2500</v>
      </c>
      <c r="S407" s="54"/>
      <c r="T407" s="54"/>
    </row>
    <row r="408" spans="2:20">
      <c r="B408" s="75" t="s">
        <v>371</v>
      </c>
      <c r="C408" s="21"/>
      <c r="D408" s="52"/>
      <c r="E408" s="52"/>
      <c r="F408" s="52"/>
      <c r="G408" s="52"/>
      <c r="H408" s="53"/>
      <c r="J408" s="35" t="s">
        <v>372</v>
      </c>
      <c r="K408" s="110">
        <v>25000</v>
      </c>
      <c r="L408" s="110">
        <v>1150</v>
      </c>
      <c r="M408" s="110">
        <v>175000</v>
      </c>
      <c r="N408" s="110">
        <f t="shared" si="5"/>
        <v>2300</v>
      </c>
      <c r="S408" s="54"/>
      <c r="T408" s="54"/>
    </row>
    <row r="409" spans="2:20">
      <c r="B409" s="75" t="s">
        <v>373</v>
      </c>
      <c r="C409" s="21"/>
      <c r="D409" s="52"/>
      <c r="E409" s="52"/>
      <c r="F409" s="52"/>
      <c r="G409" s="52"/>
      <c r="H409" s="53"/>
      <c r="J409" s="35" t="s">
        <v>374</v>
      </c>
      <c r="K409" s="110">
        <v>50000</v>
      </c>
      <c r="L409" s="110">
        <v>1300</v>
      </c>
      <c r="M409" s="110">
        <v>370000</v>
      </c>
      <c r="N409" s="110">
        <f t="shared" si="5"/>
        <v>2600</v>
      </c>
      <c r="S409" s="54"/>
      <c r="T409" s="54"/>
    </row>
    <row r="410" spans="2:20">
      <c r="B410" s="75" t="s">
        <v>375</v>
      </c>
      <c r="C410" s="21"/>
      <c r="D410" s="52"/>
      <c r="E410" s="52"/>
      <c r="F410" s="52"/>
      <c r="G410" s="52"/>
      <c r="H410" s="53"/>
      <c r="J410" s="35" t="s">
        <v>376</v>
      </c>
      <c r="K410" s="110">
        <v>60000</v>
      </c>
      <c r="L410" s="110">
        <v>1250</v>
      </c>
      <c r="M410" s="110">
        <v>300000</v>
      </c>
      <c r="N410" s="110">
        <f t="shared" si="5"/>
        <v>2500</v>
      </c>
      <c r="S410" s="54"/>
      <c r="T410" s="54"/>
    </row>
    <row r="411" spans="2:20">
      <c r="B411" s="75" t="s">
        <v>377</v>
      </c>
      <c r="C411" s="21"/>
      <c r="D411" s="52"/>
      <c r="E411" s="52"/>
      <c r="F411" s="52"/>
      <c r="G411" s="52"/>
      <c r="H411" s="53"/>
      <c r="J411" s="35" t="s">
        <v>378</v>
      </c>
      <c r="K411" s="110">
        <v>30000</v>
      </c>
      <c r="L411" s="110">
        <v>1200</v>
      </c>
      <c r="M411" s="110">
        <v>175000</v>
      </c>
      <c r="N411" s="110">
        <f t="shared" si="5"/>
        <v>2400</v>
      </c>
      <c r="S411" s="54"/>
      <c r="T411" s="54"/>
    </row>
    <row r="412" spans="2:20">
      <c r="C412" s="21"/>
      <c r="D412" s="52"/>
      <c r="E412" s="52"/>
      <c r="F412" s="52"/>
      <c r="G412" s="52"/>
      <c r="H412" s="53"/>
      <c r="J412" s="35" t="s">
        <v>379</v>
      </c>
      <c r="K412" s="110">
        <v>70000</v>
      </c>
      <c r="L412" s="110">
        <v>1400</v>
      </c>
      <c r="M412" s="110">
        <v>350000</v>
      </c>
      <c r="N412" s="110">
        <f t="shared" si="5"/>
        <v>2800</v>
      </c>
      <c r="S412" s="54"/>
      <c r="T412" s="54"/>
    </row>
    <row r="413" spans="2:20">
      <c r="B413" s="75" t="s">
        <v>380</v>
      </c>
      <c r="C413" s="21"/>
      <c r="D413" s="52"/>
      <c r="E413" s="52"/>
      <c r="F413" s="52"/>
      <c r="G413" s="52"/>
      <c r="H413" s="53"/>
      <c r="J413" s="35" t="s">
        <v>381</v>
      </c>
      <c r="K413" s="110">
        <v>75000</v>
      </c>
      <c r="L413" s="110">
        <v>1700</v>
      </c>
      <c r="M413" s="110">
        <v>550000</v>
      </c>
      <c r="N413" s="110">
        <f t="shared" si="5"/>
        <v>3400</v>
      </c>
      <c r="S413" s="54"/>
      <c r="T413" s="54"/>
    </row>
    <row r="414" spans="2:20">
      <c r="B414" s="75" t="s">
        <v>382</v>
      </c>
      <c r="C414" s="21"/>
      <c r="D414" s="52"/>
      <c r="E414" s="52"/>
      <c r="F414" s="52"/>
      <c r="G414" s="52"/>
      <c r="H414" s="53"/>
      <c r="J414" s="35" t="s">
        <v>383</v>
      </c>
      <c r="K414" s="110">
        <v>100000</v>
      </c>
      <c r="L414" s="110">
        <v>1350</v>
      </c>
      <c r="M414" s="110">
        <v>500000</v>
      </c>
      <c r="N414" s="110">
        <f t="shared" si="5"/>
        <v>2700</v>
      </c>
      <c r="S414" s="54"/>
      <c r="T414" s="54"/>
    </row>
    <row r="415" spans="2:20">
      <c r="B415" s="109" t="s">
        <v>384</v>
      </c>
      <c r="C415" s="52"/>
      <c r="D415" s="52"/>
      <c r="E415" s="52"/>
      <c r="F415" s="52"/>
      <c r="G415" s="52"/>
      <c r="H415" s="53"/>
      <c r="J415" s="35" t="s">
        <v>385</v>
      </c>
      <c r="K415" s="110">
        <v>500000</v>
      </c>
      <c r="L415" s="110">
        <v>2650</v>
      </c>
      <c r="M415" s="110">
        <v>1000000</v>
      </c>
      <c r="N415" s="110">
        <f t="shared" si="5"/>
        <v>5300</v>
      </c>
      <c r="S415" s="54"/>
      <c r="T415" s="54"/>
    </row>
    <row r="416" spans="2:20" ht="15.75">
      <c r="B416" s="109" t="s">
        <v>386</v>
      </c>
      <c r="C416" s="52"/>
      <c r="D416" s="52"/>
      <c r="E416" s="52"/>
      <c r="F416" s="52"/>
      <c r="G416" s="52"/>
      <c r="H416" s="53"/>
      <c r="J416" s="91"/>
      <c r="K416" s="91"/>
      <c r="L416" s="91"/>
      <c r="M416" s="91"/>
      <c r="N416" s="91"/>
      <c r="O416" s="91"/>
      <c r="P416" s="54"/>
      <c r="Q416" s="54"/>
      <c r="R416" s="54"/>
      <c r="S416" s="54"/>
      <c r="T416" s="54"/>
    </row>
    <row r="417" spans="2:20" ht="15.75">
      <c r="B417" s="109" t="s">
        <v>387</v>
      </c>
      <c r="C417" s="52"/>
      <c r="D417" s="52"/>
      <c r="E417" s="52"/>
      <c r="F417" s="52"/>
      <c r="G417" s="52"/>
      <c r="H417" s="53"/>
      <c r="J417" s="91"/>
      <c r="K417" s="91"/>
      <c r="L417" s="91"/>
      <c r="M417" s="91"/>
      <c r="N417" s="91"/>
      <c r="O417" s="91"/>
      <c r="P417" s="54"/>
      <c r="Q417" s="54"/>
      <c r="R417" s="54"/>
      <c r="S417" s="54"/>
      <c r="T417" s="54"/>
    </row>
    <row r="418" spans="2:20" ht="15.75">
      <c r="B418" s="109" t="s">
        <v>388</v>
      </c>
      <c r="C418" s="52"/>
      <c r="D418" s="52"/>
      <c r="E418" s="52"/>
      <c r="F418" s="52"/>
      <c r="G418" s="52"/>
      <c r="H418" s="53"/>
      <c r="J418" s="91"/>
      <c r="K418" s="91"/>
      <c r="L418" s="91"/>
      <c r="M418" s="91"/>
      <c r="N418" s="91"/>
      <c r="O418" s="91"/>
      <c r="P418" s="54"/>
      <c r="Q418" s="54"/>
      <c r="R418" s="54"/>
      <c r="S418" s="54"/>
      <c r="T418" s="54"/>
    </row>
    <row r="419" spans="2:20" ht="15.75">
      <c r="B419" s="75" t="s">
        <v>389</v>
      </c>
      <c r="C419" s="52"/>
      <c r="D419" s="52"/>
      <c r="E419" s="52"/>
      <c r="F419" s="52"/>
      <c r="G419" s="52"/>
      <c r="H419" s="53"/>
      <c r="J419" s="91"/>
      <c r="K419" s="91"/>
      <c r="L419" s="91"/>
      <c r="M419" s="91"/>
      <c r="N419" s="91"/>
      <c r="O419" s="91"/>
      <c r="P419" s="54"/>
      <c r="Q419" s="54"/>
      <c r="R419" s="54"/>
      <c r="S419" s="54"/>
      <c r="T419" s="54"/>
    </row>
    <row r="420" spans="2:20" ht="15.75">
      <c r="B420" s="75" t="s">
        <v>390</v>
      </c>
      <c r="C420" s="52"/>
      <c r="D420" s="52"/>
      <c r="E420" s="52"/>
      <c r="F420" s="52"/>
      <c r="G420" s="52"/>
      <c r="H420" s="53"/>
      <c r="J420" s="91"/>
      <c r="K420" s="91"/>
      <c r="L420" s="91"/>
      <c r="M420" s="91"/>
      <c r="N420" s="91"/>
      <c r="O420" s="91"/>
      <c r="P420" s="54"/>
      <c r="Q420" s="54"/>
      <c r="R420" s="54"/>
      <c r="S420" s="54"/>
      <c r="T420" s="54"/>
    </row>
    <row r="421" spans="2:20" ht="15.75">
      <c r="B421" s="80"/>
      <c r="C421" s="52"/>
      <c r="D421" s="52"/>
      <c r="E421" s="52"/>
      <c r="F421" s="52"/>
      <c r="G421" s="52"/>
      <c r="H421" s="53"/>
      <c r="J421" s="91"/>
      <c r="K421" s="91"/>
      <c r="L421" s="91"/>
      <c r="M421" s="91"/>
      <c r="N421" s="91"/>
      <c r="O421" s="91"/>
      <c r="P421" s="54"/>
      <c r="Q421" s="54"/>
      <c r="R421" s="54"/>
      <c r="S421" s="54"/>
      <c r="T421" s="54"/>
    </row>
    <row r="422" spans="2:20" ht="15.75">
      <c r="B422" s="75" t="s">
        <v>392</v>
      </c>
      <c r="C422" s="52" t="s">
        <v>393</v>
      </c>
      <c r="D422" s="52"/>
      <c r="E422" s="52"/>
      <c r="F422" s="52"/>
      <c r="G422" s="52"/>
      <c r="H422" s="53"/>
      <c r="J422" s="91"/>
      <c r="K422" s="91"/>
      <c r="L422" s="91"/>
      <c r="M422" s="91"/>
      <c r="N422" s="91"/>
      <c r="O422" s="91"/>
      <c r="P422" s="54"/>
      <c r="Q422" s="54"/>
      <c r="R422" s="54"/>
      <c r="S422" s="54"/>
      <c r="T422" s="54"/>
    </row>
    <row r="423" spans="2:20" ht="15.75" outlineLevel="1">
      <c r="B423" s="75"/>
      <c r="C423" s="52" t="s">
        <v>394</v>
      </c>
      <c r="D423" s="52"/>
      <c r="E423" s="52"/>
      <c r="F423" s="52"/>
      <c r="G423" s="52"/>
      <c r="H423" s="53"/>
      <c r="J423" s="91"/>
      <c r="K423" s="91"/>
      <c r="L423" s="91"/>
      <c r="M423" s="91"/>
      <c r="N423" s="91"/>
      <c r="O423" s="91"/>
      <c r="P423" s="54"/>
      <c r="Q423" s="54"/>
      <c r="R423" s="54"/>
      <c r="S423" s="54"/>
      <c r="T423" s="54"/>
    </row>
    <row r="424" spans="2:20" ht="15.75" outlineLevel="1">
      <c r="B424" s="75"/>
      <c r="C424" s="52" t="s">
        <v>395</v>
      </c>
      <c r="D424" s="52"/>
      <c r="E424" s="52"/>
      <c r="F424" s="52"/>
      <c r="G424" s="52"/>
      <c r="H424" s="53"/>
      <c r="J424" s="91"/>
      <c r="K424" s="91"/>
      <c r="L424" s="91"/>
      <c r="M424" s="91"/>
      <c r="N424" s="91"/>
      <c r="O424" s="91"/>
      <c r="P424" s="54"/>
      <c r="Q424" s="54"/>
      <c r="R424" s="54"/>
      <c r="S424" s="54"/>
      <c r="T424" s="54"/>
    </row>
    <row r="425" spans="2:20" ht="15.75" outlineLevel="1">
      <c r="B425" s="75"/>
      <c r="C425" s="52" t="s">
        <v>396</v>
      </c>
      <c r="D425" s="52"/>
      <c r="E425" s="52"/>
      <c r="F425" s="52"/>
      <c r="G425" s="52"/>
      <c r="H425" s="53"/>
      <c r="J425" s="91"/>
      <c r="K425" s="91"/>
      <c r="L425" s="91"/>
      <c r="M425" s="91"/>
      <c r="N425" s="91"/>
      <c r="O425" s="91"/>
      <c r="P425" s="54"/>
      <c r="Q425" s="54"/>
      <c r="R425" s="54"/>
      <c r="S425" s="54"/>
      <c r="T425" s="54"/>
    </row>
    <row r="426" spans="2:20" ht="15.75" outlineLevel="1">
      <c r="B426" s="75"/>
      <c r="C426" s="52"/>
      <c r="D426" s="52"/>
      <c r="E426" s="52"/>
      <c r="F426" s="52"/>
      <c r="G426" s="52"/>
      <c r="H426" s="53"/>
      <c r="J426" s="91"/>
      <c r="K426" s="91"/>
      <c r="L426" s="91"/>
      <c r="M426" s="91"/>
      <c r="N426" s="91"/>
      <c r="O426" s="91"/>
      <c r="P426" s="54"/>
      <c r="Q426" s="54"/>
      <c r="R426" s="54"/>
      <c r="S426" s="54"/>
      <c r="T426" s="54"/>
    </row>
    <row r="427" spans="2:20" ht="15.75" outlineLevel="1">
      <c r="B427" s="75"/>
      <c r="C427" s="52" t="s">
        <v>397</v>
      </c>
      <c r="D427" s="52"/>
      <c r="E427" s="52"/>
      <c r="F427" s="52"/>
      <c r="G427" s="52"/>
      <c r="H427" s="53"/>
      <c r="J427" s="91"/>
      <c r="K427" s="91"/>
      <c r="L427" s="91"/>
      <c r="M427" s="91"/>
      <c r="N427" s="91"/>
      <c r="O427" s="91"/>
      <c r="P427" s="54"/>
      <c r="Q427" s="54"/>
      <c r="R427" s="54"/>
      <c r="S427" s="54"/>
      <c r="T427" s="54"/>
    </row>
    <row r="428" spans="2:20" ht="15.75" outlineLevel="1">
      <c r="B428" s="75"/>
      <c r="C428" s="52" t="s">
        <v>398</v>
      </c>
      <c r="D428" s="52"/>
      <c r="E428" s="52"/>
      <c r="F428" s="52"/>
      <c r="G428" s="52"/>
      <c r="H428" s="53"/>
      <c r="J428" s="91"/>
      <c r="K428" s="91"/>
      <c r="L428" s="91"/>
      <c r="M428" s="91"/>
      <c r="N428" s="91"/>
      <c r="O428" s="91"/>
      <c r="P428" s="54"/>
      <c r="Q428" s="54"/>
      <c r="R428" s="54"/>
      <c r="S428" s="54"/>
      <c r="T428" s="54"/>
    </row>
    <row r="429" spans="2:20" ht="15.75" outlineLevel="1">
      <c r="B429" s="75"/>
      <c r="C429" s="52" t="s">
        <v>399</v>
      </c>
      <c r="D429" s="52"/>
      <c r="E429" s="52"/>
      <c r="F429" s="52"/>
      <c r="G429" s="52"/>
      <c r="H429" s="53"/>
      <c r="J429" s="91"/>
      <c r="K429" s="91"/>
      <c r="L429" s="91"/>
      <c r="M429" s="91"/>
      <c r="N429" s="91"/>
      <c r="O429" s="91"/>
      <c r="P429" s="54"/>
      <c r="Q429" s="54"/>
      <c r="R429" s="54"/>
      <c r="S429" s="54"/>
      <c r="T429" s="54"/>
    </row>
    <row r="430" spans="2:20" ht="15.75" outlineLevel="1">
      <c r="B430" s="75"/>
      <c r="C430" s="52"/>
      <c r="D430" s="52"/>
      <c r="E430" s="52"/>
      <c r="F430" s="52"/>
      <c r="G430" s="52"/>
      <c r="H430" s="53"/>
      <c r="J430" s="91"/>
      <c r="K430" s="91"/>
      <c r="L430" s="91"/>
      <c r="M430" s="91"/>
      <c r="N430" s="91"/>
      <c r="O430" s="91"/>
      <c r="P430" s="54"/>
      <c r="Q430" s="54"/>
      <c r="R430" s="54"/>
      <c r="S430" s="54"/>
      <c r="T430" s="54"/>
    </row>
    <row r="431" spans="2:20" ht="15.75" outlineLevel="1">
      <c r="B431" s="75"/>
      <c r="C431" s="52" t="s">
        <v>400</v>
      </c>
      <c r="D431" s="52"/>
      <c r="E431" s="52"/>
      <c r="F431" s="52"/>
      <c r="G431" s="52"/>
      <c r="H431" s="53"/>
      <c r="J431" s="91"/>
      <c r="K431" s="91"/>
      <c r="L431" s="91"/>
      <c r="M431" s="91"/>
      <c r="N431" s="91"/>
      <c r="O431" s="91"/>
      <c r="P431" s="54"/>
      <c r="Q431" s="54"/>
      <c r="R431" s="54"/>
      <c r="S431" s="54"/>
      <c r="T431" s="54"/>
    </row>
    <row r="432" spans="2:20" ht="15.75" outlineLevel="1">
      <c r="B432" s="75"/>
      <c r="C432" s="52" t="s">
        <v>401</v>
      </c>
      <c r="D432" s="52"/>
      <c r="E432" s="52"/>
      <c r="F432" s="52"/>
      <c r="G432" s="52"/>
      <c r="H432" s="53"/>
      <c r="J432" s="91"/>
      <c r="K432" s="91"/>
      <c r="L432" s="91"/>
      <c r="M432" s="91"/>
      <c r="N432" s="91"/>
      <c r="O432" s="91"/>
      <c r="P432" s="54"/>
      <c r="Q432" s="54"/>
      <c r="R432" s="54"/>
      <c r="S432" s="54"/>
      <c r="T432" s="54"/>
    </row>
    <row r="433" spans="2:20" ht="15.75" outlineLevel="1">
      <c r="B433" s="75"/>
      <c r="C433" s="52" t="s">
        <v>402</v>
      </c>
      <c r="D433" s="52"/>
      <c r="E433" s="52"/>
      <c r="F433" s="52"/>
      <c r="G433" s="52"/>
      <c r="H433" s="53"/>
      <c r="J433" s="91"/>
      <c r="K433" s="91"/>
      <c r="L433" s="91"/>
      <c r="M433" s="91"/>
      <c r="N433" s="91"/>
      <c r="O433" s="91"/>
      <c r="P433" s="54"/>
      <c r="Q433" s="54"/>
      <c r="R433" s="54"/>
      <c r="S433" s="54"/>
      <c r="T433" s="54"/>
    </row>
    <row r="434" spans="2:20" ht="15.75" outlineLevel="1">
      <c r="B434" s="75"/>
      <c r="C434" s="52" t="s">
        <v>183</v>
      </c>
      <c r="D434" s="52"/>
      <c r="E434" s="52"/>
      <c r="F434" s="52"/>
      <c r="G434" s="52"/>
      <c r="H434" s="53"/>
      <c r="J434" s="91"/>
      <c r="K434" s="91"/>
      <c r="L434" s="91"/>
      <c r="M434" s="91"/>
      <c r="N434" s="91"/>
      <c r="O434" s="91"/>
      <c r="P434" s="54"/>
      <c r="Q434" s="54"/>
      <c r="R434" s="54"/>
      <c r="S434" s="54"/>
      <c r="T434" s="54"/>
    </row>
    <row r="435" spans="2:20" ht="15.75" outlineLevel="1">
      <c r="B435" s="75"/>
      <c r="C435" s="52" t="s">
        <v>403</v>
      </c>
      <c r="D435" s="52"/>
      <c r="E435" s="52"/>
      <c r="F435" s="52"/>
      <c r="G435" s="52"/>
      <c r="H435" s="53"/>
      <c r="J435" s="91"/>
      <c r="K435" s="91"/>
      <c r="L435" s="91"/>
      <c r="M435" s="91"/>
      <c r="N435" s="91"/>
      <c r="O435" s="91"/>
      <c r="P435" s="54"/>
      <c r="Q435" s="54"/>
      <c r="R435" s="54"/>
      <c r="S435" s="54"/>
      <c r="T435" s="54"/>
    </row>
    <row r="436" spans="2:20" ht="15.75" outlineLevel="1">
      <c r="B436" s="75"/>
      <c r="C436" s="52" t="s">
        <v>404</v>
      </c>
      <c r="D436" s="52"/>
      <c r="E436" s="52"/>
      <c r="F436" s="52"/>
      <c r="G436" s="52"/>
      <c r="H436" s="53"/>
      <c r="J436" s="91"/>
      <c r="K436" s="91"/>
      <c r="L436" s="91"/>
      <c r="M436" s="91"/>
      <c r="N436" s="91"/>
      <c r="O436" s="91"/>
      <c r="P436" s="54"/>
      <c r="Q436" s="54"/>
      <c r="R436" s="54"/>
      <c r="S436" s="54"/>
      <c r="T436" s="54"/>
    </row>
    <row r="437" spans="2:20" ht="15.75" outlineLevel="1">
      <c r="B437" s="75"/>
      <c r="C437" s="52" t="s">
        <v>405</v>
      </c>
      <c r="D437" s="52"/>
      <c r="E437" s="52"/>
      <c r="F437" s="52"/>
      <c r="G437" s="52"/>
      <c r="H437" s="53"/>
      <c r="J437" s="91"/>
      <c r="K437" s="91"/>
      <c r="L437" s="91"/>
      <c r="M437" s="91"/>
      <c r="N437" s="91"/>
      <c r="O437" s="91"/>
      <c r="P437" s="54"/>
      <c r="Q437" s="54"/>
      <c r="R437" s="54"/>
      <c r="S437" s="54"/>
      <c r="T437" s="54"/>
    </row>
    <row r="438" spans="2:20" ht="15.75">
      <c r="B438" s="75"/>
      <c r="C438" s="52"/>
      <c r="D438" s="52"/>
      <c r="E438" s="52"/>
      <c r="F438" s="52"/>
      <c r="G438" s="52"/>
      <c r="H438" s="53"/>
      <c r="J438" s="91"/>
      <c r="K438" s="91"/>
      <c r="L438" s="91"/>
      <c r="M438" s="91"/>
      <c r="N438" s="91"/>
      <c r="O438" s="91"/>
      <c r="P438" s="54"/>
      <c r="Q438" s="54"/>
      <c r="R438" s="54"/>
      <c r="S438" s="54"/>
      <c r="T438" s="54"/>
    </row>
    <row r="439" spans="2:20" ht="15.75">
      <c r="B439" s="75" t="s">
        <v>343</v>
      </c>
      <c r="C439" s="52"/>
      <c r="D439" s="52"/>
      <c r="E439" s="52"/>
      <c r="F439" s="52"/>
      <c r="G439" s="52"/>
      <c r="H439" s="53"/>
      <c r="J439" s="91"/>
      <c r="K439" s="91"/>
      <c r="L439" s="91"/>
      <c r="M439" s="91"/>
      <c r="N439" s="91"/>
      <c r="O439" s="91"/>
      <c r="P439" s="54"/>
      <c r="Q439" s="54"/>
      <c r="R439" s="54"/>
      <c r="S439" s="54"/>
      <c r="T439" s="54"/>
    </row>
    <row r="440" spans="2:20" ht="15.75">
      <c r="B440" s="75"/>
      <c r="C440" s="52"/>
      <c r="D440" s="52"/>
      <c r="E440" s="52"/>
      <c r="F440" s="52"/>
      <c r="G440" s="52"/>
      <c r="H440" s="53"/>
      <c r="J440" s="91"/>
      <c r="K440" s="91"/>
      <c r="L440" s="91"/>
      <c r="M440" s="91"/>
      <c r="N440" s="91"/>
      <c r="O440" s="91"/>
      <c r="P440" s="54"/>
      <c r="Q440" s="54"/>
      <c r="R440" s="54"/>
      <c r="S440" s="54"/>
      <c r="T440" s="54"/>
    </row>
    <row r="441" spans="2:20" ht="15.75">
      <c r="B441" s="75"/>
      <c r="C441" s="50" t="s">
        <v>406</v>
      </c>
      <c r="D441" s="52"/>
      <c r="E441" s="52"/>
      <c r="F441" s="52"/>
      <c r="G441" s="52"/>
      <c r="H441" s="53"/>
      <c r="J441" s="91"/>
      <c r="K441" s="91"/>
      <c r="L441" s="91"/>
      <c r="M441" s="91"/>
      <c r="N441" s="91"/>
      <c r="O441" s="91"/>
      <c r="P441" s="54"/>
      <c r="Q441" s="54"/>
      <c r="R441" s="54"/>
      <c r="S441" s="54"/>
      <c r="T441" s="54"/>
    </row>
    <row r="442" spans="2:20" ht="15.75">
      <c r="B442" s="75"/>
      <c r="C442" s="50" t="s">
        <v>407</v>
      </c>
      <c r="D442" s="52"/>
      <c r="E442" s="52"/>
      <c r="F442" s="52"/>
      <c r="G442" s="52"/>
      <c r="H442" s="53"/>
      <c r="J442" s="91"/>
      <c r="K442" s="91"/>
      <c r="L442" s="91"/>
      <c r="M442" s="91"/>
      <c r="N442" s="91"/>
      <c r="O442" s="91"/>
      <c r="P442" s="54"/>
      <c r="Q442" s="54"/>
      <c r="R442" s="54"/>
      <c r="S442" s="54"/>
      <c r="T442" s="54"/>
    </row>
    <row r="443" spans="2:20" ht="15.75">
      <c r="B443" s="75"/>
      <c r="C443" s="50" t="s">
        <v>408</v>
      </c>
      <c r="D443" s="52"/>
      <c r="E443" s="52"/>
      <c r="F443" s="52"/>
      <c r="G443" s="52"/>
      <c r="H443" s="53"/>
      <c r="J443" s="91"/>
      <c r="K443" s="91"/>
      <c r="L443" s="91"/>
      <c r="M443" s="91"/>
      <c r="N443" s="91"/>
      <c r="O443" s="91"/>
      <c r="P443" s="54"/>
      <c r="Q443" s="54"/>
      <c r="R443" s="54"/>
      <c r="S443" s="54"/>
      <c r="T443" s="54"/>
    </row>
    <row r="444" spans="2:20" ht="14.25" customHeight="1" thickBot="1">
      <c r="B444" s="54"/>
      <c r="C444" s="54"/>
      <c r="D444" s="54"/>
      <c r="E444" s="54"/>
      <c r="F444" s="54"/>
      <c r="G444" s="54"/>
      <c r="H444" s="87"/>
      <c r="I444" s="92"/>
      <c r="J444" s="74" t="s">
        <v>60</v>
      </c>
      <c r="K444" s="91"/>
      <c r="L444" s="91"/>
      <c r="M444" s="91"/>
      <c r="N444" s="91"/>
      <c r="O444" s="91"/>
      <c r="P444" s="54"/>
      <c r="Q444" s="54"/>
      <c r="R444" s="54"/>
      <c r="S444" s="54"/>
      <c r="T444" s="54"/>
    </row>
    <row r="445" spans="2:20" ht="25.5" customHeight="1" thickBot="1">
      <c r="B445" s="42" t="s">
        <v>9</v>
      </c>
      <c r="C445" s="42" t="s">
        <v>62</v>
      </c>
      <c r="D445" s="42" t="s">
        <v>11</v>
      </c>
      <c r="E445" s="42" t="s">
        <v>63</v>
      </c>
      <c r="F445" s="42" t="s">
        <v>13</v>
      </c>
      <c r="G445" s="42" t="s">
        <v>14</v>
      </c>
      <c r="H445" s="42" t="s">
        <v>15</v>
      </c>
      <c r="J445" s="1" t="s">
        <v>64</v>
      </c>
      <c r="K445" s="1" t="s">
        <v>133</v>
      </c>
      <c r="L445" s="1" t="s">
        <v>365</v>
      </c>
      <c r="M445" s="1" t="s">
        <v>409</v>
      </c>
      <c r="O445" s="1" t="s">
        <v>410</v>
      </c>
      <c r="Q445" s="1" t="s">
        <v>411</v>
      </c>
      <c r="R445" s="1" t="s">
        <v>412</v>
      </c>
      <c r="S445" s="1" t="s">
        <v>413</v>
      </c>
      <c r="T445" s="1" t="s">
        <v>414</v>
      </c>
    </row>
    <row r="446" spans="2:20" ht="15" customHeight="1">
      <c r="B446" s="52"/>
      <c r="C446" s="52"/>
      <c r="D446" s="52"/>
      <c r="E446" s="52"/>
      <c r="F446" s="52"/>
      <c r="G446" s="52"/>
      <c r="H446" s="53"/>
      <c r="J446" s="59"/>
      <c r="L446" s="54"/>
      <c r="M446" s="54"/>
      <c r="O446" s="91"/>
      <c r="Q446" s="91"/>
      <c r="R446" s="91"/>
      <c r="S446" s="91"/>
      <c r="T446" s="91"/>
    </row>
    <row r="447" spans="2:20" ht="23.25" customHeight="1">
      <c r="B447" s="68" t="s">
        <v>415</v>
      </c>
      <c r="C447" s="68">
        <v>7</v>
      </c>
      <c r="D447" s="76">
        <v>0</v>
      </c>
      <c r="E447" s="2" t="s">
        <v>66</v>
      </c>
      <c r="F447" s="3" t="s">
        <v>67</v>
      </c>
      <c r="G447" s="3" t="s">
        <v>68</v>
      </c>
      <c r="H447" s="47">
        <v>13</v>
      </c>
      <c r="I447" s="64"/>
      <c r="J447" s="78">
        <v>3401368</v>
      </c>
      <c r="K447" s="88">
        <v>241.39</v>
      </c>
      <c r="L447" s="78">
        <v>2400</v>
      </c>
      <c r="M447" s="78">
        <v>500</v>
      </c>
      <c r="O447" s="78" t="s">
        <v>368</v>
      </c>
      <c r="Q447" s="78" t="s">
        <v>350</v>
      </c>
      <c r="R447" s="78" t="s">
        <v>352</v>
      </c>
      <c r="S447" s="78" t="s">
        <v>358</v>
      </c>
      <c r="T447" s="78" t="s">
        <v>356</v>
      </c>
    </row>
    <row r="448" spans="2:20" ht="15" customHeight="1">
      <c r="B448" s="52"/>
      <c r="C448" s="52"/>
      <c r="D448" s="52"/>
      <c r="E448" s="52"/>
      <c r="F448" s="77"/>
      <c r="G448" s="77"/>
      <c r="H448" s="85"/>
      <c r="J448" s="79"/>
      <c r="K448" s="90"/>
      <c r="L448" s="90"/>
      <c r="M448" s="90"/>
      <c r="O448" s="91"/>
      <c r="Q448" s="91"/>
      <c r="R448" s="91"/>
      <c r="S448" s="91"/>
      <c r="T448" s="91"/>
    </row>
    <row r="449" spans="2:20" ht="23.25">
      <c r="B449" s="68">
        <v>121</v>
      </c>
      <c r="C449" s="68">
        <f>C447</f>
        <v>7</v>
      </c>
      <c r="D449" s="76">
        <v>15</v>
      </c>
      <c r="E449" s="2">
        <v>1</v>
      </c>
      <c r="F449" s="3" t="s">
        <v>67</v>
      </c>
      <c r="G449" s="3" t="s">
        <v>71</v>
      </c>
      <c r="H449" s="47">
        <v>20</v>
      </c>
      <c r="I449" s="64"/>
      <c r="J449" s="78" t="s">
        <v>351</v>
      </c>
      <c r="K449" s="78" t="s">
        <v>351</v>
      </c>
      <c r="L449" s="78" t="s">
        <v>416</v>
      </c>
      <c r="M449" s="78" t="s">
        <v>416</v>
      </c>
      <c r="O449" s="78" t="s">
        <v>370</v>
      </c>
      <c r="Q449" s="78" t="s">
        <v>417</v>
      </c>
      <c r="R449" s="78" t="s">
        <v>357</v>
      </c>
      <c r="S449" s="78" t="s">
        <v>418</v>
      </c>
      <c r="T449" s="78" t="s">
        <v>360</v>
      </c>
    </row>
    <row r="450" spans="2:20" ht="23.25">
      <c r="B450" s="68">
        <v>122</v>
      </c>
      <c r="C450" s="68">
        <f>C449</f>
        <v>7</v>
      </c>
      <c r="D450" s="76">
        <v>15</v>
      </c>
      <c r="E450" s="2">
        <v>2</v>
      </c>
      <c r="F450" s="3" t="s">
        <v>72</v>
      </c>
      <c r="G450" s="3" t="s">
        <v>73</v>
      </c>
      <c r="H450" s="47">
        <v>21</v>
      </c>
      <c r="I450" s="64"/>
      <c r="J450" s="78" t="s">
        <v>351</v>
      </c>
      <c r="K450" s="78" t="s">
        <v>351</v>
      </c>
      <c r="L450" s="78" t="s">
        <v>416</v>
      </c>
      <c r="M450" s="78" t="s">
        <v>416</v>
      </c>
      <c r="O450" s="78" t="s">
        <v>368</v>
      </c>
      <c r="Q450" s="78" t="s">
        <v>353</v>
      </c>
      <c r="R450" s="78" t="s">
        <v>354</v>
      </c>
      <c r="S450" s="78" t="s">
        <v>418</v>
      </c>
      <c r="T450" s="78" t="s">
        <v>356</v>
      </c>
    </row>
    <row r="451" spans="2:20" ht="23.25">
      <c r="B451" s="68">
        <v>123</v>
      </c>
      <c r="C451" s="68">
        <f t="shared" ref="C451:C468" si="6">C450</f>
        <v>7</v>
      </c>
      <c r="D451" s="76">
        <v>15</v>
      </c>
      <c r="E451" s="2">
        <v>3</v>
      </c>
      <c r="F451" s="3" t="s">
        <v>74</v>
      </c>
      <c r="G451" s="3" t="s">
        <v>68</v>
      </c>
      <c r="H451" s="47">
        <v>18</v>
      </c>
      <c r="I451" s="64"/>
      <c r="J451" s="78" t="s">
        <v>351</v>
      </c>
      <c r="K451" s="78" t="s">
        <v>351</v>
      </c>
      <c r="L451" s="78" t="s">
        <v>416</v>
      </c>
      <c r="M451" s="78" t="s">
        <v>416</v>
      </c>
      <c r="O451" s="78" t="s">
        <v>372</v>
      </c>
      <c r="Q451" s="78" t="s">
        <v>355</v>
      </c>
      <c r="R451" s="78" t="s">
        <v>350</v>
      </c>
      <c r="S451" s="78" t="s">
        <v>419</v>
      </c>
      <c r="T451" s="78" t="s">
        <v>361</v>
      </c>
    </row>
    <row r="452" spans="2:20" ht="23.25">
      <c r="B452" s="68">
        <v>124</v>
      </c>
      <c r="C452" s="68">
        <f t="shared" si="6"/>
        <v>7</v>
      </c>
      <c r="D452" s="76">
        <v>15</v>
      </c>
      <c r="E452" s="2">
        <v>4</v>
      </c>
      <c r="F452" s="3" t="s">
        <v>75</v>
      </c>
      <c r="G452" s="3" t="s">
        <v>71</v>
      </c>
      <c r="H452" s="47">
        <v>27</v>
      </c>
      <c r="I452" s="64"/>
      <c r="J452" s="78" t="s">
        <v>351</v>
      </c>
      <c r="K452" s="78" t="s">
        <v>351</v>
      </c>
      <c r="L452" s="78" t="s">
        <v>416</v>
      </c>
      <c r="M452" s="78" t="s">
        <v>416</v>
      </c>
      <c r="O452" s="78" t="s">
        <v>370</v>
      </c>
      <c r="Q452" s="78" t="s">
        <v>420</v>
      </c>
      <c r="R452" s="78" t="s">
        <v>418</v>
      </c>
      <c r="S452" s="78" t="s">
        <v>417</v>
      </c>
      <c r="T452" s="78" t="s">
        <v>421</v>
      </c>
    </row>
    <row r="453" spans="2:20" ht="23.25">
      <c r="B453" s="68">
        <v>125</v>
      </c>
      <c r="C453" s="68">
        <f t="shared" si="6"/>
        <v>7</v>
      </c>
      <c r="D453" s="76">
        <v>15</v>
      </c>
      <c r="E453" s="2">
        <v>5</v>
      </c>
      <c r="F453" s="3" t="s">
        <v>75</v>
      </c>
      <c r="G453" s="3" t="s">
        <v>76</v>
      </c>
      <c r="H453" s="47">
        <v>23</v>
      </c>
      <c r="I453" s="64"/>
      <c r="J453" s="78" t="s">
        <v>351</v>
      </c>
      <c r="K453" s="78" t="s">
        <v>351</v>
      </c>
      <c r="L453" s="78" t="s">
        <v>416</v>
      </c>
      <c r="M453" s="78" t="s">
        <v>416</v>
      </c>
      <c r="O453" s="78" t="s">
        <v>368</v>
      </c>
      <c r="Q453" s="78" t="s">
        <v>422</v>
      </c>
      <c r="R453" s="78" t="s">
        <v>419</v>
      </c>
      <c r="S453" s="78" t="s">
        <v>359</v>
      </c>
      <c r="T453" s="78" t="s">
        <v>350</v>
      </c>
    </row>
    <row r="454" spans="2:20" ht="23.25">
      <c r="B454" s="68">
        <v>126</v>
      </c>
      <c r="C454" s="68">
        <f t="shared" si="6"/>
        <v>7</v>
      </c>
      <c r="D454" s="76">
        <v>15</v>
      </c>
      <c r="E454" s="2">
        <v>6</v>
      </c>
      <c r="F454" s="3" t="s">
        <v>74</v>
      </c>
      <c r="G454" s="3" t="s">
        <v>73</v>
      </c>
      <c r="H454" s="47">
        <v>28</v>
      </c>
      <c r="I454" s="64"/>
      <c r="J454" s="78" t="s">
        <v>351</v>
      </c>
      <c r="K454" s="78" t="s">
        <v>351</v>
      </c>
      <c r="L454" s="78" t="s">
        <v>416</v>
      </c>
      <c r="M454" s="78" t="s">
        <v>416</v>
      </c>
      <c r="O454" s="78" t="s">
        <v>370</v>
      </c>
      <c r="Q454" s="78" t="s">
        <v>350</v>
      </c>
      <c r="R454" s="78" t="s">
        <v>359</v>
      </c>
      <c r="S454" s="78" t="s">
        <v>423</v>
      </c>
      <c r="T454" s="78" t="s">
        <v>358</v>
      </c>
    </row>
    <row r="455" spans="2:20" ht="23.25">
      <c r="B455" s="68">
        <v>127</v>
      </c>
      <c r="C455" s="68">
        <f t="shared" si="6"/>
        <v>7</v>
      </c>
      <c r="D455" s="76">
        <v>15</v>
      </c>
      <c r="E455" s="2">
        <v>7</v>
      </c>
      <c r="F455" s="3" t="s">
        <v>72</v>
      </c>
      <c r="G455" s="3" t="s">
        <v>76</v>
      </c>
      <c r="H455" s="47">
        <v>33</v>
      </c>
      <c r="I455" s="64"/>
      <c r="J455" s="78" t="s">
        <v>351</v>
      </c>
      <c r="K455" s="78" t="s">
        <v>351</v>
      </c>
      <c r="L455" s="78" t="s">
        <v>416</v>
      </c>
      <c r="M455" s="78" t="s">
        <v>416</v>
      </c>
      <c r="O455" s="78" t="s">
        <v>370</v>
      </c>
      <c r="Q455" s="78" t="s">
        <v>350</v>
      </c>
      <c r="R455" s="78" t="s">
        <v>422</v>
      </c>
      <c r="S455" s="78" t="s">
        <v>354</v>
      </c>
      <c r="T455" s="78" t="s">
        <v>359</v>
      </c>
    </row>
    <row r="456" spans="2:20" ht="23.25">
      <c r="B456" s="68">
        <v>128</v>
      </c>
      <c r="C456" s="68">
        <f t="shared" si="6"/>
        <v>7</v>
      </c>
      <c r="D456" s="76">
        <v>15</v>
      </c>
      <c r="E456" s="2">
        <v>8</v>
      </c>
      <c r="F456" s="3" t="s">
        <v>67</v>
      </c>
      <c r="G456" s="3" t="s">
        <v>77</v>
      </c>
      <c r="H456" s="47">
        <v>17</v>
      </c>
      <c r="I456" s="64"/>
      <c r="J456" s="78" t="s">
        <v>351</v>
      </c>
      <c r="K456" s="78" t="s">
        <v>351</v>
      </c>
      <c r="L456" s="78" t="s">
        <v>416</v>
      </c>
      <c r="M456" s="78" t="s">
        <v>416</v>
      </c>
      <c r="O456" s="78" t="s">
        <v>376</v>
      </c>
      <c r="Q456" s="78" t="s">
        <v>359</v>
      </c>
      <c r="R456" s="78" t="s">
        <v>357</v>
      </c>
      <c r="S456" s="78" t="s">
        <v>358</v>
      </c>
      <c r="T456" s="78" t="s">
        <v>355</v>
      </c>
    </row>
    <row r="457" spans="2:20" ht="23.25">
      <c r="B457" s="68">
        <v>129</v>
      </c>
      <c r="C457" s="68">
        <f t="shared" si="6"/>
        <v>7</v>
      </c>
      <c r="D457" s="76">
        <v>15</v>
      </c>
      <c r="E457" s="2">
        <v>9</v>
      </c>
      <c r="F457" s="3" t="s">
        <v>67</v>
      </c>
      <c r="G457" s="3" t="s">
        <v>78</v>
      </c>
      <c r="H457" s="47">
        <v>21</v>
      </c>
      <c r="I457" s="64"/>
      <c r="J457" s="78" t="s">
        <v>351</v>
      </c>
      <c r="K457" s="78" t="s">
        <v>351</v>
      </c>
      <c r="L457" s="78" t="s">
        <v>416</v>
      </c>
      <c r="M457" s="78" t="s">
        <v>416</v>
      </c>
      <c r="O457" s="78" t="s">
        <v>374</v>
      </c>
      <c r="Q457" s="78" t="s">
        <v>421</v>
      </c>
      <c r="R457" s="78" t="s">
        <v>360</v>
      </c>
      <c r="S457" s="78" t="s">
        <v>355</v>
      </c>
      <c r="T457" s="78" t="s">
        <v>358</v>
      </c>
    </row>
    <row r="458" spans="2:20" ht="23.25">
      <c r="B458" s="68">
        <v>130</v>
      </c>
      <c r="C458" s="68">
        <f t="shared" si="6"/>
        <v>7</v>
      </c>
      <c r="D458" s="76">
        <v>15</v>
      </c>
      <c r="E458" s="2">
        <v>10</v>
      </c>
      <c r="F458" s="3" t="s">
        <v>74</v>
      </c>
      <c r="G458" s="3" t="s">
        <v>79</v>
      </c>
      <c r="H458" s="47">
        <v>18</v>
      </c>
      <c r="I458" s="64"/>
      <c r="J458" s="78" t="s">
        <v>351</v>
      </c>
      <c r="K458" s="78" t="s">
        <v>351</v>
      </c>
      <c r="L458" s="78" t="s">
        <v>416</v>
      </c>
      <c r="M458" s="78" t="s">
        <v>416</v>
      </c>
      <c r="O458" s="78" t="s">
        <v>370</v>
      </c>
      <c r="Q458" s="78" t="s">
        <v>358</v>
      </c>
      <c r="R458" s="78" t="s">
        <v>424</v>
      </c>
      <c r="S458" s="78" t="s">
        <v>361</v>
      </c>
      <c r="T458" s="78" t="s">
        <v>417</v>
      </c>
    </row>
    <row r="459" spans="2:20" ht="23.25">
      <c r="B459" s="68">
        <v>131</v>
      </c>
      <c r="C459" s="68">
        <f t="shared" si="6"/>
        <v>7</v>
      </c>
      <c r="D459" s="76">
        <v>15</v>
      </c>
      <c r="E459" s="2">
        <v>11</v>
      </c>
      <c r="F459" s="3" t="s">
        <v>67</v>
      </c>
      <c r="G459" s="3" t="s">
        <v>68</v>
      </c>
      <c r="H459" s="47">
        <v>34</v>
      </c>
      <c r="I459" s="64"/>
      <c r="J459" s="78" t="s">
        <v>351</v>
      </c>
      <c r="K459" s="78" t="s">
        <v>351</v>
      </c>
      <c r="L459" s="78" t="s">
        <v>416</v>
      </c>
      <c r="M459" s="78" t="s">
        <v>416</v>
      </c>
      <c r="O459" s="78" t="s">
        <v>378</v>
      </c>
      <c r="Q459" s="78" t="s">
        <v>417</v>
      </c>
      <c r="R459" s="78" t="s">
        <v>353</v>
      </c>
      <c r="S459" s="78" t="s">
        <v>418</v>
      </c>
      <c r="T459" s="78" t="s">
        <v>359</v>
      </c>
    </row>
    <row r="460" spans="2:20" ht="23.25">
      <c r="B460" s="68">
        <v>132</v>
      </c>
      <c r="C460" s="68">
        <f t="shared" si="6"/>
        <v>7</v>
      </c>
      <c r="D460" s="76">
        <v>15</v>
      </c>
      <c r="E460" s="2">
        <v>12</v>
      </c>
      <c r="F460" s="3" t="s">
        <v>72</v>
      </c>
      <c r="G460" s="3" t="s">
        <v>71</v>
      </c>
      <c r="H460" s="47">
        <v>15</v>
      </c>
      <c r="I460" s="64"/>
      <c r="J460" s="78" t="s">
        <v>351</v>
      </c>
      <c r="K460" s="78" t="s">
        <v>351</v>
      </c>
      <c r="L460" s="78" t="s">
        <v>416</v>
      </c>
      <c r="M460" s="78" t="s">
        <v>416</v>
      </c>
      <c r="O460" s="78" t="s">
        <v>368</v>
      </c>
      <c r="Q460" s="78" t="s">
        <v>354</v>
      </c>
      <c r="R460" s="78" t="s">
        <v>417</v>
      </c>
      <c r="S460" s="78" t="s">
        <v>361</v>
      </c>
      <c r="T460" s="78" t="s">
        <v>350</v>
      </c>
    </row>
    <row r="461" spans="2:20" ht="23.25">
      <c r="B461" s="68">
        <v>133</v>
      </c>
      <c r="C461" s="68">
        <f t="shared" si="6"/>
        <v>7</v>
      </c>
      <c r="D461" s="76">
        <v>15</v>
      </c>
      <c r="E461" s="2">
        <v>13</v>
      </c>
      <c r="F461" s="3" t="s">
        <v>74</v>
      </c>
      <c r="G461" s="3" t="s">
        <v>77</v>
      </c>
      <c r="H461" s="47">
        <v>14</v>
      </c>
      <c r="I461" s="64"/>
      <c r="J461" s="78" t="s">
        <v>351</v>
      </c>
      <c r="K461" s="78" t="s">
        <v>351</v>
      </c>
      <c r="L461" s="78" t="s">
        <v>416</v>
      </c>
      <c r="M461" s="78" t="s">
        <v>416</v>
      </c>
      <c r="O461" s="78" t="s">
        <v>378</v>
      </c>
      <c r="Q461" s="78" t="s">
        <v>353</v>
      </c>
      <c r="R461" s="78" t="s">
        <v>418</v>
      </c>
      <c r="S461" s="78" t="s">
        <v>358</v>
      </c>
      <c r="T461" s="78" t="s">
        <v>424</v>
      </c>
    </row>
    <row r="462" spans="2:20" ht="23.25">
      <c r="B462" s="68">
        <v>134</v>
      </c>
      <c r="C462" s="68">
        <f t="shared" si="6"/>
        <v>7</v>
      </c>
      <c r="D462" s="76">
        <v>15</v>
      </c>
      <c r="E462" s="2">
        <v>14</v>
      </c>
      <c r="F462" s="3" t="s">
        <v>72</v>
      </c>
      <c r="G462" s="3" t="s">
        <v>79</v>
      </c>
      <c r="H462" s="47">
        <v>21</v>
      </c>
      <c r="I462" s="64"/>
      <c r="J462" s="78" t="s">
        <v>351</v>
      </c>
      <c r="K462" s="78" t="s">
        <v>351</v>
      </c>
      <c r="L462" s="78" t="s">
        <v>416</v>
      </c>
      <c r="M462" s="78" t="s">
        <v>416</v>
      </c>
      <c r="O462" s="78" t="s">
        <v>372</v>
      </c>
      <c r="Q462" s="78" t="s">
        <v>424</v>
      </c>
      <c r="R462" s="78" t="s">
        <v>422</v>
      </c>
      <c r="S462" s="78" t="s">
        <v>355</v>
      </c>
      <c r="T462" s="78" t="s">
        <v>423</v>
      </c>
    </row>
    <row r="463" spans="2:20" ht="23.25">
      <c r="B463" s="68">
        <v>135</v>
      </c>
      <c r="C463" s="68">
        <f t="shared" si="6"/>
        <v>7</v>
      </c>
      <c r="D463" s="76">
        <v>15</v>
      </c>
      <c r="E463" s="2">
        <v>15</v>
      </c>
      <c r="F463" s="3" t="s">
        <v>75</v>
      </c>
      <c r="G463" s="3" t="s">
        <v>78</v>
      </c>
      <c r="H463" s="47">
        <v>38</v>
      </c>
      <c r="I463" s="64"/>
      <c r="J463" s="78" t="s">
        <v>351</v>
      </c>
      <c r="K463" s="78" t="s">
        <v>351</v>
      </c>
      <c r="L463" s="78" t="s">
        <v>416</v>
      </c>
      <c r="M463" s="78" t="s">
        <v>416</v>
      </c>
      <c r="O463" s="78" t="s">
        <v>378</v>
      </c>
      <c r="Q463" s="78" t="s">
        <v>356</v>
      </c>
      <c r="R463" s="78" t="s">
        <v>417</v>
      </c>
      <c r="S463" s="78" t="s">
        <v>421</v>
      </c>
      <c r="T463" s="78" t="s">
        <v>424</v>
      </c>
    </row>
    <row r="464" spans="2:20" ht="23.25">
      <c r="B464" s="68">
        <v>136</v>
      </c>
      <c r="C464" s="68">
        <f t="shared" si="6"/>
        <v>7</v>
      </c>
      <c r="D464" s="76">
        <v>15</v>
      </c>
      <c r="E464" s="2">
        <v>16</v>
      </c>
      <c r="F464" s="3" t="s">
        <v>72</v>
      </c>
      <c r="G464" s="3" t="s">
        <v>78</v>
      </c>
      <c r="H464" s="47">
        <v>15</v>
      </c>
      <c r="I464" s="64"/>
      <c r="J464" s="78" t="s">
        <v>351</v>
      </c>
      <c r="K464" s="78" t="s">
        <v>351</v>
      </c>
      <c r="L464" s="78" t="s">
        <v>416</v>
      </c>
      <c r="M464" s="78" t="s">
        <v>416</v>
      </c>
      <c r="O464" s="78" t="s">
        <v>379</v>
      </c>
      <c r="Q464" s="78" t="s">
        <v>355</v>
      </c>
      <c r="R464" s="78" t="s">
        <v>424</v>
      </c>
      <c r="S464" s="78" t="s">
        <v>361</v>
      </c>
      <c r="T464" s="78" t="s">
        <v>357</v>
      </c>
    </row>
    <row r="465" spans="2:20" ht="23.25">
      <c r="B465" s="68">
        <v>137</v>
      </c>
      <c r="C465" s="68">
        <f t="shared" si="6"/>
        <v>7</v>
      </c>
      <c r="D465" s="76">
        <v>15</v>
      </c>
      <c r="E465" s="2">
        <v>17</v>
      </c>
      <c r="F465" s="3" t="s">
        <v>74</v>
      </c>
      <c r="G465" s="3" t="s">
        <v>77</v>
      </c>
      <c r="H465" s="47">
        <v>19</v>
      </c>
      <c r="I465" s="64"/>
      <c r="J465" s="78" t="s">
        <v>351</v>
      </c>
      <c r="K465" s="78" t="s">
        <v>351</v>
      </c>
      <c r="L465" s="78" t="s">
        <v>416</v>
      </c>
      <c r="M465" s="78" t="s">
        <v>416</v>
      </c>
      <c r="O465" s="78" t="s">
        <v>378</v>
      </c>
      <c r="Q465" s="78" t="s">
        <v>425</v>
      </c>
      <c r="R465" s="78" t="s">
        <v>353</v>
      </c>
      <c r="S465" s="78" t="s">
        <v>356</v>
      </c>
      <c r="T465" s="78" t="s">
        <v>423</v>
      </c>
    </row>
    <row r="466" spans="2:20" ht="23.25">
      <c r="B466" s="68">
        <v>138</v>
      </c>
      <c r="C466" s="68">
        <f t="shared" si="6"/>
        <v>7</v>
      </c>
      <c r="D466" s="76">
        <v>15</v>
      </c>
      <c r="E466" s="2">
        <v>18</v>
      </c>
      <c r="F466" s="3" t="s">
        <v>72</v>
      </c>
      <c r="G466" s="3" t="s">
        <v>73</v>
      </c>
      <c r="H466" s="47">
        <v>17</v>
      </c>
      <c r="I466" s="64"/>
      <c r="J466" s="78" t="s">
        <v>351</v>
      </c>
      <c r="K466" s="78" t="s">
        <v>351</v>
      </c>
      <c r="L466" s="78" t="s">
        <v>416</v>
      </c>
      <c r="M466" s="78" t="s">
        <v>416</v>
      </c>
      <c r="O466" s="78" t="s">
        <v>368</v>
      </c>
      <c r="Q466" s="78" t="s">
        <v>355</v>
      </c>
      <c r="R466" s="78" t="s">
        <v>423</v>
      </c>
      <c r="S466" s="78" t="s">
        <v>354</v>
      </c>
      <c r="T466" s="78" t="s">
        <v>353</v>
      </c>
    </row>
    <row r="467" spans="2:20" ht="23.25">
      <c r="B467" s="68">
        <v>139</v>
      </c>
      <c r="C467" s="68">
        <f t="shared" si="6"/>
        <v>7</v>
      </c>
      <c r="D467" s="76">
        <v>15</v>
      </c>
      <c r="E467" s="2">
        <v>19</v>
      </c>
      <c r="F467" s="3" t="s">
        <v>72</v>
      </c>
      <c r="G467" s="3" t="s">
        <v>73</v>
      </c>
      <c r="H467" s="47">
        <v>21</v>
      </c>
      <c r="I467" s="64"/>
      <c r="J467" s="78" t="s">
        <v>351</v>
      </c>
      <c r="K467" s="78" t="s">
        <v>351</v>
      </c>
      <c r="L467" s="78" t="s">
        <v>416</v>
      </c>
      <c r="M467" s="78" t="s">
        <v>416</v>
      </c>
      <c r="O467" s="78" t="s">
        <v>374</v>
      </c>
      <c r="Q467" s="78" t="s">
        <v>350</v>
      </c>
      <c r="R467" s="78" t="s">
        <v>352</v>
      </c>
      <c r="S467" s="78" t="s">
        <v>358</v>
      </c>
      <c r="T467" s="78" t="s">
        <v>356</v>
      </c>
    </row>
    <row r="468" spans="2:20" ht="23.25">
      <c r="B468" s="68">
        <v>140</v>
      </c>
      <c r="C468" s="68">
        <f t="shared" si="6"/>
        <v>7</v>
      </c>
      <c r="D468" s="76">
        <v>15</v>
      </c>
      <c r="E468" s="2">
        <v>20</v>
      </c>
      <c r="F468" s="3" t="s">
        <v>75</v>
      </c>
      <c r="G468" s="3" t="s">
        <v>80</v>
      </c>
      <c r="H468" s="47">
        <v>26</v>
      </c>
      <c r="I468" s="64"/>
      <c r="J468" s="78" t="s">
        <v>351</v>
      </c>
      <c r="K468" s="78" t="s">
        <v>351</v>
      </c>
      <c r="L468" s="78" t="s">
        <v>416</v>
      </c>
      <c r="M468" s="78" t="s">
        <v>416</v>
      </c>
      <c r="O468" s="78" t="s">
        <v>370</v>
      </c>
      <c r="Q468" s="78" t="s">
        <v>355</v>
      </c>
      <c r="R468" s="78" t="s">
        <v>352</v>
      </c>
      <c r="S468" s="78" t="s">
        <v>417</v>
      </c>
      <c r="T468" s="78" t="s">
        <v>354</v>
      </c>
    </row>
  </sheetData>
  <mergeCells count="13">
    <mergeCell ref="J41:P41"/>
    <mergeCell ref="B15:P29"/>
    <mergeCell ref="B43:P43"/>
    <mergeCell ref="B31:P31"/>
    <mergeCell ref="J38:P38"/>
    <mergeCell ref="J37:P37"/>
    <mergeCell ref="J39:P39"/>
    <mergeCell ref="J40:P40"/>
    <mergeCell ref="B14:P14"/>
    <mergeCell ref="B4:M4"/>
    <mergeCell ref="O4:P4"/>
    <mergeCell ref="B2:P2"/>
    <mergeCell ref="O12:P12"/>
  </mergeCells>
  <phoneticPr fontId="25" type="noConversion"/>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5995A-DD39-4D48-AB82-71EA56665FA1}">
  <sheetPr codeName="Sheet3">
    <tabColor theme="5" tint="0.79998168889431442"/>
  </sheetPr>
  <dimension ref="B2:I224"/>
  <sheetViews>
    <sheetView workbookViewId="0">
      <selection activeCell="I4" sqref="I4"/>
    </sheetView>
  </sheetViews>
  <sheetFormatPr defaultColWidth="9.140625" defaultRowHeight="12.75"/>
  <cols>
    <col min="1" max="1" width="3" style="13" customWidth="1"/>
    <col min="2" max="2" width="8" style="13" customWidth="1"/>
    <col min="3" max="3" width="17" style="13" bestFit="1" customWidth="1"/>
    <col min="4" max="4" width="28" style="13" bestFit="1" customWidth="1"/>
    <col min="5" max="6" width="12.28515625" style="13" customWidth="1"/>
    <col min="7" max="7" width="22.42578125" style="13" bestFit="1" customWidth="1"/>
    <col min="8" max="8" width="23.140625" style="13" bestFit="1" customWidth="1"/>
    <col min="9" max="9" width="16.85546875" style="13" bestFit="1" customWidth="1"/>
    <col min="10" max="16384" width="9.140625" style="13"/>
  </cols>
  <sheetData>
    <row r="2" spans="2:9" ht="23.25">
      <c r="B2" s="149" t="s">
        <v>426</v>
      </c>
      <c r="C2" s="150"/>
      <c r="D2" s="150"/>
      <c r="E2" s="150"/>
      <c r="F2" s="150"/>
    </row>
    <row r="4" spans="2:9" s="16" customFormat="1">
      <c r="B4" s="14" t="s">
        <v>427</v>
      </c>
      <c r="C4" s="14" t="s">
        <v>428</v>
      </c>
      <c r="D4" s="14" t="s">
        <v>429</v>
      </c>
      <c r="E4" s="15" t="s">
        <v>366</v>
      </c>
      <c r="F4" s="15" t="s">
        <v>367</v>
      </c>
      <c r="G4" s="16" t="s">
        <v>430</v>
      </c>
      <c r="H4" s="16" t="s">
        <v>431</v>
      </c>
      <c r="I4" s="16" t="s">
        <v>432</v>
      </c>
    </row>
    <row r="5" spans="2:9">
      <c r="B5" s="13" t="s">
        <v>433</v>
      </c>
      <c r="C5" s="13" t="s">
        <v>102</v>
      </c>
      <c r="D5" s="13" t="s">
        <v>434</v>
      </c>
      <c r="E5" s="17">
        <v>8200</v>
      </c>
      <c r="F5" s="18">
        <v>0.77</v>
      </c>
      <c r="G5" s="144">
        <f>SUMIF($C$5:C5,C5,$E$5:E5)</f>
        <v>8200</v>
      </c>
      <c r="H5" s="13">
        <f>SUMIF($C$5:C5,C5,$F$5:F5)</f>
        <v>0.77</v>
      </c>
      <c r="I5" s="13">
        <f>COUNTIF($C$5:C5,C5)</f>
        <v>1</v>
      </c>
    </row>
    <row r="6" spans="2:9">
      <c r="B6" s="13" t="s">
        <v>435</v>
      </c>
      <c r="C6" s="13" t="s">
        <v>102</v>
      </c>
      <c r="D6" s="13" t="s">
        <v>436</v>
      </c>
      <c r="E6" s="17">
        <v>8400</v>
      </c>
      <c r="F6" s="18">
        <v>0.45</v>
      </c>
      <c r="G6" s="144">
        <f>SUMIF($C$5:C6,C6,$E$5:E6)</f>
        <v>16600</v>
      </c>
      <c r="H6" s="13">
        <f>SUMIF($C$5:C6,C6,$F$5:F6)</f>
        <v>1.22</v>
      </c>
      <c r="I6" s="13">
        <f>COUNTIF($C$5:C6,C6)</f>
        <v>2</v>
      </c>
    </row>
    <row r="7" spans="2:9">
      <c r="B7" s="13" t="s">
        <v>437</v>
      </c>
      <c r="C7" s="13" t="s">
        <v>102</v>
      </c>
      <c r="D7" s="13" t="s">
        <v>438</v>
      </c>
      <c r="E7" s="17">
        <v>8300</v>
      </c>
      <c r="F7" s="18">
        <v>0.7</v>
      </c>
      <c r="G7" s="144">
        <f>SUMIF($C$5:C7,C7,$E$5:E7)</f>
        <v>24900</v>
      </c>
      <c r="H7" s="13">
        <f>SUMIF($C$5:C7,C7,$F$5:F7)</f>
        <v>1.92</v>
      </c>
      <c r="I7" s="13">
        <f>COUNTIF($C$5:C7,C7)</f>
        <v>3</v>
      </c>
    </row>
    <row r="8" spans="2:9">
      <c r="B8" s="13" t="s">
        <v>439</v>
      </c>
      <c r="C8" s="13" t="s">
        <v>102</v>
      </c>
      <c r="D8" s="13" t="s">
        <v>440</v>
      </c>
      <c r="E8" s="17">
        <v>8500</v>
      </c>
      <c r="F8" s="18">
        <v>0.11</v>
      </c>
      <c r="G8" s="144">
        <f>SUMIF($C$5:C8,C8,$E$5:E8)</f>
        <v>33400</v>
      </c>
      <c r="H8" s="13">
        <f>SUMIF($C$5:C8,C8,$F$5:F8)</f>
        <v>2.0299999999999998</v>
      </c>
      <c r="I8" s="13">
        <f>COUNTIF($C$5:C8,C8)</f>
        <v>4</v>
      </c>
    </row>
    <row r="9" spans="2:9">
      <c r="B9" s="13" t="s">
        <v>441</v>
      </c>
      <c r="C9" s="13" t="s">
        <v>102</v>
      </c>
      <c r="D9" s="13" t="s">
        <v>442</v>
      </c>
      <c r="E9" s="17">
        <v>8100</v>
      </c>
      <c r="F9" s="18">
        <v>0.52</v>
      </c>
      <c r="G9" s="144">
        <f>SUMIF($C$5:C9,C9,$E$5:E9)</f>
        <v>41500</v>
      </c>
      <c r="H9" s="13">
        <f>SUMIF($C$5:C9,C9,$F$5:F9)</f>
        <v>2.5499999999999998</v>
      </c>
      <c r="I9" s="13">
        <f>COUNTIF($C$5:C9,C9)</f>
        <v>5</v>
      </c>
    </row>
    <row r="10" spans="2:9">
      <c r="B10" s="13" t="s">
        <v>443</v>
      </c>
      <c r="C10" s="13" t="s">
        <v>102</v>
      </c>
      <c r="D10" s="13" t="s">
        <v>444</v>
      </c>
      <c r="E10" s="17">
        <v>8400</v>
      </c>
      <c r="F10" s="18">
        <v>0.26</v>
      </c>
      <c r="G10" s="144">
        <f>SUMIF($C$5:C10,C10,$E$5:E10)</f>
        <v>49900</v>
      </c>
      <c r="H10" s="13">
        <f>SUMIF($C$5:C10,C10,$F$5:F10)</f>
        <v>2.8099999999999996</v>
      </c>
      <c r="I10" s="13">
        <f>COUNTIF($C$5:C10,C10)</f>
        <v>6</v>
      </c>
    </row>
    <row r="11" spans="2:9">
      <c r="B11" s="13" t="s">
        <v>445</v>
      </c>
      <c r="C11" s="13" t="s">
        <v>102</v>
      </c>
      <c r="D11" s="13" t="s">
        <v>446</v>
      </c>
      <c r="E11" s="17">
        <v>8600</v>
      </c>
      <c r="F11" s="18">
        <v>0.61</v>
      </c>
      <c r="G11" s="144">
        <f>SUMIF($C$5:C11,C11,$E$5:E11)</f>
        <v>58500</v>
      </c>
      <c r="H11" s="13">
        <f>SUMIF($C$5:C11,C11,$F$5:F11)</f>
        <v>3.4199999999999995</v>
      </c>
      <c r="I11" s="13">
        <f>COUNTIF($C$5:C11,C11)</f>
        <v>7</v>
      </c>
    </row>
    <row r="12" spans="2:9">
      <c r="B12" s="13" t="s">
        <v>447</v>
      </c>
      <c r="C12" s="13" t="s">
        <v>102</v>
      </c>
      <c r="D12" s="13" t="s">
        <v>448</v>
      </c>
      <c r="E12" s="17">
        <v>8300</v>
      </c>
      <c r="F12" s="18">
        <v>0.36</v>
      </c>
      <c r="G12" s="144">
        <f>SUMIF($C$5:C12,C12,$E$5:E12)</f>
        <v>66800</v>
      </c>
      <c r="H12" s="13">
        <f>SUMIF($C$5:C12,C12,$F$5:F12)</f>
        <v>3.7799999999999994</v>
      </c>
      <c r="I12" s="13">
        <f>COUNTIF($C$5:C12,C12)</f>
        <v>8</v>
      </c>
    </row>
    <row r="13" spans="2:9">
      <c r="B13" s="13" t="s">
        <v>449</v>
      </c>
      <c r="C13" s="13" t="s">
        <v>102</v>
      </c>
      <c r="D13" s="13" t="s">
        <v>450</v>
      </c>
      <c r="E13" s="17">
        <v>8500</v>
      </c>
      <c r="F13" s="18">
        <v>7.0000000000000007E-2</v>
      </c>
      <c r="G13" s="144">
        <f>SUMIF($C$5:C13,C13,$E$5:E13)</f>
        <v>75300</v>
      </c>
      <c r="H13" s="13">
        <f>SUMIF($C$5:C13,C13,$F$5:F13)</f>
        <v>3.8499999999999992</v>
      </c>
      <c r="I13" s="13">
        <f>COUNTIF($C$5:C13,C13)</f>
        <v>9</v>
      </c>
    </row>
    <row r="14" spans="2:9">
      <c r="B14" s="13" t="s">
        <v>451</v>
      </c>
      <c r="C14" s="13" t="s">
        <v>102</v>
      </c>
      <c r="D14" s="13" t="s">
        <v>452</v>
      </c>
      <c r="E14" s="17">
        <v>8200</v>
      </c>
      <c r="F14" s="18">
        <v>0.74</v>
      </c>
      <c r="G14" s="144">
        <f>SUMIF($C$5:C14,C14,$E$5:E14)</f>
        <v>83500</v>
      </c>
      <c r="H14" s="13">
        <f>SUMIF($C$5:C14,C14,$F$5:F14)</f>
        <v>4.589999999999999</v>
      </c>
      <c r="I14" s="13">
        <f>COUNTIF($C$5:C14,C14)</f>
        <v>10</v>
      </c>
    </row>
    <row r="15" spans="2:9">
      <c r="B15" s="13" t="s">
        <v>453</v>
      </c>
      <c r="C15" s="13" t="s">
        <v>102</v>
      </c>
      <c r="D15" s="13" t="s">
        <v>454</v>
      </c>
      <c r="E15" s="17">
        <v>8600</v>
      </c>
      <c r="F15" s="18">
        <v>0.53</v>
      </c>
      <c r="G15" s="144">
        <f>SUMIF($C$5:C15,C15,$E$5:E15)</f>
        <v>92100</v>
      </c>
      <c r="H15" s="13">
        <f>SUMIF($C$5:C15,C15,$F$5:F15)</f>
        <v>5.1199999999999992</v>
      </c>
      <c r="I15" s="13">
        <f>COUNTIF($C$5:C15,C15)</f>
        <v>11</v>
      </c>
    </row>
    <row r="16" spans="2:9">
      <c r="B16" s="13" t="s">
        <v>455</v>
      </c>
      <c r="C16" s="13" t="s">
        <v>102</v>
      </c>
      <c r="D16" s="13" t="s">
        <v>456</v>
      </c>
      <c r="E16" s="17">
        <v>8400</v>
      </c>
      <c r="F16" s="18">
        <v>0.42</v>
      </c>
      <c r="G16" s="144">
        <f>SUMIF($C$5:C16,C16,$E$5:E16)</f>
        <v>100500</v>
      </c>
      <c r="H16" s="13">
        <f>SUMIF($C$5:C16,C16,$F$5:F16)</f>
        <v>5.5399999999999991</v>
      </c>
      <c r="I16" s="13">
        <f>COUNTIF($C$5:C16,C16)</f>
        <v>12</v>
      </c>
    </row>
    <row r="17" spans="2:9">
      <c r="B17" s="13" t="s">
        <v>457</v>
      </c>
      <c r="C17" s="13" t="s">
        <v>102</v>
      </c>
      <c r="D17" s="13" t="s">
        <v>458</v>
      </c>
      <c r="E17" s="17">
        <v>8500</v>
      </c>
      <c r="F17" s="18">
        <v>0.31</v>
      </c>
      <c r="G17" s="144">
        <f>SUMIF($C$5:C17,C17,$E$5:E17)</f>
        <v>109000</v>
      </c>
      <c r="H17" s="13">
        <f>SUMIF($C$5:C17,C17,$F$5:F17)</f>
        <v>5.8499999999999988</v>
      </c>
      <c r="I17" s="13">
        <f>COUNTIF($C$5:C17,C17)</f>
        <v>13</v>
      </c>
    </row>
    <row r="18" spans="2:9">
      <c r="B18" s="13" t="s">
        <v>459</v>
      </c>
      <c r="C18" s="13" t="s">
        <v>102</v>
      </c>
      <c r="D18" s="13" t="s">
        <v>460</v>
      </c>
      <c r="E18" s="17">
        <v>8300</v>
      </c>
      <c r="F18" s="18">
        <v>0.42</v>
      </c>
      <c r="G18" s="144">
        <f>SUMIF($C$5:C18,C18,$E$5:E18)</f>
        <v>117300</v>
      </c>
      <c r="H18" s="13">
        <f>SUMIF($C$5:C18,C18,$F$5:F18)</f>
        <v>6.2699999999999987</v>
      </c>
      <c r="I18" s="13">
        <f>COUNTIF($C$5:C18,C18)</f>
        <v>14</v>
      </c>
    </row>
    <row r="19" spans="2:9">
      <c r="B19" s="13" t="s">
        <v>461</v>
      </c>
      <c r="C19" s="13" t="s">
        <v>102</v>
      </c>
      <c r="D19" s="13" t="s">
        <v>462</v>
      </c>
      <c r="E19" s="17">
        <v>8200</v>
      </c>
      <c r="F19" s="18">
        <v>0.81</v>
      </c>
      <c r="G19" s="144">
        <f>SUMIF($C$5:C19,C19,$E$5:E19)</f>
        <v>125500</v>
      </c>
      <c r="H19" s="13">
        <f>SUMIF($C$5:C19,C19,$F$5:F19)</f>
        <v>7.0799999999999983</v>
      </c>
      <c r="I19" s="13">
        <f>COUNTIF($C$5:C19,C19)</f>
        <v>15</v>
      </c>
    </row>
    <row r="20" spans="2:9">
      <c r="B20" s="13" t="s">
        <v>463</v>
      </c>
      <c r="C20" s="13" t="s">
        <v>102</v>
      </c>
      <c r="D20" s="13" t="s">
        <v>464</v>
      </c>
      <c r="E20" s="17">
        <v>8400</v>
      </c>
      <c r="F20" s="18">
        <v>0.13</v>
      </c>
      <c r="G20" s="144">
        <f>SUMIF($C$5:C20,C20,$E$5:E20)</f>
        <v>133900</v>
      </c>
      <c r="H20" s="13">
        <f>SUMIF($C$5:C20,C20,$F$5:F20)</f>
        <v>7.2099999999999982</v>
      </c>
      <c r="I20" s="13">
        <f>COUNTIF($C$5:C20,C20)</f>
        <v>16</v>
      </c>
    </row>
    <row r="21" spans="2:9">
      <c r="B21" s="13" t="s">
        <v>465</v>
      </c>
      <c r="C21" s="13" t="s">
        <v>102</v>
      </c>
      <c r="D21" s="13" t="s">
        <v>466</v>
      </c>
      <c r="E21" s="17">
        <v>8500</v>
      </c>
      <c r="F21" s="18">
        <v>0.8</v>
      </c>
      <c r="G21" s="144">
        <f>SUMIF($C$5:C21,C21,$E$5:E21)</f>
        <v>142400</v>
      </c>
      <c r="H21" s="13">
        <f>SUMIF($C$5:C21,C21,$F$5:F21)</f>
        <v>8.009999999999998</v>
      </c>
      <c r="I21" s="13">
        <f>COUNTIF($C$5:C21,C21)</f>
        <v>17</v>
      </c>
    </row>
    <row r="22" spans="2:9">
      <c r="B22" s="13" t="s">
        <v>467</v>
      </c>
      <c r="C22" s="13" t="s">
        <v>102</v>
      </c>
      <c r="D22" s="13" t="s">
        <v>468</v>
      </c>
      <c r="E22" s="17">
        <v>8600</v>
      </c>
      <c r="F22" s="18">
        <v>0.46</v>
      </c>
      <c r="G22" s="144">
        <f>SUMIF($C$5:C22,C22,$E$5:E22)</f>
        <v>151000</v>
      </c>
      <c r="H22" s="13">
        <f>SUMIF($C$5:C22,C22,$F$5:F22)</f>
        <v>8.4699999999999989</v>
      </c>
      <c r="I22" s="13">
        <f>COUNTIF($C$5:C22,C22)</f>
        <v>18</v>
      </c>
    </row>
    <row r="23" spans="2:9">
      <c r="B23" s="13" t="s">
        <v>469</v>
      </c>
      <c r="C23" s="13" t="s">
        <v>102</v>
      </c>
      <c r="D23" s="13" t="s">
        <v>470</v>
      </c>
      <c r="E23" s="17">
        <v>8300</v>
      </c>
      <c r="F23" s="18">
        <v>0.05</v>
      </c>
      <c r="G23" s="144">
        <f>SUMIF($C$5:C23,C23,$E$5:E23)</f>
        <v>159300</v>
      </c>
      <c r="H23" s="13">
        <f>SUMIF($C$5:C23,C23,$F$5:F23)</f>
        <v>8.52</v>
      </c>
      <c r="I23" s="13">
        <f>COUNTIF($C$5:C23,C23)</f>
        <v>19</v>
      </c>
    </row>
    <row r="24" spans="2:9">
      <c r="B24" s="13" t="s">
        <v>471</v>
      </c>
      <c r="C24" s="13" t="s">
        <v>102</v>
      </c>
      <c r="D24" s="13" t="s">
        <v>472</v>
      </c>
      <c r="E24" s="17">
        <v>8500</v>
      </c>
      <c r="F24" s="18">
        <v>0.24</v>
      </c>
      <c r="G24" s="144">
        <f>SUMIF($C$5:C24,C24,$E$5:E24)</f>
        <v>167800</v>
      </c>
      <c r="H24" s="13">
        <f>SUMIF($C$5:C24,C24,$F$5:F24)</f>
        <v>8.76</v>
      </c>
      <c r="I24" s="13">
        <f>COUNTIF($C$5:C24,C24)</f>
        <v>20</v>
      </c>
    </row>
    <row r="25" spans="2:9">
      <c r="B25" s="13" t="s">
        <v>473</v>
      </c>
      <c r="C25" s="19" t="s">
        <v>95</v>
      </c>
      <c r="D25" s="20" t="s">
        <v>474</v>
      </c>
      <c r="E25" s="17">
        <v>6000</v>
      </c>
      <c r="F25" s="18">
        <v>0.78</v>
      </c>
      <c r="G25" s="144">
        <f>SUMIF($C$5:C25,C25,$E$5:E25)</f>
        <v>6000</v>
      </c>
      <c r="H25" s="13">
        <f>SUMIF($C$5:C25,C25,$F$5:F25)</f>
        <v>0.78</v>
      </c>
      <c r="I25" s="13">
        <f>COUNTIF($C$5:C25,C25)</f>
        <v>1</v>
      </c>
    </row>
    <row r="26" spans="2:9">
      <c r="B26" s="13" t="s">
        <v>475</v>
      </c>
      <c r="C26" s="19" t="s">
        <v>95</v>
      </c>
      <c r="D26" s="20" t="s">
        <v>476</v>
      </c>
      <c r="E26" s="17">
        <v>6300</v>
      </c>
      <c r="F26" s="18">
        <v>0.26</v>
      </c>
      <c r="G26" s="144">
        <f>SUMIF($C$5:C26,C26,$E$5:E26)</f>
        <v>12300</v>
      </c>
      <c r="H26" s="13">
        <f>SUMIF($C$5:C26,C26,$F$5:F26)</f>
        <v>1.04</v>
      </c>
      <c r="I26" s="13">
        <f>COUNTIF($C$5:C26,C26)</f>
        <v>2</v>
      </c>
    </row>
    <row r="27" spans="2:9">
      <c r="B27" s="13" t="s">
        <v>477</v>
      </c>
      <c r="C27" s="19" t="s">
        <v>95</v>
      </c>
      <c r="D27" s="20" t="s">
        <v>478</v>
      </c>
      <c r="E27" s="17">
        <v>6200</v>
      </c>
      <c r="F27" s="18">
        <v>0.11</v>
      </c>
      <c r="G27" s="144">
        <f>SUMIF($C$5:C27,C27,$E$5:E27)</f>
        <v>18500</v>
      </c>
      <c r="H27" s="13">
        <f>SUMIF($C$5:C27,C27,$F$5:F27)</f>
        <v>1.1500000000000001</v>
      </c>
      <c r="I27" s="13">
        <f>COUNTIF($C$5:C27,C27)</f>
        <v>3</v>
      </c>
    </row>
    <row r="28" spans="2:9">
      <c r="B28" s="13" t="s">
        <v>479</v>
      </c>
      <c r="C28" s="19" t="s">
        <v>95</v>
      </c>
      <c r="D28" s="20" t="s">
        <v>480</v>
      </c>
      <c r="E28" s="17">
        <v>6500</v>
      </c>
      <c r="F28" s="18">
        <v>0.4</v>
      </c>
      <c r="G28" s="144">
        <f>SUMIF($C$5:C28,C28,$E$5:E28)</f>
        <v>25000</v>
      </c>
      <c r="H28" s="13">
        <f>SUMIF($C$5:C28,C28,$F$5:F28)</f>
        <v>1.5500000000000003</v>
      </c>
      <c r="I28" s="13">
        <f>COUNTIF($C$5:C28,C28)</f>
        <v>4</v>
      </c>
    </row>
    <row r="29" spans="2:9">
      <c r="B29" s="13" t="s">
        <v>481</v>
      </c>
      <c r="C29" s="19" t="s">
        <v>95</v>
      </c>
      <c r="D29" s="20" t="s">
        <v>482</v>
      </c>
      <c r="E29" s="17">
        <v>6400</v>
      </c>
      <c r="F29" s="18">
        <v>0.3</v>
      </c>
      <c r="G29" s="144">
        <f>SUMIF($C$5:C29,C29,$E$5:E29)</f>
        <v>31400</v>
      </c>
      <c r="H29" s="13">
        <f>SUMIF($C$5:C29,C29,$F$5:F29)</f>
        <v>1.8500000000000003</v>
      </c>
      <c r="I29" s="13">
        <f>COUNTIF($C$5:C29,C29)</f>
        <v>5</v>
      </c>
    </row>
    <row r="30" spans="2:9">
      <c r="B30" s="13" t="s">
        <v>483</v>
      </c>
      <c r="C30" s="19" t="s">
        <v>95</v>
      </c>
      <c r="D30" s="20" t="s">
        <v>484</v>
      </c>
      <c r="E30" s="17">
        <v>6100</v>
      </c>
      <c r="F30" s="18">
        <v>0.44</v>
      </c>
      <c r="G30" s="144">
        <f>SUMIF($C$5:C30,C30,$E$5:E30)</f>
        <v>37500</v>
      </c>
      <c r="H30" s="13">
        <f>SUMIF($C$5:C30,C30,$F$5:F30)</f>
        <v>2.2900000000000005</v>
      </c>
      <c r="I30" s="13">
        <f>COUNTIF($C$5:C30,C30)</f>
        <v>6</v>
      </c>
    </row>
    <row r="31" spans="2:9">
      <c r="B31" s="13" t="s">
        <v>485</v>
      </c>
      <c r="C31" s="19" t="s">
        <v>95</v>
      </c>
      <c r="D31" s="20" t="s">
        <v>486</v>
      </c>
      <c r="E31" s="17">
        <v>6000</v>
      </c>
      <c r="F31" s="18">
        <v>0.49</v>
      </c>
      <c r="G31" s="144">
        <f>SUMIF($C$5:C31,C31,$E$5:E31)</f>
        <v>43500</v>
      </c>
      <c r="H31" s="13">
        <f>SUMIF($C$5:C31,C31,$F$5:F31)</f>
        <v>2.7800000000000002</v>
      </c>
      <c r="I31" s="13">
        <f>COUNTIF($C$5:C31,C31)</f>
        <v>7</v>
      </c>
    </row>
    <row r="32" spans="2:9">
      <c r="B32" s="13" t="s">
        <v>487</v>
      </c>
      <c r="C32" s="19" t="s">
        <v>95</v>
      </c>
      <c r="D32" s="20" t="s">
        <v>488</v>
      </c>
      <c r="E32" s="17">
        <v>6700</v>
      </c>
      <c r="F32" s="18">
        <v>0.48</v>
      </c>
      <c r="G32" s="144">
        <f>SUMIF($C$5:C32,C32,$E$5:E32)</f>
        <v>50200</v>
      </c>
      <c r="H32" s="13">
        <f>SUMIF($C$5:C32,C32,$F$5:F32)</f>
        <v>3.2600000000000002</v>
      </c>
      <c r="I32" s="13">
        <f>COUNTIF($C$5:C32,C32)</f>
        <v>8</v>
      </c>
    </row>
    <row r="33" spans="2:9">
      <c r="B33" s="13" t="s">
        <v>489</v>
      </c>
      <c r="C33" s="19" t="s">
        <v>95</v>
      </c>
      <c r="D33" s="20" t="s">
        <v>490</v>
      </c>
      <c r="E33" s="17">
        <v>6100</v>
      </c>
      <c r="F33" s="18">
        <v>0.27</v>
      </c>
      <c r="G33" s="144">
        <f>SUMIF($C$5:C33,C33,$E$5:E33)</f>
        <v>56300</v>
      </c>
      <c r="H33" s="13">
        <f>SUMIF($C$5:C33,C33,$F$5:F33)</f>
        <v>3.5300000000000002</v>
      </c>
      <c r="I33" s="13">
        <f>COUNTIF($C$5:C33,C33)</f>
        <v>9</v>
      </c>
    </row>
    <row r="34" spans="2:9">
      <c r="B34" s="13" t="s">
        <v>491</v>
      </c>
      <c r="C34" s="19" t="s">
        <v>95</v>
      </c>
      <c r="D34" s="20" t="s">
        <v>492</v>
      </c>
      <c r="E34" s="17">
        <v>6300</v>
      </c>
      <c r="F34" s="18">
        <v>0.77</v>
      </c>
      <c r="G34" s="144">
        <f>SUMIF($C$5:C34,C34,$E$5:E34)</f>
        <v>62600</v>
      </c>
      <c r="H34" s="13">
        <f>SUMIF($C$5:C34,C34,$F$5:F34)</f>
        <v>4.3000000000000007</v>
      </c>
      <c r="I34" s="13">
        <f>COUNTIF($C$5:C34,C34)</f>
        <v>10</v>
      </c>
    </row>
    <row r="35" spans="2:9">
      <c r="B35" s="13" t="s">
        <v>493</v>
      </c>
      <c r="C35" s="19" t="s">
        <v>95</v>
      </c>
      <c r="D35" s="20" t="s">
        <v>494</v>
      </c>
      <c r="E35" s="17">
        <v>6200</v>
      </c>
      <c r="F35" s="18">
        <v>0.71</v>
      </c>
      <c r="G35" s="144">
        <f>SUMIF($C$5:C35,C35,$E$5:E35)</f>
        <v>68800</v>
      </c>
      <c r="H35" s="13">
        <f>SUMIF($C$5:C35,C35,$F$5:F35)</f>
        <v>5.0100000000000007</v>
      </c>
      <c r="I35" s="13">
        <f>COUNTIF($C$5:C35,C35)</f>
        <v>11</v>
      </c>
    </row>
    <row r="36" spans="2:9">
      <c r="B36" s="13" t="s">
        <v>495</v>
      </c>
      <c r="C36" s="19" t="s">
        <v>95</v>
      </c>
      <c r="D36" s="20" t="s">
        <v>496</v>
      </c>
      <c r="E36" s="17">
        <v>6400</v>
      </c>
      <c r="F36" s="18">
        <v>0.74</v>
      </c>
      <c r="G36" s="144">
        <f>SUMIF($C$5:C36,C36,$E$5:E36)</f>
        <v>75200</v>
      </c>
      <c r="H36" s="13">
        <f>SUMIF($C$5:C36,C36,$F$5:F36)</f>
        <v>5.7500000000000009</v>
      </c>
      <c r="I36" s="13">
        <f>COUNTIF($C$5:C36,C36)</f>
        <v>12</v>
      </c>
    </row>
    <row r="37" spans="2:9">
      <c r="B37" s="13" t="s">
        <v>497</v>
      </c>
      <c r="C37" s="19" t="s">
        <v>95</v>
      </c>
      <c r="D37" s="20" t="s">
        <v>498</v>
      </c>
      <c r="E37" s="17">
        <v>6600</v>
      </c>
      <c r="F37" s="18">
        <v>0.74</v>
      </c>
      <c r="G37" s="144">
        <f>SUMIF($C$5:C37,C37,$E$5:E37)</f>
        <v>81800</v>
      </c>
      <c r="H37" s="13">
        <f>SUMIF($C$5:C37,C37,$F$5:F37)</f>
        <v>6.4900000000000011</v>
      </c>
      <c r="I37" s="13">
        <f>COUNTIF($C$5:C37,C37)</f>
        <v>13</v>
      </c>
    </row>
    <row r="38" spans="2:9">
      <c r="B38" s="13" t="s">
        <v>499</v>
      </c>
      <c r="C38" s="19" t="s">
        <v>95</v>
      </c>
      <c r="D38" s="20" t="s">
        <v>500</v>
      </c>
      <c r="E38" s="17">
        <v>6500</v>
      </c>
      <c r="F38" s="18">
        <v>0.13</v>
      </c>
      <c r="G38" s="144">
        <f>SUMIF($C$5:C38,C38,$E$5:E38)</f>
        <v>88300</v>
      </c>
      <c r="H38" s="13">
        <f>SUMIF($C$5:C38,C38,$F$5:F38)</f>
        <v>6.620000000000001</v>
      </c>
      <c r="I38" s="13">
        <f>COUNTIF($C$5:C38,C38)</f>
        <v>14</v>
      </c>
    </row>
    <row r="39" spans="2:9">
      <c r="B39" s="13" t="s">
        <v>501</v>
      </c>
      <c r="C39" s="19" t="s">
        <v>95</v>
      </c>
      <c r="D39" s="20" t="s">
        <v>502</v>
      </c>
      <c r="E39" s="17">
        <v>6200</v>
      </c>
      <c r="F39" s="18">
        <v>0.43</v>
      </c>
      <c r="G39" s="144">
        <f>SUMIF($C$5:C39,C39,$E$5:E39)</f>
        <v>94500</v>
      </c>
      <c r="H39" s="13">
        <f>SUMIF($C$5:C39,C39,$F$5:F39)</f>
        <v>7.0500000000000007</v>
      </c>
      <c r="I39" s="13">
        <f>COUNTIF($C$5:C39,C39)</f>
        <v>15</v>
      </c>
    </row>
    <row r="40" spans="2:9">
      <c r="B40" s="13" t="s">
        <v>503</v>
      </c>
      <c r="C40" s="19" t="s">
        <v>95</v>
      </c>
      <c r="D40" s="20" t="s">
        <v>504</v>
      </c>
      <c r="E40" s="17">
        <v>6000</v>
      </c>
      <c r="F40" s="18">
        <v>0.34</v>
      </c>
      <c r="G40" s="144">
        <f>SUMIF($C$5:C40,C40,$E$5:E40)</f>
        <v>100500</v>
      </c>
      <c r="H40" s="13">
        <f>SUMIF($C$5:C40,C40,$F$5:F40)</f>
        <v>7.3900000000000006</v>
      </c>
      <c r="I40" s="13">
        <f>COUNTIF($C$5:C40,C40)</f>
        <v>16</v>
      </c>
    </row>
    <row r="41" spans="2:9">
      <c r="B41" s="13" t="s">
        <v>505</v>
      </c>
      <c r="C41" s="19" t="s">
        <v>95</v>
      </c>
      <c r="D41" s="20" t="s">
        <v>506</v>
      </c>
      <c r="E41" s="17">
        <v>6300</v>
      </c>
      <c r="F41" s="18">
        <v>0.26</v>
      </c>
      <c r="G41" s="144">
        <f>SUMIF($C$5:C41,C41,$E$5:E41)</f>
        <v>106800</v>
      </c>
      <c r="H41" s="13">
        <f>SUMIF($C$5:C41,C41,$F$5:F41)</f>
        <v>7.65</v>
      </c>
      <c r="I41" s="13">
        <f>COUNTIF($C$5:C41,C41)</f>
        <v>17</v>
      </c>
    </row>
    <row r="42" spans="2:9">
      <c r="B42" s="13" t="s">
        <v>507</v>
      </c>
      <c r="C42" s="19" t="s">
        <v>95</v>
      </c>
      <c r="D42" s="20" t="s">
        <v>508</v>
      </c>
      <c r="E42" s="17">
        <v>6500</v>
      </c>
      <c r="F42" s="18">
        <v>0.47</v>
      </c>
      <c r="G42" s="144">
        <f>SUMIF($C$5:C42,C42,$E$5:E42)</f>
        <v>113300</v>
      </c>
      <c r="H42" s="13">
        <f>SUMIF($C$5:C42,C42,$F$5:F42)</f>
        <v>8.120000000000001</v>
      </c>
      <c r="I42" s="13">
        <f>COUNTIF($C$5:C42,C42)</f>
        <v>18</v>
      </c>
    </row>
    <row r="43" spans="2:9">
      <c r="B43" s="13" t="s">
        <v>509</v>
      </c>
      <c r="C43" s="19" t="s">
        <v>95</v>
      </c>
      <c r="D43" s="20" t="s">
        <v>510</v>
      </c>
      <c r="E43" s="17">
        <v>6400</v>
      </c>
      <c r="F43" s="18">
        <v>0.73</v>
      </c>
      <c r="G43" s="144">
        <f>SUMIF($C$5:C43,C43,$E$5:E43)</f>
        <v>119700</v>
      </c>
      <c r="H43" s="13">
        <f>SUMIF($C$5:C43,C43,$F$5:F43)</f>
        <v>8.8500000000000014</v>
      </c>
      <c r="I43" s="13">
        <f>COUNTIF($C$5:C43,C43)</f>
        <v>19</v>
      </c>
    </row>
    <row r="44" spans="2:9">
      <c r="B44" s="13" t="s">
        <v>511</v>
      </c>
      <c r="C44" s="19" t="s">
        <v>95</v>
      </c>
      <c r="D44" s="20" t="s">
        <v>512</v>
      </c>
      <c r="E44" s="17">
        <v>6600</v>
      </c>
      <c r="F44" s="18">
        <v>0.57999999999999996</v>
      </c>
      <c r="G44" s="144">
        <f>SUMIF($C$5:C44,C44,$E$5:E44)</f>
        <v>126300</v>
      </c>
      <c r="H44" s="13">
        <f>SUMIF($C$5:C44,C44,$F$5:F44)</f>
        <v>9.4300000000000015</v>
      </c>
      <c r="I44" s="13">
        <f>COUNTIF($C$5:C44,C44)</f>
        <v>20</v>
      </c>
    </row>
    <row r="45" spans="2:9">
      <c r="B45" s="13" t="s">
        <v>513</v>
      </c>
      <c r="C45" s="19" t="s">
        <v>91</v>
      </c>
      <c r="D45" s="20" t="s">
        <v>514</v>
      </c>
      <c r="E45" s="17">
        <v>5500</v>
      </c>
      <c r="F45" s="18">
        <v>0.91</v>
      </c>
      <c r="G45" s="144">
        <f>SUMIF($C$5:C45,C45,$E$5:E45)</f>
        <v>5500</v>
      </c>
      <c r="H45" s="13">
        <f>SUMIF($C$5:C45,C45,$F$5:F45)</f>
        <v>0.91</v>
      </c>
      <c r="I45" s="13">
        <f>COUNTIF($C$5:C45,C45)</f>
        <v>1</v>
      </c>
    </row>
    <row r="46" spans="2:9">
      <c r="B46" s="13" t="s">
        <v>515</v>
      </c>
      <c r="C46" s="19" t="s">
        <v>91</v>
      </c>
      <c r="D46" s="20" t="s">
        <v>516</v>
      </c>
      <c r="E46" s="17">
        <v>5700</v>
      </c>
      <c r="F46" s="18">
        <v>0.66</v>
      </c>
      <c r="G46" s="144">
        <f>SUMIF($C$5:C46,C46,$E$5:E46)</f>
        <v>11200</v>
      </c>
      <c r="H46" s="13">
        <f>SUMIF($C$5:C46,C46,$F$5:F46)</f>
        <v>1.57</v>
      </c>
      <c r="I46" s="13">
        <f>COUNTIF($C$5:C46,C46)</f>
        <v>2</v>
      </c>
    </row>
    <row r="47" spans="2:9">
      <c r="B47" s="13" t="s">
        <v>517</v>
      </c>
      <c r="C47" s="19" t="s">
        <v>91</v>
      </c>
      <c r="D47" s="20" t="s">
        <v>518</v>
      </c>
      <c r="E47" s="17">
        <v>5300</v>
      </c>
      <c r="F47" s="18">
        <v>0.95</v>
      </c>
      <c r="G47" s="144">
        <f>SUMIF($C$5:C47,C47,$E$5:E47)</f>
        <v>16500</v>
      </c>
      <c r="H47" s="13">
        <f>SUMIF($C$5:C47,C47,$F$5:F47)</f>
        <v>2.52</v>
      </c>
      <c r="I47" s="13">
        <f>COUNTIF($C$5:C47,C47)</f>
        <v>3</v>
      </c>
    </row>
    <row r="48" spans="2:9">
      <c r="B48" s="13" t="s">
        <v>519</v>
      </c>
      <c r="C48" s="19" t="s">
        <v>91</v>
      </c>
      <c r="D48" s="20" t="s">
        <v>520</v>
      </c>
      <c r="E48" s="17">
        <v>5600</v>
      </c>
      <c r="F48" s="18">
        <v>0.97</v>
      </c>
      <c r="G48" s="144">
        <f>SUMIF($C$5:C48,C48,$E$5:E48)</f>
        <v>22100</v>
      </c>
      <c r="H48" s="13">
        <f>SUMIF($C$5:C48,C48,$F$5:F48)</f>
        <v>3.49</v>
      </c>
      <c r="I48" s="13">
        <f>COUNTIF($C$5:C48,C48)</f>
        <v>4</v>
      </c>
    </row>
    <row r="49" spans="2:9">
      <c r="B49" s="13" t="s">
        <v>521</v>
      </c>
      <c r="C49" s="19" t="s">
        <v>91</v>
      </c>
      <c r="D49" s="20" t="s">
        <v>522</v>
      </c>
      <c r="E49" s="17">
        <v>5900</v>
      </c>
      <c r="F49" s="18">
        <v>0.85</v>
      </c>
      <c r="G49" s="144">
        <f>SUMIF($C$5:C49,C49,$E$5:E49)</f>
        <v>28000</v>
      </c>
      <c r="H49" s="13">
        <f>SUMIF($C$5:C49,C49,$F$5:F49)</f>
        <v>4.34</v>
      </c>
      <c r="I49" s="13">
        <f>COUNTIF($C$5:C49,C49)</f>
        <v>5</v>
      </c>
    </row>
    <row r="50" spans="2:9">
      <c r="B50" s="13" t="s">
        <v>523</v>
      </c>
      <c r="C50" s="19" t="s">
        <v>91</v>
      </c>
      <c r="D50" s="20" t="s">
        <v>524</v>
      </c>
      <c r="E50" s="17">
        <v>6000</v>
      </c>
      <c r="F50" s="18">
        <v>0.83</v>
      </c>
      <c r="G50" s="144">
        <f>SUMIF($C$5:C50,C50,$E$5:E50)</f>
        <v>34000</v>
      </c>
      <c r="H50" s="13">
        <f>SUMIF($C$5:C50,C50,$F$5:F50)</f>
        <v>5.17</v>
      </c>
      <c r="I50" s="13">
        <f>COUNTIF($C$5:C50,C50)</f>
        <v>6</v>
      </c>
    </row>
    <row r="51" spans="2:9">
      <c r="B51" s="13" t="s">
        <v>525</v>
      </c>
      <c r="C51" s="19" t="s">
        <v>91</v>
      </c>
      <c r="D51" s="20" t="s">
        <v>526</v>
      </c>
      <c r="E51" s="17">
        <v>5400</v>
      </c>
      <c r="F51" s="18">
        <v>0.18</v>
      </c>
      <c r="G51" s="144">
        <f>SUMIF($C$5:C51,C51,$E$5:E51)</f>
        <v>39400</v>
      </c>
      <c r="H51" s="13">
        <f>SUMIF($C$5:C51,C51,$F$5:F51)</f>
        <v>5.35</v>
      </c>
      <c r="I51" s="13">
        <f>COUNTIF($C$5:C51,C51)</f>
        <v>7</v>
      </c>
    </row>
    <row r="52" spans="2:9">
      <c r="B52" s="13" t="s">
        <v>527</v>
      </c>
      <c r="C52" s="19" t="s">
        <v>91</v>
      </c>
      <c r="D52" s="20" t="s">
        <v>528</v>
      </c>
      <c r="E52" s="17">
        <v>5800</v>
      </c>
      <c r="F52" s="18">
        <v>0.87</v>
      </c>
      <c r="G52" s="144">
        <f>SUMIF($C$5:C52,C52,$E$5:E52)</f>
        <v>45200</v>
      </c>
      <c r="H52" s="13">
        <f>SUMIF($C$5:C52,C52,$F$5:F52)</f>
        <v>6.22</v>
      </c>
      <c r="I52" s="13">
        <f>COUNTIF($C$5:C52,C52)</f>
        <v>8</v>
      </c>
    </row>
    <row r="53" spans="2:9">
      <c r="B53" s="13" t="s">
        <v>529</v>
      </c>
      <c r="C53" s="19" t="s">
        <v>91</v>
      </c>
      <c r="D53" s="20" t="s">
        <v>530</v>
      </c>
      <c r="E53" s="17">
        <v>5600</v>
      </c>
      <c r="F53" s="18">
        <v>0.12</v>
      </c>
      <c r="G53" s="144">
        <f>SUMIF($C$5:C53,C53,$E$5:E53)</f>
        <v>50800</v>
      </c>
      <c r="H53" s="13">
        <f>SUMIF($C$5:C53,C53,$F$5:F53)</f>
        <v>6.34</v>
      </c>
      <c r="I53" s="13">
        <f>COUNTIF($C$5:C53,C53)</f>
        <v>9</v>
      </c>
    </row>
    <row r="54" spans="2:9">
      <c r="B54" s="13" t="s">
        <v>531</v>
      </c>
      <c r="C54" s="19" t="s">
        <v>91</v>
      </c>
      <c r="D54" s="20" t="s">
        <v>532</v>
      </c>
      <c r="E54" s="17">
        <v>5700</v>
      </c>
      <c r="F54" s="18">
        <v>1</v>
      </c>
      <c r="G54" s="144">
        <f>SUMIF($C$5:C54,C54,$E$5:E54)</f>
        <v>56500</v>
      </c>
      <c r="H54" s="13">
        <f>SUMIF($C$5:C54,C54,$F$5:F54)</f>
        <v>7.34</v>
      </c>
      <c r="I54" s="13">
        <f>COUNTIF($C$5:C54,C54)</f>
        <v>10</v>
      </c>
    </row>
    <row r="55" spans="2:9">
      <c r="B55" s="13" t="s">
        <v>533</v>
      </c>
      <c r="C55" s="19" t="s">
        <v>91</v>
      </c>
      <c r="D55" s="20" t="s">
        <v>534</v>
      </c>
      <c r="E55" s="17">
        <v>5400</v>
      </c>
      <c r="F55" s="18">
        <v>0.93</v>
      </c>
      <c r="G55" s="144">
        <f>SUMIF($C$5:C55,C55,$E$5:E55)</f>
        <v>61900</v>
      </c>
      <c r="H55" s="13">
        <f>SUMIF($C$5:C55,C55,$F$5:F55)</f>
        <v>8.27</v>
      </c>
      <c r="I55" s="13">
        <f>COUNTIF($C$5:C55,C55)</f>
        <v>11</v>
      </c>
    </row>
    <row r="56" spans="2:9">
      <c r="B56" s="13" t="s">
        <v>535</v>
      </c>
      <c r="C56" s="19" t="s">
        <v>91</v>
      </c>
      <c r="D56" s="20" t="s">
        <v>536</v>
      </c>
      <c r="E56" s="17">
        <v>5800</v>
      </c>
      <c r="F56" s="18">
        <v>0.92</v>
      </c>
      <c r="G56" s="144">
        <f>SUMIF($C$5:C56,C56,$E$5:E56)</f>
        <v>67700</v>
      </c>
      <c r="H56" s="13">
        <f>SUMIF($C$5:C56,C56,$F$5:F56)</f>
        <v>9.19</v>
      </c>
      <c r="I56" s="13">
        <f>COUNTIF($C$5:C56,C56)</f>
        <v>12</v>
      </c>
    </row>
    <row r="57" spans="2:9">
      <c r="B57" s="13" t="s">
        <v>537</v>
      </c>
      <c r="C57" s="19" t="s">
        <v>91</v>
      </c>
      <c r="D57" s="20" t="s">
        <v>538</v>
      </c>
      <c r="E57" s="17">
        <v>6100</v>
      </c>
      <c r="F57" s="18">
        <v>0.09</v>
      </c>
      <c r="G57" s="144">
        <f>SUMIF($C$5:C57,C57,$E$5:E57)</f>
        <v>73800</v>
      </c>
      <c r="H57" s="13">
        <f>SUMIF($C$5:C57,C57,$F$5:F57)</f>
        <v>9.2799999999999994</v>
      </c>
      <c r="I57" s="13">
        <f>COUNTIF($C$5:C57,C57)</f>
        <v>13</v>
      </c>
    </row>
    <row r="58" spans="2:9">
      <c r="B58" s="13" t="s">
        <v>539</v>
      </c>
      <c r="C58" s="19" t="s">
        <v>91</v>
      </c>
      <c r="D58" s="20" t="s">
        <v>540</v>
      </c>
      <c r="E58" s="17">
        <v>5700</v>
      </c>
      <c r="F58" s="18">
        <v>0.28000000000000003</v>
      </c>
      <c r="G58" s="144">
        <f>SUMIF($C$5:C58,C58,$E$5:E58)</f>
        <v>79500</v>
      </c>
      <c r="H58" s="13">
        <f>SUMIF($C$5:C58,C58,$F$5:F58)</f>
        <v>9.5599999999999987</v>
      </c>
      <c r="I58" s="13">
        <f>COUNTIF($C$5:C58,C58)</f>
        <v>14</v>
      </c>
    </row>
    <row r="59" spans="2:9">
      <c r="B59" s="13" t="s">
        <v>541</v>
      </c>
      <c r="C59" s="19" t="s">
        <v>91</v>
      </c>
      <c r="D59" s="20" t="s">
        <v>542</v>
      </c>
      <c r="E59" s="17">
        <v>5500</v>
      </c>
      <c r="F59" s="18">
        <v>0.39</v>
      </c>
      <c r="G59" s="144">
        <f>SUMIF($C$5:C59,C59,$E$5:E59)</f>
        <v>85000</v>
      </c>
      <c r="H59" s="13">
        <f>SUMIF($C$5:C59,C59,$F$5:F59)</f>
        <v>9.9499999999999993</v>
      </c>
      <c r="I59" s="13">
        <f>COUNTIF($C$5:C59,C59)</f>
        <v>15</v>
      </c>
    </row>
    <row r="60" spans="2:9">
      <c r="B60" s="13" t="s">
        <v>543</v>
      </c>
      <c r="C60" s="19" t="s">
        <v>91</v>
      </c>
      <c r="D60" s="20" t="s">
        <v>544</v>
      </c>
      <c r="E60" s="17">
        <v>5900</v>
      </c>
      <c r="F60" s="18">
        <v>0.09</v>
      </c>
      <c r="G60" s="144">
        <f>SUMIF($C$5:C60,C60,$E$5:E60)</f>
        <v>90900</v>
      </c>
      <c r="H60" s="13">
        <f>SUMIF($C$5:C60,C60,$F$5:F60)</f>
        <v>10.039999999999999</v>
      </c>
      <c r="I60" s="13">
        <f>COUNTIF($C$5:C60,C60)</f>
        <v>16</v>
      </c>
    </row>
    <row r="61" spans="2:9">
      <c r="B61" s="13" t="s">
        <v>545</v>
      </c>
      <c r="C61" s="19" t="s">
        <v>91</v>
      </c>
      <c r="D61" s="20" t="s">
        <v>546</v>
      </c>
      <c r="E61" s="17">
        <v>6000</v>
      </c>
      <c r="F61" s="18">
        <v>0.5</v>
      </c>
      <c r="G61" s="144">
        <f>SUMIF($C$5:C61,C61,$E$5:E61)</f>
        <v>96900</v>
      </c>
      <c r="H61" s="13">
        <f>SUMIF($C$5:C61,C61,$F$5:F61)</f>
        <v>10.54</v>
      </c>
      <c r="I61" s="13">
        <f>COUNTIF($C$5:C61,C61)</f>
        <v>17</v>
      </c>
    </row>
    <row r="62" spans="2:9">
      <c r="B62" s="13" t="s">
        <v>547</v>
      </c>
      <c r="C62" s="19" t="s">
        <v>91</v>
      </c>
      <c r="D62" s="20" t="s">
        <v>548</v>
      </c>
      <c r="E62" s="17">
        <v>5600</v>
      </c>
      <c r="F62" s="18">
        <v>0.31</v>
      </c>
      <c r="G62" s="144">
        <f>SUMIF($C$5:C62,C62,$E$5:E62)</f>
        <v>102500</v>
      </c>
      <c r="H62" s="13">
        <f>SUMIF($C$5:C62,C62,$F$5:F62)</f>
        <v>10.85</v>
      </c>
      <c r="I62" s="13">
        <f>COUNTIF($C$5:C62,C62)</f>
        <v>18</v>
      </c>
    </row>
    <row r="63" spans="2:9">
      <c r="B63" s="13" t="s">
        <v>549</v>
      </c>
      <c r="C63" s="19" t="s">
        <v>91</v>
      </c>
      <c r="D63" s="20" t="s">
        <v>550</v>
      </c>
      <c r="E63" s="17">
        <v>5800</v>
      </c>
      <c r="F63" s="18">
        <v>0.33</v>
      </c>
      <c r="G63" s="144">
        <f>SUMIF($C$5:C63,C63,$E$5:E63)</f>
        <v>108300</v>
      </c>
      <c r="H63" s="13">
        <f>SUMIF($C$5:C63,C63,$F$5:F63)</f>
        <v>11.18</v>
      </c>
      <c r="I63" s="13">
        <f>COUNTIF($C$5:C63,C63)</f>
        <v>19</v>
      </c>
    </row>
    <row r="64" spans="2:9">
      <c r="B64" s="13" t="s">
        <v>551</v>
      </c>
      <c r="C64" s="19" t="s">
        <v>91</v>
      </c>
      <c r="D64" s="20" t="s">
        <v>552</v>
      </c>
      <c r="E64" s="17">
        <v>6000</v>
      </c>
      <c r="F64" s="18">
        <v>0.16</v>
      </c>
      <c r="G64" s="144">
        <f>SUMIF($C$5:C64,C64,$E$5:E64)</f>
        <v>114300</v>
      </c>
      <c r="H64" s="13">
        <f>SUMIF($C$5:C64,C64,$F$5:F64)</f>
        <v>11.34</v>
      </c>
      <c r="I64" s="13">
        <f>COUNTIF($C$5:C64,C64)</f>
        <v>20</v>
      </c>
    </row>
    <row r="65" spans="2:9">
      <c r="B65" s="13" t="s">
        <v>553</v>
      </c>
      <c r="C65" s="19" t="s">
        <v>105</v>
      </c>
      <c r="D65" s="20" t="s">
        <v>554</v>
      </c>
      <c r="E65" s="17">
        <v>7500</v>
      </c>
      <c r="F65" s="18">
        <v>0.05</v>
      </c>
      <c r="G65" s="144">
        <f>SUMIF($C$5:C65,C65,$E$5:E65)</f>
        <v>7500</v>
      </c>
      <c r="H65" s="13">
        <f>SUMIF($C$5:C65,C65,$F$5:F65)</f>
        <v>0.05</v>
      </c>
      <c r="I65" s="13">
        <f>COUNTIF($C$5:C65,C65)</f>
        <v>1</v>
      </c>
    </row>
    <row r="66" spans="2:9">
      <c r="B66" s="13" t="s">
        <v>555</v>
      </c>
      <c r="C66" s="19" t="s">
        <v>105</v>
      </c>
      <c r="D66" s="20" t="s">
        <v>556</v>
      </c>
      <c r="E66" s="17">
        <v>7700</v>
      </c>
      <c r="F66" s="18">
        <v>0.95</v>
      </c>
      <c r="G66" s="144">
        <f>SUMIF($C$5:C66,C66,$E$5:E66)</f>
        <v>15200</v>
      </c>
      <c r="H66" s="13">
        <f>SUMIF($C$5:C66,C66,$F$5:F66)</f>
        <v>1</v>
      </c>
      <c r="I66" s="13">
        <f>COUNTIF($C$5:C66,C66)</f>
        <v>2</v>
      </c>
    </row>
    <row r="67" spans="2:9">
      <c r="B67" s="13" t="s">
        <v>557</v>
      </c>
      <c r="C67" s="19" t="s">
        <v>105</v>
      </c>
      <c r="D67" s="20" t="s">
        <v>558</v>
      </c>
      <c r="E67" s="17">
        <v>7300</v>
      </c>
      <c r="F67" s="18">
        <v>0.3</v>
      </c>
      <c r="G67" s="144">
        <f>SUMIF($C$5:C67,C67,$E$5:E67)</f>
        <v>22500</v>
      </c>
      <c r="H67" s="13">
        <f>SUMIF($C$5:C67,C67,$F$5:F67)</f>
        <v>1.3</v>
      </c>
      <c r="I67" s="13">
        <f>COUNTIF($C$5:C67,C67)</f>
        <v>3</v>
      </c>
    </row>
    <row r="68" spans="2:9">
      <c r="B68" s="13" t="s">
        <v>559</v>
      </c>
      <c r="C68" s="19" t="s">
        <v>105</v>
      </c>
      <c r="D68" s="20" t="s">
        <v>560</v>
      </c>
      <c r="E68" s="17">
        <v>7600</v>
      </c>
      <c r="F68" s="18">
        <v>0.71</v>
      </c>
      <c r="G68" s="144">
        <f>SUMIF($C$5:C68,C68,$E$5:E68)</f>
        <v>30100</v>
      </c>
      <c r="H68" s="13">
        <f>SUMIF($C$5:C68,C68,$F$5:F68)</f>
        <v>2.0099999999999998</v>
      </c>
      <c r="I68" s="13">
        <f>COUNTIF($C$5:C68,C68)</f>
        <v>4</v>
      </c>
    </row>
    <row r="69" spans="2:9">
      <c r="B69" s="13" t="s">
        <v>561</v>
      </c>
      <c r="C69" s="19" t="s">
        <v>105</v>
      </c>
      <c r="D69" s="20" t="s">
        <v>562</v>
      </c>
      <c r="E69" s="17">
        <v>7800</v>
      </c>
      <c r="F69" s="18">
        <v>0.84</v>
      </c>
      <c r="G69" s="144">
        <f>SUMIF($C$5:C69,C69,$E$5:E69)</f>
        <v>37900</v>
      </c>
      <c r="H69" s="13">
        <f>SUMIF($C$5:C69,C69,$F$5:F69)</f>
        <v>2.8499999999999996</v>
      </c>
      <c r="I69" s="13">
        <f>COUNTIF($C$5:C69,C69)</f>
        <v>5</v>
      </c>
    </row>
    <row r="70" spans="2:9">
      <c r="B70" s="13" t="s">
        <v>563</v>
      </c>
      <c r="C70" s="19" t="s">
        <v>105</v>
      </c>
      <c r="D70" s="20" t="s">
        <v>564</v>
      </c>
      <c r="E70" s="17">
        <v>7900</v>
      </c>
      <c r="F70" s="18">
        <v>0.62</v>
      </c>
      <c r="G70" s="144">
        <f>SUMIF($C$5:C70,C70,$E$5:E70)</f>
        <v>45800</v>
      </c>
      <c r="H70" s="13">
        <f>SUMIF($C$5:C70,C70,$F$5:F70)</f>
        <v>3.4699999999999998</v>
      </c>
      <c r="I70" s="13">
        <f>COUNTIF($C$5:C70,C70)</f>
        <v>6</v>
      </c>
    </row>
    <row r="71" spans="2:9">
      <c r="B71" s="13" t="s">
        <v>565</v>
      </c>
      <c r="C71" s="19" t="s">
        <v>105</v>
      </c>
      <c r="D71" s="20" t="s">
        <v>566</v>
      </c>
      <c r="E71" s="17">
        <v>7400</v>
      </c>
      <c r="F71" s="18">
        <v>0.56999999999999995</v>
      </c>
      <c r="G71" s="144">
        <f>SUMIF($C$5:C71,C71,$E$5:E71)</f>
        <v>53200</v>
      </c>
      <c r="H71" s="13">
        <f>SUMIF($C$5:C71,C71,$F$5:F71)</f>
        <v>4.04</v>
      </c>
      <c r="I71" s="13">
        <f>COUNTIF($C$5:C71,C71)</f>
        <v>7</v>
      </c>
    </row>
    <row r="72" spans="2:9">
      <c r="B72" s="13" t="s">
        <v>567</v>
      </c>
      <c r="C72" s="19" t="s">
        <v>105</v>
      </c>
      <c r="D72" s="20" t="s">
        <v>568</v>
      </c>
      <c r="E72" s="17">
        <v>7600</v>
      </c>
      <c r="F72" s="18">
        <v>0.12</v>
      </c>
      <c r="G72" s="144">
        <f>SUMIF($C$5:C72,C72,$E$5:E72)</f>
        <v>60800</v>
      </c>
      <c r="H72" s="13">
        <f>SUMIF($C$5:C72,C72,$F$5:F72)</f>
        <v>4.16</v>
      </c>
      <c r="I72" s="13">
        <f>COUNTIF($C$5:C72,C72)</f>
        <v>8</v>
      </c>
    </row>
    <row r="73" spans="2:9">
      <c r="B73" s="13" t="s">
        <v>569</v>
      </c>
      <c r="C73" s="19" t="s">
        <v>105</v>
      </c>
      <c r="D73" s="20" t="s">
        <v>570</v>
      </c>
      <c r="E73" s="17">
        <v>7800</v>
      </c>
      <c r="F73" s="18">
        <v>0.21</v>
      </c>
      <c r="G73" s="144">
        <f>SUMIF($C$5:C73,C73,$E$5:E73)</f>
        <v>68600</v>
      </c>
      <c r="H73" s="13">
        <f>SUMIF($C$5:C73,C73,$F$5:F73)</f>
        <v>4.37</v>
      </c>
      <c r="I73" s="13">
        <f>COUNTIF($C$5:C73,C73)</f>
        <v>9</v>
      </c>
    </row>
    <row r="74" spans="2:9">
      <c r="B74" s="13" t="s">
        <v>571</v>
      </c>
      <c r="C74" s="13" t="s">
        <v>105</v>
      </c>
      <c r="D74" s="13" t="s">
        <v>572</v>
      </c>
      <c r="E74" s="17">
        <v>7700</v>
      </c>
      <c r="F74" s="18">
        <v>0.97</v>
      </c>
      <c r="G74" s="144">
        <f>SUMIF($C$5:C74,C74,$E$5:E74)</f>
        <v>76300</v>
      </c>
      <c r="H74" s="13">
        <f>SUMIF($C$5:C74,C74,$F$5:F74)</f>
        <v>5.34</v>
      </c>
      <c r="I74" s="13">
        <f>COUNTIF($C$5:C74,C74)</f>
        <v>10</v>
      </c>
    </row>
    <row r="75" spans="2:9">
      <c r="B75" s="13" t="s">
        <v>573</v>
      </c>
      <c r="C75" s="13" t="s">
        <v>105</v>
      </c>
      <c r="D75" s="13" t="s">
        <v>574</v>
      </c>
      <c r="E75" s="17">
        <v>7500</v>
      </c>
      <c r="F75" s="18">
        <v>0.52</v>
      </c>
      <c r="G75" s="144">
        <f>SUMIF($C$5:C75,C75,$E$5:E75)</f>
        <v>83800</v>
      </c>
      <c r="H75" s="13">
        <f>SUMIF($C$5:C75,C75,$F$5:F75)</f>
        <v>5.8599999999999994</v>
      </c>
      <c r="I75" s="13">
        <f>COUNTIF($C$5:C75,C75)</f>
        <v>11</v>
      </c>
    </row>
    <row r="76" spans="2:9">
      <c r="B76" s="13" t="s">
        <v>575</v>
      </c>
      <c r="C76" s="13" t="s">
        <v>105</v>
      </c>
      <c r="D76" s="13" t="s">
        <v>576</v>
      </c>
      <c r="E76" s="17">
        <v>7800</v>
      </c>
      <c r="F76" s="18">
        <v>0.84</v>
      </c>
      <c r="G76" s="144">
        <f>SUMIF($C$5:C76,C76,$E$5:E76)</f>
        <v>91600</v>
      </c>
      <c r="H76" s="13">
        <f>SUMIF($C$5:C76,C76,$F$5:F76)</f>
        <v>6.6999999999999993</v>
      </c>
      <c r="I76" s="13">
        <f>COUNTIF($C$5:C76,C76)</f>
        <v>12</v>
      </c>
    </row>
    <row r="77" spans="2:9">
      <c r="B77" s="13" t="s">
        <v>577</v>
      </c>
      <c r="C77" s="13" t="s">
        <v>105</v>
      </c>
      <c r="D77" s="13" t="s">
        <v>578</v>
      </c>
      <c r="E77" s="17">
        <v>7600</v>
      </c>
      <c r="F77" s="18">
        <v>0.28000000000000003</v>
      </c>
      <c r="G77" s="144">
        <f>SUMIF($C$5:C77,C77,$E$5:E77)</f>
        <v>99200</v>
      </c>
      <c r="H77" s="13">
        <f>SUMIF($C$5:C77,C77,$F$5:F77)</f>
        <v>6.9799999999999995</v>
      </c>
      <c r="I77" s="13">
        <f>COUNTIF($C$5:C77,C77)</f>
        <v>13</v>
      </c>
    </row>
    <row r="78" spans="2:9">
      <c r="B78" s="13" t="s">
        <v>579</v>
      </c>
      <c r="C78" s="13" t="s">
        <v>105</v>
      </c>
      <c r="D78" s="13" t="s">
        <v>580</v>
      </c>
      <c r="E78" s="17">
        <v>7700</v>
      </c>
      <c r="F78" s="18">
        <v>0.86</v>
      </c>
      <c r="G78" s="144">
        <f>SUMIF($C$5:C78,C78,$E$5:E78)</f>
        <v>106900</v>
      </c>
      <c r="H78" s="13">
        <f>SUMIF($C$5:C78,C78,$F$5:F78)</f>
        <v>7.84</v>
      </c>
      <c r="I78" s="13">
        <f>COUNTIF($C$5:C78,C78)</f>
        <v>14</v>
      </c>
    </row>
    <row r="79" spans="2:9">
      <c r="B79" s="13" t="s">
        <v>581</v>
      </c>
      <c r="C79" s="13" t="s">
        <v>105</v>
      </c>
      <c r="D79" s="13" t="s">
        <v>582</v>
      </c>
      <c r="E79" s="17">
        <v>7500</v>
      </c>
      <c r="F79" s="18">
        <v>0.51</v>
      </c>
      <c r="G79" s="144">
        <f>SUMIF($C$5:C79,C79,$E$5:E79)</f>
        <v>114400</v>
      </c>
      <c r="H79" s="13">
        <f>SUMIF($C$5:C79,C79,$F$5:F79)</f>
        <v>8.35</v>
      </c>
      <c r="I79" s="13">
        <f>COUNTIF($C$5:C79,C79)</f>
        <v>15</v>
      </c>
    </row>
    <row r="80" spans="2:9">
      <c r="B80" s="13" t="s">
        <v>583</v>
      </c>
      <c r="C80" s="13" t="s">
        <v>105</v>
      </c>
      <c r="D80" s="13" t="s">
        <v>584</v>
      </c>
      <c r="E80" s="17">
        <v>7800</v>
      </c>
      <c r="F80" s="18">
        <v>0.19</v>
      </c>
      <c r="G80" s="144">
        <f>SUMIF($C$5:C80,C80,$E$5:E80)</f>
        <v>122200</v>
      </c>
      <c r="H80" s="13">
        <f>SUMIF($C$5:C80,C80,$F$5:F80)</f>
        <v>8.5399999999999991</v>
      </c>
      <c r="I80" s="13">
        <f>COUNTIF($C$5:C80,C80)</f>
        <v>16</v>
      </c>
    </row>
    <row r="81" spans="2:9">
      <c r="B81" s="13" t="s">
        <v>585</v>
      </c>
      <c r="C81" s="13" t="s">
        <v>105</v>
      </c>
      <c r="D81" s="13" t="s">
        <v>558</v>
      </c>
      <c r="E81" s="17">
        <v>7700</v>
      </c>
      <c r="F81" s="18">
        <v>0.47</v>
      </c>
      <c r="G81" s="144">
        <f>SUMIF($C$5:C81,C81,$E$5:E81)</f>
        <v>129900</v>
      </c>
      <c r="H81" s="13">
        <f>SUMIF($C$5:C81,C81,$F$5:F81)</f>
        <v>9.01</v>
      </c>
      <c r="I81" s="13">
        <f>COUNTIF($C$5:C81,C81)</f>
        <v>17</v>
      </c>
    </row>
    <row r="82" spans="2:9">
      <c r="B82" s="13" t="s">
        <v>586</v>
      </c>
      <c r="C82" s="13" t="s">
        <v>105</v>
      </c>
      <c r="D82" s="13" t="s">
        <v>587</v>
      </c>
      <c r="E82" s="17">
        <v>7900</v>
      </c>
      <c r="F82" s="18">
        <v>0.7</v>
      </c>
      <c r="G82" s="144">
        <f>SUMIF($C$5:C82,C82,$E$5:E82)</f>
        <v>137800</v>
      </c>
      <c r="H82" s="13">
        <f>SUMIF($C$5:C82,C82,$F$5:F82)</f>
        <v>9.7099999999999991</v>
      </c>
      <c r="I82" s="13">
        <f>COUNTIF($C$5:C82,C82)</f>
        <v>18</v>
      </c>
    </row>
    <row r="83" spans="2:9">
      <c r="B83" s="13" t="s">
        <v>588</v>
      </c>
      <c r="C83" s="13" t="s">
        <v>105</v>
      </c>
      <c r="D83" s="13" t="s">
        <v>589</v>
      </c>
      <c r="E83" s="17">
        <v>7800</v>
      </c>
      <c r="F83" s="18">
        <v>0.34</v>
      </c>
      <c r="G83" s="144">
        <f>SUMIF($C$5:C83,C83,$E$5:E83)</f>
        <v>145600</v>
      </c>
      <c r="H83" s="13">
        <f>SUMIF($C$5:C83,C83,$F$5:F83)</f>
        <v>10.049999999999999</v>
      </c>
      <c r="I83" s="13">
        <f>COUNTIF($C$5:C83,C83)</f>
        <v>19</v>
      </c>
    </row>
    <row r="84" spans="2:9">
      <c r="B84" s="13" t="s">
        <v>590</v>
      </c>
      <c r="C84" s="13" t="s">
        <v>105</v>
      </c>
      <c r="D84" s="13" t="s">
        <v>591</v>
      </c>
      <c r="E84" s="17">
        <v>7600</v>
      </c>
      <c r="F84" s="18">
        <v>7.0000000000000007E-2</v>
      </c>
      <c r="G84" s="144">
        <f>SUMIF($C$5:C84,C84,$E$5:E84)</f>
        <v>153200</v>
      </c>
      <c r="H84" s="13">
        <f>SUMIF($C$5:C84,C84,$F$5:F84)</f>
        <v>10.119999999999999</v>
      </c>
      <c r="I84" s="13">
        <f>COUNTIF($C$5:C84,C84)</f>
        <v>20</v>
      </c>
    </row>
    <row r="85" spans="2:9">
      <c r="B85" s="13" t="s">
        <v>592</v>
      </c>
      <c r="C85" s="19" t="s">
        <v>86</v>
      </c>
      <c r="D85" s="20" t="s">
        <v>593</v>
      </c>
      <c r="E85" s="17">
        <v>5000</v>
      </c>
      <c r="F85" s="18">
        <v>0.27</v>
      </c>
      <c r="G85" s="144">
        <f>SUMIF($C$5:C85,C85,$E$5:E85)</f>
        <v>5000</v>
      </c>
      <c r="H85" s="13">
        <f>SUMIF($C$5:C85,C85,$F$5:F85)</f>
        <v>0.27</v>
      </c>
      <c r="I85" s="13">
        <f>COUNTIF($C$5:C85,C85)</f>
        <v>1</v>
      </c>
    </row>
    <row r="86" spans="2:9">
      <c r="B86" s="13" t="s">
        <v>594</v>
      </c>
      <c r="C86" s="19" t="s">
        <v>86</v>
      </c>
      <c r="D86" s="20" t="s">
        <v>595</v>
      </c>
      <c r="E86" s="17">
        <v>5200</v>
      </c>
      <c r="F86" s="18">
        <v>0.15</v>
      </c>
      <c r="G86" s="144">
        <f>SUMIF($C$5:C86,C86,$E$5:E86)</f>
        <v>10200</v>
      </c>
      <c r="H86" s="13">
        <f>SUMIF($C$5:C86,C86,$F$5:F86)</f>
        <v>0.42000000000000004</v>
      </c>
      <c r="I86" s="13">
        <f>COUNTIF($C$5:C86,C86)</f>
        <v>2</v>
      </c>
    </row>
    <row r="87" spans="2:9">
      <c r="B87" s="13" t="s">
        <v>596</v>
      </c>
      <c r="C87" s="19" t="s">
        <v>86</v>
      </c>
      <c r="D87" s="20" t="s">
        <v>597</v>
      </c>
      <c r="E87" s="17">
        <v>4800</v>
      </c>
      <c r="F87" s="18">
        <v>0.93</v>
      </c>
      <c r="G87" s="144">
        <f>SUMIF($C$5:C87,C87,$E$5:E87)</f>
        <v>15000</v>
      </c>
      <c r="H87" s="13">
        <f>SUMIF($C$5:C87,C87,$F$5:F87)</f>
        <v>1.35</v>
      </c>
      <c r="I87" s="13">
        <f>COUNTIF($C$5:C87,C87)</f>
        <v>3</v>
      </c>
    </row>
    <row r="88" spans="2:9">
      <c r="B88" s="13" t="s">
        <v>598</v>
      </c>
      <c r="C88" s="19" t="s">
        <v>86</v>
      </c>
      <c r="D88" s="20" t="s">
        <v>599</v>
      </c>
      <c r="E88" s="17">
        <v>5300</v>
      </c>
      <c r="F88" s="18">
        <v>0.54</v>
      </c>
      <c r="G88" s="144">
        <f>SUMIF($C$5:C88,C88,$E$5:E88)</f>
        <v>20300</v>
      </c>
      <c r="H88" s="13">
        <f>SUMIF($C$5:C88,C88,$F$5:F88)</f>
        <v>1.8900000000000001</v>
      </c>
      <c r="I88" s="13">
        <f>COUNTIF($C$5:C88,C88)</f>
        <v>4</v>
      </c>
    </row>
    <row r="89" spans="2:9">
      <c r="B89" s="13" t="s">
        <v>600</v>
      </c>
      <c r="C89" s="19" t="s">
        <v>86</v>
      </c>
      <c r="D89" s="20" t="s">
        <v>601</v>
      </c>
      <c r="E89" s="17">
        <v>5100</v>
      </c>
      <c r="F89" s="18">
        <v>0.2</v>
      </c>
      <c r="G89" s="144">
        <f>SUMIF($C$5:C89,C89,$E$5:E89)</f>
        <v>25400</v>
      </c>
      <c r="H89" s="13">
        <f>SUMIF($C$5:C89,C89,$F$5:F89)</f>
        <v>2.0900000000000003</v>
      </c>
      <c r="I89" s="13">
        <f>COUNTIF($C$5:C89,C89)</f>
        <v>5</v>
      </c>
    </row>
    <row r="90" spans="2:9">
      <c r="B90" s="13" t="s">
        <v>602</v>
      </c>
      <c r="C90" s="19" t="s">
        <v>86</v>
      </c>
      <c r="D90" s="20" t="s">
        <v>603</v>
      </c>
      <c r="E90" s="17">
        <v>4700</v>
      </c>
      <c r="F90" s="18">
        <v>0.1</v>
      </c>
      <c r="G90" s="144">
        <f>SUMIF($C$5:C90,C90,$E$5:E90)</f>
        <v>30100</v>
      </c>
      <c r="H90" s="13">
        <f>SUMIF($C$5:C90,C90,$F$5:F90)</f>
        <v>2.1900000000000004</v>
      </c>
      <c r="I90" s="13">
        <f>COUNTIF($C$5:C90,C90)</f>
        <v>6</v>
      </c>
    </row>
    <row r="91" spans="2:9">
      <c r="B91" s="13" t="s">
        <v>604</v>
      </c>
      <c r="C91" s="19" t="s">
        <v>86</v>
      </c>
      <c r="D91" s="20" t="s">
        <v>605</v>
      </c>
      <c r="E91" s="17">
        <v>4900</v>
      </c>
      <c r="F91" s="18">
        <v>0.54</v>
      </c>
      <c r="G91" s="144">
        <f>SUMIF($C$5:C91,C91,$E$5:E91)</f>
        <v>35000</v>
      </c>
      <c r="H91" s="13">
        <f>SUMIF($C$5:C91,C91,$F$5:F91)</f>
        <v>2.7300000000000004</v>
      </c>
      <c r="I91" s="13">
        <f>COUNTIF($C$5:C91,C91)</f>
        <v>7</v>
      </c>
    </row>
    <row r="92" spans="2:9">
      <c r="B92" s="13" t="s">
        <v>606</v>
      </c>
      <c r="C92" s="19" t="s">
        <v>86</v>
      </c>
      <c r="D92" s="20" t="s">
        <v>607</v>
      </c>
      <c r="E92" s="17">
        <v>5000</v>
      </c>
      <c r="F92" s="18">
        <v>0.08</v>
      </c>
      <c r="G92" s="144">
        <f>SUMIF($C$5:C92,C92,$E$5:E92)</f>
        <v>40000</v>
      </c>
      <c r="H92" s="13">
        <f>SUMIF($C$5:C92,C92,$F$5:F92)</f>
        <v>2.8100000000000005</v>
      </c>
      <c r="I92" s="13">
        <f>COUNTIF($C$5:C92,C92)</f>
        <v>8</v>
      </c>
    </row>
    <row r="93" spans="2:9">
      <c r="B93" s="13" t="s">
        <v>608</v>
      </c>
      <c r="C93" s="19" t="s">
        <v>86</v>
      </c>
      <c r="D93" s="20" t="s">
        <v>609</v>
      </c>
      <c r="E93" s="17">
        <v>4600</v>
      </c>
      <c r="F93" s="18">
        <v>0.77</v>
      </c>
      <c r="G93" s="144">
        <f>SUMIF($C$5:C93,C93,$E$5:E93)</f>
        <v>44600</v>
      </c>
      <c r="H93" s="13">
        <f>SUMIF($C$5:C93,C93,$F$5:F93)</f>
        <v>3.5800000000000005</v>
      </c>
      <c r="I93" s="13">
        <f>COUNTIF($C$5:C93,C93)</f>
        <v>9</v>
      </c>
    </row>
    <row r="94" spans="2:9">
      <c r="B94" s="13" t="s">
        <v>610</v>
      </c>
      <c r="C94" s="19" t="s">
        <v>86</v>
      </c>
      <c r="D94" s="20" t="s">
        <v>611</v>
      </c>
      <c r="E94" s="17">
        <v>5200</v>
      </c>
      <c r="F94" s="18">
        <v>0.41</v>
      </c>
      <c r="G94" s="144">
        <f>SUMIF($C$5:C94,C94,$E$5:E94)</f>
        <v>49800</v>
      </c>
      <c r="H94" s="13">
        <f>SUMIF($C$5:C94,C94,$F$5:F94)</f>
        <v>3.9900000000000007</v>
      </c>
      <c r="I94" s="13">
        <f>COUNTIF($C$5:C94,C94)</f>
        <v>10</v>
      </c>
    </row>
    <row r="95" spans="2:9">
      <c r="B95" s="13" t="s">
        <v>612</v>
      </c>
      <c r="C95" s="19" t="s">
        <v>86</v>
      </c>
      <c r="D95" s="20" t="s">
        <v>613</v>
      </c>
      <c r="E95" s="17">
        <v>4900</v>
      </c>
      <c r="F95" s="18">
        <v>0.91</v>
      </c>
      <c r="G95" s="144">
        <f>SUMIF($C$5:C95,C95,$E$5:E95)</f>
        <v>54700</v>
      </c>
      <c r="H95" s="13">
        <f>SUMIF($C$5:C95,C95,$F$5:F95)</f>
        <v>4.9000000000000004</v>
      </c>
      <c r="I95" s="13">
        <f>COUNTIF($C$5:C95,C95)</f>
        <v>11</v>
      </c>
    </row>
    <row r="96" spans="2:9">
      <c r="B96" s="13" t="s">
        <v>614</v>
      </c>
      <c r="C96" s="19" t="s">
        <v>86</v>
      </c>
      <c r="D96" s="20" t="s">
        <v>615</v>
      </c>
      <c r="E96" s="17">
        <v>5300</v>
      </c>
      <c r="F96" s="18">
        <v>0.61</v>
      </c>
      <c r="G96" s="144">
        <f>SUMIF($C$5:C96,C96,$E$5:E96)</f>
        <v>60000</v>
      </c>
      <c r="H96" s="13">
        <f>SUMIF($C$5:C96,C96,$F$5:F96)</f>
        <v>5.5100000000000007</v>
      </c>
      <c r="I96" s="13">
        <f>COUNTIF($C$5:C96,C96)</f>
        <v>12</v>
      </c>
    </row>
    <row r="97" spans="2:9">
      <c r="B97" s="13" t="s">
        <v>616</v>
      </c>
      <c r="C97" s="19" t="s">
        <v>86</v>
      </c>
      <c r="D97" s="20" t="s">
        <v>617</v>
      </c>
      <c r="E97" s="17">
        <v>5100</v>
      </c>
      <c r="F97" s="18">
        <v>0.14000000000000001</v>
      </c>
      <c r="G97" s="144">
        <f>SUMIF($C$5:C97,C97,$E$5:E97)</f>
        <v>65100</v>
      </c>
      <c r="H97" s="13">
        <f>SUMIF($C$5:C97,C97,$F$5:F97)</f>
        <v>5.65</v>
      </c>
      <c r="I97" s="13">
        <f>COUNTIF($C$5:C97,C97)</f>
        <v>13</v>
      </c>
    </row>
    <row r="98" spans="2:9">
      <c r="B98" s="13" t="s">
        <v>618</v>
      </c>
      <c r="C98" s="19" t="s">
        <v>86</v>
      </c>
      <c r="D98" s="20" t="s">
        <v>619</v>
      </c>
      <c r="E98" s="17">
        <v>4800</v>
      </c>
      <c r="F98" s="18">
        <v>0.16</v>
      </c>
      <c r="G98" s="144">
        <f>SUMIF($C$5:C98,C98,$E$5:E98)</f>
        <v>69900</v>
      </c>
      <c r="H98" s="13">
        <f>SUMIF($C$5:C98,C98,$F$5:F98)</f>
        <v>5.8100000000000005</v>
      </c>
      <c r="I98" s="13">
        <f>COUNTIF($C$5:C98,C98)</f>
        <v>14</v>
      </c>
    </row>
    <row r="99" spans="2:9">
      <c r="B99" s="13" t="s">
        <v>620</v>
      </c>
      <c r="C99" s="19" t="s">
        <v>86</v>
      </c>
      <c r="D99" s="20" t="s">
        <v>540</v>
      </c>
      <c r="E99" s="17">
        <v>5000</v>
      </c>
      <c r="F99" s="18">
        <v>0.85</v>
      </c>
      <c r="G99" s="144">
        <f>SUMIF($C$5:C99,C99,$E$5:E99)</f>
        <v>74900</v>
      </c>
      <c r="H99" s="13">
        <f>SUMIF($C$5:C99,C99,$F$5:F99)</f>
        <v>6.66</v>
      </c>
      <c r="I99" s="13">
        <f>COUNTIF($C$5:C99,C99)</f>
        <v>15</v>
      </c>
    </row>
    <row r="100" spans="2:9">
      <c r="B100" s="13" t="s">
        <v>621</v>
      </c>
      <c r="C100" s="19" t="s">
        <v>86</v>
      </c>
      <c r="D100" s="20" t="s">
        <v>622</v>
      </c>
      <c r="E100" s="17">
        <v>5200</v>
      </c>
      <c r="F100" s="18">
        <v>0.96</v>
      </c>
      <c r="G100" s="144">
        <f>SUMIF($C$5:C100,C100,$E$5:E100)</f>
        <v>80100</v>
      </c>
      <c r="H100" s="13">
        <f>SUMIF($C$5:C100,C100,$F$5:F100)</f>
        <v>7.62</v>
      </c>
      <c r="I100" s="13">
        <f>COUNTIF($C$5:C100,C100)</f>
        <v>16</v>
      </c>
    </row>
    <row r="101" spans="2:9">
      <c r="B101" s="13" t="s">
        <v>623</v>
      </c>
      <c r="C101" s="19" t="s">
        <v>86</v>
      </c>
      <c r="D101" s="20" t="s">
        <v>624</v>
      </c>
      <c r="E101" s="17">
        <v>4900</v>
      </c>
      <c r="F101" s="18">
        <v>0.9</v>
      </c>
      <c r="G101" s="144">
        <f>SUMIF($C$5:C101,C101,$E$5:E101)</f>
        <v>85000</v>
      </c>
      <c r="H101" s="13">
        <f>SUMIF($C$5:C101,C101,$F$5:F101)</f>
        <v>8.52</v>
      </c>
      <c r="I101" s="13">
        <f>COUNTIF($C$5:C101,C101)</f>
        <v>17</v>
      </c>
    </row>
    <row r="102" spans="2:9">
      <c r="B102" s="13" t="s">
        <v>625</v>
      </c>
      <c r="C102" s="19" t="s">
        <v>86</v>
      </c>
      <c r="D102" s="20" t="s">
        <v>626</v>
      </c>
      <c r="E102" s="17">
        <v>4800</v>
      </c>
      <c r="F102" s="18">
        <v>0.44</v>
      </c>
      <c r="G102" s="144">
        <f>SUMIF($C$5:C102,C102,$E$5:E102)</f>
        <v>89800</v>
      </c>
      <c r="H102" s="13">
        <f>SUMIF($C$5:C102,C102,$F$5:F102)</f>
        <v>8.9599999999999991</v>
      </c>
      <c r="I102" s="13">
        <f>COUNTIF($C$5:C102,C102)</f>
        <v>18</v>
      </c>
    </row>
    <row r="103" spans="2:9">
      <c r="B103" s="13" t="s">
        <v>627</v>
      </c>
      <c r="C103" s="19" t="s">
        <v>86</v>
      </c>
      <c r="D103" s="20" t="s">
        <v>628</v>
      </c>
      <c r="E103" s="17">
        <v>5300</v>
      </c>
      <c r="F103" s="18">
        <v>0.12</v>
      </c>
      <c r="G103" s="144">
        <f>SUMIF($C$5:C103,C103,$E$5:E103)</f>
        <v>95100</v>
      </c>
      <c r="H103" s="13">
        <f>SUMIF($C$5:C103,C103,$F$5:F103)</f>
        <v>9.0799999999999983</v>
      </c>
      <c r="I103" s="13">
        <f>COUNTIF($C$5:C103,C103)</f>
        <v>19</v>
      </c>
    </row>
    <row r="104" spans="2:9">
      <c r="B104" s="13" t="s">
        <v>629</v>
      </c>
      <c r="C104" s="19" t="s">
        <v>86</v>
      </c>
      <c r="D104" s="20" t="s">
        <v>630</v>
      </c>
      <c r="E104" s="17">
        <v>5100</v>
      </c>
      <c r="F104" s="18">
        <v>0.66</v>
      </c>
      <c r="G104" s="144">
        <f>SUMIF($C$5:C104,C104,$E$5:E104)</f>
        <v>100200</v>
      </c>
      <c r="H104" s="13">
        <f>SUMIF($C$5:C104,C104,$F$5:F104)</f>
        <v>9.7399999999999984</v>
      </c>
      <c r="I104" s="13">
        <f>COUNTIF($C$5:C104,C104)</f>
        <v>20</v>
      </c>
    </row>
    <row r="105" spans="2:9">
      <c r="B105" s="13" t="s">
        <v>631</v>
      </c>
      <c r="C105" s="13" t="s">
        <v>99</v>
      </c>
      <c r="D105" s="13" t="s">
        <v>632</v>
      </c>
      <c r="E105" s="17">
        <v>7700</v>
      </c>
      <c r="F105" s="18">
        <v>0.54</v>
      </c>
      <c r="G105" s="144">
        <f>SUMIF($C$5:C105,C105,$E$5:E105)</f>
        <v>7700</v>
      </c>
      <c r="H105" s="13">
        <f>SUMIF($C$5:C105,C105,$F$5:F105)</f>
        <v>0.54</v>
      </c>
      <c r="I105" s="13">
        <f>COUNTIF($C$5:C105,C105)</f>
        <v>1</v>
      </c>
    </row>
    <row r="106" spans="2:9">
      <c r="B106" s="13" t="s">
        <v>633</v>
      </c>
      <c r="C106" s="13" t="s">
        <v>99</v>
      </c>
      <c r="D106" s="13" t="s">
        <v>634</v>
      </c>
      <c r="E106" s="17">
        <v>7800</v>
      </c>
      <c r="F106" s="18">
        <v>0.01</v>
      </c>
      <c r="G106" s="144">
        <f>SUMIF($C$5:C106,C106,$E$5:E106)</f>
        <v>15500</v>
      </c>
      <c r="H106" s="13">
        <f>SUMIF($C$5:C106,C106,$F$5:F106)</f>
        <v>0.55000000000000004</v>
      </c>
      <c r="I106" s="13">
        <f>COUNTIF($C$5:C106,C106)</f>
        <v>2</v>
      </c>
    </row>
    <row r="107" spans="2:9">
      <c r="B107" s="13" t="s">
        <v>635</v>
      </c>
      <c r="C107" s="13" t="s">
        <v>99</v>
      </c>
      <c r="D107" s="13" t="s">
        <v>636</v>
      </c>
      <c r="E107" s="17">
        <v>7900</v>
      </c>
      <c r="F107" s="18">
        <v>0.38</v>
      </c>
      <c r="G107" s="144">
        <f>SUMIF($C$5:C107,C107,$E$5:E107)</f>
        <v>23400</v>
      </c>
      <c r="H107" s="13">
        <f>SUMIF($C$5:C107,C107,$F$5:F107)</f>
        <v>0.93</v>
      </c>
      <c r="I107" s="13">
        <f>COUNTIF($C$5:C107,C107)</f>
        <v>3</v>
      </c>
    </row>
    <row r="108" spans="2:9">
      <c r="B108" s="13" t="s">
        <v>637</v>
      </c>
      <c r="C108" s="13" t="s">
        <v>99</v>
      </c>
      <c r="D108" s="13" t="s">
        <v>638</v>
      </c>
      <c r="E108" s="17">
        <v>7500</v>
      </c>
      <c r="F108" s="18">
        <v>0.83</v>
      </c>
      <c r="G108" s="144">
        <f>SUMIF($C$5:C108,C108,$E$5:E108)</f>
        <v>30900</v>
      </c>
      <c r="H108" s="13">
        <f>SUMIF($C$5:C108,C108,$F$5:F108)</f>
        <v>1.76</v>
      </c>
      <c r="I108" s="13">
        <f>COUNTIF($C$5:C108,C108)</f>
        <v>4</v>
      </c>
    </row>
    <row r="109" spans="2:9">
      <c r="B109" s="13" t="s">
        <v>639</v>
      </c>
      <c r="C109" s="13" t="s">
        <v>99</v>
      </c>
      <c r="D109" s="13" t="s">
        <v>640</v>
      </c>
      <c r="E109" s="17">
        <v>7600</v>
      </c>
      <c r="F109" s="18">
        <v>0.73</v>
      </c>
      <c r="G109" s="144">
        <f>SUMIF($C$5:C109,C109,$E$5:E109)</f>
        <v>38500</v>
      </c>
      <c r="H109" s="13">
        <f>SUMIF($C$5:C109,C109,$F$5:F109)</f>
        <v>2.4900000000000002</v>
      </c>
      <c r="I109" s="13">
        <f>COUNTIF($C$5:C109,C109)</f>
        <v>5</v>
      </c>
    </row>
    <row r="110" spans="2:9">
      <c r="B110" s="13" t="s">
        <v>641</v>
      </c>
      <c r="C110" s="13" t="s">
        <v>99</v>
      </c>
      <c r="D110" s="13" t="s">
        <v>642</v>
      </c>
      <c r="E110" s="17">
        <v>8000</v>
      </c>
      <c r="F110" s="18">
        <v>0.24</v>
      </c>
      <c r="G110" s="144">
        <f>SUMIF($C$5:C110,C110,$E$5:E110)</f>
        <v>46500</v>
      </c>
      <c r="H110" s="13">
        <f>SUMIF($C$5:C110,C110,$F$5:F110)</f>
        <v>2.7300000000000004</v>
      </c>
      <c r="I110" s="13">
        <f>COUNTIF($C$5:C110,C110)</f>
        <v>6</v>
      </c>
    </row>
    <row r="111" spans="2:9">
      <c r="B111" s="13" t="s">
        <v>643</v>
      </c>
      <c r="C111" s="13" t="s">
        <v>99</v>
      </c>
      <c r="D111" s="13" t="s">
        <v>644</v>
      </c>
      <c r="E111" s="17">
        <v>7800</v>
      </c>
      <c r="F111" s="18">
        <v>0.98</v>
      </c>
      <c r="G111" s="144">
        <f>SUMIF($C$5:C111,C111,$E$5:E111)</f>
        <v>54300</v>
      </c>
      <c r="H111" s="13">
        <f>SUMIF($C$5:C111,C111,$F$5:F111)</f>
        <v>3.7100000000000004</v>
      </c>
      <c r="I111" s="13">
        <f>COUNTIF($C$5:C111,C111)</f>
        <v>7</v>
      </c>
    </row>
    <row r="112" spans="2:9">
      <c r="B112" s="13" t="s">
        <v>645</v>
      </c>
      <c r="C112" s="13" t="s">
        <v>99</v>
      </c>
      <c r="D112" s="13" t="s">
        <v>646</v>
      </c>
      <c r="E112" s="17">
        <v>8100</v>
      </c>
      <c r="F112" s="18">
        <v>0.3</v>
      </c>
      <c r="G112" s="144">
        <f>SUMIF($C$5:C112,C112,$E$5:E112)</f>
        <v>62400</v>
      </c>
      <c r="H112" s="13">
        <f>SUMIF($C$5:C112,C112,$F$5:F112)</f>
        <v>4.0100000000000007</v>
      </c>
      <c r="I112" s="13">
        <f>COUNTIF($C$5:C112,C112)</f>
        <v>8</v>
      </c>
    </row>
    <row r="113" spans="2:9">
      <c r="B113" s="13" t="s">
        <v>647</v>
      </c>
      <c r="C113" s="13" t="s">
        <v>99</v>
      </c>
      <c r="D113" s="13" t="s">
        <v>648</v>
      </c>
      <c r="E113" s="17">
        <v>7700</v>
      </c>
      <c r="F113" s="18">
        <v>0.68</v>
      </c>
      <c r="G113" s="144">
        <f>SUMIF($C$5:C113,C113,$E$5:E113)</f>
        <v>70100</v>
      </c>
      <c r="H113" s="13">
        <f>SUMIF($C$5:C113,C113,$F$5:F113)</f>
        <v>4.6900000000000004</v>
      </c>
      <c r="I113" s="13">
        <f>COUNTIF($C$5:C113,C113)</f>
        <v>9</v>
      </c>
    </row>
    <row r="114" spans="2:9">
      <c r="B114" s="13" t="s">
        <v>649</v>
      </c>
      <c r="C114" s="13" t="s">
        <v>99</v>
      </c>
      <c r="D114" s="13" t="s">
        <v>650</v>
      </c>
      <c r="E114" s="17">
        <v>7600</v>
      </c>
      <c r="F114" s="18">
        <v>0.34</v>
      </c>
      <c r="G114" s="144">
        <f>SUMIF($C$5:C114,C114,$E$5:E114)</f>
        <v>77700</v>
      </c>
      <c r="H114" s="13">
        <f>SUMIF($C$5:C114,C114,$F$5:F114)</f>
        <v>5.03</v>
      </c>
      <c r="I114" s="13">
        <f>COUNTIF($C$5:C114,C114)</f>
        <v>10</v>
      </c>
    </row>
    <row r="115" spans="2:9">
      <c r="B115" s="13" t="s">
        <v>651</v>
      </c>
      <c r="C115" s="13" t="s">
        <v>99</v>
      </c>
      <c r="D115" s="13" t="s">
        <v>652</v>
      </c>
      <c r="E115" s="17">
        <v>7800</v>
      </c>
      <c r="F115" s="18">
        <v>0.84</v>
      </c>
      <c r="G115" s="144">
        <f>SUMIF($C$5:C115,C115,$E$5:E115)</f>
        <v>85500</v>
      </c>
      <c r="H115" s="13">
        <f>SUMIF($C$5:C115,C115,$F$5:F115)</f>
        <v>5.87</v>
      </c>
      <c r="I115" s="13">
        <f>COUNTIF($C$5:C115,C115)</f>
        <v>11</v>
      </c>
    </row>
    <row r="116" spans="2:9">
      <c r="B116" s="13" t="s">
        <v>653</v>
      </c>
      <c r="C116" s="13" t="s">
        <v>99</v>
      </c>
      <c r="D116" s="13" t="s">
        <v>654</v>
      </c>
      <c r="E116" s="17">
        <v>7900</v>
      </c>
      <c r="F116" s="18">
        <v>0.47</v>
      </c>
      <c r="G116" s="144">
        <f>SUMIF($C$5:C116,C116,$E$5:E116)</f>
        <v>93400</v>
      </c>
      <c r="H116" s="13">
        <f>SUMIF($C$5:C116,C116,$F$5:F116)</f>
        <v>6.34</v>
      </c>
      <c r="I116" s="13">
        <f>COUNTIF($C$5:C116,C116)</f>
        <v>12</v>
      </c>
    </row>
    <row r="117" spans="2:9">
      <c r="B117" s="13" t="s">
        <v>655</v>
      </c>
      <c r="C117" s="13" t="s">
        <v>99</v>
      </c>
      <c r="D117" s="13" t="s">
        <v>656</v>
      </c>
      <c r="E117" s="17">
        <v>8000</v>
      </c>
      <c r="F117" s="18">
        <v>0.87</v>
      </c>
      <c r="G117" s="144">
        <f>SUMIF($C$5:C117,C117,$E$5:E117)</f>
        <v>101400</v>
      </c>
      <c r="H117" s="13">
        <f>SUMIF($C$5:C117,C117,$F$5:F117)</f>
        <v>7.21</v>
      </c>
      <c r="I117" s="13">
        <f>COUNTIF($C$5:C117,C117)</f>
        <v>13</v>
      </c>
    </row>
    <row r="118" spans="2:9">
      <c r="B118" s="13" t="s">
        <v>657</v>
      </c>
      <c r="C118" s="13" t="s">
        <v>99</v>
      </c>
      <c r="D118" s="13" t="s">
        <v>658</v>
      </c>
      <c r="E118" s="17">
        <v>7700</v>
      </c>
      <c r="F118" s="18">
        <v>0.96</v>
      </c>
      <c r="G118" s="144">
        <f>SUMIF($C$5:C118,C118,$E$5:E118)</f>
        <v>109100</v>
      </c>
      <c r="H118" s="13">
        <f>SUMIF($C$5:C118,C118,$F$5:F118)</f>
        <v>8.17</v>
      </c>
      <c r="I118" s="13">
        <f>COUNTIF($C$5:C118,C118)</f>
        <v>14</v>
      </c>
    </row>
    <row r="119" spans="2:9">
      <c r="B119" s="13" t="s">
        <v>659</v>
      </c>
      <c r="C119" s="13" t="s">
        <v>99</v>
      </c>
      <c r="D119" s="13" t="s">
        <v>660</v>
      </c>
      <c r="E119" s="17">
        <v>8100</v>
      </c>
      <c r="F119" s="18">
        <v>0.84</v>
      </c>
      <c r="G119" s="144">
        <f>SUMIF($C$5:C119,C119,$E$5:E119)</f>
        <v>117200</v>
      </c>
      <c r="H119" s="13">
        <f>SUMIF($C$5:C119,C119,$F$5:F119)</f>
        <v>9.01</v>
      </c>
      <c r="I119" s="13">
        <f>COUNTIF($C$5:C119,C119)</f>
        <v>15</v>
      </c>
    </row>
    <row r="120" spans="2:9">
      <c r="B120" s="13" t="s">
        <v>661</v>
      </c>
      <c r="C120" s="13" t="s">
        <v>99</v>
      </c>
      <c r="D120" s="13" t="s">
        <v>662</v>
      </c>
      <c r="E120" s="17">
        <v>7800</v>
      </c>
      <c r="F120" s="18">
        <v>0.67</v>
      </c>
      <c r="G120" s="144">
        <f>SUMIF($C$5:C120,C120,$E$5:E120)</f>
        <v>125000</v>
      </c>
      <c r="H120" s="13">
        <f>SUMIF($C$5:C120,C120,$F$5:F120)</f>
        <v>9.68</v>
      </c>
      <c r="I120" s="13">
        <f>COUNTIF($C$5:C120,C120)</f>
        <v>16</v>
      </c>
    </row>
    <row r="121" spans="2:9">
      <c r="B121" s="13" t="s">
        <v>663</v>
      </c>
      <c r="C121" s="13" t="s">
        <v>99</v>
      </c>
      <c r="D121" s="13" t="s">
        <v>664</v>
      </c>
      <c r="E121" s="17">
        <v>7500</v>
      </c>
      <c r="F121" s="18">
        <v>0.46</v>
      </c>
      <c r="G121" s="144">
        <f>SUMIF($C$5:C121,C121,$E$5:E121)</f>
        <v>132500</v>
      </c>
      <c r="H121" s="13">
        <f>SUMIF($C$5:C121,C121,$F$5:F121)</f>
        <v>10.14</v>
      </c>
      <c r="I121" s="13">
        <f>COUNTIF($C$5:C121,C121)</f>
        <v>17</v>
      </c>
    </row>
    <row r="122" spans="2:9">
      <c r="B122" s="13" t="s">
        <v>665</v>
      </c>
      <c r="C122" s="13" t="s">
        <v>99</v>
      </c>
      <c r="D122" s="13" t="s">
        <v>666</v>
      </c>
      <c r="E122" s="17">
        <v>7900</v>
      </c>
      <c r="F122" s="18">
        <v>0.44</v>
      </c>
      <c r="G122" s="144">
        <f>SUMIF($C$5:C122,C122,$E$5:E122)</f>
        <v>140400</v>
      </c>
      <c r="H122" s="13">
        <f>SUMIF($C$5:C122,C122,$F$5:F122)</f>
        <v>10.58</v>
      </c>
      <c r="I122" s="13">
        <f>COUNTIF($C$5:C122,C122)</f>
        <v>18</v>
      </c>
    </row>
    <row r="123" spans="2:9">
      <c r="B123" s="13" t="s">
        <v>667</v>
      </c>
      <c r="C123" s="13" t="s">
        <v>99</v>
      </c>
      <c r="D123" s="13" t="s">
        <v>668</v>
      </c>
      <c r="E123" s="17">
        <v>7600</v>
      </c>
      <c r="F123" s="18">
        <v>0.61</v>
      </c>
      <c r="G123" s="144">
        <f>SUMIF($C$5:C123,C123,$E$5:E123)</f>
        <v>148000</v>
      </c>
      <c r="H123" s="13">
        <f>SUMIF($C$5:C123,C123,$F$5:F123)</f>
        <v>11.19</v>
      </c>
      <c r="I123" s="13">
        <f>COUNTIF($C$5:C123,C123)</f>
        <v>19</v>
      </c>
    </row>
    <row r="124" spans="2:9">
      <c r="B124" s="13" t="s">
        <v>669</v>
      </c>
      <c r="C124" s="13" t="s">
        <v>99</v>
      </c>
      <c r="D124" s="13" t="s">
        <v>670</v>
      </c>
      <c r="E124" s="17">
        <v>8000</v>
      </c>
      <c r="F124" s="18">
        <v>0.55000000000000004</v>
      </c>
      <c r="G124" s="144">
        <f>SUMIF($C$5:C124,C124,$E$5:E124)</f>
        <v>156000</v>
      </c>
      <c r="H124" s="13">
        <f>SUMIF($C$5:C124,C124,$F$5:F124)</f>
        <v>11.74</v>
      </c>
      <c r="I124" s="13">
        <f>COUNTIF($C$5:C124,C124)</f>
        <v>20</v>
      </c>
    </row>
    <row r="125" spans="2:9">
      <c r="B125" s="13" t="s">
        <v>671</v>
      </c>
      <c r="C125" s="13" t="s">
        <v>88</v>
      </c>
      <c r="D125" s="13" t="s">
        <v>672</v>
      </c>
      <c r="E125" s="17">
        <v>4500</v>
      </c>
      <c r="F125" s="18">
        <v>0.97</v>
      </c>
      <c r="G125" s="144">
        <f>SUMIF($C$5:C125,C125,$E$5:E125)</f>
        <v>4500</v>
      </c>
      <c r="H125" s="13">
        <f>SUMIF($C$5:C125,C125,$F$5:F125)</f>
        <v>0.97</v>
      </c>
      <c r="I125" s="13">
        <f>COUNTIF($C$5:C125,C125)</f>
        <v>1</v>
      </c>
    </row>
    <row r="126" spans="2:9">
      <c r="B126" s="13" t="s">
        <v>673</v>
      </c>
      <c r="C126" s="13" t="s">
        <v>88</v>
      </c>
      <c r="D126" s="13" t="s">
        <v>674</v>
      </c>
      <c r="E126" s="17">
        <v>4800</v>
      </c>
      <c r="F126" s="18">
        <v>0.67</v>
      </c>
      <c r="G126" s="144">
        <f>SUMIF($C$5:C126,C126,$E$5:E126)</f>
        <v>9300</v>
      </c>
      <c r="H126" s="13">
        <f>SUMIF($C$5:C126,C126,$F$5:F126)</f>
        <v>1.6400000000000001</v>
      </c>
      <c r="I126" s="13">
        <f>COUNTIF($C$5:C126,C126)</f>
        <v>2</v>
      </c>
    </row>
    <row r="127" spans="2:9">
      <c r="B127" s="13" t="s">
        <v>675</v>
      </c>
      <c r="C127" s="13" t="s">
        <v>88</v>
      </c>
      <c r="D127" s="13" t="s">
        <v>676</v>
      </c>
      <c r="E127" s="17">
        <v>4600</v>
      </c>
      <c r="F127" s="18">
        <v>0.57999999999999996</v>
      </c>
      <c r="G127" s="144">
        <f>SUMIF($C$5:C127,C127,$E$5:E127)</f>
        <v>13900</v>
      </c>
      <c r="H127" s="13">
        <f>SUMIF($C$5:C127,C127,$F$5:F127)</f>
        <v>2.2200000000000002</v>
      </c>
      <c r="I127" s="13">
        <f>COUNTIF($C$5:C127,C127)</f>
        <v>3</v>
      </c>
    </row>
    <row r="128" spans="2:9">
      <c r="B128" s="13" t="s">
        <v>677</v>
      </c>
      <c r="C128" s="13" t="s">
        <v>88</v>
      </c>
      <c r="D128" s="13" t="s">
        <v>678</v>
      </c>
      <c r="E128" s="17">
        <v>4700</v>
      </c>
      <c r="F128" s="18">
        <v>0.74</v>
      </c>
      <c r="G128" s="144">
        <f>SUMIF($C$5:C128,C128,$E$5:E128)</f>
        <v>18600</v>
      </c>
      <c r="H128" s="13">
        <f>SUMIF($C$5:C128,C128,$F$5:F128)</f>
        <v>2.96</v>
      </c>
      <c r="I128" s="13">
        <f>COUNTIF($C$5:C128,C128)</f>
        <v>4</v>
      </c>
    </row>
    <row r="129" spans="2:9">
      <c r="B129" s="13" t="s">
        <v>679</v>
      </c>
      <c r="C129" s="13" t="s">
        <v>88</v>
      </c>
      <c r="D129" s="13" t="s">
        <v>680</v>
      </c>
      <c r="E129" s="17">
        <v>5000</v>
      </c>
      <c r="F129" s="18">
        <v>0.64</v>
      </c>
      <c r="G129" s="144">
        <f>SUMIF($C$5:C129,C129,$E$5:E129)</f>
        <v>23600</v>
      </c>
      <c r="H129" s="13">
        <f>SUMIF($C$5:C129,C129,$F$5:F129)</f>
        <v>3.6</v>
      </c>
      <c r="I129" s="13">
        <f>COUNTIF($C$5:C129,C129)</f>
        <v>5</v>
      </c>
    </row>
    <row r="130" spans="2:9">
      <c r="B130" s="13" t="s">
        <v>681</v>
      </c>
      <c r="C130" s="13" t="s">
        <v>88</v>
      </c>
      <c r="D130" s="13" t="s">
        <v>682</v>
      </c>
      <c r="E130" s="17">
        <v>4800</v>
      </c>
      <c r="F130" s="18">
        <v>0.84</v>
      </c>
      <c r="G130" s="144">
        <f>SUMIF($C$5:C130,C130,$E$5:E130)</f>
        <v>28400</v>
      </c>
      <c r="H130" s="13">
        <f>SUMIF($C$5:C130,C130,$F$5:F130)</f>
        <v>4.4400000000000004</v>
      </c>
      <c r="I130" s="13">
        <f>COUNTIF($C$5:C130,C130)</f>
        <v>6</v>
      </c>
    </row>
    <row r="131" spans="2:9">
      <c r="B131" s="13" t="s">
        <v>683</v>
      </c>
      <c r="C131" s="13" t="s">
        <v>88</v>
      </c>
      <c r="D131" s="13" t="s">
        <v>684</v>
      </c>
      <c r="E131" s="17">
        <v>4600</v>
      </c>
      <c r="F131" s="18">
        <v>0.94</v>
      </c>
      <c r="G131" s="144">
        <f>SUMIF($C$5:C131,C131,$E$5:E131)</f>
        <v>33000</v>
      </c>
      <c r="H131" s="13">
        <f>SUMIF($C$5:C131,C131,$F$5:F131)</f>
        <v>5.3800000000000008</v>
      </c>
      <c r="I131" s="13">
        <f>COUNTIF($C$5:C131,C131)</f>
        <v>7</v>
      </c>
    </row>
    <row r="132" spans="2:9">
      <c r="B132" s="13" t="s">
        <v>685</v>
      </c>
      <c r="C132" s="13" t="s">
        <v>88</v>
      </c>
      <c r="D132" s="13" t="s">
        <v>686</v>
      </c>
      <c r="E132" s="17">
        <v>4900</v>
      </c>
      <c r="F132" s="18">
        <v>0.81</v>
      </c>
      <c r="G132" s="144">
        <f>SUMIF($C$5:C132,C132,$E$5:E132)</f>
        <v>37900</v>
      </c>
      <c r="H132" s="13">
        <f>SUMIF($C$5:C132,C132,$F$5:F132)</f>
        <v>6.1900000000000013</v>
      </c>
      <c r="I132" s="13">
        <f>COUNTIF($C$5:C132,C132)</f>
        <v>8</v>
      </c>
    </row>
    <row r="133" spans="2:9">
      <c r="B133" s="13" t="s">
        <v>687</v>
      </c>
      <c r="C133" s="13" t="s">
        <v>88</v>
      </c>
      <c r="D133" s="13" t="s">
        <v>688</v>
      </c>
      <c r="E133" s="17">
        <v>4700</v>
      </c>
      <c r="F133" s="18">
        <v>0.66</v>
      </c>
      <c r="G133" s="144">
        <f>SUMIF($C$5:C133,C133,$E$5:E133)</f>
        <v>42600</v>
      </c>
      <c r="H133" s="13">
        <f>SUMIF($C$5:C133,C133,$F$5:F133)</f>
        <v>6.8500000000000014</v>
      </c>
      <c r="I133" s="13">
        <f>COUNTIF($C$5:C133,C133)</f>
        <v>9</v>
      </c>
    </row>
    <row r="134" spans="2:9">
      <c r="B134" s="13" t="s">
        <v>689</v>
      </c>
      <c r="C134" s="13" t="s">
        <v>88</v>
      </c>
      <c r="D134" s="13" t="s">
        <v>690</v>
      </c>
      <c r="E134" s="17">
        <v>4500</v>
      </c>
      <c r="F134" s="18">
        <v>0.19</v>
      </c>
      <c r="G134" s="144">
        <f>SUMIF($C$5:C134,C134,$E$5:E134)</f>
        <v>47100</v>
      </c>
      <c r="H134" s="13">
        <f>SUMIF($C$5:C134,C134,$F$5:F134)</f>
        <v>7.0400000000000018</v>
      </c>
      <c r="I134" s="13">
        <f>COUNTIF($C$5:C134,C134)</f>
        <v>10</v>
      </c>
    </row>
    <row r="135" spans="2:9">
      <c r="B135" s="13" t="s">
        <v>691</v>
      </c>
      <c r="C135" s="13" t="s">
        <v>88</v>
      </c>
      <c r="D135" s="13" t="s">
        <v>692</v>
      </c>
      <c r="E135" s="17">
        <v>4800</v>
      </c>
      <c r="F135" s="18">
        <v>0.24</v>
      </c>
      <c r="G135" s="144">
        <f>SUMIF($C$5:C135,C135,$E$5:E135)</f>
        <v>51900</v>
      </c>
      <c r="H135" s="13">
        <f>SUMIF($C$5:C135,C135,$F$5:F135)</f>
        <v>7.280000000000002</v>
      </c>
      <c r="I135" s="13">
        <f>COUNTIF($C$5:C135,C135)</f>
        <v>11</v>
      </c>
    </row>
    <row r="136" spans="2:9">
      <c r="B136" s="13" t="s">
        <v>693</v>
      </c>
      <c r="C136" s="13" t="s">
        <v>88</v>
      </c>
      <c r="D136" s="13" t="s">
        <v>694</v>
      </c>
      <c r="E136" s="17">
        <v>4700</v>
      </c>
      <c r="F136" s="18">
        <v>0.52</v>
      </c>
      <c r="G136" s="144">
        <f>SUMIF($C$5:C136,C136,$E$5:E136)</f>
        <v>56600</v>
      </c>
      <c r="H136" s="13">
        <f>SUMIF($C$5:C136,C136,$F$5:F136)</f>
        <v>7.8000000000000025</v>
      </c>
      <c r="I136" s="13">
        <f>COUNTIF($C$5:C136,C136)</f>
        <v>12</v>
      </c>
    </row>
    <row r="137" spans="2:9">
      <c r="B137" s="13" t="s">
        <v>695</v>
      </c>
      <c r="C137" s="13" t="s">
        <v>88</v>
      </c>
      <c r="D137" s="13" t="s">
        <v>696</v>
      </c>
      <c r="E137" s="17">
        <v>4600</v>
      </c>
      <c r="F137" s="18">
        <v>0.54</v>
      </c>
      <c r="G137" s="144">
        <f>SUMIF($C$5:C137,C137,$E$5:E137)</f>
        <v>61200</v>
      </c>
      <c r="H137" s="13">
        <f>SUMIF($C$5:C137,C137,$F$5:F137)</f>
        <v>8.3400000000000034</v>
      </c>
      <c r="I137" s="13">
        <f>COUNTIF($C$5:C137,C137)</f>
        <v>13</v>
      </c>
    </row>
    <row r="138" spans="2:9">
      <c r="B138" s="13" t="s">
        <v>697</v>
      </c>
      <c r="C138" s="13" t="s">
        <v>88</v>
      </c>
      <c r="D138" s="13" t="s">
        <v>698</v>
      </c>
      <c r="E138" s="17">
        <v>5000</v>
      </c>
      <c r="F138" s="18">
        <v>0.48</v>
      </c>
      <c r="G138" s="144">
        <f>SUMIF($C$5:C138,C138,$E$5:E138)</f>
        <v>66200</v>
      </c>
      <c r="H138" s="13">
        <f>SUMIF($C$5:C138,C138,$F$5:F138)</f>
        <v>8.8200000000000038</v>
      </c>
      <c r="I138" s="13">
        <f>COUNTIF($C$5:C138,C138)</f>
        <v>14</v>
      </c>
    </row>
    <row r="139" spans="2:9">
      <c r="B139" s="13" t="s">
        <v>699</v>
      </c>
      <c r="C139" s="13" t="s">
        <v>88</v>
      </c>
      <c r="D139" s="13" t="s">
        <v>700</v>
      </c>
      <c r="E139" s="17">
        <v>4800</v>
      </c>
      <c r="F139" s="18">
        <v>0.64</v>
      </c>
      <c r="G139" s="144">
        <f>SUMIF($C$5:C139,C139,$E$5:E139)</f>
        <v>71000</v>
      </c>
      <c r="H139" s="13">
        <f>SUMIF($C$5:C139,C139,$F$5:F139)</f>
        <v>9.4600000000000044</v>
      </c>
      <c r="I139" s="13">
        <f>COUNTIF($C$5:C139,C139)</f>
        <v>15</v>
      </c>
    </row>
    <row r="140" spans="2:9">
      <c r="B140" s="13" t="s">
        <v>701</v>
      </c>
      <c r="C140" s="13" t="s">
        <v>88</v>
      </c>
      <c r="D140" s="13" t="s">
        <v>552</v>
      </c>
      <c r="E140" s="17">
        <v>4700</v>
      </c>
      <c r="F140" s="18">
        <v>0.96</v>
      </c>
      <c r="G140" s="144">
        <f>SUMIF($C$5:C140,C140,$E$5:E140)</f>
        <v>75700</v>
      </c>
      <c r="H140" s="13">
        <f>SUMIF($C$5:C140,C140,$F$5:F140)</f>
        <v>10.420000000000005</v>
      </c>
      <c r="I140" s="13">
        <f>COUNTIF($C$5:C140,C140)</f>
        <v>16</v>
      </c>
    </row>
    <row r="141" spans="2:9">
      <c r="B141" s="13" t="s">
        <v>702</v>
      </c>
      <c r="C141" s="13" t="s">
        <v>88</v>
      </c>
      <c r="D141" s="13" t="s">
        <v>703</v>
      </c>
      <c r="E141" s="17">
        <v>4900</v>
      </c>
      <c r="F141" s="18">
        <v>0.31</v>
      </c>
      <c r="G141" s="144">
        <f>SUMIF($C$5:C141,C141,$E$5:E141)</f>
        <v>80600</v>
      </c>
      <c r="H141" s="13">
        <f>SUMIF($C$5:C141,C141,$F$5:F141)</f>
        <v>10.730000000000006</v>
      </c>
      <c r="I141" s="13">
        <f>COUNTIF($C$5:C141,C141)</f>
        <v>17</v>
      </c>
    </row>
    <row r="142" spans="2:9">
      <c r="B142" s="13" t="s">
        <v>704</v>
      </c>
      <c r="C142" s="13" t="s">
        <v>88</v>
      </c>
      <c r="D142" s="13" t="s">
        <v>705</v>
      </c>
      <c r="E142" s="17">
        <v>4600</v>
      </c>
      <c r="F142" s="18">
        <v>0.81</v>
      </c>
      <c r="G142" s="144">
        <f>SUMIF($C$5:C142,C142,$E$5:E142)</f>
        <v>85200</v>
      </c>
      <c r="H142" s="13">
        <f>SUMIF($C$5:C142,C142,$F$5:F142)</f>
        <v>11.540000000000006</v>
      </c>
      <c r="I142" s="13">
        <f>COUNTIF($C$5:C142,C142)</f>
        <v>18</v>
      </c>
    </row>
    <row r="143" spans="2:9">
      <c r="B143" s="13" t="s">
        <v>706</v>
      </c>
      <c r="C143" s="13" t="s">
        <v>88</v>
      </c>
      <c r="D143" s="13" t="s">
        <v>707</v>
      </c>
      <c r="E143" s="17">
        <v>4500</v>
      </c>
      <c r="F143" s="18">
        <v>0.31</v>
      </c>
      <c r="G143" s="144">
        <f>SUMIF($C$5:C143,C143,$E$5:E143)</f>
        <v>89700</v>
      </c>
      <c r="H143" s="13">
        <f>SUMIF($C$5:C143,C143,$F$5:F143)</f>
        <v>11.850000000000007</v>
      </c>
      <c r="I143" s="13">
        <f>COUNTIF($C$5:C143,C143)</f>
        <v>19</v>
      </c>
    </row>
    <row r="144" spans="2:9">
      <c r="B144" s="13" t="s">
        <v>708</v>
      </c>
      <c r="C144" s="13" t="s">
        <v>88</v>
      </c>
      <c r="D144" s="13" t="s">
        <v>709</v>
      </c>
      <c r="E144" s="17">
        <v>5000</v>
      </c>
      <c r="F144" s="18">
        <v>0.83</v>
      </c>
      <c r="G144" s="144">
        <f>SUMIF($C$5:C144,C144,$E$5:E144)</f>
        <v>94700</v>
      </c>
      <c r="H144" s="13">
        <f>SUMIF($C$5:C144,C144,$F$5:F144)</f>
        <v>12.680000000000007</v>
      </c>
      <c r="I144" s="13">
        <f>COUNTIF($C$5:C144,C144)</f>
        <v>20</v>
      </c>
    </row>
    <row r="145" spans="2:9">
      <c r="B145" s="13" t="s">
        <v>710</v>
      </c>
      <c r="C145" s="19" t="s">
        <v>92</v>
      </c>
      <c r="D145" s="20" t="s">
        <v>711</v>
      </c>
      <c r="E145" s="17">
        <v>5200</v>
      </c>
      <c r="F145" s="18">
        <v>0.02</v>
      </c>
      <c r="G145" s="144">
        <f>SUMIF($C$5:C145,C145,$E$5:E145)</f>
        <v>5200</v>
      </c>
      <c r="H145" s="13">
        <f>SUMIF($C$5:C145,C145,$F$5:F145)</f>
        <v>0.02</v>
      </c>
      <c r="I145" s="13">
        <f>COUNTIF($C$5:C145,C145)</f>
        <v>1</v>
      </c>
    </row>
    <row r="146" spans="2:9">
      <c r="B146" s="13" t="s">
        <v>712</v>
      </c>
      <c r="C146" s="19" t="s">
        <v>92</v>
      </c>
      <c r="D146" s="20" t="s">
        <v>713</v>
      </c>
      <c r="E146" s="17">
        <v>5400</v>
      </c>
      <c r="F146" s="18">
        <v>0.55000000000000004</v>
      </c>
      <c r="G146" s="144">
        <f>SUMIF($C$5:C146,C146,$E$5:E146)</f>
        <v>10600</v>
      </c>
      <c r="H146" s="13">
        <f>SUMIF($C$5:C146,C146,$F$5:F146)</f>
        <v>0.57000000000000006</v>
      </c>
      <c r="I146" s="13">
        <f>COUNTIF($C$5:C146,C146)</f>
        <v>2</v>
      </c>
    </row>
    <row r="147" spans="2:9">
      <c r="B147" s="13" t="s">
        <v>714</v>
      </c>
      <c r="C147" s="19" t="s">
        <v>92</v>
      </c>
      <c r="D147" s="20" t="s">
        <v>715</v>
      </c>
      <c r="E147" s="17">
        <v>5100</v>
      </c>
      <c r="F147" s="18">
        <v>0.76</v>
      </c>
      <c r="G147" s="144">
        <f>SUMIF($C$5:C147,C147,$E$5:E147)</f>
        <v>15700</v>
      </c>
      <c r="H147" s="13">
        <f>SUMIF($C$5:C147,C147,$F$5:F147)</f>
        <v>1.33</v>
      </c>
      <c r="I147" s="13">
        <f>COUNTIF($C$5:C147,C147)</f>
        <v>3</v>
      </c>
    </row>
    <row r="148" spans="2:9">
      <c r="B148" s="13" t="s">
        <v>716</v>
      </c>
      <c r="C148" s="19" t="s">
        <v>92</v>
      </c>
      <c r="D148" s="20" t="s">
        <v>717</v>
      </c>
      <c r="E148" s="17">
        <v>5300</v>
      </c>
      <c r="F148" s="18">
        <v>0.56000000000000005</v>
      </c>
      <c r="G148" s="144">
        <f>SUMIF($C$5:C148,C148,$E$5:E148)</f>
        <v>21000</v>
      </c>
      <c r="H148" s="13">
        <f>SUMIF($C$5:C148,C148,$F$5:F148)</f>
        <v>1.8900000000000001</v>
      </c>
      <c r="I148" s="13">
        <f>COUNTIF($C$5:C148,C148)</f>
        <v>4</v>
      </c>
    </row>
    <row r="149" spans="2:9">
      <c r="B149" s="13" t="s">
        <v>718</v>
      </c>
      <c r="C149" s="19" t="s">
        <v>92</v>
      </c>
      <c r="D149" s="20" t="s">
        <v>719</v>
      </c>
      <c r="E149" s="17">
        <v>5000</v>
      </c>
      <c r="F149" s="18">
        <v>0.1</v>
      </c>
      <c r="G149" s="144">
        <f>SUMIF($C$5:C149,C149,$E$5:E149)</f>
        <v>26000</v>
      </c>
      <c r="H149" s="13">
        <f>SUMIF($C$5:C149,C149,$F$5:F149)</f>
        <v>1.9900000000000002</v>
      </c>
      <c r="I149" s="13">
        <f>COUNTIF($C$5:C149,C149)</f>
        <v>5</v>
      </c>
    </row>
    <row r="150" spans="2:9">
      <c r="B150" s="13" t="s">
        <v>720</v>
      </c>
      <c r="C150" s="19" t="s">
        <v>92</v>
      </c>
      <c r="D150" s="20" t="s">
        <v>721</v>
      </c>
      <c r="E150" s="17">
        <v>5400</v>
      </c>
      <c r="F150" s="18">
        <v>0.1</v>
      </c>
      <c r="G150" s="144">
        <f>SUMIF($C$5:C150,C150,$E$5:E150)</f>
        <v>31400</v>
      </c>
      <c r="H150" s="13">
        <f>SUMIF($C$5:C150,C150,$F$5:F150)</f>
        <v>2.0900000000000003</v>
      </c>
      <c r="I150" s="13">
        <f>COUNTIF($C$5:C150,C150)</f>
        <v>6</v>
      </c>
    </row>
    <row r="151" spans="2:9">
      <c r="B151" s="13" t="s">
        <v>722</v>
      </c>
      <c r="C151" s="19" t="s">
        <v>92</v>
      </c>
      <c r="D151" s="20" t="s">
        <v>723</v>
      </c>
      <c r="E151" s="17">
        <v>5200</v>
      </c>
      <c r="F151" s="18">
        <v>0.69</v>
      </c>
      <c r="G151" s="144">
        <f>SUMIF($C$5:C151,C151,$E$5:E151)</f>
        <v>36600</v>
      </c>
      <c r="H151" s="13">
        <f>SUMIF($C$5:C151,C151,$F$5:F151)</f>
        <v>2.7800000000000002</v>
      </c>
      <c r="I151" s="13">
        <f>COUNTIF($C$5:C151,C151)</f>
        <v>7</v>
      </c>
    </row>
    <row r="152" spans="2:9">
      <c r="B152" s="13" t="s">
        <v>724</v>
      </c>
      <c r="C152" s="19" t="s">
        <v>92</v>
      </c>
      <c r="D152" s="20" t="s">
        <v>725</v>
      </c>
      <c r="E152" s="17">
        <v>5300</v>
      </c>
      <c r="F152" s="18">
        <v>0.23</v>
      </c>
      <c r="G152" s="144">
        <f>SUMIF($C$5:C152,C152,$E$5:E152)</f>
        <v>41900</v>
      </c>
      <c r="H152" s="13">
        <f>SUMIF($C$5:C152,C152,$F$5:F152)</f>
        <v>3.0100000000000002</v>
      </c>
      <c r="I152" s="13">
        <f>COUNTIF($C$5:C152,C152)</f>
        <v>8</v>
      </c>
    </row>
    <row r="153" spans="2:9">
      <c r="B153" s="13" t="s">
        <v>726</v>
      </c>
      <c r="C153" s="19" t="s">
        <v>92</v>
      </c>
      <c r="D153" s="20" t="s">
        <v>727</v>
      </c>
      <c r="E153" s="17">
        <v>5500</v>
      </c>
      <c r="F153" s="18">
        <v>0.86</v>
      </c>
      <c r="G153" s="144">
        <f>SUMIF($C$5:C153,C153,$E$5:E153)</f>
        <v>47400</v>
      </c>
      <c r="H153" s="13">
        <f>SUMIF($C$5:C153,C153,$F$5:F153)</f>
        <v>3.87</v>
      </c>
      <c r="I153" s="13">
        <f>COUNTIF($C$5:C153,C153)</f>
        <v>9</v>
      </c>
    </row>
    <row r="154" spans="2:9">
      <c r="B154" s="13" t="s">
        <v>728</v>
      </c>
      <c r="C154" s="19" t="s">
        <v>92</v>
      </c>
      <c r="D154" s="20" t="s">
        <v>729</v>
      </c>
      <c r="E154" s="17">
        <v>5100</v>
      </c>
      <c r="F154" s="18">
        <v>0.05</v>
      </c>
      <c r="G154" s="144">
        <f>SUMIF($C$5:C154,C154,$E$5:E154)</f>
        <v>52500</v>
      </c>
      <c r="H154" s="13">
        <f>SUMIF($C$5:C154,C154,$F$5:F154)</f>
        <v>3.92</v>
      </c>
      <c r="I154" s="13">
        <f>COUNTIF($C$5:C154,C154)</f>
        <v>10</v>
      </c>
    </row>
    <row r="155" spans="2:9">
      <c r="B155" s="13" t="s">
        <v>730</v>
      </c>
      <c r="C155" s="19" t="s">
        <v>92</v>
      </c>
      <c r="D155" s="20" t="s">
        <v>731</v>
      </c>
      <c r="E155" s="17">
        <v>5600</v>
      </c>
      <c r="F155" s="18">
        <v>0.2</v>
      </c>
      <c r="G155" s="144">
        <f>SUMIF($C$5:C155,C155,$E$5:E155)</f>
        <v>58100</v>
      </c>
      <c r="H155" s="13">
        <f>SUMIF($C$5:C155,C155,$F$5:F155)</f>
        <v>4.12</v>
      </c>
      <c r="I155" s="13">
        <f>COUNTIF($C$5:C155,C155)</f>
        <v>11</v>
      </c>
    </row>
    <row r="156" spans="2:9">
      <c r="B156" s="13" t="s">
        <v>732</v>
      </c>
      <c r="C156" s="19" t="s">
        <v>92</v>
      </c>
      <c r="D156" s="20" t="s">
        <v>733</v>
      </c>
      <c r="E156" s="17">
        <v>5300</v>
      </c>
      <c r="F156" s="18">
        <v>0.96</v>
      </c>
      <c r="G156" s="144">
        <f>SUMIF($C$5:C156,C156,$E$5:E156)</f>
        <v>63400</v>
      </c>
      <c r="H156" s="13">
        <f>SUMIF($C$5:C156,C156,$F$5:F156)</f>
        <v>5.08</v>
      </c>
      <c r="I156" s="13">
        <f>COUNTIF($C$5:C156,C156)</f>
        <v>12</v>
      </c>
    </row>
    <row r="157" spans="2:9">
      <c r="B157" s="13" t="s">
        <v>734</v>
      </c>
      <c r="C157" s="19" t="s">
        <v>92</v>
      </c>
      <c r="D157" s="20" t="s">
        <v>735</v>
      </c>
      <c r="E157" s="17">
        <v>5200</v>
      </c>
      <c r="F157" s="18">
        <v>0.79</v>
      </c>
      <c r="G157" s="144">
        <f>SUMIF($C$5:C157,C157,$E$5:E157)</f>
        <v>68600</v>
      </c>
      <c r="H157" s="13">
        <f>SUMIF($C$5:C157,C157,$F$5:F157)</f>
        <v>5.87</v>
      </c>
      <c r="I157" s="13">
        <f>COUNTIF($C$5:C157,C157)</f>
        <v>13</v>
      </c>
    </row>
    <row r="158" spans="2:9">
      <c r="B158" s="13" t="s">
        <v>736</v>
      </c>
      <c r="C158" s="19" t="s">
        <v>92</v>
      </c>
      <c r="D158" s="20" t="s">
        <v>737</v>
      </c>
      <c r="E158" s="17">
        <v>5700</v>
      </c>
      <c r="F158" s="18">
        <v>0.72</v>
      </c>
      <c r="G158" s="144">
        <f>SUMIF($C$5:C158,C158,$E$5:E158)</f>
        <v>74300</v>
      </c>
      <c r="H158" s="13">
        <f>SUMIF($C$5:C158,C158,$F$5:F158)</f>
        <v>6.59</v>
      </c>
      <c r="I158" s="13">
        <f>COUNTIF($C$5:C158,C158)</f>
        <v>14</v>
      </c>
    </row>
    <row r="159" spans="2:9">
      <c r="B159" s="13" t="s">
        <v>738</v>
      </c>
      <c r="C159" s="19" t="s">
        <v>92</v>
      </c>
      <c r="D159" s="20" t="s">
        <v>739</v>
      </c>
      <c r="E159" s="17">
        <v>5000</v>
      </c>
      <c r="F159" s="18">
        <v>0.18</v>
      </c>
      <c r="G159" s="144">
        <f>SUMIF($C$5:C159,C159,$E$5:E159)</f>
        <v>79300</v>
      </c>
      <c r="H159" s="13">
        <f>SUMIF($C$5:C159,C159,$F$5:F159)</f>
        <v>6.77</v>
      </c>
      <c r="I159" s="13">
        <f>COUNTIF($C$5:C159,C159)</f>
        <v>15</v>
      </c>
    </row>
    <row r="160" spans="2:9">
      <c r="B160" s="13" t="s">
        <v>740</v>
      </c>
      <c r="C160" s="19" t="s">
        <v>92</v>
      </c>
      <c r="D160" s="20" t="s">
        <v>741</v>
      </c>
      <c r="E160" s="17">
        <v>5200</v>
      </c>
      <c r="F160" s="18">
        <v>0.72</v>
      </c>
      <c r="G160" s="144">
        <f>SUMIF($C$5:C160,C160,$E$5:E160)</f>
        <v>84500</v>
      </c>
      <c r="H160" s="13">
        <f>SUMIF($C$5:C160,C160,$F$5:F160)</f>
        <v>7.4899999999999993</v>
      </c>
      <c r="I160" s="13">
        <f>COUNTIF($C$5:C160,C160)</f>
        <v>16</v>
      </c>
    </row>
    <row r="161" spans="2:9">
      <c r="B161" s="13" t="s">
        <v>742</v>
      </c>
      <c r="C161" s="19" t="s">
        <v>92</v>
      </c>
      <c r="D161" s="20" t="s">
        <v>743</v>
      </c>
      <c r="E161" s="17">
        <v>5500</v>
      </c>
      <c r="F161" s="18">
        <v>0.89</v>
      </c>
      <c r="G161" s="144">
        <f>SUMIF($C$5:C161,C161,$E$5:E161)</f>
        <v>90000</v>
      </c>
      <c r="H161" s="13">
        <f>SUMIF($C$5:C161,C161,$F$5:F161)</f>
        <v>8.379999999999999</v>
      </c>
      <c r="I161" s="13">
        <f>COUNTIF($C$5:C161,C161)</f>
        <v>17</v>
      </c>
    </row>
    <row r="162" spans="2:9">
      <c r="B162" s="13" t="s">
        <v>744</v>
      </c>
      <c r="C162" s="19" t="s">
        <v>92</v>
      </c>
      <c r="D162" s="20" t="s">
        <v>745</v>
      </c>
      <c r="E162" s="17">
        <v>5900</v>
      </c>
      <c r="F162" s="18">
        <v>0.51</v>
      </c>
      <c r="G162" s="144">
        <f>SUMIF($C$5:C162,C162,$E$5:E162)</f>
        <v>95900</v>
      </c>
      <c r="H162" s="13">
        <f>SUMIF($C$5:C162,C162,$F$5:F162)</f>
        <v>8.8899999999999988</v>
      </c>
      <c r="I162" s="13">
        <f>COUNTIF($C$5:C162,C162)</f>
        <v>18</v>
      </c>
    </row>
    <row r="163" spans="2:9">
      <c r="B163" s="13" t="s">
        <v>746</v>
      </c>
      <c r="C163" s="19" t="s">
        <v>92</v>
      </c>
      <c r="D163" s="20" t="s">
        <v>747</v>
      </c>
      <c r="E163" s="17">
        <v>5400</v>
      </c>
      <c r="F163" s="18">
        <v>0.54</v>
      </c>
      <c r="G163" s="144">
        <f>SUMIF($C$5:C163,C163,$E$5:E163)</f>
        <v>101300</v>
      </c>
      <c r="H163" s="13">
        <f>SUMIF($C$5:C163,C163,$F$5:F163)</f>
        <v>9.43</v>
      </c>
      <c r="I163" s="13">
        <f>COUNTIF($C$5:C163,C163)</f>
        <v>19</v>
      </c>
    </row>
    <row r="164" spans="2:9">
      <c r="B164" s="13" t="s">
        <v>748</v>
      </c>
      <c r="C164" s="19" t="s">
        <v>92</v>
      </c>
      <c r="D164" s="20" t="s">
        <v>749</v>
      </c>
      <c r="E164" s="17">
        <v>5600</v>
      </c>
      <c r="F164" s="18">
        <v>0.91</v>
      </c>
      <c r="G164" s="144">
        <f>SUMIF($C$5:C164,C164,$E$5:E164)</f>
        <v>106900</v>
      </c>
      <c r="H164" s="13">
        <f>SUMIF($C$5:C164,C164,$F$5:F164)</f>
        <v>10.34</v>
      </c>
      <c r="I164" s="13">
        <f>COUNTIF($C$5:C164,C164)</f>
        <v>20</v>
      </c>
    </row>
    <row r="165" spans="2:9">
      <c r="B165" s="13" t="s">
        <v>750</v>
      </c>
      <c r="C165" s="19" t="s">
        <v>98</v>
      </c>
      <c r="D165" s="20" t="s">
        <v>751</v>
      </c>
      <c r="E165" s="17">
        <v>6200</v>
      </c>
      <c r="F165" s="18">
        <v>0.04</v>
      </c>
      <c r="G165" s="144">
        <f>SUMIF($C$5:C165,C165,$E$5:E165)</f>
        <v>6200</v>
      </c>
      <c r="H165" s="13">
        <f>SUMIF($C$5:C165,C165,$F$5:F165)</f>
        <v>0.04</v>
      </c>
      <c r="I165" s="13">
        <f>COUNTIF($C$5:C165,C165)</f>
        <v>1</v>
      </c>
    </row>
    <row r="166" spans="2:9">
      <c r="B166" s="13" t="s">
        <v>752</v>
      </c>
      <c r="C166" s="19" t="s">
        <v>98</v>
      </c>
      <c r="D166" s="20" t="s">
        <v>753</v>
      </c>
      <c r="E166" s="17">
        <v>6400</v>
      </c>
      <c r="F166" s="18">
        <v>0.45</v>
      </c>
      <c r="G166" s="144">
        <f>SUMIF($C$5:C166,C166,$E$5:E166)</f>
        <v>12600</v>
      </c>
      <c r="H166" s="13">
        <f>SUMIF($C$5:C166,C166,$F$5:F166)</f>
        <v>0.49</v>
      </c>
      <c r="I166" s="13">
        <f>COUNTIF($C$5:C166,C166)</f>
        <v>2</v>
      </c>
    </row>
    <row r="167" spans="2:9">
      <c r="B167" s="13" t="s">
        <v>754</v>
      </c>
      <c r="C167" s="19" t="s">
        <v>98</v>
      </c>
      <c r="D167" s="20" t="s">
        <v>755</v>
      </c>
      <c r="E167" s="17">
        <v>6600</v>
      </c>
      <c r="F167" s="18">
        <v>0.4</v>
      </c>
      <c r="G167" s="144">
        <f>SUMIF($C$5:C167,C167,$E$5:E167)</f>
        <v>19200</v>
      </c>
      <c r="H167" s="13">
        <f>SUMIF($C$5:C167,C167,$F$5:F167)</f>
        <v>0.89</v>
      </c>
      <c r="I167" s="13">
        <f>COUNTIF($C$5:C167,C167)</f>
        <v>3</v>
      </c>
    </row>
    <row r="168" spans="2:9">
      <c r="B168" s="13" t="s">
        <v>756</v>
      </c>
      <c r="C168" s="19" t="s">
        <v>98</v>
      </c>
      <c r="D168" s="20" t="s">
        <v>757</v>
      </c>
      <c r="E168" s="17">
        <v>6800</v>
      </c>
      <c r="F168" s="18">
        <v>0.48</v>
      </c>
      <c r="G168" s="144">
        <f>SUMIF($C$5:C168,C168,$E$5:E168)</f>
        <v>26000</v>
      </c>
      <c r="H168" s="13">
        <f>SUMIF($C$5:C168,C168,$F$5:F168)</f>
        <v>1.37</v>
      </c>
      <c r="I168" s="13">
        <f>COUNTIF($C$5:C168,C168)</f>
        <v>4</v>
      </c>
    </row>
    <row r="169" spans="2:9">
      <c r="B169" s="13" t="s">
        <v>758</v>
      </c>
      <c r="C169" s="19" t="s">
        <v>98</v>
      </c>
      <c r="D169" s="20" t="s">
        <v>552</v>
      </c>
      <c r="E169" s="17">
        <v>6500</v>
      </c>
      <c r="F169" s="18">
        <v>0.65</v>
      </c>
      <c r="G169" s="144">
        <f>SUMIF($C$5:C169,C169,$E$5:E169)</f>
        <v>32500</v>
      </c>
      <c r="H169" s="13">
        <f>SUMIF($C$5:C169,C169,$F$5:F169)</f>
        <v>2.02</v>
      </c>
      <c r="I169" s="13">
        <f>COUNTIF($C$5:C169,C169)</f>
        <v>5</v>
      </c>
    </row>
    <row r="170" spans="2:9">
      <c r="B170" s="13" t="s">
        <v>759</v>
      </c>
      <c r="C170" s="19" t="s">
        <v>98</v>
      </c>
      <c r="D170" s="20" t="s">
        <v>760</v>
      </c>
      <c r="E170" s="17">
        <v>6300</v>
      </c>
      <c r="F170" s="18">
        <v>0.12</v>
      </c>
      <c r="G170" s="144">
        <f>SUMIF($C$5:C170,C170,$E$5:E170)</f>
        <v>38800</v>
      </c>
      <c r="H170" s="13">
        <f>SUMIF($C$5:C170,C170,$F$5:F170)</f>
        <v>2.14</v>
      </c>
      <c r="I170" s="13">
        <f>COUNTIF($C$5:C170,C170)</f>
        <v>6</v>
      </c>
    </row>
    <row r="171" spans="2:9">
      <c r="B171" s="13" t="s">
        <v>761</v>
      </c>
      <c r="C171" s="19" t="s">
        <v>98</v>
      </c>
      <c r="D171" s="20" t="s">
        <v>762</v>
      </c>
      <c r="E171" s="17">
        <v>6100</v>
      </c>
      <c r="F171" s="18">
        <v>0.75</v>
      </c>
      <c r="G171" s="144">
        <f>SUMIF($C$5:C171,C171,$E$5:E171)</f>
        <v>44900</v>
      </c>
      <c r="H171" s="13">
        <f>SUMIF($C$5:C171,C171,$F$5:F171)</f>
        <v>2.89</v>
      </c>
      <c r="I171" s="13">
        <f>COUNTIF($C$5:C171,C171)</f>
        <v>7</v>
      </c>
    </row>
    <row r="172" spans="2:9">
      <c r="B172" s="13" t="s">
        <v>763</v>
      </c>
      <c r="C172" s="19" t="s">
        <v>98</v>
      </c>
      <c r="D172" s="20" t="s">
        <v>764</v>
      </c>
      <c r="E172" s="17">
        <v>6200</v>
      </c>
      <c r="F172" s="18">
        <v>0.8</v>
      </c>
      <c r="G172" s="144">
        <f>SUMIF($C$5:C172,C172,$E$5:E172)</f>
        <v>51100</v>
      </c>
      <c r="H172" s="13">
        <f>SUMIF($C$5:C172,C172,$F$5:F172)</f>
        <v>3.6900000000000004</v>
      </c>
      <c r="I172" s="13">
        <f>COUNTIF($C$5:C172,C172)</f>
        <v>8</v>
      </c>
    </row>
    <row r="173" spans="2:9">
      <c r="B173" s="13" t="s">
        <v>765</v>
      </c>
      <c r="C173" s="19" t="s">
        <v>98</v>
      </c>
      <c r="D173" s="20" t="s">
        <v>766</v>
      </c>
      <c r="E173" s="17">
        <v>6400</v>
      </c>
      <c r="F173" s="18">
        <v>7.0000000000000007E-2</v>
      </c>
      <c r="G173" s="144">
        <f>SUMIF($C$5:C173,C173,$E$5:E173)</f>
        <v>57500</v>
      </c>
      <c r="H173" s="13">
        <f>SUMIF($C$5:C173,C173,$F$5:F173)</f>
        <v>3.7600000000000002</v>
      </c>
      <c r="I173" s="13">
        <f>COUNTIF($C$5:C173,C173)</f>
        <v>9</v>
      </c>
    </row>
    <row r="174" spans="2:9">
      <c r="B174" s="13" t="s">
        <v>767</v>
      </c>
      <c r="C174" s="19" t="s">
        <v>98</v>
      </c>
      <c r="D174" s="20" t="s">
        <v>768</v>
      </c>
      <c r="E174" s="17">
        <v>6600</v>
      </c>
      <c r="F174" s="18">
        <v>0.94</v>
      </c>
      <c r="G174" s="144">
        <f>SUMIF($C$5:C174,C174,$E$5:E174)</f>
        <v>64100</v>
      </c>
      <c r="H174" s="13">
        <f>SUMIF($C$5:C174,C174,$F$5:F174)</f>
        <v>4.7</v>
      </c>
      <c r="I174" s="13">
        <f>COUNTIF($C$5:C174,C174)</f>
        <v>10</v>
      </c>
    </row>
    <row r="175" spans="2:9">
      <c r="B175" s="13" t="s">
        <v>769</v>
      </c>
      <c r="C175" s="19" t="s">
        <v>98</v>
      </c>
      <c r="D175" s="20" t="s">
        <v>770</v>
      </c>
      <c r="E175" s="17">
        <v>6500</v>
      </c>
      <c r="F175" s="18">
        <v>1</v>
      </c>
      <c r="G175" s="144">
        <f>SUMIF($C$5:C175,C175,$E$5:E175)</f>
        <v>70600</v>
      </c>
      <c r="H175" s="13">
        <f>SUMIF($C$5:C175,C175,$F$5:F175)</f>
        <v>5.7</v>
      </c>
      <c r="I175" s="13">
        <f>COUNTIF($C$5:C175,C175)</f>
        <v>11</v>
      </c>
    </row>
    <row r="176" spans="2:9">
      <c r="B176" s="13" t="s">
        <v>771</v>
      </c>
      <c r="C176" s="19" t="s">
        <v>98</v>
      </c>
      <c r="D176" s="20" t="s">
        <v>772</v>
      </c>
      <c r="E176" s="17">
        <v>6800</v>
      </c>
      <c r="F176" s="18">
        <v>0.42</v>
      </c>
      <c r="G176" s="144">
        <f>SUMIF($C$5:C176,C176,$E$5:E176)</f>
        <v>77400</v>
      </c>
      <c r="H176" s="13">
        <f>SUMIF($C$5:C176,C176,$F$5:F176)</f>
        <v>6.12</v>
      </c>
      <c r="I176" s="13">
        <f>COUNTIF($C$5:C176,C176)</f>
        <v>12</v>
      </c>
    </row>
    <row r="177" spans="2:9">
      <c r="B177" s="13" t="s">
        <v>773</v>
      </c>
      <c r="C177" s="19" t="s">
        <v>98</v>
      </c>
      <c r="D177" s="20" t="s">
        <v>774</v>
      </c>
      <c r="E177" s="17">
        <v>6200</v>
      </c>
      <c r="F177" s="18">
        <v>0.98</v>
      </c>
      <c r="G177" s="144">
        <f>SUMIF($C$5:C177,C177,$E$5:E177)</f>
        <v>83600</v>
      </c>
      <c r="H177" s="13">
        <f>SUMIF($C$5:C177,C177,$F$5:F177)</f>
        <v>7.1</v>
      </c>
      <c r="I177" s="13">
        <f>COUNTIF($C$5:C177,C177)</f>
        <v>13</v>
      </c>
    </row>
    <row r="178" spans="2:9">
      <c r="B178" s="13" t="s">
        <v>775</v>
      </c>
      <c r="C178" s="19" t="s">
        <v>98</v>
      </c>
      <c r="D178" s="20" t="s">
        <v>776</v>
      </c>
      <c r="E178" s="17">
        <v>6000</v>
      </c>
      <c r="F178" s="18">
        <v>0.28999999999999998</v>
      </c>
      <c r="G178" s="144">
        <f>SUMIF($C$5:C178,C178,$E$5:E178)</f>
        <v>89600</v>
      </c>
      <c r="H178" s="13">
        <f>SUMIF($C$5:C178,C178,$F$5:F178)</f>
        <v>7.39</v>
      </c>
      <c r="I178" s="13">
        <f>COUNTIF($C$5:C178,C178)</f>
        <v>14</v>
      </c>
    </row>
    <row r="179" spans="2:9">
      <c r="B179" s="13" t="s">
        <v>777</v>
      </c>
      <c r="C179" s="19" t="s">
        <v>98</v>
      </c>
      <c r="D179" s="20" t="s">
        <v>778</v>
      </c>
      <c r="E179" s="17">
        <v>6300</v>
      </c>
      <c r="F179" s="18">
        <v>0.74</v>
      </c>
      <c r="G179" s="144">
        <f>SUMIF($C$5:C179,C179,$E$5:E179)</f>
        <v>95900</v>
      </c>
      <c r="H179" s="13">
        <f>SUMIF($C$5:C179,C179,$F$5:F179)</f>
        <v>8.129999999999999</v>
      </c>
      <c r="I179" s="13">
        <f>COUNTIF($C$5:C179,C179)</f>
        <v>15</v>
      </c>
    </row>
    <row r="180" spans="2:9">
      <c r="B180" s="13" t="s">
        <v>779</v>
      </c>
      <c r="C180" s="19" t="s">
        <v>98</v>
      </c>
      <c r="D180" s="20" t="s">
        <v>780</v>
      </c>
      <c r="E180" s="17">
        <v>6400</v>
      </c>
      <c r="F180" s="18">
        <v>0.28000000000000003</v>
      </c>
      <c r="G180" s="144">
        <f>SUMIF($C$5:C180,C180,$E$5:E180)</f>
        <v>102300</v>
      </c>
      <c r="H180" s="13">
        <f>SUMIF($C$5:C180,C180,$F$5:F180)</f>
        <v>8.4099999999999984</v>
      </c>
      <c r="I180" s="13">
        <f>COUNTIF($C$5:C180,C180)</f>
        <v>16</v>
      </c>
    </row>
    <row r="181" spans="2:9">
      <c r="B181" s="13" t="s">
        <v>781</v>
      </c>
      <c r="C181" s="19" t="s">
        <v>98</v>
      </c>
      <c r="D181" s="20" t="s">
        <v>782</v>
      </c>
      <c r="E181" s="17">
        <v>6700</v>
      </c>
      <c r="F181" s="18">
        <v>7.0000000000000007E-2</v>
      </c>
      <c r="G181" s="144">
        <f>SUMIF($C$5:C181,C181,$E$5:E181)</f>
        <v>109000</v>
      </c>
      <c r="H181" s="13">
        <f>SUMIF($C$5:C181,C181,$F$5:F181)</f>
        <v>8.4799999999999986</v>
      </c>
      <c r="I181" s="13">
        <f>COUNTIF($C$5:C181,C181)</f>
        <v>17</v>
      </c>
    </row>
    <row r="182" spans="2:9">
      <c r="B182" s="13" t="s">
        <v>783</v>
      </c>
      <c r="C182" s="19" t="s">
        <v>98</v>
      </c>
      <c r="D182" s="20" t="s">
        <v>784</v>
      </c>
      <c r="E182" s="17">
        <v>6500</v>
      </c>
      <c r="F182" s="18">
        <v>0.82</v>
      </c>
      <c r="G182" s="144">
        <f>SUMIF($C$5:C182,C182,$E$5:E182)</f>
        <v>115500</v>
      </c>
      <c r="H182" s="13">
        <f>SUMIF($C$5:C182,C182,$F$5:F182)</f>
        <v>9.2999999999999989</v>
      </c>
      <c r="I182" s="13">
        <f>COUNTIF($C$5:C182,C182)</f>
        <v>18</v>
      </c>
    </row>
    <row r="183" spans="2:9">
      <c r="B183" s="13" t="s">
        <v>785</v>
      </c>
      <c r="C183" s="19" t="s">
        <v>98</v>
      </c>
      <c r="D183" s="20" t="s">
        <v>786</v>
      </c>
      <c r="E183" s="17">
        <v>6300</v>
      </c>
      <c r="F183" s="18">
        <v>0.05</v>
      </c>
      <c r="G183" s="144">
        <f>SUMIF($C$5:C183,C183,$E$5:E183)</f>
        <v>121800</v>
      </c>
      <c r="H183" s="13">
        <f>SUMIF($C$5:C183,C183,$F$5:F183)</f>
        <v>9.35</v>
      </c>
      <c r="I183" s="13">
        <f>COUNTIF($C$5:C183,C183)</f>
        <v>19</v>
      </c>
    </row>
    <row r="184" spans="2:9">
      <c r="B184" s="13" t="s">
        <v>787</v>
      </c>
      <c r="C184" s="19" t="s">
        <v>98</v>
      </c>
      <c r="D184" s="20" t="s">
        <v>788</v>
      </c>
      <c r="E184" s="17">
        <v>6400</v>
      </c>
      <c r="F184" s="18">
        <v>0.56999999999999995</v>
      </c>
      <c r="G184" s="144">
        <f>SUMIF($C$5:C184,C184,$E$5:E184)</f>
        <v>128200</v>
      </c>
      <c r="H184" s="13">
        <f>SUMIF($C$5:C184,C184,$F$5:F184)</f>
        <v>9.92</v>
      </c>
      <c r="I184" s="13">
        <f>COUNTIF($C$5:C184,C184)</f>
        <v>20</v>
      </c>
    </row>
    <row r="185" spans="2:9">
      <c r="B185" s="13" t="s">
        <v>789</v>
      </c>
      <c r="C185" s="19" t="s">
        <v>101</v>
      </c>
      <c r="D185" s="20" t="s">
        <v>790</v>
      </c>
      <c r="E185" s="17">
        <v>7000</v>
      </c>
      <c r="F185" s="18">
        <v>0.28999999999999998</v>
      </c>
      <c r="G185" s="144">
        <f>SUMIF($C$5:C185,C185,$E$5:E185)</f>
        <v>7000</v>
      </c>
      <c r="H185" s="13">
        <f>SUMIF($C$5:C185,C185,$F$5:F185)</f>
        <v>0.28999999999999998</v>
      </c>
      <c r="I185" s="13">
        <f>COUNTIF($C$5:C185,C185)</f>
        <v>1</v>
      </c>
    </row>
    <row r="186" spans="2:9">
      <c r="B186" s="13" t="s">
        <v>791</v>
      </c>
      <c r="C186" s="19" t="s">
        <v>101</v>
      </c>
      <c r="D186" s="20" t="s">
        <v>792</v>
      </c>
      <c r="E186" s="17">
        <v>7300</v>
      </c>
      <c r="F186" s="18">
        <v>0.41</v>
      </c>
      <c r="G186" s="144">
        <f>SUMIF($C$5:C186,C186,$E$5:E186)</f>
        <v>14300</v>
      </c>
      <c r="H186" s="13">
        <f>SUMIF($C$5:C186,C186,$F$5:F186)</f>
        <v>0.7</v>
      </c>
      <c r="I186" s="13">
        <f>COUNTIF($C$5:C186,C186)</f>
        <v>2</v>
      </c>
    </row>
    <row r="187" spans="2:9">
      <c r="B187" s="13" t="s">
        <v>793</v>
      </c>
      <c r="C187" s="19" t="s">
        <v>101</v>
      </c>
      <c r="D187" s="20" t="s">
        <v>794</v>
      </c>
      <c r="E187" s="17">
        <v>7200</v>
      </c>
      <c r="F187" s="18">
        <v>0.88</v>
      </c>
      <c r="G187" s="144">
        <f>SUMIF($C$5:C187,C187,$E$5:E187)</f>
        <v>21500</v>
      </c>
      <c r="H187" s="13">
        <f>SUMIF($C$5:C187,C187,$F$5:F187)</f>
        <v>1.58</v>
      </c>
      <c r="I187" s="13">
        <f>COUNTIF($C$5:C187,C187)</f>
        <v>3</v>
      </c>
    </row>
    <row r="188" spans="2:9">
      <c r="B188" s="13" t="s">
        <v>795</v>
      </c>
      <c r="C188" s="19" t="s">
        <v>101</v>
      </c>
      <c r="D188" s="20" t="s">
        <v>796</v>
      </c>
      <c r="E188" s="17">
        <v>7500</v>
      </c>
      <c r="F188" s="18">
        <v>0.79</v>
      </c>
      <c r="G188" s="144">
        <f>SUMIF($C$5:C188,C188,$E$5:E188)</f>
        <v>29000</v>
      </c>
      <c r="H188" s="13">
        <f>SUMIF($C$5:C188,C188,$F$5:F188)</f>
        <v>2.37</v>
      </c>
      <c r="I188" s="13">
        <f>COUNTIF($C$5:C188,C188)</f>
        <v>4</v>
      </c>
    </row>
    <row r="189" spans="2:9">
      <c r="B189" s="13" t="s">
        <v>797</v>
      </c>
      <c r="C189" s="19" t="s">
        <v>101</v>
      </c>
      <c r="D189" s="20" t="s">
        <v>798</v>
      </c>
      <c r="E189" s="17">
        <v>7400</v>
      </c>
      <c r="F189" s="18">
        <v>0.41</v>
      </c>
      <c r="G189" s="144">
        <f>SUMIF($C$5:C189,C189,$E$5:E189)</f>
        <v>36400</v>
      </c>
      <c r="H189" s="13">
        <f>SUMIF($C$5:C189,C189,$F$5:F189)</f>
        <v>2.7800000000000002</v>
      </c>
      <c r="I189" s="13">
        <f>COUNTIF($C$5:C189,C189)</f>
        <v>5</v>
      </c>
    </row>
    <row r="190" spans="2:9">
      <c r="B190" s="13" t="s">
        <v>799</v>
      </c>
      <c r="C190" s="19" t="s">
        <v>101</v>
      </c>
      <c r="D190" s="20" t="s">
        <v>800</v>
      </c>
      <c r="E190" s="17">
        <v>7100</v>
      </c>
      <c r="F190" s="18">
        <v>0.91</v>
      </c>
      <c r="G190" s="144">
        <f>SUMIF($C$5:C190,C190,$E$5:E190)</f>
        <v>43500</v>
      </c>
      <c r="H190" s="13">
        <f>SUMIF($C$5:C190,C190,$F$5:F190)</f>
        <v>3.6900000000000004</v>
      </c>
      <c r="I190" s="13">
        <f>COUNTIF($C$5:C190,C190)</f>
        <v>6</v>
      </c>
    </row>
    <row r="191" spans="2:9">
      <c r="B191" s="13" t="s">
        <v>801</v>
      </c>
      <c r="C191" s="19" t="s">
        <v>101</v>
      </c>
      <c r="D191" s="20" t="s">
        <v>802</v>
      </c>
      <c r="E191" s="17">
        <v>6900</v>
      </c>
      <c r="F191" s="18">
        <v>0.82</v>
      </c>
      <c r="G191" s="144">
        <f>SUMIF($C$5:C191,C191,$E$5:E191)</f>
        <v>50400</v>
      </c>
      <c r="H191" s="13">
        <f>SUMIF($C$5:C191,C191,$F$5:F191)</f>
        <v>4.5100000000000007</v>
      </c>
      <c r="I191" s="13">
        <f>COUNTIF($C$5:C191,C191)</f>
        <v>7</v>
      </c>
    </row>
    <row r="192" spans="2:9">
      <c r="B192" s="13" t="s">
        <v>803</v>
      </c>
      <c r="C192" s="19" t="s">
        <v>101</v>
      </c>
      <c r="D192" s="20" t="s">
        <v>804</v>
      </c>
      <c r="E192" s="17">
        <v>7200</v>
      </c>
      <c r="F192" s="18">
        <v>0.46</v>
      </c>
      <c r="G192" s="144">
        <f>SUMIF($C$5:C192,C192,$E$5:E192)</f>
        <v>57600</v>
      </c>
      <c r="H192" s="13">
        <f>SUMIF($C$5:C192,C192,$F$5:F192)</f>
        <v>4.9700000000000006</v>
      </c>
      <c r="I192" s="13">
        <f>COUNTIF($C$5:C192,C192)</f>
        <v>8</v>
      </c>
    </row>
    <row r="193" spans="2:9">
      <c r="B193" s="13" t="s">
        <v>805</v>
      </c>
      <c r="C193" s="19" t="s">
        <v>101</v>
      </c>
      <c r="D193" s="20" t="s">
        <v>806</v>
      </c>
      <c r="E193" s="17">
        <v>7400</v>
      </c>
      <c r="F193" s="18">
        <v>0.67</v>
      </c>
      <c r="G193" s="144">
        <f>SUMIF($C$5:C193,C193,$E$5:E193)</f>
        <v>65000</v>
      </c>
      <c r="H193" s="13">
        <f>SUMIF($C$5:C193,C193,$F$5:F193)</f>
        <v>5.6400000000000006</v>
      </c>
      <c r="I193" s="13">
        <f>COUNTIF($C$5:C193,C193)</f>
        <v>9</v>
      </c>
    </row>
    <row r="194" spans="2:9">
      <c r="B194" s="13" t="s">
        <v>807</v>
      </c>
      <c r="C194" s="19" t="s">
        <v>101</v>
      </c>
      <c r="D194" s="20" t="s">
        <v>808</v>
      </c>
      <c r="E194" s="17">
        <v>7500</v>
      </c>
      <c r="F194" s="18">
        <v>0.54</v>
      </c>
      <c r="G194" s="144">
        <f>SUMIF($C$5:C194,C194,$E$5:E194)</f>
        <v>72500</v>
      </c>
      <c r="H194" s="13">
        <f>SUMIF($C$5:C194,C194,$F$5:F194)</f>
        <v>6.1800000000000006</v>
      </c>
      <c r="I194" s="13">
        <f>COUNTIF($C$5:C194,C194)</f>
        <v>10</v>
      </c>
    </row>
    <row r="195" spans="2:9">
      <c r="B195" s="13" t="s">
        <v>809</v>
      </c>
      <c r="C195" s="19" t="s">
        <v>101</v>
      </c>
      <c r="D195" s="20" t="s">
        <v>810</v>
      </c>
      <c r="E195" s="17">
        <v>7000</v>
      </c>
      <c r="F195" s="18">
        <v>0.99</v>
      </c>
      <c r="G195" s="144">
        <f>SUMIF($C$5:C195,C195,$E$5:E195)</f>
        <v>79500</v>
      </c>
      <c r="H195" s="13">
        <f>SUMIF($C$5:C195,C195,$F$5:F195)</f>
        <v>7.1700000000000008</v>
      </c>
      <c r="I195" s="13">
        <f>COUNTIF($C$5:C195,C195)</f>
        <v>11</v>
      </c>
    </row>
    <row r="196" spans="2:9">
      <c r="B196" s="13" t="s">
        <v>811</v>
      </c>
      <c r="C196" s="19" t="s">
        <v>101</v>
      </c>
      <c r="D196" s="20" t="s">
        <v>812</v>
      </c>
      <c r="E196" s="17">
        <v>7200</v>
      </c>
      <c r="F196" s="18">
        <v>0.77</v>
      </c>
      <c r="G196" s="144">
        <f>SUMIF($C$5:C196,C196,$E$5:E196)</f>
        <v>86700</v>
      </c>
      <c r="H196" s="13">
        <f>SUMIF($C$5:C196,C196,$F$5:F196)</f>
        <v>7.9400000000000013</v>
      </c>
      <c r="I196" s="13">
        <f>COUNTIF($C$5:C196,C196)</f>
        <v>12</v>
      </c>
    </row>
    <row r="197" spans="2:9">
      <c r="B197" s="13" t="s">
        <v>813</v>
      </c>
      <c r="C197" s="19" t="s">
        <v>101</v>
      </c>
      <c r="D197" s="20" t="s">
        <v>814</v>
      </c>
      <c r="E197" s="17">
        <v>7300</v>
      </c>
      <c r="F197" s="18">
        <v>0.99</v>
      </c>
      <c r="G197" s="144">
        <f>SUMIF($C$5:C197,C197,$E$5:E197)</f>
        <v>94000</v>
      </c>
      <c r="H197" s="13">
        <f>SUMIF($C$5:C197,C197,$F$5:F197)</f>
        <v>8.9300000000000015</v>
      </c>
      <c r="I197" s="13">
        <f>COUNTIF($C$5:C197,C197)</f>
        <v>13</v>
      </c>
    </row>
    <row r="198" spans="2:9">
      <c r="B198" s="13" t="s">
        <v>815</v>
      </c>
      <c r="C198" s="19" t="s">
        <v>101</v>
      </c>
      <c r="D198" s="20" t="s">
        <v>816</v>
      </c>
      <c r="E198" s="17">
        <v>7100</v>
      </c>
      <c r="F198" s="18">
        <v>0.89</v>
      </c>
      <c r="G198" s="144">
        <f>SUMIF($C$5:C198,C198,$E$5:E198)</f>
        <v>101100</v>
      </c>
      <c r="H198" s="13">
        <f>SUMIF($C$5:C198,C198,$F$5:F198)</f>
        <v>9.8200000000000021</v>
      </c>
      <c r="I198" s="13">
        <f>COUNTIF($C$5:C198,C198)</f>
        <v>14</v>
      </c>
    </row>
    <row r="199" spans="2:9">
      <c r="B199" s="13" t="s">
        <v>817</v>
      </c>
      <c r="C199" s="19" t="s">
        <v>101</v>
      </c>
      <c r="D199" s="20" t="s">
        <v>818</v>
      </c>
      <c r="E199" s="17">
        <v>6900</v>
      </c>
      <c r="F199" s="18">
        <v>0.08</v>
      </c>
      <c r="G199" s="144">
        <f>SUMIF($C$5:C199,C199,$E$5:E199)</f>
        <v>108000</v>
      </c>
      <c r="H199" s="13">
        <f>SUMIF($C$5:C199,C199,$F$5:F199)</f>
        <v>9.9000000000000021</v>
      </c>
      <c r="I199" s="13">
        <f>COUNTIF($C$5:C199,C199)</f>
        <v>15</v>
      </c>
    </row>
    <row r="200" spans="2:9">
      <c r="B200" s="13" t="s">
        <v>819</v>
      </c>
      <c r="C200" s="19" t="s">
        <v>101</v>
      </c>
      <c r="D200" s="20" t="s">
        <v>820</v>
      </c>
      <c r="E200" s="17">
        <v>7200</v>
      </c>
      <c r="F200" s="18">
        <v>0.74</v>
      </c>
      <c r="G200" s="144">
        <f>SUMIF($C$5:C200,C200,$E$5:E200)</f>
        <v>115200</v>
      </c>
      <c r="H200" s="13">
        <f>SUMIF($C$5:C200,C200,$F$5:F200)</f>
        <v>10.640000000000002</v>
      </c>
      <c r="I200" s="13">
        <f>COUNTIF($C$5:C200,C200)</f>
        <v>16</v>
      </c>
    </row>
    <row r="201" spans="2:9">
      <c r="B201" s="13" t="s">
        <v>821</v>
      </c>
      <c r="C201" s="19" t="s">
        <v>101</v>
      </c>
      <c r="D201" s="20" t="s">
        <v>822</v>
      </c>
      <c r="E201" s="17">
        <v>7400</v>
      </c>
      <c r="F201" s="18">
        <v>0.33</v>
      </c>
      <c r="G201" s="144">
        <f>SUMIF($C$5:C201,C201,$E$5:E201)</f>
        <v>122600</v>
      </c>
      <c r="H201" s="13">
        <f>SUMIF($C$5:C201,C201,$F$5:F201)</f>
        <v>10.970000000000002</v>
      </c>
      <c r="I201" s="13">
        <f>COUNTIF($C$5:C201,C201)</f>
        <v>17</v>
      </c>
    </row>
    <row r="202" spans="2:9">
      <c r="B202" s="13" t="s">
        <v>823</v>
      </c>
      <c r="C202" s="19" t="s">
        <v>101</v>
      </c>
      <c r="D202" s="20" t="s">
        <v>824</v>
      </c>
      <c r="E202" s="17">
        <v>7500</v>
      </c>
      <c r="F202" s="18">
        <v>0.6</v>
      </c>
      <c r="G202" s="144">
        <f>SUMIF($C$5:C202,C202,$E$5:E202)</f>
        <v>130100</v>
      </c>
      <c r="H202" s="13">
        <f>SUMIF($C$5:C202,C202,$F$5:F202)</f>
        <v>11.570000000000002</v>
      </c>
      <c r="I202" s="13">
        <f>COUNTIF($C$5:C202,C202)</f>
        <v>18</v>
      </c>
    </row>
    <row r="203" spans="2:9">
      <c r="B203" s="13" t="s">
        <v>825</v>
      </c>
      <c r="C203" s="19" t="s">
        <v>101</v>
      </c>
      <c r="D203" s="20" t="s">
        <v>826</v>
      </c>
      <c r="E203" s="17">
        <v>7000</v>
      </c>
      <c r="F203" s="18">
        <v>0.03</v>
      </c>
      <c r="G203" s="144">
        <f>SUMIF($C$5:C203,C203,$E$5:E203)</f>
        <v>137100</v>
      </c>
      <c r="H203" s="13">
        <f>SUMIF($C$5:C203,C203,$F$5:F203)</f>
        <v>11.600000000000001</v>
      </c>
      <c r="I203" s="13">
        <f>COUNTIF($C$5:C203,C203)</f>
        <v>19</v>
      </c>
    </row>
    <row r="204" spans="2:9">
      <c r="B204" s="13" t="s">
        <v>827</v>
      </c>
      <c r="C204" s="19" t="s">
        <v>101</v>
      </c>
      <c r="D204" s="20" t="s">
        <v>828</v>
      </c>
      <c r="E204" s="17">
        <v>7200</v>
      </c>
      <c r="F204" s="18">
        <v>0.32</v>
      </c>
      <c r="G204" s="144">
        <f>SUMIF($C$5:C204,C204,$E$5:E204)</f>
        <v>144300</v>
      </c>
      <c r="H204" s="13">
        <f>SUMIF($C$5:C204,C204,$F$5:F204)</f>
        <v>11.920000000000002</v>
      </c>
      <c r="I204" s="13">
        <f>COUNTIF($C$5:C204,C204)</f>
        <v>20</v>
      </c>
    </row>
    <row r="205" spans="2:9">
      <c r="B205" s="13" t="s">
        <v>829</v>
      </c>
      <c r="C205" s="13" t="s">
        <v>87</v>
      </c>
      <c r="D205" s="13" t="s">
        <v>830</v>
      </c>
      <c r="E205" s="17">
        <v>4800</v>
      </c>
      <c r="F205" s="18">
        <v>0.74</v>
      </c>
      <c r="G205" s="144">
        <f>SUMIF($C$5:C205,C205,$E$5:E205)</f>
        <v>4800</v>
      </c>
      <c r="H205" s="13">
        <f>SUMIF($C$5:C205,C205,$F$5:F205)</f>
        <v>0.74</v>
      </c>
      <c r="I205" s="13">
        <f>COUNTIF($C$5:C205,C205)</f>
        <v>1</v>
      </c>
    </row>
    <row r="206" spans="2:9">
      <c r="B206" s="13" t="s">
        <v>831</v>
      </c>
      <c r="C206" s="13" t="s">
        <v>87</v>
      </c>
      <c r="D206" s="13" t="s">
        <v>832</v>
      </c>
      <c r="E206" s="17">
        <v>5000</v>
      </c>
      <c r="F206" s="18">
        <v>0.74</v>
      </c>
      <c r="G206" s="144">
        <f>SUMIF($C$5:C206,C206,$E$5:E206)</f>
        <v>9800</v>
      </c>
      <c r="H206" s="13">
        <f>SUMIF($C$5:C206,C206,$F$5:F206)</f>
        <v>1.48</v>
      </c>
      <c r="I206" s="13">
        <f>COUNTIF($C$5:C206,C206)</f>
        <v>2</v>
      </c>
    </row>
    <row r="207" spans="2:9">
      <c r="B207" s="13" t="s">
        <v>833</v>
      </c>
      <c r="C207" s="13" t="s">
        <v>87</v>
      </c>
      <c r="D207" s="13" t="s">
        <v>741</v>
      </c>
      <c r="E207" s="17">
        <v>4600</v>
      </c>
      <c r="F207" s="18">
        <v>0.33</v>
      </c>
      <c r="G207" s="144">
        <f>SUMIF($C$5:C207,C207,$E$5:E207)</f>
        <v>14400</v>
      </c>
      <c r="H207" s="13">
        <f>SUMIF($C$5:C207,C207,$F$5:F207)</f>
        <v>1.81</v>
      </c>
      <c r="I207" s="13">
        <f>COUNTIF($C$5:C207,C207)</f>
        <v>3</v>
      </c>
    </row>
    <row r="208" spans="2:9">
      <c r="B208" s="13" t="s">
        <v>834</v>
      </c>
      <c r="C208" s="13" t="s">
        <v>87</v>
      </c>
      <c r="D208" s="13" t="s">
        <v>835</v>
      </c>
      <c r="E208" s="17">
        <v>4700</v>
      </c>
      <c r="F208" s="18">
        <v>0.49</v>
      </c>
      <c r="G208" s="144">
        <f>SUMIF($C$5:C208,C208,$E$5:E208)</f>
        <v>19100</v>
      </c>
      <c r="H208" s="13">
        <f>SUMIF($C$5:C208,C208,$F$5:F208)</f>
        <v>2.2999999999999998</v>
      </c>
      <c r="I208" s="13">
        <f>COUNTIF($C$5:C208,C208)</f>
        <v>4</v>
      </c>
    </row>
    <row r="209" spans="2:9">
      <c r="B209" s="13" t="s">
        <v>836</v>
      </c>
      <c r="C209" s="13" t="s">
        <v>87</v>
      </c>
      <c r="D209" s="13" t="s">
        <v>837</v>
      </c>
      <c r="E209" s="17">
        <v>4900</v>
      </c>
      <c r="F209" s="18">
        <v>0.43</v>
      </c>
      <c r="G209" s="144">
        <f>SUMIF($C$5:C209,C209,$E$5:E209)</f>
        <v>24000</v>
      </c>
      <c r="H209" s="13">
        <f>SUMIF($C$5:C209,C209,$F$5:F209)</f>
        <v>2.73</v>
      </c>
      <c r="I209" s="13">
        <f>COUNTIF($C$5:C209,C209)</f>
        <v>5</v>
      </c>
    </row>
    <row r="210" spans="2:9">
      <c r="B210" s="13" t="s">
        <v>838</v>
      </c>
      <c r="C210" s="13" t="s">
        <v>87</v>
      </c>
      <c r="D210" s="13" t="s">
        <v>839</v>
      </c>
      <c r="E210" s="17">
        <v>4500</v>
      </c>
      <c r="F210" s="18">
        <v>0.78</v>
      </c>
      <c r="G210" s="144">
        <f>SUMIF($C$5:C210,C210,$E$5:E210)</f>
        <v>28500</v>
      </c>
      <c r="H210" s="13">
        <f>SUMIF($C$5:C210,C210,$F$5:F210)</f>
        <v>3.51</v>
      </c>
      <c r="I210" s="13">
        <f>COUNTIF($C$5:C210,C210)</f>
        <v>6</v>
      </c>
    </row>
    <row r="211" spans="2:9">
      <c r="B211" s="13" t="s">
        <v>840</v>
      </c>
      <c r="C211" s="13" t="s">
        <v>87</v>
      </c>
      <c r="D211" s="13" t="s">
        <v>841</v>
      </c>
      <c r="E211" s="17">
        <v>4800</v>
      </c>
      <c r="F211" s="18">
        <v>0.91</v>
      </c>
      <c r="G211" s="144">
        <f>SUMIF($C$5:C211,C211,$E$5:E211)</f>
        <v>33300</v>
      </c>
      <c r="H211" s="13">
        <f>SUMIF($C$5:C211,C211,$F$5:F211)</f>
        <v>4.42</v>
      </c>
      <c r="I211" s="13">
        <f>COUNTIF($C$5:C211,C211)</f>
        <v>7</v>
      </c>
    </row>
    <row r="212" spans="2:9">
      <c r="B212" s="13" t="s">
        <v>842</v>
      </c>
      <c r="C212" s="13" t="s">
        <v>87</v>
      </c>
      <c r="D212" s="13" t="s">
        <v>843</v>
      </c>
      <c r="E212" s="17">
        <v>5000</v>
      </c>
      <c r="F212" s="18">
        <v>0.27</v>
      </c>
      <c r="G212" s="144">
        <f>SUMIF($C$5:C212,C212,$E$5:E212)</f>
        <v>38300</v>
      </c>
      <c r="H212" s="13">
        <f>SUMIF($C$5:C212,C212,$F$5:F212)</f>
        <v>4.6899999999999995</v>
      </c>
      <c r="I212" s="13">
        <f>COUNTIF($C$5:C212,C212)</f>
        <v>8</v>
      </c>
    </row>
    <row r="213" spans="2:9">
      <c r="B213" s="13" t="s">
        <v>844</v>
      </c>
      <c r="C213" s="13" t="s">
        <v>87</v>
      </c>
      <c r="D213" s="13" t="s">
        <v>845</v>
      </c>
      <c r="E213" s="17">
        <v>4700</v>
      </c>
      <c r="F213" s="18">
        <v>0.08</v>
      </c>
      <c r="G213" s="144">
        <f>SUMIF($C$5:C213,C213,$E$5:E213)</f>
        <v>43000</v>
      </c>
      <c r="H213" s="13">
        <f>SUMIF($C$5:C213,C213,$F$5:F213)</f>
        <v>4.7699999999999996</v>
      </c>
      <c r="I213" s="13">
        <f>COUNTIF($C$5:C213,C213)</f>
        <v>9</v>
      </c>
    </row>
    <row r="214" spans="2:9">
      <c r="B214" s="13" t="s">
        <v>846</v>
      </c>
      <c r="C214" s="13" t="s">
        <v>87</v>
      </c>
      <c r="D214" s="13" t="s">
        <v>847</v>
      </c>
      <c r="E214" s="17">
        <v>4900</v>
      </c>
      <c r="F214" s="18">
        <v>0.26</v>
      </c>
      <c r="G214" s="144">
        <f>SUMIF($C$5:C214,C214,$E$5:E214)</f>
        <v>47900</v>
      </c>
      <c r="H214" s="13">
        <f>SUMIF($C$5:C214,C214,$F$5:F214)</f>
        <v>5.0299999999999994</v>
      </c>
      <c r="I214" s="13">
        <f>COUNTIF($C$5:C214,C214)</f>
        <v>10</v>
      </c>
    </row>
    <row r="215" spans="2:9">
      <c r="B215" s="13" t="s">
        <v>848</v>
      </c>
      <c r="C215" s="13" t="s">
        <v>87</v>
      </c>
      <c r="D215" s="13" t="s">
        <v>849</v>
      </c>
      <c r="E215" s="17">
        <v>4500</v>
      </c>
      <c r="F215" s="18">
        <v>0.11</v>
      </c>
      <c r="G215" s="144">
        <f>SUMIF($C$5:C215,C215,$E$5:E215)</f>
        <v>52400</v>
      </c>
      <c r="H215" s="13">
        <f>SUMIF($C$5:C215,C215,$F$5:F215)</f>
        <v>5.14</v>
      </c>
      <c r="I215" s="13">
        <f>COUNTIF($C$5:C215,C215)</f>
        <v>11</v>
      </c>
    </row>
    <row r="216" spans="2:9">
      <c r="B216" s="13" t="s">
        <v>850</v>
      </c>
      <c r="C216" s="13" t="s">
        <v>87</v>
      </c>
      <c r="D216" s="13" t="s">
        <v>851</v>
      </c>
      <c r="E216" s="17">
        <v>4700</v>
      </c>
      <c r="F216" s="18">
        <v>0.38</v>
      </c>
      <c r="G216" s="144">
        <f>SUMIF($C$5:C216,C216,$E$5:E216)</f>
        <v>57100</v>
      </c>
      <c r="H216" s="13">
        <f>SUMIF($C$5:C216,C216,$F$5:F216)</f>
        <v>5.52</v>
      </c>
      <c r="I216" s="13">
        <f>COUNTIF($C$5:C216,C216)</f>
        <v>12</v>
      </c>
    </row>
    <row r="217" spans="2:9">
      <c r="B217" s="13" t="s">
        <v>852</v>
      </c>
      <c r="C217" s="13" t="s">
        <v>87</v>
      </c>
      <c r="D217" s="13" t="s">
        <v>853</v>
      </c>
      <c r="E217" s="17">
        <v>4600</v>
      </c>
      <c r="F217" s="18">
        <v>0.66</v>
      </c>
      <c r="G217" s="144">
        <f>SUMIF($C$5:C217,C217,$E$5:E217)</f>
        <v>61700</v>
      </c>
      <c r="H217" s="13">
        <f>SUMIF($C$5:C217,C217,$F$5:F217)</f>
        <v>6.18</v>
      </c>
      <c r="I217" s="13">
        <f>COUNTIF($C$5:C217,C217)</f>
        <v>13</v>
      </c>
    </row>
    <row r="218" spans="2:9">
      <c r="B218" s="13" t="s">
        <v>854</v>
      </c>
      <c r="C218" s="13" t="s">
        <v>87</v>
      </c>
      <c r="D218" s="13" t="s">
        <v>855</v>
      </c>
      <c r="E218" s="17">
        <v>4800</v>
      </c>
      <c r="F218" s="18">
        <v>0.66</v>
      </c>
      <c r="G218" s="144">
        <f>SUMIF($C$5:C218,C218,$E$5:E218)</f>
        <v>66500</v>
      </c>
      <c r="H218" s="13">
        <f>SUMIF($C$5:C218,C218,$F$5:F218)</f>
        <v>6.84</v>
      </c>
      <c r="I218" s="13">
        <f>COUNTIF($C$5:C218,C218)</f>
        <v>14</v>
      </c>
    </row>
    <row r="219" spans="2:9">
      <c r="B219" s="13" t="s">
        <v>856</v>
      </c>
      <c r="C219" s="13" t="s">
        <v>87</v>
      </c>
      <c r="D219" s="13" t="s">
        <v>857</v>
      </c>
      <c r="E219" s="17">
        <v>5000</v>
      </c>
      <c r="F219" s="18">
        <v>0.79</v>
      </c>
      <c r="G219" s="144">
        <f>SUMIF($C$5:C219,C219,$E$5:E219)</f>
        <v>71500</v>
      </c>
      <c r="H219" s="13">
        <f>SUMIF($C$5:C219,C219,$F$5:F219)</f>
        <v>7.63</v>
      </c>
      <c r="I219" s="13">
        <f>COUNTIF($C$5:C219,C219)</f>
        <v>15</v>
      </c>
    </row>
    <row r="220" spans="2:9">
      <c r="B220" s="13" t="s">
        <v>858</v>
      </c>
      <c r="C220" s="13" t="s">
        <v>87</v>
      </c>
      <c r="D220" s="13" t="s">
        <v>859</v>
      </c>
      <c r="E220" s="17">
        <v>4600</v>
      </c>
      <c r="F220" s="18">
        <v>0.28000000000000003</v>
      </c>
      <c r="G220" s="144">
        <f>SUMIF($C$5:C220,C220,$E$5:E220)</f>
        <v>76100</v>
      </c>
      <c r="H220" s="13">
        <f>SUMIF($C$5:C220,C220,$F$5:F220)</f>
        <v>7.91</v>
      </c>
      <c r="I220" s="13">
        <f>COUNTIF($C$5:C220,C220)</f>
        <v>16</v>
      </c>
    </row>
    <row r="221" spans="2:9">
      <c r="B221" s="13" t="s">
        <v>860</v>
      </c>
      <c r="C221" s="13" t="s">
        <v>87</v>
      </c>
      <c r="D221" s="13" t="s">
        <v>861</v>
      </c>
      <c r="E221" s="17">
        <v>4900</v>
      </c>
      <c r="F221" s="18">
        <v>0.41</v>
      </c>
      <c r="G221" s="144">
        <f>SUMIF($C$5:C221,C221,$E$5:E221)</f>
        <v>81000</v>
      </c>
      <c r="H221" s="13">
        <f>SUMIF($C$5:C221,C221,$F$5:F221)</f>
        <v>8.32</v>
      </c>
      <c r="I221" s="13">
        <f>COUNTIF($C$5:C221,C221)</f>
        <v>17</v>
      </c>
    </row>
    <row r="222" spans="2:9">
      <c r="B222" s="13" t="s">
        <v>862</v>
      </c>
      <c r="C222" s="13" t="s">
        <v>87</v>
      </c>
      <c r="D222" s="13" t="s">
        <v>863</v>
      </c>
      <c r="E222" s="17">
        <v>4700</v>
      </c>
      <c r="F222" s="18">
        <v>0.46</v>
      </c>
      <c r="G222" s="144">
        <f>SUMIF($C$5:C222,C222,$E$5:E222)</f>
        <v>85700</v>
      </c>
      <c r="H222" s="13">
        <f>SUMIF($C$5:C222,C222,$F$5:F222)</f>
        <v>8.7800000000000011</v>
      </c>
      <c r="I222" s="13">
        <f>COUNTIF($C$5:C222,C222)</f>
        <v>18</v>
      </c>
    </row>
    <row r="223" spans="2:9">
      <c r="B223" s="13" t="s">
        <v>864</v>
      </c>
      <c r="C223" s="13" t="s">
        <v>87</v>
      </c>
      <c r="D223" s="13" t="s">
        <v>865</v>
      </c>
      <c r="E223" s="17">
        <v>5000</v>
      </c>
      <c r="F223" s="18">
        <v>0.19</v>
      </c>
      <c r="G223" s="144">
        <f>SUMIF($C$5:C223,C223,$E$5:E223)</f>
        <v>90700</v>
      </c>
      <c r="H223" s="13">
        <f>SUMIF($C$5:C223,C223,$F$5:F223)</f>
        <v>8.9700000000000006</v>
      </c>
      <c r="I223" s="13">
        <f>COUNTIF($C$5:C223,C223)</f>
        <v>19</v>
      </c>
    </row>
    <row r="224" spans="2:9">
      <c r="B224" s="13" t="s">
        <v>866</v>
      </c>
      <c r="C224" s="13" t="s">
        <v>87</v>
      </c>
      <c r="D224" s="13" t="s">
        <v>867</v>
      </c>
      <c r="E224" s="17">
        <v>4800</v>
      </c>
      <c r="F224" s="18">
        <v>0.89</v>
      </c>
      <c r="G224" s="144">
        <f>SUMIF($C$5:C224,C224,$E$5:E224)</f>
        <v>95500</v>
      </c>
      <c r="H224" s="13">
        <f>SUMIF($C$5:C224,C224,$F$5:F224)</f>
        <v>9.8600000000000012</v>
      </c>
      <c r="I224" s="13">
        <f>COUNTIF($C$5:C224,C224)</f>
        <v>20</v>
      </c>
    </row>
  </sheetData>
  <sortState xmlns:xlrd2="http://schemas.microsoft.com/office/spreadsheetml/2017/richdata2" ref="B5:F224">
    <sortCondition ref="B5:B224"/>
  </sortState>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E0AA-229F-4E5D-AC39-0F115E1BA155}">
  <sheetPr codeName="Sheet4">
    <tabColor theme="5" tint="0.79998168889431442"/>
  </sheetPr>
  <dimension ref="B2:G382"/>
  <sheetViews>
    <sheetView workbookViewId="0"/>
  </sheetViews>
  <sheetFormatPr defaultColWidth="9.140625" defaultRowHeight="12.75"/>
  <cols>
    <col min="1" max="1" width="3" style="13" customWidth="1"/>
    <col min="2" max="2" width="11.5703125" style="13" customWidth="1"/>
    <col min="3" max="7" width="8" style="13" customWidth="1"/>
    <col min="8" max="16384" width="9.140625" style="13"/>
  </cols>
  <sheetData>
    <row r="2" spans="2:7" ht="23.25">
      <c r="B2" s="149" t="s">
        <v>868</v>
      </c>
      <c r="C2" s="150"/>
      <c r="D2" s="150"/>
      <c r="E2" s="150"/>
      <c r="F2" s="150"/>
      <c r="G2" s="150"/>
    </row>
    <row r="4" spans="2:7" ht="15">
      <c r="B4" s="21" t="s">
        <v>869</v>
      </c>
    </row>
    <row r="6" spans="2:7" s="16" customFormat="1">
      <c r="B6" s="22" t="s">
        <v>870</v>
      </c>
      <c r="C6" s="23" t="s">
        <v>158</v>
      </c>
      <c r="D6" s="24" t="s">
        <v>159</v>
      </c>
      <c r="E6" s="25" t="s">
        <v>160</v>
      </c>
      <c r="F6" s="26" t="s">
        <v>161</v>
      </c>
      <c r="G6" s="27" t="s">
        <v>162</v>
      </c>
    </row>
    <row r="7" spans="2:7">
      <c r="B7" s="28">
        <v>45292</v>
      </c>
      <c r="C7" s="29">
        <v>0.24</v>
      </c>
      <c r="D7" s="29">
        <v>0.5</v>
      </c>
      <c r="E7" s="29">
        <v>0.75</v>
      </c>
      <c r="F7" s="29">
        <v>1.25</v>
      </c>
      <c r="G7" s="29">
        <v>1.66</v>
      </c>
    </row>
    <row r="8" spans="2:7">
      <c r="B8" s="28">
        <v>45293</v>
      </c>
      <c r="C8" s="29">
        <v>0.03</v>
      </c>
      <c r="D8" s="29">
        <v>0.47</v>
      </c>
      <c r="E8" s="29">
        <v>0.94</v>
      </c>
      <c r="F8" s="29">
        <v>1.19</v>
      </c>
      <c r="G8" s="29">
        <v>1.8</v>
      </c>
    </row>
    <row r="9" spans="2:7">
      <c r="B9" s="28">
        <v>45294</v>
      </c>
      <c r="C9" s="29">
        <v>0.18</v>
      </c>
      <c r="D9" s="29">
        <v>0.42</v>
      </c>
      <c r="E9" s="29">
        <v>0.94</v>
      </c>
      <c r="F9" s="29">
        <v>1.17</v>
      </c>
      <c r="G9" s="29">
        <v>1.69</v>
      </c>
    </row>
    <row r="10" spans="2:7">
      <c r="B10" s="28">
        <v>45295</v>
      </c>
      <c r="C10" s="29">
        <v>0.03</v>
      </c>
      <c r="D10" s="29">
        <v>0.4</v>
      </c>
      <c r="E10" s="29">
        <v>0.88</v>
      </c>
      <c r="F10" s="29">
        <v>1.1399999999999999</v>
      </c>
      <c r="G10" s="29">
        <v>1.62</v>
      </c>
    </row>
    <row r="11" spans="2:7">
      <c r="B11" s="28">
        <v>45296</v>
      </c>
      <c r="C11" s="29">
        <v>0.27</v>
      </c>
      <c r="D11" s="29">
        <v>0.44</v>
      </c>
      <c r="E11" s="29">
        <v>0.96</v>
      </c>
      <c r="F11" s="29">
        <v>1.1499999999999999</v>
      </c>
      <c r="G11" s="29">
        <v>1.67</v>
      </c>
    </row>
    <row r="12" spans="2:7">
      <c r="B12" s="28">
        <v>45297</v>
      </c>
      <c r="C12" s="29">
        <v>0.13</v>
      </c>
      <c r="D12" s="29">
        <v>0.46</v>
      </c>
      <c r="E12" s="29">
        <v>0.86</v>
      </c>
      <c r="F12" s="29">
        <v>1.21</v>
      </c>
      <c r="G12" s="29">
        <v>1.25</v>
      </c>
    </row>
    <row r="13" spans="2:7">
      <c r="B13" s="28">
        <v>45298</v>
      </c>
      <c r="C13" s="29">
        <v>0.22</v>
      </c>
      <c r="D13" s="29">
        <v>0.46</v>
      </c>
      <c r="E13" s="29">
        <v>0.81</v>
      </c>
      <c r="F13" s="29">
        <v>1.1599999999999999</v>
      </c>
      <c r="G13" s="29">
        <v>1.94</v>
      </c>
    </row>
    <row r="14" spans="2:7">
      <c r="B14" s="28">
        <v>45299</v>
      </c>
      <c r="C14" s="29">
        <v>0.32</v>
      </c>
      <c r="D14" s="29">
        <v>0.44</v>
      </c>
      <c r="E14" s="29">
        <v>0.75</v>
      </c>
      <c r="F14" s="29">
        <v>1.08</v>
      </c>
      <c r="G14" s="29">
        <v>1.63</v>
      </c>
    </row>
    <row r="15" spans="2:7">
      <c r="B15" s="28">
        <v>45300</v>
      </c>
      <c r="C15" s="29">
        <v>0.09</v>
      </c>
      <c r="D15" s="29">
        <v>0.5</v>
      </c>
      <c r="E15" s="29">
        <v>0.77</v>
      </c>
      <c r="F15" s="29">
        <v>1.23</v>
      </c>
      <c r="G15" s="29">
        <v>1.95</v>
      </c>
    </row>
    <row r="16" spans="2:7">
      <c r="B16" s="28">
        <v>45301</v>
      </c>
      <c r="C16" s="29">
        <v>7.0000000000000007E-2</v>
      </c>
      <c r="D16" s="29">
        <v>0.46</v>
      </c>
      <c r="E16" s="29">
        <v>1</v>
      </c>
      <c r="F16" s="29">
        <v>1.22</v>
      </c>
      <c r="G16" s="29">
        <v>1.65</v>
      </c>
    </row>
    <row r="17" spans="2:7">
      <c r="B17" s="28">
        <v>45302</v>
      </c>
      <c r="C17" s="29">
        <v>0.33</v>
      </c>
      <c r="D17" s="29">
        <v>0.47</v>
      </c>
      <c r="E17" s="29">
        <v>0.76</v>
      </c>
      <c r="F17" s="29">
        <v>1.19</v>
      </c>
      <c r="G17" s="29">
        <v>1.46</v>
      </c>
    </row>
    <row r="18" spans="2:7">
      <c r="B18" s="28">
        <v>45303</v>
      </c>
      <c r="C18" s="29">
        <v>0.15</v>
      </c>
      <c r="D18" s="29">
        <v>0.49</v>
      </c>
      <c r="E18" s="29">
        <v>0.82</v>
      </c>
      <c r="F18" s="29">
        <v>1.0900000000000001</v>
      </c>
      <c r="G18" s="29">
        <v>1.89</v>
      </c>
    </row>
    <row r="19" spans="2:7">
      <c r="B19" s="28">
        <v>45304</v>
      </c>
      <c r="C19" s="29">
        <v>0.14000000000000001</v>
      </c>
      <c r="D19" s="29">
        <v>0.41</v>
      </c>
      <c r="E19" s="29">
        <v>0.86</v>
      </c>
      <c r="F19" s="29">
        <v>1.22</v>
      </c>
      <c r="G19" s="29">
        <v>1.4</v>
      </c>
    </row>
    <row r="20" spans="2:7">
      <c r="B20" s="28">
        <v>45305</v>
      </c>
      <c r="C20" s="29">
        <v>0.18</v>
      </c>
      <c r="D20" s="29">
        <v>0.44</v>
      </c>
      <c r="E20" s="29">
        <v>0.86</v>
      </c>
      <c r="F20" s="29">
        <v>1.1100000000000001</v>
      </c>
      <c r="G20" s="29">
        <v>1.76</v>
      </c>
    </row>
    <row r="21" spans="2:7">
      <c r="B21" s="28">
        <v>45306</v>
      </c>
      <c r="C21" s="29">
        <v>0.12</v>
      </c>
      <c r="D21" s="29">
        <v>0.48</v>
      </c>
      <c r="E21" s="29">
        <v>1</v>
      </c>
      <c r="F21" s="29">
        <v>1.06</v>
      </c>
      <c r="G21" s="29">
        <v>1.35</v>
      </c>
    </row>
    <row r="22" spans="2:7">
      <c r="B22" s="28">
        <v>45307</v>
      </c>
      <c r="C22" s="29">
        <v>0.28999999999999998</v>
      </c>
      <c r="D22" s="29">
        <v>0.4</v>
      </c>
      <c r="E22" s="29">
        <v>0.86</v>
      </c>
      <c r="F22" s="29">
        <v>1.1100000000000001</v>
      </c>
      <c r="G22" s="29">
        <v>1.96</v>
      </c>
    </row>
    <row r="23" spans="2:7">
      <c r="B23" s="28">
        <v>45308</v>
      </c>
      <c r="C23" s="29">
        <v>0.19</v>
      </c>
      <c r="D23" s="29">
        <v>0.44</v>
      </c>
      <c r="E23" s="29">
        <v>0.81</v>
      </c>
      <c r="F23" s="29">
        <v>1.1100000000000001</v>
      </c>
      <c r="G23" s="29">
        <v>1.27</v>
      </c>
    </row>
    <row r="24" spans="2:7">
      <c r="B24" s="28">
        <v>45309</v>
      </c>
      <c r="C24" s="29">
        <v>0.13</v>
      </c>
      <c r="D24" s="29">
        <v>0.44</v>
      </c>
      <c r="E24" s="29">
        <v>0.81</v>
      </c>
      <c r="F24" s="29">
        <v>1.23</v>
      </c>
      <c r="G24" s="29">
        <v>1.96</v>
      </c>
    </row>
    <row r="25" spans="2:7">
      <c r="B25" s="28">
        <v>45310</v>
      </c>
      <c r="C25" s="29">
        <v>0.4</v>
      </c>
      <c r="D25" s="29">
        <v>0.48</v>
      </c>
      <c r="E25" s="29">
        <v>0.95</v>
      </c>
      <c r="F25" s="29">
        <v>1.18</v>
      </c>
      <c r="G25" s="29">
        <v>1.64</v>
      </c>
    </row>
    <row r="26" spans="2:7">
      <c r="B26" s="28">
        <v>45311</v>
      </c>
      <c r="C26" s="29">
        <v>0.39</v>
      </c>
      <c r="D26" s="29">
        <v>0.45</v>
      </c>
      <c r="E26" s="29">
        <v>0.93</v>
      </c>
      <c r="F26" s="29">
        <v>1.1499999999999999</v>
      </c>
      <c r="G26" s="29">
        <v>1.46</v>
      </c>
    </row>
    <row r="27" spans="2:7">
      <c r="B27" s="28">
        <v>45312</v>
      </c>
      <c r="C27" s="29">
        <v>0.32</v>
      </c>
      <c r="D27" s="29">
        <v>0.4</v>
      </c>
      <c r="E27" s="29">
        <v>0.79</v>
      </c>
      <c r="F27" s="29">
        <v>1.0900000000000001</v>
      </c>
      <c r="G27" s="29">
        <v>1.49</v>
      </c>
    </row>
    <row r="28" spans="2:7">
      <c r="B28" s="28">
        <v>45313</v>
      </c>
      <c r="C28" s="29">
        <v>0.25</v>
      </c>
      <c r="D28" s="29">
        <v>0.5</v>
      </c>
      <c r="E28" s="29">
        <v>0.82</v>
      </c>
      <c r="F28" s="29">
        <v>1.18</v>
      </c>
      <c r="G28" s="29">
        <v>1.88</v>
      </c>
    </row>
    <row r="29" spans="2:7">
      <c r="B29" s="28">
        <v>45314</v>
      </c>
      <c r="C29" s="29">
        <v>0.16</v>
      </c>
      <c r="D29" s="29">
        <v>0.43</v>
      </c>
      <c r="E29" s="29">
        <v>0.8</v>
      </c>
      <c r="F29" s="29">
        <v>1.23</v>
      </c>
      <c r="G29" s="29">
        <v>1.96</v>
      </c>
    </row>
    <row r="30" spans="2:7">
      <c r="B30" s="28">
        <v>45315</v>
      </c>
      <c r="C30" s="29">
        <v>0.04</v>
      </c>
      <c r="D30" s="29">
        <v>0.46</v>
      </c>
      <c r="E30" s="29">
        <v>1</v>
      </c>
      <c r="F30" s="29">
        <v>1.1599999999999999</v>
      </c>
      <c r="G30" s="29">
        <v>1.78</v>
      </c>
    </row>
    <row r="31" spans="2:7">
      <c r="B31" s="28">
        <v>45316</v>
      </c>
      <c r="C31" s="29">
        <v>0.28999999999999998</v>
      </c>
      <c r="D31" s="29">
        <v>0.42</v>
      </c>
      <c r="E31" s="29">
        <v>0.91</v>
      </c>
      <c r="F31" s="29">
        <v>1.22</v>
      </c>
      <c r="G31" s="29">
        <v>1.58</v>
      </c>
    </row>
    <row r="32" spans="2:7">
      <c r="B32" s="28">
        <v>45317</v>
      </c>
      <c r="C32" s="29">
        <v>0.17</v>
      </c>
      <c r="D32" s="29">
        <v>0.45</v>
      </c>
      <c r="E32" s="29">
        <v>0.89</v>
      </c>
      <c r="F32" s="29">
        <v>1.0900000000000001</v>
      </c>
      <c r="G32" s="29">
        <v>1.31</v>
      </c>
    </row>
    <row r="33" spans="2:7">
      <c r="B33" s="28">
        <v>45318</v>
      </c>
      <c r="C33" s="29">
        <v>0.21</v>
      </c>
      <c r="D33" s="29">
        <v>0.48</v>
      </c>
      <c r="E33" s="29">
        <v>0.78</v>
      </c>
      <c r="F33" s="29">
        <v>1.0900000000000001</v>
      </c>
      <c r="G33" s="29">
        <v>1.35</v>
      </c>
    </row>
    <row r="34" spans="2:7">
      <c r="B34" s="28">
        <v>45319</v>
      </c>
      <c r="C34" s="29">
        <v>0.09</v>
      </c>
      <c r="D34" s="29">
        <v>0.43</v>
      </c>
      <c r="E34" s="29">
        <v>0.88</v>
      </c>
      <c r="F34" s="29">
        <v>1.02</v>
      </c>
      <c r="G34" s="29">
        <v>1.73</v>
      </c>
    </row>
    <row r="35" spans="2:7">
      <c r="B35" s="28">
        <v>45320</v>
      </c>
      <c r="C35" s="29">
        <v>0.17</v>
      </c>
      <c r="D35" s="29">
        <v>0.4</v>
      </c>
      <c r="E35" s="29">
        <v>0.78</v>
      </c>
      <c r="F35" s="29">
        <v>1.07</v>
      </c>
      <c r="G35" s="29">
        <v>2</v>
      </c>
    </row>
    <row r="36" spans="2:7">
      <c r="B36" s="28">
        <v>45321</v>
      </c>
      <c r="C36" s="29">
        <v>0.24</v>
      </c>
      <c r="D36" s="29">
        <v>0.49</v>
      </c>
      <c r="E36" s="29">
        <v>0.78</v>
      </c>
      <c r="F36" s="29">
        <v>1.25</v>
      </c>
      <c r="G36" s="29">
        <v>1.74</v>
      </c>
    </row>
    <row r="37" spans="2:7">
      <c r="B37" s="28">
        <v>45322</v>
      </c>
      <c r="C37" s="29">
        <v>0.38</v>
      </c>
      <c r="D37" s="29">
        <v>0.45</v>
      </c>
      <c r="E37" s="29">
        <v>0.83</v>
      </c>
      <c r="F37" s="29">
        <v>1.18</v>
      </c>
      <c r="G37" s="29">
        <v>1.75</v>
      </c>
    </row>
    <row r="38" spans="2:7">
      <c r="B38" s="28">
        <v>45323</v>
      </c>
      <c r="C38" s="29">
        <v>0.06</v>
      </c>
      <c r="D38" s="29">
        <v>0.43</v>
      </c>
      <c r="E38" s="29">
        <v>0.8</v>
      </c>
      <c r="F38" s="29">
        <v>1.07</v>
      </c>
      <c r="G38" s="29">
        <v>2</v>
      </c>
    </row>
    <row r="39" spans="2:7">
      <c r="B39" s="28">
        <v>45324</v>
      </c>
      <c r="C39" s="29">
        <v>0.24</v>
      </c>
      <c r="D39" s="29">
        <v>0.41</v>
      </c>
      <c r="E39" s="29">
        <v>0.89</v>
      </c>
      <c r="F39" s="29">
        <v>1.04</v>
      </c>
      <c r="G39" s="29">
        <v>1.3</v>
      </c>
    </row>
    <row r="40" spans="2:7">
      <c r="B40" s="28">
        <v>45325</v>
      </c>
      <c r="C40" s="29">
        <v>0.13</v>
      </c>
      <c r="D40" s="29">
        <v>0.5</v>
      </c>
      <c r="E40" s="29">
        <v>0.82</v>
      </c>
      <c r="F40" s="29">
        <v>1.2</v>
      </c>
      <c r="G40" s="29">
        <v>1.49</v>
      </c>
    </row>
    <row r="41" spans="2:7">
      <c r="B41" s="28">
        <v>45326</v>
      </c>
      <c r="C41" s="29">
        <v>0.13</v>
      </c>
      <c r="D41" s="29">
        <v>0.47</v>
      </c>
      <c r="E41" s="29">
        <v>0.83</v>
      </c>
      <c r="F41" s="29">
        <v>1.22</v>
      </c>
      <c r="G41" s="29">
        <v>1.8</v>
      </c>
    </row>
    <row r="42" spans="2:7">
      <c r="B42" s="28">
        <v>45327</v>
      </c>
      <c r="C42" s="29">
        <v>0.02</v>
      </c>
      <c r="D42" s="29">
        <v>0.44</v>
      </c>
      <c r="E42" s="29">
        <v>0.76</v>
      </c>
      <c r="F42" s="29">
        <v>1.08</v>
      </c>
      <c r="G42" s="29">
        <v>1.43</v>
      </c>
    </row>
    <row r="43" spans="2:7">
      <c r="B43" s="28">
        <v>45328</v>
      </c>
      <c r="C43" s="29">
        <v>0.19</v>
      </c>
      <c r="D43" s="29">
        <v>0.48</v>
      </c>
      <c r="E43" s="29">
        <v>0.85</v>
      </c>
      <c r="F43" s="29">
        <v>1.18</v>
      </c>
      <c r="G43" s="29">
        <v>1.83</v>
      </c>
    </row>
    <row r="44" spans="2:7">
      <c r="B44" s="28">
        <v>45329</v>
      </c>
      <c r="C44" s="29">
        <v>0.17</v>
      </c>
      <c r="D44" s="29">
        <v>0.41</v>
      </c>
      <c r="E44" s="29">
        <v>0.92</v>
      </c>
      <c r="F44" s="29">
        <v>1.0900000000000001</v>
      </c>
      <c r="G44" s="29">
        <v>1.27</v>
      </c>
    </row>
    <row r="45" spans="2:7">
      <c r="B45" s="28">
        <v>45330</v>
      </c>
      <c r="C45" s="29">
        <v>0.17</v>
      </c>
      <c r="D45" s="29">
        <v>0.48</v>
      </c>
      <c r="E45" s="29">
        <v>0.9</v>
      </c>
      <c r="F45" s="29">
        <v>1.23</v>
      </c>
      <c r="G45" s="29">
        <v>1.47</v>
      </c>
    </row>
    <row r="46" spans="2:7">
      <c r="B46" s="28">
        <v>45331</v>
      </c>
      <c r="C46" s="29">
        <v>0.36</v>
      </c>
      <c r="D46" s="29">
        <v>0.41</v>
      </c>
      <c r="E46" s="29">
        <v>0.84</v>
      </c>
      <c r="F46" s="29">
        <v>1.04</v>
      </c>
      <c r="G46" s="29">
        <v>1.78</v>
      </c>
    </row>
    <row r="47" spans="2:7">
      <c r="B47" s="28">
        <v>45332</v>
      </c>
      <c r="C47" s="29">
        <v>0.16</v>
      </c>
      <c r="D47" s="29">
        <v>0.49</v>
      </c>
      <c r="E47" s="29">
        <v>0.79</v>
      </c>
      <c r="F47" s="29">
        <v>1.1399999999999999</v>
      </c>
      <c r="G47" s="29">
        <v>1.82</v>
      </c>
    </row>
    <row r="48" spans="2:7">
      <c r="B48" s="28">
        <v>45333</v>
      </c>
      <c r="C48" s="29">
        <v>7.0000000000000007E-2</v>
      </c>
      <c r="D48" s="29">
        <v>0.42</v>
      </c>
      <c r="E48" s="29">
        <v>0.95</v>
      </c>
      <c r="F48" s="29">
        <v>1.19</v>
      </c>
      <c r="G48" s="29">
        <v>1.77</v>
      </c>
    </row>
    <row r="49" spans="2:7">
      <c r="B49" s="28">
        <v>45334</v>
      </c>
      <c r="C49" s="29">
        <v>0.28000000000000003</v>
      </c>
      <c r="D49" s="29">
        <v>0.41</v>
      </c>
      <c r="E49" s="29">
        <v>0.79</v>
      </c>
      <c r="F49" s="29">
        <v>1.08</v>
      </c>
      <c r="G49" s="29">
        <v>1.51</v>
      </c>
    </row>
    <row r="50" spans="2:7">
      <c r="B50" s="28">
        <v>45335</v>
      </c>
      <c r="C50" s="29">
        <v>0.32</v>
      </c>
      <c r="D50" s="29">
        <v>0.44</v>
      </c>
      <c r="E50" s="29">
        <v>0.83</v>
      </c>
      <c r="F50" s="29">
        <v>1.07</v>
      </c>
      <c r="G50" s="29">
        <v>1.73</v>
      </c>
    </row>
    <row r="51" spans="2:7">
      <c r="B51" s="28">
        <v>45336</v>
      </c>
      <c r="C51" s="29">
        <v>0.26</v>
      </c>
      <c r="D51" s="29">
        <v>0.41</v>
      </c>
      <c r="E51" s="29">
        <v>0.93</v>
      </c>
      <c r="F51" s="29">
        <v>1.23</v>
      </c>
      <c r="G51" s="29">
        <v>1.85</v>
      </c>
    </row>
    <row r="52" spans="2:7">
      <c r="B52" s="28">
        <v>45337</v>
      </c>
      <c r="C52" s="29">
        <v>0.25</v>
      </c>
      <c r="D52" s="29">
        <v>0.44</v>
      </c>
      <c r="E52" s="29">
        <v>1</v>
      </c>
      <c r="F52" s="29">
        <v>1.17</v>
      </c>
      <c r="G52" s="29">
        <v>1.81</v>
      </c>
    </row>
    <row r="53" spans="2:7">
      <c r="B53" s="28">
        <v>45338</v>
      </c>
      <c r="C53" s="29">
        <v>0.27</v>
      </c>
      <c r="D53" s="29">
        <v>0.43</v>
      </c>
      <c r="E53" s="29">
        <v>0.85</v>
      </c>
      <c r="F53" s="29">
        <v>1.1499999999999999</v>
      </c>
      <c r="G53" s="29">
        <v>1.34</v>
      </c>
    </row>
    <row r="54" spans="2:7">
      <c r="B54" s="28">
        <v>45339</v>
      </c>
      <c r="C54" s="29">
        <v>0.09</v>
      </c>
      <c r="D54" s="29">
        <v>0.42</v>
      </c>
      <c r="E54" s="29">
        <v>0.75</v>
      </c>
      <c r="F54" s="29">
        <v>1.17</v>
      </c>
      <c r="G54" s="29">
        <v>1.37</v>
      </c>
    </row>
    <row r="55" spans="2:7">
      <c r="B55" s="28">
        <v>45340</v>
      </c>
      <c r="C55" s="29">
        <v>0.26</v>
      </c>
      <c r="D55" s="29">
        <v>0.41</v>
      </c>
      <c r="E55" s="29">
        <v>0.83</v>
      </c>
      <c r="F55" s="29">
        <v>1.0900000000000001</v>
      </c>
      <c r="G55" s="29">
        <v>1.84</v>
      </c>
    </row>
    <row r="56" spans="2:7">
      <c r="B56" s="28">
        <v>45341</v>
      </c>
      <c r="C56" s="29">
        <v>0.26</v>
      </c>
      <c r="D56" s="29">
        <v>0.4</v>
      </c>
      <c r="E56" s="29">
        <v>0.88</v>
      </c>
      <c r="F56" s="29">
        <v>1.01</v>
      </c>
      <c r="G56" s="29">
        <v>1.45</v>
      </c>
    </row>
    <row r="57" spans="2:7">
      <c r="B57" s="28">
        <v>45342</v>
      </c>
      <c r="C57" s="29">
        <v>0.26</v>
      </c>
      <c r="D57" s="29">
        <v>0.41</v>
      </c>
      <c r="E57" s="29">
        <v>0.89</v>
      </c>
      <c r="F57" s="29">
        <v>1.1599999999999999</v>
      </c>
      <c r="G57" s="29">
        <v>1.46</v>
      </c>
    </row>
    <row r="58" spans="2:7">
      <c r="B58" s="28">
        <v>45343</v>
      </c>
      <c r="C58" s="29">
        <v>0.38</v>
      </c>
      <c r="D58" s="29">
        <v>0.48</v>
      </c>
      <c r="E58" s="29">
        <v>1</v>
      </c>
      <c r="F58" s="29">
        <v>1.1499999999999999</v>
      </c>
      <c r="G58" s="29">
        <v>1.94</v>
      </c>
    </row>
    <row r="59" spans="2:7">
      <c r="B59" s="28">
        <v>45344</v>
      </c>
      <c r="C59" s="29">
        <v>0.13</v>
      </c>
      <c r="D59" s="29">
        <v>0.41</v>
      </c>
      <c r="E59" s="29">
        <v>0.76</v>
      </c>
      <c r="F59" s="29">
        <v>1.03</v>
      </c>
      <c r="G59" s="29">
        <v>1.36</v>
      </c>
    </row>
    <row r="60" spans="2:7">
      <c r="B60" s="28">
        <v>45345</v>
      </c>
      <c r="C60" s="29">
        <v>0.27</v>
      </c>
      <c r="D60" s="29">
        <v>0.49</v>
      </c>
      <c r="E60" s="29">
        <v>0.83</v>
      </c>
      <c r="F60" s="29">
        <v>1.03</v>
      </c>
      <c r="G60" s="29">
        <v>1.37</v>
      </c>
    </row>
    <row r="61" spans="2:7">
      <c r="B61" s="28">
        <v>45346</v>
      </c>
      <c r="C61" s="29">
        <v>0.15</v>
      </c>
      <c r="D61" s="29">
        <v>0.47</v>
      </c>
      <c r="E61" s="29">
        <v>0.81</v>
      </c>
      <c r="F61" s="29">
        <v>1.03</v>
      </c>
      <c r="G61" s="29">
        <v>1.77</v>
      </c>
    </row>
    <row r="62" spans="2:7">
      <c r="B62" s="28">
        <v>45347</v>
      </c>
      <c r="C62" s="29">
        <v>0.39</v>
      </c>
      <c r="D62" s="29">
        <v>0.45</v>
      </c>
      <c r="E62" s="29">
        <v>0.8</v>
      </c>
      <c r="F62" s="29">
        <v>1.22</v>
      </c>
      <c r="G62" s="29">
        <v>1.3</v>
      </c>
    </row>
    <row r="63" spans="2:7">
      <c r="B63" s="28">
        <v>45348</v>
      </c>
      <c r="C63" s="29">
        <v>0.23</v>
      </c>
      <c r="D63" s="29">
        <v>0.4</v>
      </c>
      <c r="E63" s="29">
        <v>0.76</v>
      </c>
      <c r="F63" s="29">
        <v>1.0900000000000001</v>
      </c>
      <c r="G63" s="29">
        <v>1.5</v>
      </c>
    </row>
    <row r="64" spans="2:7">
      <c r="B64" s="28">
        <v>45349</v>
      </c>
      <c r="C64" s="29">
        <v>0.11</v>
      </c>
      <c r="D64" s="29">
        <v>0.49</v>
      </c>
      <c r="E64" s="29">
        <v>0.82</v>
      </c>
      <c r="F64" s="29">
        <v>1.01</v>
      </c>
      <c r="G64" s="29">
        <v>1.43</v>
      </c>
    </row>
    <row r="65" spans="2:7">
      <c r="B65" s="28">
        <v>45350</v>
      </c>
      <c r="C65" s="29">
        <v>0.08</v>
      </c>
      <c r="D65" s="29">
        <v>0.49</v>
      </c>
      <c r="E65" s="29">
        <v>0.92</v>
      </c>
      <c r="F65" s="29">
        <v>1.19</v>
      </c>
      <c r="G65" s="29">
        <v>1.82</v>
      </c>
    </row>
    <row r="66" spans="2:7">
      <c r="B66" s="28">
        <v>45351</v>
      </c>
      <c r="C66" s="29">
        <v>0.39</v>
      </c>
      <c r="D66" s="29">
        <v>0.41</v>
      </c>
      <c r="E66" s="29">
        <v>0.79</v>
      </c>
      <c r="F66" s="29">
        <v>1.05</v>
      </c>
      <c r="G66" s="29">
        <v>1.95</v>
      </c>
    </row>
    <row r="67" spans="2:7">
      <c r="B67" s="28">
        <v>45352</v>
      </c>
      <c r="C67" s="29">
        <v>0.24</v>
      </c>
      <c r="D67" s="29">
        <v>0.41</v>
      </c>
      <c r="E67" s="29">
        <v>0.89</v>
      </c>
      <c r="F67" s="29">
        <v>1.1599999999999999</v>
      </c>
      <c r="G67" s="29">
        <v>1.7</v>
      </c>
    </row>
    <row r="68" spans="2:7">
      <c r="B68" s="28">
        <v>45353</v>
      </c>
      <c r="C68" s="29">
        <v>0.19</v>
      </c>
      <c r="D68" s="29">
        <v>0.43</v>
      </c>
      <c r="E68" s="29">
        <v>0.78</v>
      </c>
      <c r="F68" s="29">
        <v>1.17</v>
      </c>
      <c r="G68" s="29">
        <v>1.41</v>
      </c>
    </row>
    <row r="69" spans="2:7">
      <c r="B69" s="28">
        <v>45354</v>
      </c>
      <c r="C69" s="29">
        <v>0.03</v>
      </c>
      <c r="D69" s="29">
        <v>0.42</v>
      </c>
      <c r="E69" s="29">
        <v>0.87</v>
      </c>
      <c r="F69" s="29">
        <v>1.03</v>
      </c>
      <c r="G69" s="29">
        <v>1.52</v>
      </c>
    </row>
    <row r="70" spans="2:7">
      <c r="B70" s="28">
        <v>45355</v>
      </c>
      <c r="C70" s="29">
        <v>0.39</v>
      </c>
      <c r="D70" s="29">
        <v>0.49</v>
      </c>
      <c r="E70" s="29">
        <v>0.95</v>
      </c>
      <c r="F70" s="29">
        <v>1.22</v>
      </c>
      <c r="G70" s="29">
        <v>1.74</v>
      </c>
    </row>
    <row r="71" spans="2:7">
      <c r="B71" s="28">
        <v>45356</v>
      </c>
      <c r="C71" s="29">
        <v>0.12</v>
      </c>
      <c r="D71" s="29">
        <v>0.49</v>
      </c>
      <c r="E71" s="29">
        <v>0.84</v>
      </c>
      <c r="F71" s="29">
        <v>1.03</v>
      </c>
      <c r="G71" s="29">
        <v>1.66</v>
      </c>
    </row>
    <row r="72" spans="2:7">
      <c r="B72" s="28">
        <v>45357</v>
      </c>
      <c r="C72" s="29">
        <v>0.08</v>
      </c>
      <c r="D72" s="29">
        <v>0.47</v>
      </c>
      <c r="E72" s="29">
        <v>0.93</v>
      </c>
      <c r="F72" s="29">
        <v>1.22</v>
      </c>
      <c r="G72" s="29">
        <v>1.43</v>
      </c>
    </row>
    <row r="73" spans="2:7">
      <c r="B73" s="28">
        <v>45358</v>
      </c>
      <c r="C73" s="29">
        <v>0.14000000000000001</v>
      </c>
      <c r="D73" s="29">
        <v>0.42</v>
      </c>
      <c r="E73" s="29">
        <v>0.94</v>
      </c>
      <c r="F73" s="29">
        <v>1.04</v>
      </c>
      <c r="G73" s="29">
        <v>1.68</v>
      </c>
    </row>
    <row r="74" spans="2:7">
      <c r="B74" s="28">
        <v>45359</v>
      </c>
      <c r="C74" s="29">
        <v>0.08</v>
      </c>
      <c r="D74" s="29">
        <v>0.43</v>
      </c>
      <c r="E74" s="29">
        <v>0.92</v>
      </c>
      <c r="F74" s="29">
        <v>1.1100000000000001</v>
      </c>
      <c r="G74" s="29">
        <v>1.45</v>
      </c>
    </row>
    <row r="75" spans="2:7">
      <c r="B75" s="28">
        <v>45360</v>
      </c>
      <c r="C75" s="29">
        <v>7.0000000000000007E-2</v>
      </c>
      <c r="D75" s="29">
        <v>0.46</v>
      </c>
      <c r="E75" s="29">
        <v>0.86</v>
      </c>
      <c r="F75" s="29">
        <v>1.1100000000000001</v>
      </c>
      <c r="G75" s="29">
        <v>1.68</v>
      </c>
    </row>
    <row r="76" spans="2:7">
      <c r="B76" s="28">
        <v>45361</v>
      </c>
      <c r="C76" s="29">
        <v>0.24</v>
      </c>
      <c r="D76" s="29">
        <v>0.47</v>
      </c>
      <c r="E76" s="29">
        <v>0.79</v>
      </c>
      <c r="F76" s="29">
        <v>1.1299999999999999</v>
      </c>
      <c r="G76" s="29">
        <v>1.49</v>
      </c>
    </row>
    <row r="77" spans="2:7">
      <c r="B77" s="28">
        <v>45362</v>
      </c>
      <c r="C77" s="29">
        <v>0.23</v>
      </c>
      <c r="D77" s="29">
        <v>0.43</v>
      </c>
      <c r="E77" s="29">
        <v>0.82</v>
      </c>
      <c r="F77" s="29">
        <v>1.2</v>
      </c>
      <c r="G77" s="29">
        <v>1.41</v>
      </c>
    </row>
    <row r="78" spans="2:7">
      <c r="B78" s="28">
        <v>45363</v>
      </c>
      <c r="C78" s="29">
        <v>0.28999999999999998</v>
      </c>
      <c r="D78" s="29">
        <v>0.44</v>
      </c>
      <c r="E78" s="29">
        <v>0.88</v>
      </c>
      <c r="F78" s="29">
        <v>1.19</v>
      </c>
      <c r="G78" s="29">
        <v>1.87</v>
      </c>
    </row>
    <row r="79" spans="2:7">
      <c r="B79" s="28">
        <v>45364</v>
      </c>
      <c r="C79" s="29">
        <v>0.32</v>
      </c>
      <c r="D79" s="29">
        <v>0.5</v>
      </c>
      <c r="E79" s="29">
        <v>0.84</v>
      </c>
      <c r="F79" s="29">
        <v>1.02</v>
      </c>
      <c r="G79" s="29">
        <v>1.69</v>
      </c>
    </row>
    <row r="80" spans="2:7">
      <c r="B80" s="28">
        <v>45365</v>
      </c>
      <c r="C80" s="29">
        <v>0.24</v>
      </c>
      <c r="D80" s="29">
        <v>0.46</v>
      </c>
      <c r="E80" s="29">
        <v>0.98</v>
      </c>
      <c r="F80" s="29">
        <v>1.19</v>
      </c>
      <c r="G80" s="29">
        <v>1.88</v>
      </c>
    </row>
    <row r="81" spans="2:7">
      <c r="B81" s="28">
        <v>45366</v>
      </c>
      <c r="C81" s="29">
        <v>0.23</v>
      </c>
      <c r="D81" s="29">
        <v>0.48</v>
      </c>
      <c r="E81" s="29">
        <v>0.94</v>
      </c>
      <c r="F81" s="29">
        <v>1.21</v>
      </c>
      <c r="G81" s="29">
        <v>1.55</v>
      </c>
    </row>
    <row r="82" spans="2:7">
      <c r="B82" s="28">
        <v>45367</v>
      </c>
      <c r="C82" s="29">
        <v>0.32</v>
      </c>
      <c r="D82" s="29">
        <v>0.4</v>
      </c>
      <c r="E82" s="29">
        <v>0.97</v>
      </c>
      <c r="F82" s="29">
        <v>1.07</v>
      </c>
      <c r="G82" s="29">
        <v>1.34</v>
      </c>
    </row>
    <row r="83" spans="2:7">
      <c r="B83" s="28">
        <v>45368</v>
      </c>
      <c r="C83" s="29">
        <v>0.2</v>
      </c>
      <c r="D83" s="29">
        <v>0.4</v>
      </c>
      <c r="E83" s="29">
        <v>0.94</v>
      </c>
      <c r="F83" s="29">
        <v>1.1499999999999999</v>
      </c>
      <c r="G83" s="29">
        <v>1.44</v>
      </c>
    </row>
    <row r="84" spans="2:7">
      <c r="B84" s="28">
        <v>45369</v>
      </c>
      <c r="C84" s="29">
        <v>0.15</v>
      </c>
      <c r="D84" s="29">
        <v>0.49</v>
      </c>
      <c r="E84" s="29">
        <v>0.92</v>
      </c>
      <c r="F84" s="29">
        <v>1.1299999999999999</v>
      </c>
      <c r="G84" s="29">
        <v>1.77</v>
      </c>
    </row>
    <row r="85" spans="2:7">
      <c r="B85" s="28">
        <v>45370</v>
      </c>
      <c r="C85" s="29">
        <v>0.19</v>
      </c>
      <c r="D85" s="29">
        <v>0.46</v>
      </c>
      <c r="E85" s="29">
        <v>0.8</v>
      </c>
      <c r="F85" s="29">
        <v>1.1599999999999999</v>
      </c>
      <c r="G85" s="29">
        <v>1.32</v>
      </c>
    </row>
    <row r="86" spans="2:7">
      <c r="B86" s="28">
        <v>45371</v>
      </c>
      <c r="C86" s="29">
        <v>0.24</v>
      </c>
      <c r="D86" s="29">
        <v>0.44</v>
      </c>
      <c r="E86" s="29">
        <v>0.81</v>
      </c>
      <c r="F86" s="29">
        <v>1.07</v>
      </c>
      <c r="G86" s="29">
        <v>1.8</v>
      </c>
    </row>
    <row r="87" spans="2:7">
      <c r="B87" s="28">
        <v>45372</v>
      </c>
      <c r="C87" s="29">
        <v>0.3</v>
      </c>
      <c r="D87" s="29">
        <v>0.41</v>
      </c>
      <c r="E87" s="29">
        <v>0.85</v>
      </c>
      <c r="F87" s="29">
        <v>1.08</v>
      </c>
      <c r="G87" s="29">
        <v>1.47</v>
      </c>
    </row>
    <row r="88" spans="2:7">
      <c r="B88" s="28">
        <v>45373</v>
      </c>
      <c r="C88" s="29">
        <v>0.23</v>
      </c>
      <c r="D88" s="29">
        <v>0.5</v>
      </c>
      <c r="E88" s="29">
        <v>0.96</v>
      </c>
      <c r="F88" s="29">
        <v>1.19</v>
      </c>
      <c r="G88" s="29">
        <v>1.98</v>
      </c>
    </row>
    <row r="89" spans="2:7">
      <c r="B89" s="28">
        <v>45374</v>
      </c>
      <c r="C89" s="29">
        <v>0.06</v>
      </c>
      <c r="D89" s="29">
        <v>0.45</v>
      </c>
      <c r="E89" s="29">
        <v>0.91</v>
      </c>
      <c r="F89" s="29">
        <v>1.25</v>
      </c>
      <c r="G89" s="29">
        <v>1.62</v>
      </c>
    </row>
    <row r="90" spans="2:7">
      <c r="B90" s="28">
        <v>45375</v>
      </c>
      <c r="C90" s="29">
        <v>0.39</v>
      </c>
      <c r="D90" s="29">
        <v>0.43</v>
      </c>
      <c r="E90" s="29">
        <v>0.75</v>
      </c>
      <c r="F90" s="29">
        <v>1.0900000000000001</v>
      </c>
      <c r="G90" s="29">
        <v>1.26</v>
      </c>
    </row>
    <row r="91" spans="2:7">
      <c r="B91" s="28">
        <v>45376</v>
      </c>
      <c r="C91" s="29">
        <v>0.36</v>
      </c>
      <c r="D91" s="29">
        <v>0.41</v>
      </c>
      <c r="E91" s="29">
        <v>0.84</v>
      </c>
      <c r="F91" s="29">
        <v>1.1200000000000001</v>
      </c>
      <c r="G91" s="29">
        <v>1.8</v>
      </c>
    </row>
    <row r="92" spans="2:7">
      <c r="B92" s="28">
        <v>45377</v>
      </c>
      <c r="C92" s="29">
        <v>0.19</v>
      </c>
      <c r="D92" s="29">
        <v>0.4</v>
      </c>
      <c r="E92" s="29">
        <v>0.85</v>
      </c>
      <c r="F92" s="29">
        <v>1.03</v>
      </c>
      <c r="G92" s="29">
        <v>1.41</v>
      </c>
    </row>
    <row r="93" spans="2:7">
      <c r="B93" s="28">
        <v>45378</v>
      </c>
      <c r="C93" s="29">
        <v>0.25</v>
      </c>
      <c r="D93" s="29">
        <v>0.48</v>
      </c>
      <c r="E93" s="29">
        <v>0.98</v>
      </c>
      <c r="F93" s="29">
        <v>1.07</v>
      </c>
      <c r="G93" s="29">
        <v>1.79</v>
      </c>
    </row>
    <row r="94" spans="2:7">
      <c r="B94" s="28">
        <v>45379</v>
      </c>
      <c r="C94" s="29">
        <v>0.15</v>
      </c>
      <c r="D94" s="29">
        <v>0.42</v>
      </c>
      <c r="E94" s="29">
        <v>0.97</v>
      </c>
      <c r="F94" s="29">
        <v>1.1100000000000001</v>
      </c>
      <c r="G94" s="29">
        <v>1.38</v>
      </c>
    </row>
    <row r="95" spans="2:7">
      <c r="B95" s="28">
        <v>45380</v>
      </c>
      <c r="C95" s="29">
        <v>0.39</v>
      </c>
      <c r="D95" s="29">
        <v>0.46</v>
      </c>
      <c r="E95" s="29">
        <v>0.88</v>
      </c>
      <c r="F95" s="29">
        <v>1.05</v>
      </c>
      <c r="G95" s="29">
        <v>1.3</v>
      </c>
    </row>
    <row r="96" spans="2:7">
      <c r="B96" s="28">
        <v>45381</v>
      </c>
      <c r="C96" s="29">
        <v>0.3</v>
      </c>
      <c r="D96" s="29">
        <v>0.44</v>
      </c>
      <c r="E96" s="29">
        <v>0.9</v>
      </c>
      <c r="F96" s="29">
        <v>1.01</v>
      </c>
      <c r="G96" s="29">
        <v>1.31</v>
      </c>
    </row>
    <row r="97" spans="2:7">
      <c r="B97" s="28">
        <v>45382</v>
      </c>
      <c r="C97" s="29">
        <v>0.37</v>
      </c>
      <c r="D97" s="29">
        <v>0.49</v>
      </c>
      <c r="E97" s="29">
        <v>0.78</v>
      </c>
      <c r="F97" s="29">
        <v>1.1100000000000001</v>
      </c>
      <c r="G97" s="29">
        <v>1.25</v>
      </c>
    </row>
    <row r="98" spans="2:7">
      <c r="B98" s="28">
        <v>45383</v>
      </c>
      <c r="C98" s="29">
        <v>0.25</v>
      </c>
      <c r="D98" s="29">
        <v>0.4</v>
      </c>
      <c r="E98" s="29">
        <v>0.89</v>
      </c>
      <c r="F98" s="29">
        <v>1.1299999999999999</v>
      </c>
      <c r="G98" s="29">
        <v>1.75</v>
      </c>
    </row>
    <row r="99" spans="2:7">
      <c r="B99" s="28">
        <v>45384</v>
      </c>
      <c r="C99" s="29">
        <v>0.14000000000000001</v>
      </c>
      <c r="D99" s="29">
        <v>0.43</v>
      </c>
      <c r="E99" s="29">
        <v>0.79</v>
      </c>
      <c r="F99" s="29">
        <v>1.25</v>
      </c>
      <c r="G99" s="29">
        <v>1.68</v>
      </c>
    </row>
    <row r="100" spans="2:7">
      <c r="B100" s="28">
        <v>45385</v>
      </c>
      <c r="C100" s="29">
        <v>0.11</v>
      </c>
      <c r="D100" s="29">
        <v>0.45</v>
      </c>
      <c r="E100" s="29">
        <v>0.92</v>
      </c>
      <c r="F100" s="29">
        <v>1.1599999999999999</v>
      </c>
      <c r="G100" s="29">
        <v>1.67</v>
      </c>
    </row>
    <row r="101" spans="2:7">
      <c r="B101" s="28">
        <v>45386</v>
      </c>
      <c r="C101" s="29">
        <v>0.32</v>
      </c>
      <c r="D101" s="29">
        <v>0.46</v>
      </c>
      <c r="E101" s="29">
        <v>0.79</v>
      </c>
      <c r="F101" s="29">
        <v>1.0900000000000001</v>
      </c>
      <c r="G101" s="29">
        <v>1.78</v>
      </c>
    </row>
    <row r="102" spans="2:7">
      <c r="B102" s="28">
        <v>45387</v>
      </c>
      <c r="C102" s="29">
        <v>0.03</v>
      </c>
      <c r="D102" s="29">
        <v>0.41</v>
      </c>
      <c r="E102" s="29">
        <v>0.94</v>
      </c>
      <c r="F102" s="29">
        <v>1.1299999999999999</v>
      </c>
      <c r="G102" s="29">
        <v>2</v>
      </c>
    </row>
    <row r="103" spans="2:7">
      <c r="B103" s="28">
        <v>45388</v>
      </c>
      <c r="C103" s="29">
        <v>0.28999999999999998</v>
      </c>
      <c r="D103" s="29">
        <v>0.42</v>
      </c>
      <c r="E103" s="29">
        <v>0.84</v>
      </c>
      <c r="F103" s="29">
        <v>1.01</v>
      </c>
      <c r="G103" s="29">
        <v>1.88</v>
      </c>
    </row>
    <row r="104" spans="2:7">
      <c r="B104" s="28">
        <v>45389</v>
      </c>
      <c r="C104" s="29">
        <v>0.33</v>
      </c>
      <c r="D104" s="29">
        <v>0.41</v>
      </c>
      <c r="E104" s="29">
        <v>0.91</v>
      </c>
      <c r="F104" s="29">
        <v>1.1599999999999999</v>
      </c>
      <c r="G104" s="29">
        <v>1.44</v>
      </c>
    </row>
    <row r="105" spans="2:7">
      <c r="B105" s="28">
        <v>45390</v>
      </c>
      <c r="C105" s="29">
        <v>7.0000000000000007E-2</v>
      </c>
      <c r="D105" s="29">
        <v>0.42</v>
      </c>
      <c r="E105" s="29">
        <v>0.8</v>
      </c>
      <c r="F105" s="29">
        <v>1.1000000000000001</v>
      </c>
      <c r="G105" s="29">
        <v>1.72</v>
      </c>
    </row>
    <row r="106" spans="2:7">
      <c r="B106" s="28">
        <v>45391</v>
      </c>
      <c r="C106" s="29">
        <v>0.36</v>
      </c>
      <c r="D106" s="29">
        <v>0.45</v>
      </c>
      <c r="E106" s="29">
        <v>0.86</v>
      </c>
      <c r="F106" s="29">
        <v>1.17</v>
      </c>
      <c r="G106" s="29">
        <v>1.58</v>
      </c>
    </row>
    <row r="107" spans="2:7">
      <c r="B107" s="28">
        <v>45392</v>
      </c>
      <c r="C107" s="29">
        <v>0.27</v>
      </c>
      <c r="D107" s="29">
        <v>0.42</v>
      </c>
      <c r="E107" s="29">
        <v>0.98</v>
      </c>
      <c r="F107" s="29">
        <v>1.03</v>
      </c>
      <c r="G107" s="29">
        <v>1.95</v>
      </c>
    </row>
    <row r="108" spans="2:7">
      <c r="B108" s="28">
        <v>45393</v>
      </c>
      <c r="C108" s="29">
        <v>0.2</v>
      </c>
      <c r="D108" s="29">
        <v>0.5</v>
      </c>
      <c r="E108" s="29">
        <v>1</v>
      </c>
      <c r="F108" s="29">
        <v>1.17</v>
      </c>
      <c r="G108" s="29">
        <v>1.72</v>
      </c>
    </row>
    <row r="109" spans="2:7">
      <c r="B109" s="28">
        <v>45394</v>
      </c>
      <c r="C109" s="29">
        <v>0.17</v>
      </c>
      <c r="D109" s="29">
        <v>0.42</v>
      </c>
      <c r="E109" s="29">
        <v>0.75</v>
      </c>
      <c r="F109" s="29">
        <v>1.01</v>
      </c>
      <c r="G109" s="29">
        <v>1.71</v>
      </c>
    </row>
    <row r="110" spans="2:7">
      <c r="B110" s="28">
        <v>45395</v>
      </c>
      <c r="C110" s="29">
        <v>0.35</v>
      </c>
      <c r="D110" s="29">
        <v>0.49</v>
      </c>
      <c r="E110" s="29">
        <v>0.82</v>
      </c>
      <c r="F110" s="29">
        <v>1.17</v>
      </c>
      <c r="G110" s="29">
        <v>1.62</v>
      </c>
    </row>
    <row r="111" spans="2:7">
      <c r="B111" s="28">
        <v>45396</v>
      </c>
      <c r="C111" s="29">
        <v>0.17</v>
      </c>
      <c r="D111" s="29">
        <v>0.46</v>
      </c>
      <c r="E111" s="29">
        <v>0.8</v>
      </c>
      <c r="F111" s="29">
        <v>1.05</v>
      </c>
      <c r="G111" s="29">
        <v>1.36</v>
      </c>
    </row>
    <row r="112" spans="2:7">
      <c r="B112" s="28">
        <v>45397</v>
      </c>
      <c r="C112" s="29">
        <v>0.04</v>
      </c>
      <c r="D112" s="29">
        <v>0.43</v>
      </c>
      <c r="E112" s="29">
        <v>0.77</v>
      </c>
      <c r="F112" s="29">
        <v>1.21</v>
      </c>
      <c r="G112" s="29">
        <v>1.42</v>
      </c>
    </row>
    <row r="113" spans="2:7">
      <c r="B113" s="28">
        <v>45398</v>
      </c>
      <c r="C113" s="29">
        <v>0.09</v>
      </c>
      <c r="D113" s="29">
        <v>0.41</v>
      </c>
      <c r="E113" s="29">
        <v>0.96</v>
      </c>
      <c r="F113" s="29">
        <v>1.04</v>
      </c>
      <c r="G113" s="29">
        <v>1.79</v>
      </c>
    </row>
    <row r="114" spans="2:7">
      <c r="B114" s="28">
        <v>45399</v>
      </c>
      <c r="C114" s="29">
        <v>0.28000000000000003</v>
      </c>
      <c r="D114" s="29">
        <v>0.49</v>
      </c>
      <c r="E114" s="29">
        <v>0.95</v>
      </c>
      <c r="F114" s="29">
        <v>1.19</v>
      </c>
      <c r="G114" s="29">
        <v>1.57</v>
      </c>
    </row>
    <row r="115" spans="2:7">
      <c r="B115" s="28">
        <v>45400</v>
      </c>
      <c r="C115" s="29">
        <v>0.15</v>
      </c>
      <c r="D115" s="29">
        <v>0.46</v>
      </c>
      <c r="E115" s="29">
        <v>0.77</v>
      </c>
      <c r="F115" s="29">
        <v>1.21</v>
      </c>
      <c r="G115" s="29">
        <v>1.58</v>
      </c>
    </row>
    <row r="116" spans="2:7">
      <c r="B116" s="28">
        <v>45401</v>
      </c>
      <c r="C116" s="29">
        <v>0.28000000000000003</v>
      </c>
      <c r="D116" s="29">
        <v>0.46</v>
      </c>
      <c r="E116" s="29">
        <v>0.96</v>
      </c>
      <c r="F116" s="29">
        <v>1.07</v>
      </c>
      <c r="G116" s="29">
        <v>1.34</v>
      </c>
    </row>
    <row r="117" spans="2:7">
      <c r="B117" s="28">
        <v>45402</v>
      </c>
      <c r="C117" s="29">
        <v>0.14000000000000001</v>
      </c>
      <c r="D117" s="29">
        <v>0.43</v>
      </c>
      <c r="E117" s="29">
        <v>0.89</v>
      </c>
      <c r="F117" s="29">
        <v>1.07</v>
      </c>
      <c r="G117" s="29">
        <v>1.38</v>
      </c>
    </row>
    <row r="118" spans="2:7">
      <c r="B118" s="28">
        <v>45403</v>
      </c>
      <c r="C118" s="29">
        <v>0.15</v>
      </c>
      <c r="D118" s="29">
        <v>0.48</v>
      </c>
      <c r="E118" s="29">
        <v>0.75</v>
      </c>
      <c r="F118" s="29">
        <v>1.1599999999999999</v>
      </c>
      <c r="G118" s="29">
        <v>1.54</v>
      </c>
    </row>
    <row r="119" spans="2:7">
      <c r="B119" s="28">
        <v>45404</v>
      </c>
      <c r="C119" s="29">
        <v>0.34</v>
      </c>
      <c r="D119" s="29">
        <v>0.45</v>
      </c>
      <c r="E119" s="29">
        <v>0.77</v>
      </c>
      <c r="F119" s="29">
        <v>1.1599999999999999</v>
      </c>
      <c r="G119" s="29">
        <v>1.51</v>
      </c>
    </row>
    <row r="120" spans="2:7">
      <c r="B120" s="28">
        <v>45405</v>
      </c>
      <c r="C120" s="29">
        <v>0.16</v>
      </c>
      <c r="D120" s="29">
        <v>0.41</v>
      </c>
      <c r="E120" s="29">
        <v>0.95</v>
      </c>
      <c r="F120" s="29">
        <v>1.03</v>
      </c>
      <c r="G120" s="29">
        <v>1.55</v>
      </c>
    </row>
    <row r="121" spans="2:7">
      <c r="B121" s="28">
        <v>45406</v>
      </c>
      <c r="C121" s="29">
        <v>0.09</v>
      </c>
      <c r="D121" s="29">
        <v>0.42</v>
      </c>
      <c r="E121" s="29">
        <v>0.89</v>
      </c>
      <c r="F121" s="29">
        <v>1.1000000000000001</v>
      </c>
      <c r="G121" s="29">
        <v>1.87</v>
      </c>
    </row>
    <row r="122" spans="2:7">
      <c r="B122" s="28">
        <v>45407</v>
      </c>
      <c r="C122" s="29">
        <v>0.12</v>
      </c>
      <c r="D122" s="29">
        <v>0.49</v>
      </c>
      <c r="E122" s="29">
        <v>0.98</v>
      </c>
      <c r="F122" s="29">
        <v>1.24</v>
      </c>
      <c r="G122" s="29">
        <v>1.41</v>
      </c>
    </row>
    <row r="123" spans="2:7">
      <c r="B123" s="28">
        <v>45408</v>
      </c>
      <c r="C123" s="29">
        <v>0.28999999999999998</v>
      </c>
      <c r="D123" s="29">
        <v>0.46</v>
      </c>
      <c r="E123" s="29">
        <v>0.75</v>
      </c>
      <c r="F123" s="29">
        <v>1.08</v>
      </c>
      <c r="G123" s="29">
        <v>1.56</v>
      </c>
    </row>
    <row r="124" spans="2:7">
      <c r="B124" s="28">
        <v>45409</v>
      </c>
      <c r="C124" s="29">
        <v>0.06</v>
      </c>
      <c r="D124" s="29">
        <v>0.5</v>
      </c>
      <c r="E124" s="29">
        <v>0.92</v>
      </c>
      <c r="F124" s="29">
        <v>1.23</v>
      </c>
      <c r="G124" s="29">
        <v>1.47</v>
      </c>
    </row>
    <row r="125" spans="2:7">
      <c r="B125" s="28">
        <v>45410</v>
      </c>
      <c r="C125" s="29">
        <v>0.33</v>
      </c>
      <c r="D125" s="29">
        <v>0.44</v>
      </c>
      <c r="E125" s="29">
        <v>0.84</v>
      </c>
      <c r="F125" s="29">
        <v>1.0900000000000001</v>
      </c>
      <c r="G125" s="29">
        <v>1.29</v>
      </c>
    </row>
    <row r="126" spans="2:7">
      <c r="B126" s="28">
        <v>45411</v>
      </c>
      <c r="C126" s="29">
        <v>0.23</v>
      </c>
      <c r="D126" s="29">
        <v>0.4</v>
      </c>
      <c r="E126" s="29">
        <v>0.87</v>
      </c>
      <c r="F126" s="29">
        <v>1.1499999999999999</v>
      </c>
      <c r="G126" s="29">
        <v>1.76</v>
      </c>
    </row>
    <row r="127" spans="2:7">
      <c r="B127" s="28">
        <v>45412</v>
      </c>
      <c r="C127" s="29">
        <v>0.36</v>
      </c>
      <c r="D127" s="29">
        <v>0.46</v>
      </c>
      <c r="E127" s="29">
        <v>0.86</v>
      </c>
      <c r="F127" s="29">
        <v>1.1100000000000001</v>
      </c>
      <c r="G127" s="29">
        <v>1.85</v>
      </c>
    </row>
    <row r="128" spans="2:7">
      <c r="B128" s="28">
        <v>45413</v>
      </c>
      <c r="C128" s="29">
        <v>0.28999999999999998</v>
      </c>
      <c r="D128" s="29">
        <v>0.5</v>
      </c>
      <c r="E128" s="29">
        <v>0.82</v>
      </c>
      <c r="F128" s="29">
        <v>1.01</v>
      </c>
      <c r="G128" s="29">
        <v>1.97</v>
      </c>
    </row>
    <row r="129" spans="2:7">
      <c r="B129" s="28">
        <v>45414</v>
      </c>
      <c r="C129" s="29">
        <v>0.14000000000000001</v>
      </c>
      <c r="D129" s="29">
        <v>0.45</v>
      </c>
      <c r="E129" s="29">
        <v>0.87</v>
      </c>
      <c r="F129" s="29">
        <v>1.22</v>
      </c>
      <c r="G129" s="29">
        <v>1.87</v>
      </c>
    </row>
    <row r="130" spans="2:7">
      <c r="B130" s="28">
        <v>45415</v>
      </c>
      <c r="C130" s="29">
        <v>0.01</v>
      </c>
      <c r="D130" s="29">
        <v>0.41</v>
      </c>
      <c r="E130" s="29">
        <v>0.8</v>
      </c>
      <c r="F130" s="29">
        <v>1.25</v>
      </c>
      <c r="G130" s="29">
        <v>1.28</v>
      </c>
    </row>
    <row r="131" spans="2:7">
      <c r="B131" s="28">
        <v>45416</v>
      </c>
      <c r="C131" s="29">
        <v>0.15</v>
      </c>
      <c r="D131" s="29">
        <v>0.45</v>
      </c>
      <c r="E131" s="29">
        <v>0.87</v>
      </c>
      <c r="F131" s="29">
        <v>1.02</v>
      </c>
      <c r="G131" s="29">
        <v>1.26</v>
      </c>
    </row>
    <row r="132" spans="2:7">
      <c r="B132" s="28">
        <v>45417</v>
      </c>
      <c r="C132" s="29">
        <v>0.4</v>
      </c>
      <c r="D132" s="29">
        <v>0.47</v>
      </c>
      <c r="E132" s="29">
        <v>0.89</v>
      </c>
      <c r="F132" s="29">
        <v>1.1000000000000001</v>
      </c>
      <c r="G132" s="29">
        <v>1.44</v>
      </c>
    </row>
    <row r="133" spans="2:7">
      <c r="B133" s="28">
        <v>45418</v>
      </c>
      <c r="C133" s="29">
        <v>0.4</v>
      </c>
      <c r="D133" s="29">
        <v>0.44</v>
      </c>
      <c r="E133" s="29">
        <v>0.77</v>
      </c>
      <c r="F133" s="29">
        <v>1.02</v>
      </c>
      <c r="G133" s="29">
        <v>1.54</v>
      </c>
    </row>
    <row r="134" spans="2:7">
      <c r="B134" s="28">
        <v>45419</v>
      </c>
      <c r="C134" s="29">
        <v>7.0000000000000007E-2</v>
      </c>
      <c r="D134" s="29">
        <v>0.44</v>
      </c>
      <c r="E134" s="29">
        <v>0.78</v>
      </c>
      <c r="F134" s="29">
        <v>1.17</v>
      </c>
      <c r="G134" s="29">
        <v>1.71</v>
      </c>
    </row>
    <row r="135" spans="2:7">
      <c r="B135" s="28">
        <v>45420</v>
      </c>
      <c r="C135" s="29">
        <v>0.25</v>
      </c>
      <c r="D135" s="29">
        <v>0.4</v>
      </c>
      <c r="E135" s="29">
        <v>0.97</v>
      </c>
      <c r="F135" s="29">
        <v>1.1299999999999999</v>
      </c>
      <c r="G135" s="29">
        <v>1.31</v>
      </c>
    </row>
    <row r="136" spans="2:7">
      <c r="B136" s="28">
        <v>45421</v>
      </c>
      <c r="C136" s="29">
        <v>0.37</v>
      </c>
      <c r="D136" s="29">
        <v>0.44</v>
      </c>
      <c r="E136" s="29">
        <v>0.88</v>
      </c>
      <c r="F136" s="29">
        <v>1.18</v>
      </c>
      <c r="G136" s="29">
        <v>1.61</v>
      </c>
    </row>
    <row r="137" spans="2:7">
      <c r="B137" s="28">
        <v>45422</v>
      </c>
      <c r="C137" s="29">
        <v>0.38</v>
      </c>
      <c r="D137" s="29">
        <v>0.49</v>
      </c>
      <c r="E137" s="29">
        <v>0.91</v>
      </c>
      <c r="F137" s="29">
        <v>1.17</v>
      </c>
      <c r="G137" s="29">
        <v>1.58</v>
      </c>
    </row>
    <row r="138" spans="2:7">
      <c r="B138" s="28">
        <v>45423</v>
      </c>
      <c r="C138" s="29">
        <v>0.36</v>
      </c>
      <c r="D138" s="29">
        <v>0.44</v>
      </c>
      <c r="E138" s="29">
        <v>0.94</v>
      </c>
      <c r="F138" s="29">
        <v>1.2</v>
      </c>
      <c r="G138" s="29">
        <v>1.38</v>
      </c>
    </row>
    <row r="139" spans="2:7">
      <c r="B139" s="28">
        <v>45424</v>
      </c>
      <c r="C139" s="29">
        <v>0.04</v>
      </c>
      <c r="D139" s="29">
        <v>0.43</v>
      </c>
      <c r="E139" s="29">
        <v>0.79</v>
      </c>
      <c r="F139" s="29">
        <v>1.23</v>
      </c>
      <c r="G139" s="29">
        <v>1.66</v>
      </c>
    </row>
    <row r="140" spans="2:7">
      <c r="B140" s="28">
        <v>45425</v>
      </c>
      <c r="C140" s="29">
        <v>0.32</v>
      </c>
      <c r="D140" s="29">
        <v>0.42</v>
      </c>
      <c r="E140" s="29">
        <v>0.96</v>
      </c>
      <c r="F140" s="29">
        <v>1.24</v>
      </c>
      <c r="G140" s="29">
        <v>1.32</v>
      </c>
    </row>
    <row r="141" spans="2:7">
      <c r="B141" s="28">
        <v>45426</v>
      </c>
      <c r="C141" s="29">
        <v>0.16</v>
      </c>
      <c r="D141" s="29">
        <v>0.43</v>
      </c>
      <c r="E141" s="29">
        <v>0.81</v>
      </c>
      <c r="F141" s="29">
        <v>1.23</v>
      </c>
      <c r="G141" s="29">
        <v>1.71</v>
      </c>
    </row>
    <row r="142" spans="2:7">
      <c r="B142" s="28">
        <v>45427</v>
      </c>
      <c r="C142" s="29">
        <v>0.23</v>
      </c>
      <c r="D142" s="29">
        <v>0.46</v>
      </c>
      <c r="E142" s="29">
        <v>0.95</v>
      </c>
      <c r="F142" s="29">
        <v>1.19</v>
      </c>
      <c r="G142" s="29">
        <v>1.73</v>
      </c>
    </row>
    <row r="143" spans="2:7">
      <c r="B143" s="28">
        <v>45428</v>
      </c>
      <c r="C143" s="29">
        <v>0.05</v>
      </c>
      <c r="D143" s="29">
        <v>0.41</v>
      </c>
      <c r="E143" s="29">
        <v>0.76</v>
      </c>
      <c r="F143" s="29">
        <v>1.1100000000000001</v>
      </c>
      <c r="G143" s="29">
        <v>1.6</v>
      </c>
    </row>
    <row r="144" spans="2:7">
      <c r="B144" s="28">
        <v>45429</v>
      </c>
      <c r="C144" s="29">
        <v>0.37</v>
      </c>
      <c r="D144" s="29">
        <v>0.45</v>
      </c>
      <c r="E144" s="29">
        <v>0.98</v>
      </c>
      <c r="F144" s="29">
        <v>1.02</v>
      </c>
      <c r="G144" s="29">
        <v>1.9</v>
      </c>
    </row>
    <row r="145" spans="2:7">
      <c r="B145" s="28">
        <v>45430</v>
      </c>
      <c r="C145" s="29">
        <v>0.4</v>
      </c>
      <c r="D145" s="29">
        <v>0.45</v>
      </c>
      <c r="E145" s="29">
        <v>0.79</v>
      </c>
      <c r="F145" s="29">
        <v>1.19</v>
      </c>
      <c r="G145" s="29">
        <v>1.67</v>
      </c>
    </row>
    <row r="146" spans="2:7">
      <c r="B146" s="28">
        <v>45431</v>
      </c>
      <c r="C146" s="29">
        <v>0.22</v>
      </c>
      <c r="D146" s="29">
        <v>0.43</v>
      </c>
      <c r="E146" s="29">
        <v>0.99</v>
      </c>
      <c r="F146" s="29">
        <v>1.1100000000000001</v>
      </c>
      <c r="G146" s="29">
        <v>1.88</v>
      </c>
    </row>
    <row r="147" spans="2:7">
      <c r="B147" s="28">
        <v>45432</v>
      </c>
      <c r="C147" s="29">
        <v>0.16</v>
      </c>
      <c r="D147" s="29">
        <v>0.42</v>
      </c>
      <c r="E147" s="29">
        <v>1</v>
      </c>
      <c r="F147" s="29">
        <v>1.25</v>
      </c>
      <c r="G147" s="29">
        <v>1.45</v>
      </c>
    </row>
    <row r="148" spans="2:7">
      <c r="B148" s="28">
        <v>45433</v>
      </c>
      <c r="C148" s="29">
        <v>0.35</v>
      </c>
      <c r="D148" s="29">
        <v>0.49</v>
      </c>
      <c r="E148" s="29">
        <v>0.8</v>
      </c>
      <c r="F148" s="29">
        <v>1.1100000000000001</v>
      </c>
      <c r="G148" s="29">
        <v>1.3</v>
      </c>
    </row>
    <row r="149" spans="2:7">
      <c r="B149" s="28">
        <v>45434</v>
      </c>
      <c r="C149" s="29">
        <v>0.16</v>
      </c>
      <c r="D149" s="29">
        <v>0.5</v>
      </c>
      <c r="E149" s="29">
        <v>0.78</v>
      </c>
      <c r="F149" s="29">
        <v>1.25</v>
      </c>
      <c r="G149" s="29">
        <v>1.57</v>
      </c>
    </row>
    <row r="150" spans="2:7">
      <c r="B150" s="28">
        <v>45435</v>
      </c>
      <c r="C150" s="29">
        <v>0.31</v>
      </c>
      <c r="D150" s="29">
        <v>0.42</v>
      </c>
      <c r="E150" s="29">
        <v>0.76</v>
      </c>
      <c r="F150" s="29">
        <v>1</v>
      </c>
      <c r="G150" s="29">
        <v>1.94</v>
      </c>
    </row>
    <row r="151" spans="2:7">
      <c r="B151" s="28">
        <v>45436</v>
      </c>
      <c r="C151" s="29">
        <v>0.38</v>
      </c>
      <c r="D151" s="29">
        <v>0.45</v>
      </c>
      <c r="E151" s="29">
        <v>0.92</v>
      </c>
      <c r="F151" s="29">
        <v>1.03</v>
      </c>
      <c r="G151" s="29">
        <v>1.94</v>
      </c>
    </row>
    <row r="152" spans="2:7">
      <c r="B152" s="28">
        <v>45437</v>
      </c>
      <c r="C152" s="29">
        <v>0.12</v>
      </c>
      <c r="D152" s="29">
        <v>0.42</v>
      </c>
      <c r="E152" s="29">
        <v>0.95</v>
      </c>
      <c r="F152" s="29">
        <v>1.1000000000000001</v>
      </c>
      <c r="G152" s="29">
        <v>1.85</v>
      </c>
    </row>
    <row r="153" spans="2:7">
      <c r="B153" s="28">
        <v>45438</v>
      </c>
      <c r="C153" s="29">
        <v>0.08</v>
      </c>
      <c r="D153" s="29">
        <v>0.4</v>
      </c>
      <c r="E153" s="29">
        <v>0.95</v>
      </c>
      <c r="F153" s="29">
        <v>1.1299999999999999</v>
      </c>
      <c r="G153" s="29">
        <v>1.53</v>
      </c>
    </row>
    <row r="154" spans="2:7">
      <c r="B154" s="28">
        <v>45439</v>
      </c>
      <c r="C154" s="29">
        <v>0.16</v>
      </c>
      <c r="D154" s="29">
        <v>0.46</v>
      </c>
      <c r="E154" s="29">
        <v>0.94</v>
      </c>
      <c r="F154" s="29">
        <v>1.24</v>
      </c>
      <c r="G154" s="29">
        <v>1.78</v>
      </c>
    </row>
    <row r="155" spans="2:7">
      <c r="B155" s="28">
        <v>45440</v>
      </c>
      <c r="C155" s="29">
        <v>0.17</v>
      </c>
      <c r="D155" s="29">
        <v>0.44</v>
      </c>
      <c r="E155" s="29">
        <v>1</v>
      </c>
      <c r="F155" s="29">
        <v>1.24</v>
      </c>
      <c r="G155" s="29">
        <v>1.36</v>
      </c>
    </row>
    <row r="156" spans="2:7">
      <c r="B156" s="28">
        <v>45441</v>
      </c>
      <c r="C156" s="29">
        <v>0.03</v>
      </c>
      <c r="D156" s="29">
        <v>0.49</v>
      </c>
      <c r="E156" s="29">
        <v>0.88</v>
      </c>
      <c r="F156" s="29">
        <v>1.05</v>
      </c>
      <c r="G156" s="29">
        <v>1.53</v>
      </c>
    </row>
    <row r="157" spans="2:7">
      <c r="B157" s="28">
        <v>45442</v>
      </c>
      <c r="C157" s="29">
        <v>0.26</v>
      </c>
      <c r="D157" s="29">
        <v>0.43</v>
      </c>
      <c r="E157" s="29">
        <v>0.89</v>
      </c>
      <c r="F157" s="29">
        <v>1</v>
      </c>
      <c r="G157" s="29">
        <v>1.82</v>
      </c>
    </row>
    <row r="158" spans="2:7">
      <c r="B158" s="28">
        <v>45443</v>
      </c>
      <c r="C158" s="29">
        <v>0.24</v>
      </c>
      <c r="D158" s="29">
        <v>0.45</v>
      </c>
      <c r="E158" s="29">
        <v>0.89</v>
      </c>
      <c r="F158" s="29">
        <v>1.2</v>
      </c>
      <c r="G158" s="29">
        <v>1.67</v>
      </c>
    </row>
    <row r="159" spans="2:7">
      <c r="B159" s="28">
        <v>45444</v>
      </c>
      <c r="C159" s="29">
        <v>0.08</v>
      </c>
      <c r="D159" s="29">
        <v>0.45</v>
      </c>
      <c r="E159" s="29">
        <v>0.98</v>
      </c>
      <c r="F159" s="29">
        <v>1.1200000000000001</v>
      </c>
      <c r="G159" s="29">
        <v>1.45</v>
      </c>
    </row>
    <row r="160" spans="2:7">
      <c r="B160" s="28">
        <v>45445</v>
      </c>
      <c r="C160" s="29">
        <v>0.37</v>
      </c>
      <c r="D160" s="29">
        <v>0.5</v>
      </c>
      <c r="E160" s="29">
        <v>0.99</v>
      </c>
      <c r="F160" s="29">
        <v>1.24</v>
      </c>
      <c r="G160" s="29">
        <v>1.89</v>
      </c>
    </row>
    <row r="161" spans="2:7">
      <c r="B161" s="28">
        <v>45446</v>
      </c>
      <c r="C161" s="29">
        <v>0.02</v>
      </c>
      <c r="D161" s="29">
        <v>0.46</v>
      </c>
      <c r="E161" s="29">
        <v>0.92</v>
      </c>
      <c r="F161" s="29">
        <v>1</v>
      </c>
      <c r="G161" s="29">
        <v>1.66</v>
      </c>
    </row>
    <row r="162" spans="2:7">
      <c r="B162" s="28">
        <v>45447</v>
      </c>
      <c r="C162" s="29">
        <v>0.39</v>
      </c>
      <c r="D162" s="29">
        <v>0.43</v>
      </c>
      <c r="E162" s="29">
        <v>0.83</v>
      </c>
      <c r="F162" s="29">
        <v>1.05</v>
      </c>
      <c r="G162" s="29">
        <v>1.29</v>
      </c>
    </row>
    <row r="163" spans="2:7">
      <c r="B163" s="28">
        <v>45448</v>
      </c>
      <c r="C163" s="29">
        <v>0.3</v>
      </c>
      <c r="D163" s="29">
        <v>0.49</v>
      </c>
      <c r="E163" s="29">
        <v>0.89</v>
      </c>
      <c r="F163" s="29">
        <v>1.23</v>
      </c>
      <c r="G163" s="29">
        <v>1.85</v>
      </c>
    </row>
    <row r="164" spans="2:7">
      <c r="B164" s="28">
        <v>45449</v>
      </c>
      <c r="C164" s="29">
        <v>0.26</v>
      </c>
      <c r="D164" s="29">
        <v>0.41</v>
      </c>
      <c r="E164" s="29">
        <v>0.97</v>
      </c>
      <c r="F164" s="29">
        <v>1.17</v>
      </c>
      <c r="G164" s="29">
        <v>1.91</v>
      </c>
    </row>
    <row r="165" spans="2:7">
      <c r="B165" s="28">
        <v>45450</v>
      </c>
      <c r="C165" s="29">
        <v>0.09</v>
      </c>
      <c r="D165" s="29">
        <v>0.5</v>
      </c>
      <c r="E165" s="29">
        <v>0.87</v>
      </c>
      <c r="F165" s="29">
        <v>1.19</v>
      </c>
      <c r="G165" s="29">
        <v>1.89</v>
      </c>
    </row>
    <row r="166" spans="2:7">
      <c r="B166" s="28">
        <v>45451</v>
      </c>
      <c r="C166" s="29">
        <v>0.31</v>
      </c>
      <c r="D166" s="29">
        <v>0.42</v>
      </c>
      <c r="E166" s="29">
        <v>0.77</v>
      </c>
      <c r="F166" s="29">
        <v>1.1100000000000001</v>
      </c>
      <c r="G166" s="29">
        <v>1.67</v>
      </c>
    </row>
    <row r="167" spans="2:7">
      <c r="B167" s="28">
        <v>45452</v>
      </c>
      <c r="C167" s="29">
        <v>0.01</v>
      </c>
      <c r="D167" s="29">
        <v>0.49</v>
      </c>
      <c r="E167" s="29">
        <v>0.94</v>
      </c>
      <c r="F167" s="29">
        <v>1.1499999999999999</v>
      </c>
      <c r="G167" s="29">
        <v>1.48</v>
      </c>
    </row>
    <row r="168" spans="2:7">
      <c r="B168" s="28">
        <v>45453</v>
      </c>
      <c r="C168" s="29">
        <v>0.18</v>
      </c>
      <c r="D168" s="29">
        <v>0.45</v>
      </c>
      <c r="E168" s="29">
        <v>0.98</v>
      </c>
      <c r="F168" s="29">
        <v>1.06</v>
      </c>
      <c r="G168" s="29">
        <v>1.3</v>
      </c>
    </row>
    <row r="169" spans="2:7">
      <c r="B169" s="28">
        <v>45454</v>
      </c>
      <c r="C169" s="29">
        <v>0.39</v>
      </c>
      <c r="D169" s="29">
        <v>0.5</v>
      </c>
      <c r="E169" s="29">
        <v>0.89</v>
      </c>
      <c r="F169" s="29">
        <v>1.1499999999999999</v>
      </c>
      <c r="G169" s="29">
        <v>1.48</v>
      </c>
    </row>
    <row r="170" spans="2:7">
      <c r="B170" s="28">
        <v>45455</v>
      </c>
      <c r="C170" s="29">
        <v>0.34</v>
      </c>
      <c r="D170" s="29">
        <v>0.4</v>
      </c>
      <c r="E170" s="29">
        <v>0.81</v>
      </c>
      <c r="F170" s="29">
        <v>1.05</v>
      </c>
      <c r="G170" s="29">
        <v>1.5</v>
      </c>
    </row>
    <row r="171" spans="2:7">
      <c r="B171" s="28">
        <v>45456</v>
      </c>
      <c r="C171" s="29">
        <v>0.16</v>
      </c>
      <c r="D171" s="29">
        <v>0.43</v>
      </c>
      <c r="E171" s="29">
        <v>0.99</v>
      </c>
      <c r="F171" s="29">
        <v>1.18</v>
      </c>
      <c r="G171" s="29">
        <v>1.71</v>
      </c>
    </row>
    <row r="172" spans="2:7">
      <c r="B172" s="28">
        <v>45457</v>
      </c>
      <c r="C172" s="29">
        <v>0.19</v>
      </c>
      <c r="D172" s="29">
        <v>0.41</v>
      </c>
      <c r="E172" s="29">
        <v>0.92</v>
      </c>
      <c r="F172" s="29">
        <v>1</v>
      </c>
      <c r="G172" s="29">
        <v>1.28</v>
      </c>
    </row>
    <row r="173" spans="2:7">
      <c r="B173" s="28">
        <v>45458</v>
      </c>
      <c r="C173" s="29">
        <v>0.18</v>
      </c>
      <c r="D173" s="29">
        <v>0.49</v>
      </c>
      <c r="E173" s="29">
        <v>0.89</v>
      </c>
      <c r="F173" s="29">
        <v>1.05</v>
      </c>
      <c r="G173" s="29">
        <v>1.7</v>
      </c>
    </row>
    <row r="174" spans="2:7">
      <c r="B174" s="28">
        <v>45459</v>
      </c>
      <c r="C174" s="29">
        <v>0.19</v>
      </c>
      <c r="D174" s="29">
        <v>0.45</v>
      </c>
      <c r="E174" s="29">
        <v>0.9</v>
      </c>
      <c r="F174" s="29">
        <v>1.1499999999999999</v>
      </c>
      <c r="G174" s="29">
        <v>2</v>
      </c>
    </row>
    <row r="175" spans="2:7">
      <c r="B175" s="28">
        <v>45460</v>
      </c>
      <c r="C175" s="29">
        <v>0.37</v>
      </c>
      <c r="D175" s="29">
        <v>0.47</v>
      </c>
      <c r="E175" s="29">
        <v>0.77</v>
      </c>
      <c r="F175" s="29">
        <v>1.1100000000000001</v>
      </c>
      <c r="G175" s="29">
        <v>1.67</v>
      </c>
    </row>
    <row r="176" spans="2:7">
      <c r="B176" s="28">
        <v>45461</v>
      </c>
      <c r="C176" s="29">
        <v>0.18</v>
      </c>
      <c r="D176" s="29">
        <v>0.49</v>
      </c>
      <c r="E176" s="29">
        <v>0.76</v>
      </c>
      <c r="F176" s="29">
        <v>1.25</v>
      </c>
      <c r="G176" s="29">
        <v>1.31</v>
      </c>
    </row>
    <row r="177" spans="2:7">
      <c r="B177" s="28">
        <v>45462</v>
      </c>
      <c r="C177" s="29">
        <v>0.33</v>
      </c>
      <c r="D177" s="29">
        <v>0.43</v>
      </c>
      <c r="E177" s="29">
        <v>1</v>
      </c>
      <c r="F177" s="29">
        <v>1.1299999999999999</v>
      </c>
      <c r="G177" s="29">
        <v>1.92</v>
      </c>
    </row>
    <row r="178" spans="2:7">
      <c r="B178" s="28">
        <v>45463</v>
      </c>
      <c r="C178" s="29">
        <v>0.2</v>
      </c>
      <c r="D178" s="29">
        <v>0.44</v>
      </c>
      <c r="E178" s="29">
        <v>0.84</v>
      </c>
      <c r="F178" s="29">
        <v>1.1000000000000001</v>
      </c>
      <c r="G178" s="29">
        <v>1.33</v>
      </c>
    </row>
    <row r="179" spans="2:7">
      <c r="B179" s="28">
        <v>45464</v>
      </c>
      <c r="C179" s="29">
        <v>0.36</v>
      </c>
      <c r="D179" s="29">
        <v>0.45</v>
      </c>
      <c r="E179" s="29">
        <v>0.93</v>
      </c>
      <c r="F179" s="29">
        <v>1.2</v>
      </c>
      <c r="G179" s="29">
        <v>1.69</v>
      </c>
    </row>
    <row r="180" spans="2:7">
      <c r="B180" s="28">
        <v>45465</v>
      </c>
      <c r="C180" s="29">
        <v>0.36</v>
      </c>
      <c r="D180" s="29">
        <v>0.42</v>
      </c>
      <c r="E180" s="29">
        <v>0.79</v>
      </c>
      <c r="F180" s="29">
        <v>1.2</v>
      </c>
      <c r="G180" s="29">
        <v>1.5</v>
      </c>
    </row>
    <row r="181" spans="2:7">
      <c r="B181" s="28">
        <v>45466</v>
      </c>
      <c r="C181" s="29">
        <v>0.32</v>
      </c>
      <c r="D181" s="29">
        <v>0.47</v>
      </c>
      <c r="E181" s="29">
        <v>0.9</v>
      </c>
      <c r="F181" s="29">
        <v>1.08</v>
      </c>
      <c r="G181" s="29">
        <v>1.74</v>
      </c>
    </row>
    <row r="182" spans="2:7">
      <c r="B182" s="28">
        <v>45467</v>
      </c>
      <c r="C182" s="29">
        <v>0.16</v>
      </c>
      <c r="D182" s="29">
        <v>0.4</v>
      </c>
      <c r="E182" s="29">
        <v>0.87</v>
      </c>
      <c r="F182" s="29">
        <v>1.0900000000000001</v>
      </c>
      <c r="G182" s="29">
        <v>1.29</v>
      </c>
    </row>
    <row r="183" spans="2:7">
      <c r="B183" s="28">
        <v>45468</v>
      </c>
      <c r="C183" s="29">
        <v>0.17</v>
      </c>
      <c r="D183" s="29">
        <v>0.4</v>
      </c>
      <c r="E183" s="29">
        <v>0.98</v>
      </c>
      <c r="F183" s="29">
        <v>1</v>
      </c>
      <c r="G183" s="29">
        <v>1.58</v>
      </c>
    </row>
    <row r="184" spans="2:7">
      <c r="B184" s="28">
        <v>45469</v>
      </c>
      <c r="C184" s="29">
        <v>0.01</v>
      </c>
      <c r="D184" s="29">
        <v>0.48</v>
      </c>
      <c r="E184" s="29">
        <v>0.97</v>
      </c>
      <c r="F184" s="29">
        <v>1.24</v>
      </c>
      <c r="G184" s="29">
        <v>1.84</v>
      </c>
    </row>
    <row r="185" spans="2:7">
      <c r="B185" s="28">
        <v>45470</v>
      </c>
      <c r="C185" s="29">
        <v>0.13</v>
      </c>
      <c r="D185" s="29">
        <v>0.44</v>
      </c>
      <c r="E185" s="29">
        <v>0.98</v>
      </c>
      <c r="F185" s="29">
        <v>1.1000000000000001</v>
      </c>
      <c r="G185" s="29">
        <v>1.6</v>
      </c>
    </row>
    <row r="186" spans="2:7">
      <c r="B186" s="28">
        <v>45471</v>
      </c>
      <c r="C186" s="29">
        <v>0.15</v>
      </c>
      <c r="D186" s="29">
        <v>0.46</v>
      </c>
      <c r="E186" s="29">
        <v>0.93</v>
      </c>
      <c r="F186" s="29">
        <v>1.17</v>
      </c>
      <c r="G186" s="29">
        <v>1.56</v>
      </c>
    </row>
    <row r="187" spans="2:7">
      <c r="B187" s="28">
        <v>45472</v>
      </c>
      <c r="C187" s="29">
        <v>0.24</v>
      </c>
      <c r="D187" s="29">
        <v>0.49</v>
      </c>
      <c r="E187" s="29">
        <v>0.98</v>
      </c>
      <c r="F187" s="29">
        <v>1.03</v>
      </c>
      <c r="G187" s="29">
        <v>1.63</v>
      </c>
    </row>
    <row r="188" spans="2:7">
      <c r="B188" s="28">
        <v>45473</v>
      </c>
      <c r="C188" s="29">
        <v>0.03</v>
      </c>
      <c r="D188" s="29">
        <v>0.41</v>
      </c>
      <c r="E188" s="29">
        <v>0.91</v>
      </c>
      <c r="F188" s="29">
        <v>1.1499999999999999</v>
      </c>
      <c r="G188" s="29">
        <v>1.71</v>
      </c>
    </row>
    <row r="189" spans="2:7">
      <c r="B189" s="28">
        <v>45474</v>
      </c>
      <c r="C189" s="29">
        <v>0.26</v>
      </c>
      <c r="D189" s="29">
        <v>0.42</v>
      </c>
      <c r="E189" s="29">
        <v>0.84</v>
      </c>
      <c r="F189" s="29">
        <v>1.08</v>
      </c>
      <c r="G189" s="29">
        <v>1.47</v>
      </c>
    </row>
    <row r="190" spans="2:7">
      <c r="B190" s="28">
        <v>45475</v>
      </c>
      <c r="C190" s="29">
        <v>0.03</v>
      </c>
      <c r="D190" s="29">
        <v>0.45</v>
      </c>
      <c r="E190" s="29">
        <v>0.9</v>
      </c>
      <c r="F190" s="29">
        <v>1.05</v>
      </c>
      <c r="G190" s="29">
        <v>1.96</v>
      </c>
    </row>
    <row r="191" spans="2:7">
      <c r="B191" s="28">
        <v>45476</v>
      </c>
      <c r="C191" s="29">
        <v>0.22</v>
      </c>
      <c r="D191" s="29">
        <v>0.49</v>
      </c>
      <c r="E191" s="29">
        <v>0.96</v>
      </c>
      <c r="F191" s="29">
        <v>1.18</v>
      </c>
      <c r="G191" s="29">
        <v>1.95</v>
      </c>
    </row>
    <row r="192" spans="2:7">
      <c r="B192" s="28">
        <v>45477</v>
      </c>
      <c r="C192" s="29">
        <v>0.37</v>
      </c>
      <c r="D192" s="29">
        <v>0.41</v>
      </c>
      <c r="E192" s="29">
        <v>0.99</v>
      </c>
      <c r="F192" s="29">
        <v>1.0900000000000001</v>
      </c>
      <c r="G192" s="29">
        <v>1.87</v>
      </c>
    </row>
    <row r="193" spans="2:7">
      <c r="B193" s="28">
        <v>45478</v>
      </c>
      <c r="C193" s="29">
        <v>0.06</v>
      </c>
      <c r="D193" s="29">
        <v>0.44</v>
      </c>
      <c r="E193" s="29">
        <v>0.93</v>
      </c>
      <c r="F193" s="29">
        <v>1.05</v>
      </c>
      <c r="G193" s="29">
        <v>1.86</v>
      </c>
    </row>
    <row r="194" spans="2:7">
      <c r="B194" s="28">
        <v>45479</v>
      </c>
      <c r="C194" s="29">
        <v>0.09</v>
      </c>
      <c r="D194" s="29">
        <v>0.5</v>
      </c>
      <c r="E194" s="29">
        <v>0.78</v>
      </c>
      <c r="F194" s="29">
        <v>1.1399999999999999</v>
      </c>
      <c r="G194" s="29">
        <v>1.81</v>
      </c>
    </row>
    <row r="195" spans="2:7">
      <c r="B195" s="28">
        <v>45480</v>
      </c>
      <c r="C195" s="29">
        <v>0.06</v>
      </c>
      <c r="D195" s="29">
        <v>0.46</v>
      </c>
      <c r="E195" s="29">
        <v>0.96</v>
      </c>
      <c r="F195" s="29">
        <v>1.23</v>
      </c>
      <c r="G195" s="29">
        <v>1.37</v>
      </c>
    </row>
    <row r="196" spans="2:7">
      <c r="B196" s="28">
        <v>45481</v>
      </c>
      <c r="C196" s="29">
        <v>0.3</v>
      </c>
      <c r="D196" s="29">
        <v>0.45</v>
      </c>
      <c r="E196" s="29">
        <v>0.94</v>
      </c>
      <c r="F196" s="29">
        <v>1.1399999999999999</v>
      </c>
      <c r="G196" s="29">
        <v>1.68</v>
      </c>
    </row>
    <row r="197" spans="2:7">
      <c r="B197" s="28">
        <v>45482</v>
      </c>
      <c r="C197" s="29">
        <v>0.26</v>
      </c>
      <c r="D197" s="29">
        <v>0.48</v>
      </c>
      <c r="E197" s="29">
        <v>0.96</v>
      </c>
      <c r="F197" s="29">
        <v>1.07</v>
      </c>
      <c r="G197" s="29">
        <v>1.62</v>
      </c>
    </row>
    <row r="198" spans="2:7">
      <c r="B198" s="28">
        <v>45483</v>
      </c>
      <c r="C198" s="29">
        <v>0.23</v>
      </c>
      <c r="D198" s="29">
        <v>0.44</v>
      </c>
      <c r="E198" s="29">
        <v>0.96</v>
      </c>
      <c r="F198" s="29">
        <v>1.1599999999999999</v>
      </c>
      <c r="G198" s="29">
        <v>1.31</v>
      </c>
    </row>
    <row r="199" spans="2:7">
      <c r="B199" s="28">
        <v>45484</v>
      </c>
      <c r="C199" s="29">
        <v>0.24</v>
      </c>
      <c r="D199" s="29">
        <v>0.4</v>
      </c>
      <c r="E199" s="29">
        <v>0.75</v>
      </c>
      <c r="F199" s="29">
        <v>1.02</v>
      </c>
      <c r="G199" s="29">
        <v>1.73</v>
      </c>
    </row>
    <row r="200" spans="2:7">
      <c r="B200" s="28">
        <v>45485</v>
      </c>
      <c r="C200" s="29">
        <v>0.23</v>
      </c>
      <c r="D200" s="29">
        <v>0.44</v>
      </c>
      <c r="E200" s="29">
        <v>1</v>
      </c>
      <c r="F200" s="29">
        <v>1.04</v>
      </c>
      <c r="G200" s="29">
        <v>1.4</v>
      </c>
    </row>
    <row r="201" spans="2:7">
      <c r="B201" s="28">
        <v>45486</v>
      </c>
      <c r="C201" s="29">
        <v>0.16</v>
      </c>
      <c r="D201" s="29">
        <v>0.42</v>
      </c>
      <c r="E201" s="29">
        <v>0.92</v>
      </c>
      <c r="F201" s="29">
        <v>1.24</v>
      </c>
      <c r="G201" s="29">
        <v>1.54</v>
      </c>
    </row>
    <row r="202" spans="2:7">
      <c r="B202" s="28">
        <v>45487</v>
      </c>
      <c r="C202" s="29">
        <v>0.04</v>
      </c>
      <c r="D202" s="29">
        <v>0.46</v>
      </c>
      <c r="E202" s="29">
        <v>0.89</v>
      </c>
      <c r="F202" s="29">
        <v>1.2</v>
      </c>
      <c r="G202" s="29">
        <v>1.6</v>
      </c>
    </row>
    <row r="203" spans="2:7">
      <c r="B203" s="28">
        <v>45488</v>
      </c>
      <c r="C203" s="29">
        <v>0.2</v>
      </c>
      <c r="D203" s="29">
        <v>0.5</v>
      </c>
      <c r="E203" s="29">
        <v>0.77</v>
      </c>
      <c r="F203" s="29">
        <v>1.19</v>
      </c>
      <c r="G203" s="29">
        <v>1.4</v>
      </c>
    </row>
    <row r="204" spans="2:7">
      <c r="B204" s="28">
        <v>45489</v>
      </c>
      <c r="C204" s="29">
        <v>0.34</v>
      </c>
      <c r="D204" s="29">
        <v>0.47</v>
      </c>
      <c r="E204" s="29">
        <v>0.88</v>
      </c>
      <c r="F204" s="29">
        <v>1.1499999999999999</v>
      </c>
      <c r="G204" s="29">
        <v>1.87</v>
      </c>
    </row>
    <row r="205" spans="2:7">
      <c r="B205" s="28">
        <v>45490</v>
      </c>
      <c r="C205" s="29">
        <v>0.23</v>
      </c>
      <c r="D205" s="29">
        <v>0.45</v>
      </c>
      <c r="E205" s="29">
        <v>0.94</v>
      </c>
      <c r="F205" s="29">
        <v>1</v>
      </c>
      <c r="G205" s="29">
        <v>1.32</v>
      </c>
    </row>
    <row r="206" spans="2:7">
      <c r="B206" s="28">
        <v>45491</v>
      </c>
      <c r="C206" s="29">
        <v>0.37</v>
      </c>
      <c r="D206" s="29">
        <v>0.41</v>
      </c>
      <c r="E206" s="29">
        <v>0.88</v>
      </c>
      <c r="F206" s="29">
        <v>1.04</v>
      </c>
      <c r="G206" s="29">
        <v>1.43</v>
      </c>
    </row>
    <row r="207" spans="2:7">
      <c r="B207" s="28">
        <v>45492</v>
      </c>
      <c r="C207" s="29">
        <v>0.21</v>
      </c>
      <c r="D207" s="29">
        <v>0.46</v>
      </c>
      <c r="E207" s="29">
        <v>0.82</v>
      </c>
      <c r="F207" s="29">
        <v>1.05</v>
      </c>
      <c r="G207" s="29">
        <v>1.7</v>
      </c>
    </row>
    <row r="208" spans="2:7">
      <c r="B208" s="28">
        <v>45493</v>
      </c>
      <c r="C208" s="29">
        <v>0.06</v>
      </c>
      <c r="D208" s="29">
        <v>0.47</v>
      </c>
      <c r="E208" s="29">
        <v>0.81</v>
      </c>
      <c r="F208" s="29">
        <v>1.24</v>
      </c>
      <c r="G208" s="29">
        <v>1.61</v>
      </c>
    </row>
    <row r="209" spans="2:7">
      <c r="B209" s="28">
        <v>45494</v>
      </c>
      <c r="C209" s="29">
        <v>0.06</v>
      </c>
      <c r="D209" s="29">
        <v>0.46</v>
      </c>
      <c r="E209" s="29">
        <v>0.8</v>
      </c>
      <c r="F209" s="29">
        <v>1.19</v>
      </c>
      <c r="G209" s="29">
        <v>1.88</v>
      </c>
    </row>
    <row r="210" spans="2:7">
      <c r="B210" s="28">
        <v>45495</v>
      </c>
      <c r="C210" s="29">
        <v>0.12</v>
      </c>
      <c r="D210" s="29">
        <v>0.45</v>
      </c>
      <c r="E210" s="29">
        <v>0.75</v>
      </c>
      <c r="F210" s="29">
        <v>1.03</v>
      </c>
      <c r="G210" s="29">
        <v>1.92</v>
      </c>
    </row>
    <row r="211" spans="2:7">
      <c r="B211" s="28">
        <v>45496</v>
      </c>
      <c r="C211" s="29">
        <v>0.04</v>
      </c>
      <c r="D211" s="29">
        <v>0.49</v>
      </c>
      <c r="E211" s="29">
        <v>0.75</v>
      </c>
      <c r="F211" s="29">
        <v>1.18</v>
      </c>
      <c r="G211" s="29">
        <v>1.28</v>
      </c>
    </row>
    <row r="212" spans="2:7">
      <c r="B212" s="28">
        <v>45497</v>
      </c>
      <c r="C212" s="29">
        <v>0.28000000000000003</v>
      </c>
      <c r="D212" s="29">
        <v>0.44</v>
      </c>
      <c r="E212" s="29">
        <v>0.81</v>
      </c>
      <c r="F212" s="29">
        <v>1.1000000000000001</v>
      </c>
      <c r="G212" s="29">
        <v>1.38</v>
      </c>
    </row>
    <row r="213" spans="2:7">
      <c r="B213" s="28">
        <v>45498</v>
      </c>
      <c r="C213" s="29">
        <v>0.13</v>
      </c>
      <c r="D213" s="29">
        <v>0.48</v>
      </c>
      <c r="E213" s="29">
        <v>0.97</v>
      </c>
      <c r="F213" s="29">
        <v>1.07</v>
      </c>
      <c r="G213" s="29">
        <v>1.63</v>
      </c>
    </row>
    <row r="214" spans="2:7">
      <c r="B214" s="28">
        <v>45499</v>
      </c>
      <c r="C214" s="29">
        <v>0.15</v>
      </c>
      <c r="D214" s="29">
        <v>0.5</v>
      </c>
      <c r="E214" s="29">
        <v>0.79</v>
      </c>
      <c r="F214" s="29">
        <v>1</v>
      </c>
      <c r="G214" s="29">
        <v>1.71</v>
      </c>
    </row>
    <row r="215" spans="2:7">
      <c r="B215" s="28">
        <v>45500</v>
      </c>
      <c r="C215" s="29">
        <v>0.3</v>
      </c>
      <c r="D215" s="29">
        <v>0.41</v>
      </c>
      <c r="E215" s="29">
        <v>0.77</v>
      </c>
      <c r="F215" s="29">
        <v>1.04</v>
      </c>
      <c r="G215" s="29">
        <v>1.29</v>
      </c>
    </row>
    <row r="216" spans="2:7">
      <c r="B216" s="28">
        <v>45501</v>
      </c>
      <c r="C216" s="29">
        <v>0.2</v>
      </c>
      <c r="D216" s="29">
        <v>0.44</v>
      </c>
      <c r="E216" s="29">
        <v>1</v>
      </c>
      <c r="F216" s="29">
        <v>1.01</v>
      </c>
      <c r="G216" s="29">
        <v>1.27</v>
      </c>
    </row>
    <row r="217" spans="2:7">
      <c r="B217" s="28">
        <v>45502</v>
      </c>
      <c r="C217" s="29">
        <v>0.15</v>
      </c>
      <c r="D217" s="29">
        <v>0.4</v>
      </c>
      <c r="E217" s="29">
        <v>0.76</v>
      </c>
      <c r="F217" s="29">
        <v>1.19</v>
      </c>
      <c r="G217" s="29">
        <v>1.26</v>
      </c>
    </row>
    <row r="218" spans="2:7">
      <c r="B218" s="28">
        <v>45503</v>
      </c>
      <c r="C218" s="29">
        <v>0.08</v>
      </c>
      <c r="D218" s="29">
        <v>0.45</v>
      </c>
      <c r="E218" s="29">
        <v>0.87</v>
      </c>
      <c r="F218" s="29">
        <v>1.02</v>
      </c>
      <c r="G218" s="29">
        <v>1.44</v>
      </c>
    </row>
    <row r="219" spans="2:7">
      <c r="B219" s="28">
        <v>45504</v>
      </c>
      <c r="C219" s="29">
        <v>0.11</v>
      </c>
      <c r="D219" s="29">
        <v>0.46</v>
      </c>
      <c r="E219" s="29">
        <v>0.98</v>
      </c>
      <c r="F219" s="29">
        <v>1</v>
      </c>
      <c r="G219" s="29">
        <v>1.62</v>
      </c>
    </row>
    <row r="220" spans="2:7">
      <c r="B220" s="28">
        <v>45505</v>
      </c>
      <c r="C220" s="29">
        <v>0.26</v>
      </c>
      <c r="D220" s="29">
        <v>0.43</v>
      </c>
      <c r="E220" s="29">
        <v>0.86</v>
      </c>
      <c r="F220" s="29">
        <v>1.02</v>
      </c>
      <c r="G220" s="29">
        <v>1.46</v>
      </c>
    </row>
    <row r="221" spans="2:7">
      <c r="B221" s="28">
        <v>45506</v>
      </c>
      <c r="C221" s="29">
        <v>0.36</v>
      </c>
      <c r="D221" s="29">
        <v>0.46</v>
      </c>
      <c r="E221" s="29">
        <v>0.87</v>
      </c>
      <c r="F221" s="29">
        <v>1.2</v>
      </c>
      <c r="G221" s="29">
        <v>1.85</v>
      </c>
    </row>
    <row r="222" spans="2:7">
      <c r="B222" s="28">
        <v>45507</v>
      </c>
      <c r="C222" s="29">
        <v>0.32</v>
      </c>
      <c r="D222" s="29">
        <v>0.46</v>
      </c>
      <c r="E222" s="29">
        <v>0.96</v>
      </c>
      <c r="F222" s="29">
        <v>1.23</v>
      </c>
      <c r="G222" s="29">
        <v>1.29</v>
      </c>
    </row>
    <row r="223" spans="2:7">
      <c r="B223" s="28">
        <v>45508</v>
      </c>
      <c r="C223" s="29">
        <v>0.05</v>
      </c>
      <c r="D223" s="29">
        <v>0.5</v>
      </c>
      <c r="E223" s="29">
        <v>0.91</v>
      </c>
      <c r="F223" s="29">
        <v>1.1299999999999999</v>
      </c>
      <c r="G223" s="29">
        <v>1.88</v>
      </c>
    </row>
    <row r="224" spans="2:7">
      <c r="B224" s="28">
        <v>45509</v>
      </c>
      <c r="C224" s="29">
        <v>0.04</v>
      </c>
      <c r="D224" s="29">
        <v>0.5</v>
      </c>
      <c r="E224" s="29">
        <v>0.82</v>
      </c>
      <c r="F224" s="29">
        <v>1.1200000000000001</v>
      </c>
      <c r="G224" s="29">
        <v>1.44</v>
      </c>
    </row>
    <row r="225" spans="2:7">
      <c r="B225" s="28">
        <v>45510</v>
      </c>
      <c r="C225" s="29">
        <v>0.28000000000000003</v>
      </c>
      <c r="D225" s="29">
        <v>0.4</v>
      </c>
      <c r="E225" s="29">
        <v>0.96</v>
      </c>
      <c r="F225" s="29">
        <v>1.08</v>
      </c>
      <c r="G225" s="29">
        <v>1.98</v>
      </c>
    </row>
    <row r="226" spans="2:7">
      <c r="B226" s="28">
        <v>45511</v>
      </c>
      <c r="C226" s="29">
        <v>0.1</v>
      </c>
      <c r="D226" s="29">
        <v>0.43</v>
      </c>
      <c r="E226" s="29">
        <v>0.8</v>
      </c>
      <c r="F226" s="29">
        <v>1.1599999999999999</v>
      </c>
      <c r="G226" s="29">
        <v>1.75</v>
      </c>
    </row>
    <row r="227" spans="2:7">
      <c r="B227" s="28">
        <v>45512</v>
      </c>
      <c r="C227" s="29">
        <v>0.14000000000000001</v>
      </c>
      <c r="D227" s="29">
        <v>0.46</v>
      </c>
      <c r="E227" s="29">
        <v>0.85</v>
      </c>
      <c r="F227" s="29">
        <v>1.1000000000000001</v>
      </c>
      <c r="G227" s="29">
        <v>1.94</v>
      </c>
    </row>
    <row r="228" spans="2:7">
      <c r="B228" s="28">
        <v>45513</v>
      </c>
      <c r="C228" s="29">
        <v>0.04</v>
      </c>
      <c r="D228" s="29">
        <v>0.5</v>
      </c>
      <c r="E228" s="29">
        <v>1</v>
      </c>
      <c r="F228" s="29">
        <v>1.21</v>
      </c>
      <c r="G228" s="29">
        <v>1.51</v>
      </c>
    </row>
    <row r="229" spans="2:7">
      <c r="B229" s="28">
        <v>45514</v>
      </c>
      <c r="C229" s="29">
        <v>7.0000000000000007E-2</v>
      </c>
      <c r="D229" s="29">
        <v>0.42</v>
      </c>
      <c r="E229" s="29">
        <v>0.77</v>
      </c>
      <c r="F229" s="29">
        <v>1.17</v>
      </c>
      <c r="G229" s="29">
        <v>1.31</v>
      </c>
    </row>
    <row r="230" spans="2:7">
      <c r="B230" s="28">
        <v>45515</v>
      </c>
      <c r="C230" s="29">
        <v>0.12</v>
      </c>
      <c r="D230" s="29">
        <v>0.47</v>
      </c>
      <c r="E230" s="29">
        <v>0.87</v>
      </c>
      <c r="F230" s="29">
        <v>1.1000000000000001</v>
      </c>
      <c r="G230" s="29">
        <v>1.84</v>
      </c>
    </row>
    <row r="231" spans="2:7">
      <c r="B231" s="28">
        <v>45516</v>
      </c>
      <c r="C231" s="29">
        <v>0.11</v>
      </c>
      <c r="D231" s="29">
        <v>0.49</v>
      </c>
      <c r="E231" s="29">
        <v>0.96</v>
      </c>
      <c r="F231" s="29">
        <v>1.07</v>
      </c>
      <c r="G231" s="29">
        <v>1.31</v>
      </c>
    </row>
    <row r="232" spans="2:7">
      <c r="B232" s="28">
        <v>45517</v>
      </c>
      <c r="C232" s="29">
        <v>0.03</v>
      </c>
      <c r="D232" s="29">
        <v>0.44</v>
      </c>
      <c r="E232" s="29">
        <v>0.78</v>
      </c>
      <c r="F232" s="29">
        <v>1.2</v>
      </c>
      <c r="G232" s="29">
        <v>1.84</v>
      </c>
    </row>
    <row r="233" spans="2:7">
      <c r="B233" s="28">
        <v>45518</v>
      </c>
      <c r="C233" s="29">
        <v>0.28000000000000003</v>
      </c>
      <c r="D233" s="29">
        <v>0.43</v>
      </c>
      <c r="E233" s="29">
        <v>1</v>
      </c>
      <c r="F233" s="29">
        <v>1.24</v>
      </c>
      <c r="G233" s="29">
        <v>1.6</v>
      </c>
    </row>
    <row r="234" spans="2:7">
      <c r="B234" s="28">
        <v>45519</v>
      </c>
      <c r="C234" s="29">
        <v>0.03</v>
      </c>
      <c r="D234" s="29">
        <v>0.4</v>
      </c>
      <c r="E234" s="29">
        <v>0.89</v>
      </c>
      <c r="F234" s="29">
        <v>1.06</v>
      </c>
      <c r="G234" s="29">
        <v>1.97</v>
      </c>
    </row>
    <row r="235" spans="2:7">
      <c r="B235" s="28">
        <v>45520</v>
      </c>
      <c r="C235" s="29">
        <v>0.12</v>
      </c>
      <c r="D235" s="29">
        <v>0.45</v>
      </c>
      <c r="E235" s="29">
        <v>0.98</v>
      </c>
      <c r="F235" s="29">
        <v>1.23</v>
      </c>
      <c r="G235" s="29">
        <v>1.63</v>
      </c>
    </row>
    <row r="236" spans="2:7">
      <c r="B236" s="28">
        <v>45521</v>
      </c>
      <c r="C236" s="29">
        <v>0.22</v>
      </c>
      <c r="D236" s="29">
        <v>0.4</v>
      </c>
      <c r="E236" s="29">
        <v>0.76</v>
      </c>
      <c r="F236" s="29">
        <v>1.21</v>
      </c>
      <c r="G236" s="29">
        <v>1.94</v>
      </c>
    </row>
    <row r="237" spans="2:7">
      <c r="B237" s="28">
        <v>45522</v>
      </c>
      <c r="C237" s="29">
        <v>0.06</v>
      </c>
      <c r="D237" s="29">
        <v>0.41</v>
      </c>
      <c r="E237" s="29">
        <v>0.97</v>
      </c>
      <c r="F237" s="29">
        <v>1.21</v>
      </c>
      <c r="G237" s="29">
        <v>1.63</v>
      </c>
    </row>
    <row r="238" spans="2:7">
      <c r="B238" s="28">
        <v>45523</v>
      </c>
      <c r="C238" s="29">
        <v>0.06</v>
      </c>
      <c r="D238" s="29">
        <v>0.43</v>
      </c>
      <c r="E238" s="29">
        <v>0.86</v>
      </c>
      <c r="F238" s="29">
        <v>1.02</v>
      </c>
      <c r="G238" s="29">
        <v>1.36</v>
      </c>
    </row>
    <row r="239" spans="2:7">
      <c r="B239" s="28">
        <v>45524</v>
      </c>
      <c r="C239" s="29">
        <v>0.03</v>
      </c>
      <c r="D239" s="29">
        <v>0.43</v>
      </c>
      <c r="E239" s="29">
        <v>0.75</v>
      </c>
      <c r="F239" s="29">
        <v>1</v>
      </c>
      <c r="G239" s="29">
        <v>1.31</v>
      </c>
    </row>
    <row r="240" spans="2:7">
      <c r="B240" s="28">
        <v>45525</v>
      </c>
      <c r="C240" s="29">
        <v>0.1</v>
      </c>
      <c r="D240" s="29">
        <v>0.43</v>
      </c>
      <c r="E240" s="29">
        <v>0.86</v>
      </c>
      <c r="F240" s="29">
        <v>1.1299999999999999</v>
      </c>
      <c r="G240" s="29">
        <v>1.92</v>
      </c>
    </row>
    <row r="241" spans="2:7">
      <c r="B241" s="28">
        <v>45526</v>
      </c>
      <c r="C241" s="29">
        <v>0.19</v>
      </c>
      <c r="D241" s="29">
        <v>0.41</v>
      </c>
      <c r="E241" s="29">
        <v>0.84</v>
      </c>
      <c r="F241" s="29">
        <v>1.08</v>
      </c>
      <c r="G241" s="29">
        <v>1.32</v>
      </c>
    </row>
    <row r="242" spans="2:7">
      <c r="B242" s="28">
        <v>45527</v>
      </c>
      <c r="C242" s="29">
        <v>0.26</v>
      </c>
      <c r="D242" s="29">
        <v>0.42</v>
      </c>
      <c r="E242" s="29">
        <v>0.76</v>
      </c>
      <c r="F242" s="29">
        <v>1.1299999999999999</v>
      </c>
      <c r="G242" s="29">
        <v>1.59</v>
      </c>
    </row>
    <row r="243" spans="2:7">
      <c r="B243" s="28">
        <v>45528</v>
      </c>
      <c r="C243" s="29">
        <v>0.35</v>
      </c>
      <c r="D243" s="29">
        <v>0.48</v>
      </c>
      <c r="E243" s="29">
        <v>0.78</v>
      </c>
      <c r="F243" s="29">
        <v>1.23</v>
      </c>
      <c r="G243" s="29">
        <v>1.64</v>
      </c>
    </row>
    <row r="244" spans="2:7">
      <c r="B244" s="28">
        <v>45529</v>
      </c>
      <c r="C244" s="29">
        <v>0.19</v>
      </c>
      <c r="D244" s="29">
        <v>0.45</v>
      </c>
      <c r="E244" s="29">
        <v>0.98</v>
      </c>
      <c r="F244" s="29">
        <v>1.0900000000000001</v>
      </c>
      <c r="G244" s="29">
        <v>1.37</v>
      </c>
    </row>
    <row r="245" spans="2:7">
      <c r="B245" s="28">
        <v>45530</v>
      </c>
      <c r="C245" s="29">
        <v>0.28999999999999998</v>
      </c>
      <c r="D245" s="29">
        <v>0.42</v>
      </c>
      <c r="E245" s="29">
        <v>0.81</v>
      </c>
      <c r="F245" s="29">
        <v>1.06</v>
      </c>
      <c r="G245" s="29">
        <v>1.65</v>
      </c>
    </row>
    <row r="246" spans="2:7">
      <c r="B246" s="28">
        <v>45531</v>
      </c>
      <c r="C246" s="29">
        <v>0.06</v>
      </c>
      <c r="D246" s="29">
        <v>0.45</v>
      </c>
      <c r="E246" s="29">
        <v>0.81</v>
      </c>
      <c r="F246" s="29">
        <v>1.1000000000000001</v>
      </c>
      <c r="G246" s="29">
        <v>1.32</v>
      </c>
    </row>
    <row r="247" spans="2:7">
      <c r="B247" s="28">
        <v>45532</v>
      </c>
      <c r="C247" s="29">
        <v>0.19</v>
      </c>
      <c r="D247" s="29">
        <v>0.43</v>
      </c>
      <c r="E247" s="29">
        <v>0.81</v>
      </c>
      <c r="F247" s="29">
        <v>1.0900000000000001</v>
      </c>
      <c r="G247" s="29">
        <v>1.74</v>
      </c>
    </row>
    <row r="248" spans="2:7">
      <c r="B248" s="28">
        <v>45533</v>
      </c>
      <c r="C248" s="29">
        <v>0.06</v>
      </c>
      <c r="D248" s="29">
        <v>0.42</v>
      </c>
      <c r="E248" s="29">
        <v>0.95</v>
      </c>
      <c r="F248" s="29">
        <v>1</v>
      </c>
      <c r="G248" s="29">
        <v>1.43</v>
      </c>
    </row>
    <row r="249" spans="2:7">
      <c r="B249" s="28">
        <v>45534</v>
      </c>
      <c r="C249" s="29">
        <v>0.4</v>
      </c>
      <c r="D249" s="29">
        <v>0.49</v>
      </c>
      <c r="E249" s="29">
        <v>0.93</v>
      </c>
      <c r="F249" s="29">
        <v>1.1000000000000001</v>
      </c>
      <c r="G249" s="29">
        <v>1.91</v>
      </c>
    </row>
    <row r="250" spans="2:7">
      <c r="B250" s="28">
        <v>45535</v>
      </c>
      <c r="C250" s="29">
        <v>0.15</v>
      </c>
      <c r="D250" s="29">
        <v>0.42</v>
      </c>
      <c r="E250" s="29">
        <v>0.89</v>
      </c>
      <c r="F250" s="29">
        <v>1.22</v>
      </c>
      <c r="G250" s="29">
        <v>1.61</v>
      </c>
    </row>
    <row r="251" spans="2:7">
      <c r="B251" s="28">
        <v>45536</v>
      </c>
      <c r="C251" s="29">
        <v>0.3</v>
      </c>
      <c r="D251" s="29">
        <v>0.4</v>
      </c>
      <c r="E251" s="29">
        <v>0.85</v>
      </c>
      <c r="F251" s="29">
        <v>1.2</v>
      </c>
      <c r="G251" s="29">
        <v>1.89</v>
      </c>
    </row>
    <row r="252" spans="2:7">
      <c r="B252" s="28">
        <v>45537</v>
      </c>
      <c r="C252" s="29">
        <v>0.3</v>
      </c>
      <c r="D252" s="29">
        <v>0.42</v>
      </c>
      <c r="E252" s="29">
        <v>0.79</v>
      </c>
      <c r="F252" s="29">
        <v>1</v>
      </c>
      <c r="G252" s="29">
        <v>1.99</v>
      </c>
    </row>
    <row r="253" spans="2:7">
      <c r="B253" s="28">
        <v>45538</v>
      </c>
      <c r="C253" s="29">
        <v>0.19</v>
      </c>
      <c r="D253" s="29">
        <v>0.4</v>
      </c>
      <c r="E253" s="29">
        <v>1</v>
      </c>
      <c r="F253" s="29">
        <v>1.01</v>
      </c>
      <c r="G253" s="29">
        <v>1.74</v>
      </c>
    </row>
    <row r="254" spans="2:7">
      <c r="B254" s="28">
        <v>45539</v>
      </c>
      <c r="C254" s="29">
        <v>0.13</v>
      </c>
      <c r="D254" s="29">
        <v>0.5</v>
      </c>
      <c r="E254" s="29">
        <v>0.92</v>
      </c>
      <c r="F254" s="29">
        <v>1.1100000000000001</v>
      </c>
      <c r="G254" s="29">
        <v>1.88</v>
      </c>
    </row>
    <row r="255" spans="2:7">
      <c r="B255" s="28">
        <v>45540</v>
      </c>
      <c r="C255" s="29">
        <v>0.01</v>
      </c>
      <c r="D255" s="29">
        <v>0.41</v>
      </c>
      <c r="E255" s="29">
        <v>0.77</v>
      </c>
      <c r="F255" s="29">
        <v>1.1100000000000001</v>
      </c>
      <c r="G255" s="29">
        <v>1.97</v>
      </c>
    </row>
    <row r="256" spans="2:7">
      <c r="B256" s="28">
        <v>45541</v>
      </c>
      <c r="C256" s="29">
        <v>0.17</v>
      </c>
      <c r="D256" s="29">
        <v>0.47</v>
      </c>
      <c r="E256" s="29">
        <v>0.96</v>
      </c>
      <c r="F256" s="29">
        <v>1.1599999999999999</v>
      </c>
      <c r="G256" s="29">
        <v>1.6</v>
      </c>
    </row>
    <row r="257" spans="2:7">
      <c r="B257" s="28">
        <v>45542</v>
      </c>
      <c r="C257" s="29">
        <v>0.03</v>
      </c>
      <c r="D257" s="29">
        <v>0.41</v>
      </c>
      <c r="E257" s="29">
        <v>0.99</v>
      </c>
      <c r="F257" s="29">
        <v>1.03</v>
      </c>
      <c r="G257" s="29">
        <v>1.74</v>
      </c>
    </row>
    <row r="258" spans="2:7">
      <c r="B258" s="28">
        <v>45543</v>
      </c>
      <c r="C258" s="29">
        <v>0.39</v>
      </c>
      <c r="D258" s="29">
        <v>0.48</v>
      </c>
      <c r="E258" s="29">
        <v>0.88</v>
      </c>
      <c r="F258" s="29">
        <v>1.07</v>
      </c>
      <c r="G258" s="29">
        <v>1.82</v>
      </c>
    </row>
    <row r="259" spans="2:7">
      <c r="B259" s="28">
        <v>45544</v>
      </c>
      <c r="C259" s="29">
        <v>0.28000000000000003</v>
      </c>
      <c r="D259" s="29">
        <v>0.47</v>
      </c>
      <c r="E259" s="29">
        <v>0.77</v>
      </c>
      <c r="F259" s="29">
        <v>1.03</v>
      </c>
      <c r="G259" s="29">
        <v>1.38</v>
      </c>
    </row>
    <row r="260" spans="2:7">
      <c r="B260" s="28">
        <v>45545</v>
      </c>
      <c r="C260" s="29">
        <v>0.4</v>
      </c>
      <c r="D260" s="29">
        <v>0.47</v>
      </c>
      <c r="E260" s="29">
        <v>0.9</v>
      </c>
      <c r="F260" s="29">
        <v>1.04</v>
      </c>
      <c r="G260" s="29">
        <v>1.34</v>
      </c>
    </row>
    <row r="261" spans="2:7">
      <c r="B261" s="28">
        <v>45546</v>
      </c>
      <c r="C261" s="29">
        <v>0.13</v>
      </c>
      <c r="D261" s="29">
        <v>0.49</v>
      </c>
      <c r="E261" s="29">
        <v>0.96</v>
      </c>
      <c r="F261" s="29">
        <v>1.01</v>
      </c>
      <c r="G261" s="29">
        <v>1.79</v>
      </c>
    </row>
    <row r="262" spans="2:7">
      <c r="B262" s="28">
        <v>45547</v>
      </c>
      <c r="C262" s="29">
        <v>7.0000000000000007E-2</v>
      </c>
      <c r="D262" s="29">
        <v>0.42</v>
      </c>
      <c r="E262" s="29">
        <v>0.78</v>
      </c>
      <c r="F262" s="29">
        <v>1.1100000000000001</v>
      </c>
      <c r="G262" s="29">
        <v>1.61</v>
      </c>
    </row>
    <row r="263" spans="2:7">
      <c r="B263" s="28">
        <v>45548</v>
      </c>
      <c r="C263" s="29">
        <v>0.19</v>
      </c>
      <c r="D263" s="29">
        <v>0.5</v>
      </c>
      <c r="E263" s="29">
        <v>0.93</v>
      </c>
      <c r="F263" s="29">
        <v>1.1599999999999999</v>
      </c>
      <c r="G263" s="29">
        <v>1.33</v>
      </c>
    </row>
    <row r="264" spans="2:7">
      <c r="B264" s="28">
        <v>45549</v>
      </c>
      <c r="C264" s="29">
        <v>7.0000000000000007E-2</v>
      </c>
      <c r="D264" s="29">
        <v>0.42</v>
      </c>
      <c r="E264" s="29">
        <v>0.83</v>
      </c>
      <c r="F264" s="29">
        <v>1.1000000000000001</v>
      </c>
      <c r="G264" s="29">
        <v>1.74</v>
      </c>
    </row>
    <row r="265" spans="2:7">
      <c r="B265" s="28">
        <v>45550</v>
      </c>
      <c r="C265" s="29">
        <v>0.3</v>
      </c>
      <c r="D265" s="29">
        <v>0.5</v>
      </c>
      <c r="E265" s="29">
        <v>0.97</v>
      </c>
      <c r="F265" s="29">
        <v>1.08</v>
      </c>
      <c r="G265" s="29">
        <v>1.61</v>
      </c>
    </row>
    <row r="266" spans="2:7">
      <c r="B266" s="28">
        <v>45551</v>
      </c>
      <c r="C266" s="29">
        <v>0.02</v>
      </c>
      <c r="D266" s="29">
        <v>0.5</v>
      </c>
      <c r="E266" s="29">
        <v>0.9</v>
      </c>
      <c r="F266" s="29">
        <v>1.23</v>
      </c>
      <c r="G266" s="29">
        <v>1.32</v>
      </c>
    </row>
    <row r="267" spans="2:7">
      <c r="B267" s="28">
        <v>45552</v>
      </c>
      <c r="C267" s="29">
        <v>0.27</v>
      </c>
      <c r="D267" s="29">
        <v>0.45</v>
      </c>
      <c r="E267" s="29">
        <v>0.87</v>
      </c>
      <c r="F267" s="29">
        <v>1.19</v>
      </c>
      <c r="G267" s="29">
        <v>1.45</v>
      </c>
    </row>
    <row r="268" spans="2:7">
      <c r="B268" s="28">
        <v>45553</v>
      </c>
      <c r="C268" s="29">
        <v>0.1</v>
      </c>
      <c r="D268" s="29">
        <v>0.49</v>
      </c>
      <c r="E268" s="29">
        <v>0.87</v>
      </c>
      <c r="F268" s="29">
        <v>1.08</v>
      </c>
      <c r="G268" s="29">
        <v>1.73</v>
      </c>
    </row>
    <row r="269" spans="2:7">
      <c r="B269" s="28">
        <v>45554</v>
      </c>
      <c r="C269" s="29">
        <v>0.16</v>
      </c>
      <c r="D269" s="29">
        <v>0.42</v>
      </c>
      <c r="E269" s="29">
        <v>1</v>
      </c>
      <c r="F269" s="29">
        <v>1.01</v>
      </c>
      <c r="G269" s="29">
        <v>1.73</v>
      </c>
    </row>
    <row r="270" spans="2:7">
      <c r="B270" s="28">
        <v>45555</v>
      </c>
      <c r="C270" s="29">
        <v>0.26</v>
      </c>
      <c r="D270" s="29">
        <v>0.4</v>
      </c>
      <c r="E270" s="29">
        <v>0.99</v>
      </c>
      <c r="F270" s="29">
        <v>1.17</v>
      </c>
      <c r="G270" s="29">
        <v>1.29</v>
      </c>
    </row>
    <row r="271" spans="2:7">
      <c r="B271" s="28">
        <v>45556</v>
      </c>
      <c r="C271" s="29">
        <v>0.39</v>
      </c>
      <c r="D271" s="29">
        <v>0.44</v>
      </c>
      <c r="E271" s="29">
        <v>0.91</v>
      </c>
      <c r="F271" s="29">
        <v>1.1299999999999999</v>
      </c>
      <c r="G271" s="29">
        <v>1.87</v>
      </c>
    </row>
    <row r="272" spans="2:7">
      <c r="B272" s="28">
        <v>45557</v>
      </c>
      <c r="C272" s="29">
        <v>0.05</v>
      </c>
      <c r="D272" s="29">
        <v>0.48</v>
      </c>
      <c r="E272" s="29">
        <v>0.9</v>
      </c>
      <c r="F272" s="29">
        <v>1</v>
      </c>
      <c r="G272" s="29">
        <v>1.78</v>
      </c>
    </row>
    <row r="273" spans="2:7">
      <c r="B273" s="28">
        <v>45558</v>
      </c>
      <c r="C273" s="29">
        <v>7.0000000000000007E-2</v>
      </c>
      <c r="D273" s="29">
        <v>0.5</v>
      </c>
      <c r="E273" s="29">
        <v>0.91</v>
      </c>
      <c r="F273" s="29">
        <v>1.19</v>
      </c>
      <c r="G273" s="29">
        <v>1.96</v>
      </c>
    </row>
    <row r="274" spans="2:7">
      <c r="B274" s="28">
        <v>45559</v>
      </c>
      <c r="C274" s="29">
        <v>0.31</v>
      </c>
      <c r="D274" s="29">
        <v>0.4</v>
      </c>
      <c r="E274" s="29">
        <v>0.84</v>
      </c>
      <c r="F274" s="29">
        <v>1.05</v>
      </c>
      <c r="G274" s="29">
        <v>1.86</v>
      </c>
    </row>
    <row r="275" spans="2:7">
      <c r="B275" s="28">
        <v>45560</v>
      </c>
      <c r="C275" s="29">
        <v>0.33</v>
      </c>
      <c r="D275" s="29">
        <v>0.4</v>
      </c>
      <c r="E275" s="29">
        <v>0.98</v>
      </c>
      <c r="F275" s="29">
        <v>1.25</v>
      </c>
      <c r="G275" s="29">
        <v>1.38</v>
      </c>
    </row>
    <row r="276" spans="2:7">
      <c r="B276" s="28">
        <v>45561</v>
      </c>
      <c r="C276" s="29">
        <v>0.38</v>
      </c>
      <c r="D276" s="29">
        <v>0.5</v>
      </c>
      <c r="E276" s="29">
        <v>0.8</v>
      </c>
      <c r="F276" s="29">
        <v>1.2</v>
      </c>
      <c r="G276" s="29">
        <v>1.76</v>
      </c>
    </row>
    <row r="277" spans="2:7">
      <c r="B277" s="28">
        <v>45562</v>
      </c>
      <c r="C277" s="29">
        <v>0.3</v>
      </c>
      <c r="D277" s="29">
        <v>0.48</v>
      </c>
      <c r="E277" s="29">
        <v>0.87</v>
      </c>
      <c r="F277" s="29">
        <v>1</v>
      </c>
      <c r="G277" s="29">
        <v>1.87</v>
      </c>
    </row>
    <row r="278" spans="2:7">
      <c r="B278" s="28">
        <v>45563</v>
      </c>
      <c r="C278" s="29">
        <v>0.16</v>
      </c>
      <c r="D278" s="29">
        <v>0.4</v>
      </c>
      <c r="E278" s="29">
        <v>0.96</v>
      </c>
      <c r="F278" s="29">
        <v>1.01</v>
      </c>
      <c r="G278" s="29">
        <v>1.72</v>
      </c>
    </row>
    <row r="279" spans="2:7">
      <c r="B279" s="28">
        <v>45564</v>
      </c>
      <c r="C279" s="29">
        <v>0.08</v>
      </c>
      <c r="D279" s="29">
        <v>0.41</v>
      </c>
      <c r="E279" s="29">
        <v>0.86</v>
      </c>
      <c r="F279" s="29">
        <v>1.22</v>
      </c>
      <c r="G279" s="29">
        <v>1.31</v>
      </c>
    </row>
    <row r="280" spans="2:7">
      <c r="B280" s="28">
        <v>45565</v>
      </c>
      <c r="C280" s="29">
        <v>0.24</v>
      </c>
      <c r="D280" s="29">
        <v>0.46</v>
      </c>
      <c r="E280" s="29">
        <v>0.75</v>
      </c>
      <c r="F280" s="29">
        <v>1.17</v>
      </c>
      <c r="G280" s="29">
        <v>1.91</v>
      </c>
    </row>
    <row r="281" spans="2:7">
      <c r="B281" s="28">
        <v>45566</v>
      </c>
      <c r="C281" s="29">
        <v>0.09</v>
      </c>
      <c r="D281" s="29">
        <v>0.45</v>
      </c>
      <c r="E281" s="29">
        <v>0.84</v>
      </c>
      <c r="F281" s="29">
        <v>1.1399999999999999</v>
      </c>
      <c r="G281" s="29">
        <v>1.61</v>
      </c>
    </row>
    <row r="282" spans="2:7">
      <c r="B282" s="28">
        <v>45567</v>
      </c>
      <c r="C282" s="29">
        <v>0.12</v>
      </c>
      <c r="D282" s="29">
        <v>0.49</v>
      </c>
      <c r="E282" s="29">
        <v>0.95</v>
      </c>
      <c r="F282" s="29">
        <v>1.22</v>
      </c>
      <c r="G282" s="29">
        <v>1.27</v>
      </c>
    </row>
    <row r="283" spans="2:7">
      <c r="B283" s="28">
        <v>45568</v>
      </c>
      <c r="C283" s="29">
        <v>0.28999999999999998</v>
      </c>
      <c r="D283" s="29">
        <v>0.44</v>
      </c>
      <c r="E283" s="29">
        <v>0.85</v>
      </c>
      <c r="F283" s="29">
        <v>1.22</v>
      </c>
      <c r="G283" s="29">
        <v>2</v>
      </c>
    </row>
    <row r="284" spans="2:7">
      <c r="B284" s="28">
        <v>45569</v>
      </c>
      <c r="C284" s="29">
        <v>0.32</v>
      </c>
      <c r="D284" s="29">
        <v>0.42</v>
      </c>
      <c r="E284" s="29">
        <v>0.86</v>
      </c>
      <c r="F284" s="29">
        <v>1.03</v>
      </c>
      <c r="G284" s="29">
        <v>1.35</v>
      </c>
    </row>
    <row r="285" spans="2:7">
      <c r="B285" s="28">
        <v>45570</v>
      </c>
      <c r="C285" s="29">
        <v>0.34</v>
      </c>
      <c r="D285" s="29">
        <v>0.49</v>
      </c>
      <c r="E285" s="29">
        <v>0.76</v>
      </c>
      <c r="F285" s="29">
        <v>1.24</v>
      </c>
      <c r="G285" s="29">
        <v>1.95</v>
      </c>
    </row>
    <row r="286" spans="2:7">
      <c r="B286" s="28">
        <v>45571</v>
      </c>
      <c r="C286" s="29">
        <v>0.31</v>
      </c>
      <c r="D286" s="29">
        <v>0.43</v>
      </c>
      <c r="E286" s="29">
        <v>0.78</v>
      </c>
      <c r="F286" s="29">
        <v>1.03</v>
      </c>
      <c r="G286" s="29">
        <v>1.5</v>
      </c>
    </row>
    <row r="287" spans="2:7">
      <c r="B287" s="28">
        <v>45572</v>
      </c>
      <c r="C287" s="29">
        <v>0.19</v>
      </c>
      <c r="D287" s="29">
        <v>0.48</v>
      </c>
      <c r="E287" s="29">
        <v>0.97</v>
      </c>
      <c r="F287" s="29">
        <v>1.01</v>
      </c>
      <c r="G287" s="29">
        <v>1.89</v>
      </c>
    </row>
    <row r="288" spans="2:7">
      <c r="B288" s="28">
        <v>45573</v>
      </c>
      <c r="C288" s="29">
        <v>0.2</v>
      </c>
      <c r="D288" s="29">
        <v>0.44</v>
      </c>
      <c r="E288" s="29">
        <v>0.95</v>
      </c>
      <c r="F288" s="29">
        <v>1.1499999999999999</v>
      </c>
      <c r="G288" s="29">
        <v>1.41</v>
      </c>
    </row>
    <row r="289" spans="2:7">
      <c r="B289" s="28">
        <v>45574</v>
      </c>
      <c r="C289" s="29">
        <v>0.38</v>
      </c>
      <c r="D289" s="29">
        <v>0.48</v>
      </c>
      <c r="E289" s="29">
        <v>1</v>
      </c>
      <c r="F289" s="29">
        <v>1.1599999999999999</v>
      </c>
      <c r="G289" s="29">
        <v>1.86</v>
      </c>
    </row>
    <row r="290" spans="2:7">
      <c r="B290" s="28">
        <v>45575</v>
      </c>
      <c r="C290" s="29">
        <v>0.26</v>
      </c>
      <c r="D290" s="29">
        <v>0.48</v>
      </c>
      <c r="E290" s="29">
        <v>0.84</v>
      </c>
      <c r="F290" s="29">
        <v>1.1499999999999999</v>
      </c>
      <c r="G290" s="29">
        <v>1.73</v>
      </c>
    </row>
    <row r="291" spans="2:7">
      <c r="B291" s="28">
        <v>45576</v>
      </c>
      <c r="C291" s="29">
        <v>0.4</v>
      </c>
      <c r="D291" s="29">
        <v>0.45</v>
      </c>
      <c r="E291" s="29">
        <v>0.81</v>
      </c>
      <c r="F291" s="29">
        <v>1.21</v>
      </c>
      <c r="G291" s="29">
        <v>1.9</v>
      </c>
    </row>
    <row r="292" spans="2:7">
      <c r="B292" s="28">
        <v>45577</v>
      </c>
      <c r="C292" s="29">
        <v>0.28999999999999998</v>
      </c>
      <c r="D292" s="29">
        <v>0.43</v>
      </c>
      <c r="E292" s="29">
        <v>1</v>
      </c>
      <c r="F292" s="29">
        <v>1.22</v>
      </c>
      <c r="G292" s="29">
        <v>1.7</v>
      </c>
    </row>
    <row r="293" spans="2:7">
      <c r="B293" s="28">
        <v>45578</v>
      </c>
      <c r="C293" s="29">
        <v>0.13</v>
      </c>
      <c r="D293" s="29">
        <v>0.43</v>
      </c>
      <c r="E293" s="29">
        <v>1</v>
      </c>
      <c r="F293" s="29">
        <v>1.22</v>
      </c>
      <c r="G293" s="29">
        <v>2</v>
      </c>
    </row>
    <row r="294" spans="2:7">
      <c r="B294" s="28">
        <v>45579</v>
      </c>
      <c r="C294" s="29">
        <v>0.08</v>
      </c>
      <c r="D294" s="29">
        <v>0.42</v>
      </c>
      <c r="E294" s="29">
        <v>1</v>
      </c>
      <c r="F294" s="29">
        <v>1.08</v>
      </c>
      <c r="G294" s="29">
        <v>1.59</v>
      </c>
    </row>
    <row r="295" spans="2:7">
      <c r="B295" s="28">
        <v>45580</v>
      </c>
      <c r="C295" s="29">
        <v>0.2</v>
      </c>
      <c r="D295" s="29">
        <v>0.45</v>
      </c>
      <c r="E295" s="29">
        <v>1</v>
      </c>
      <c r="F295" s="29">
        <v>1.25</v>
      </c>
      <c r="G295" s="29">
        <v>1.68</v>
      </c>
    </row>
    <row r="296" spans="2:7">
      <c r="B296" s="28">
        <v>45581</v>
      </c>
      <c r="C296" s="29">
        <v>0.02</v>
      </c>
      <c r="D296" s="29">
        <v>0.49</v>
      </c>
      <c r="E296" s="29">
        <v>0.76</v>
      </c>
      <c r="F296" s="29">
        <v>1.1000000000000001</v>
      </c>
      <c r="G296" s="29">
        <v>1.93</v>
      </c>
    </row>
    <row r="297" spans="2:7">
      <c r="B297" s="28">
        <v>45582</v>
      </c>
      <c r="C297" s="29">
        <v>0.16</v>
      </c>
      <c r="D297" s="29">
        <v>0.5</v>
      </c>
      <c r="E297" s="29">
        <v>0.87</v>
      </c>
      <c r="F297" s="29">
        <v>1</v>
      </c>
      <c r="G297" s="29">
        <v>1.54</v>
      </c>
    </row>
    <row r="298" spans="2:7">
      <c r="B298" s="28">
        <v>45583</v>
      </c>
      <c r="C298" s="29">
        <v>0.18</v>
      </c>
      <c r="D298" s="29">
        <v>0.42</v>
      </c>
      <c r="E298" s="29">
        <v>0.89</v>
      </c>
      <c r="F298" s="29">
        <v>1.06</v>
      </c>
      <c r="G298" s="29">
        <v>1.51</v>
      </c>
    </row>
    <row r="299" spans="2:7">
      <c r="B299" s="28">
        <v>45584</v>
      </c>
      <c r="C299" s="29">
        <v>0.23</v>
      </c>
      <c r="D299" s="29">
        <v>0.49</v>
      </c>
      <c r="E299" s="29">
        <v>0.82</v>
      </c>
      <c r="F299" s="29">
        <v>1.04</v>
      </c>
      <c r="G299" s="29">
        <v>1.52</v>
      </c>
    </row>
    <row r="300" spans="2:7">
      <c r="B300" s="28">
        <v>45585</v>
      </c>
      <c r="C300" s="29">
        <v>0.01</v>
      </c>
      <c r="D300" s="29">
        <v>0.42</v>
      </c>
      <c r="E300" s="29">
        <v>0.77</v>
      </c>
      <c r="F300" s="29">
        <v>1.1200000000000001</v>
      </c>
      <c r="G300" s="29">
        <v>1.29</v>
      </c>
    </row>
    <row r="301" spans="2:7">
      <c r="B301" s="28">
        <v>45586</v>
      </c>
      <c r="C301" s="29">
        <v>0.16</v>
      </c>
      <c r="D301" s="29">
        <v>0.44</v>
      </c>
      <c r="E301" s="29">
        <v>0.85</v>
      </c>
      <c r="F301" s="29">
        <v>1.19</v>
      </c>
      <c r="G301" s="29">
        <v>1.4</v>
      </c>
    </row>
    <row r="302" spans="2:7">
      <c r="B302" s="28">
        <v>45587</v>
      </c>
      <c r="C302" s="29">
        <v>0.4</v>
      </c>
      <c r="D302" s="29">
        <v>0.41</v>
      </c>
      <c r="E302" s="29">
        <v>0.92</v>
      </c>
      <c r="F302" s="29">
        <v>1.1499999999999999</v>
      </c>
      <c r="G302" s="29">
        <v>1.91</v>
      </c>
    </row>
    <row r="303" spans="2:7">
      <c r="B303" s="28">
        <v>45588</v>
      </c>
      <c r="C303" s="29">
        <v>0.13</v>
      </c>
      <c r="D303" s="29">
        <v>0.45</v>
      </c>
      <c r="E303" s="29">
        <v>0.99</v>
      </c>
      <c r="F303" s="29">
        <v>1.22</v>
      </c>
      <c r="G303" s="29">
        <v>1.95</v>
      </c>
    </row>
    <row r="304" spans="2:7">
      <c r="B304" s="28">
        <v>45589</v>
      </c>
      <c r="C304" s="29">
        <v>0.27</v>
      </c>
      <c r="D304" s="29">
        <v>0.42</v>
      </c>
      <c r="E304" s="29">
        <v>0.85</v>
      </c>
      <c r="F304" s="29">
        <v>1.22</v>
      </c>
      <c r="G304" s="29">
        <v>1.78</v>
      </c>
    </row>
    <row r="305" spans="2:7">
      <c r="B305" s="28">
        <v>45590</v>
      </c>
      <c r="C305" s="29">
        <v>0.25</v>
      </c>
      <c r="D305" s="29">
        <v>0.4</v>
      </c>
      <c r="E305" s="29">
        <v>0.99</v>
      </c>
      <c r="F305" s="29">
        <v>1.25</v>
      </c>
      <c r="G305" s="29">
        <v>1.84</v>
      </c>
    </row>
    <row r="306" spans="2:7">
      <c r="B306" s="28">
        <v>45591</v>
      </c>
      <c r="C306" s="29">
        <v>0.26</v>
      </c>
      <c r="D306" s="29">
        <v>0.42</v>
      </c>
      <c r="E306" s="29">
        <v>0.78</v>
      </c>
      <c r="F306" s="29">
        <v>1.22</v>
      </c>
      <c r="G306" s="29">
        <v>1.68</v>
      </c>
    </row>
    <row r="307" spans="2:7">
      <c r="B307" s="28">
        <v>45592</v>
      </c>
      <c r="C307" s="29">
        <v>0.09</v>
      </c>
      <c r="D307" s="29">
        <v>0.49</v>
      </c>
      <c r="E307" s="29">
        <v>0.87</v>
      </c>
      <c r="F307" s="29">
        <v>1.21</v>
      </c>
      <c r="G307" s="29">
        <v>1.54</v>
      </c>
    </row>
    <row r="308" spans="2:7">
      <c r="B308" s="28">
        <v>45593</v>
      </c>
      <c r="C308" s="29">
        <v>0.18</v>
      </c>
      <c r="D308" s="29">
        <v>0.5</v>
      </c>
      <c r="E308" s="29">
        <v>0.9</v>
      </c>
      <c r="F308" s="29">
        <v>1.02</v>
      </c>
      <c r="G308" s="29">
        <v>1.78</v>
      </c>
    </row>
    <row r="309" spans="2:7">
      <c r="B309" s="28">
        <v>45594</v>
      </c>
      <c r="C309" s="29">
        <v>0.09</v>
      </c>
      <c r="D309" s="29">
        <v>0.41</v>
      </c>
      <c r="E309" s="29">
        <v>0.88</v>
      </c>
      <c r="F309" s="29">
        <v>1.17</v>
      </c>
      <c r="G309" s="29">
        <v>1.68</v>
      </c>
    </row>
    <row r="310" spans="2:7">
      <c r="B310" s="28">
        <v>45595</v>
      </c>
      <c r="C310" s="29">
        <v>0.28999999999999998</v>
      </c>
      <c r="D310" s="29">
        <v>0.44</v>
      </c>
      <c r="E310" s="29">
        <v>0.86</v>
      </c>
      <c r="F310" s="29">
        <v>1.2</v>
      </c>
      <c r="G310" s="29">
        <v>1.97</v>
      </c>
    </row>
    <row r="311" spans="2:7">
      <c r="B311" s="28">
        <v>45596</v>
      </c>
      <c r="C311" s="29">
        <v>0.12</v>
      </c>
      <c r="D311" s="29">
        <v>0.44</v>
      </c>
      <c r="E311" s="29">
        <v>0.78</v>
      </c>
      <c r="F311" s="29">
        <v>1</v>
      </c>
      <c r="G311" s="29">
        <v>1.42</v>
      </c>
    </row>
    <row r="312" spans="2:7">
      <c r="B312" s="28">
        <v>45597</v>
      </c>
      <c r="C312" s="29">
        <v>0.34</v>
      </c>
      <c r="D312" s="29">
        <v>0.4</v>
      </c>
      <c r="E312" s="29">
        <v>0.86</v>
      </c>
      <c r="F312" s="29">
        <v>1.0900000000000001</v>
      </c>
      <c r="G312" s="29">
        <v>1.38</v>
      </c>
    </row>
    <row r="313" spans="2:7">
      <c r="B313" s="28">
        <v>45598</v>
      </c>
      <c r="C313" s="29">
        <v>7.0000000000000007E-2</v>
      </c>
      <c r="D313" s="29">
        <v>0.41</v>
      </c>
      <c r="E313" s="29">
        <v>0.89</v>
      </c>
      <c r="F313" s="29">
        <v>1.23</v>
      </c>
      <c r="G313" s="29">
        <v>1.4</v>
      </c>
    </row>
    <row r="314" spans="2:7">
      <c r="B314" s="28">
        <v>45599</v>
      </c>
      <c r="C314" s="29">
        <v>0.1</v>
      </c>
      <c r="D314" s="29">
        <v>0.44</v>
      </c>
      <c r="E314" s="29">
        <v>0.9</v>
      </c>
      <c r="F314" s="29">
        <v>1.23</v>
      </c>
      <c r="G314" s="29">
        <v>1.99</v>
      </c>
    </row>
    <row r="315" spans="2:7">
      <c r="B315" s="28">
        <v>45600</v>
      </c>
      <c r="C315" s="29">
        <v>0.28999999999999998</v>
      </c>
      <c r="D315" s="29">
        <v>0.5</v>
      </c>
      <c r="E315" s="29">
        <v>0.77</v>
      </c>
      <c r="F315" s="29">
        <v>1.21</v>
      </c>
      <c r="G315" s="29">
        <v>1.83</v>
      </c>
    </row>
    <row r="316" spans="2:7">
      <c r="B316" s="28">
        <v>45601</v>
      </c>
      <c r="C316" s="29">
        <v>0.28000000000000003</v>
      </c>
      <c r="D316" s="29">
        <v>0.5</v>
      </c>
      <c r="E316" s="29">
        <v>0.96</v>
      </c>
      <c r="F316" s="29">
        <v>1.0900000000000001</v>
      </c>
      <c r="G316" s="29">
        <v>1.54</v>
      </c>
    </row>
    <row r="317" spans="2:7">
      <c r="B317" s="28">
        <v>45602</v>
      </c>
      <c r="C317" s="29">
        <v>0.34</v>
      </c>
      <c r="D317" s="29">
        <v>0.46</v>
      </c>
      <c r="E317" s="29">
        <v>0.96</v>
      </c>
      <c r="F317" s="29">
        <v>1.24</v>
      </c>
      <c r="G317" s="29">
        <v>1.53</v>
      </c>
    </row>
    <row r="318" spans="2:7">
      <c r="B318" s="28">
        <v>45603</v>
      </c>
      <c r="C318" s="29">
        <v>0.03</v>
      </c>
      <c r="D318" s="29">
        <v>0.46</v>
      </c>
      <c r="E318" s="29">
        <v>0.93</v>
      </c>
      <c r="F318" s="29">
        <v>1.22</v>
      </c>
      <c r="G318" s="29">
        <v>1.98</v>
      </c>
    </row>
    <row r="319" spans="2:7">
      <c r="B319" s="28">
        <v>45604</v>
      </c>
      <c r="C319" s="29">
        <v>0.13</v>
      </c>
      <c r="D319" s="29">
        <v>0.49</v>
      </c>
      <c r="E319" s="29">
        <v>0.85</v>
      </c>
      <c r="F319" s="29">
        <v>1.01</v>
      </c>
      <c r="G319" s="29">
        <v>1.82</v>
      </c>
    </row>
    <row r="320" spans="2:7">
      <c r="B320" s="28">
        <v>45605</v>
      </c>
      <c r="C320" s="29">
        <v>0.02</v>
      </c>
      <c r="D320" s="29">
        <v>0.42</v>
      </c>
      <c r="E320" s="29">
        <v>0.83</v>
      </c>
      <c r="F320" s="29">
        <v>1.1399999999999999</v>
      </c>
      <c r="G320" s="29">
        <v>1.34</v>
      </c>
    </row>
    <row r="321" spans="2:7">
      <c r="B321" s="28">
        <v>45606</v>
      </c>
      <c r="C321" s="29">
        <v>0.39</v>
      </c>
      <c r="D321" s="29">
        <v>0.47</v>
      </c>
      <c r="E321" s="29">
        <v>0.88</v>
      </c>
      <c r="F321" s="29">
        <v>1.04</v>
      </c>
      <c r="G321" s="29">
        <v>1.66</v>
      </c>
    </row>
    <row r="322" spans="2:7">
      <c r="B322" s="28">
        <v>45607</v>
      </c>
      <c r="C322" s="29">
        <v>0.24</v>
      </c>
      <c r="D322" s="29">
        <v>0.48</v>
      </c>
      <c r="E322" s="29">
        <v>0.97</v>
      </c>
      <c r="F322" s="29">
        <v>1.01</v>
      </c>
      <c r="G322" s="29">
        <v>1.79</v>
      </c>
    </row>
    <row r="323" spans="2:7">
      <c r="B323" s="28">
        <v>45608</v>
      </c>
      <c r="C323" s="29">
        <v>0.17</v>
      </c>
      <c r="D323" s="29">
        <v>0.4</v>
      </c>
      <c r="E323" s="29">
        <v>0.82</v>
      </c>
      <c r="F323" s="29">
        <v>1.1200000000000001</v>
      </c>
      <c r="G323" s="29">
        <v>1.89</v>
      </c>
    </row>
    <row r="324" spans="2:7">
      <c r="B324" s="28">
        <v>45609</v>
      </c>
      <c r="C324" s="29">
        <v>0.35</v>
      </c>
      <c r="D324" s="29">
        <v>0.42</v>
      </c>
      <c r="E324" s="29">
        <v>0.98</v>
      </c>
      <c r="F324" s="29">
        <v>1.2</v>
      </c>
      <c r="G324" s="29">
        <v>1.9</v>
      </c>
    </row>
    <row r="325" spans="2:7">
      <c r="B325" s="28">
        <v>45610</v>
      </c>
      <c r="C325" s="29">
        <v>0.38</v>
      </c>
      <c r="D325" s="29">
        <v>0.42</v>
      </c>
      <c r="E325" s="29">
        <v>0.96</v>
      </c>
      <c r="F325" s="29">
        <v>1.01</v>
      </c>
      <c r="G325" s="29">
        <v>1.63</v>
      </c>
    </row>
    <row r="326" spans="2:7">
      <c r="B326" s="28">
        <v>45611</v>
      </c>
      <c r="C326" s="29">
        <v>0.23</v>
      </c>
      <c r="D326" s="29">
        <v>0.4</v>
      </c>
      <c r="E326" s="29">
        <v>0.9</v>
      </c>
      <c r="F326" s="29">
        <v>1.1599999999999999</v>
      </c>
      <c r="G326" s="29">
        <v>1.39</v>
      </c>
    </row>
    <row r="327" spans="2:7">
      <c r="B327" s="28">
        <v>45612</v>
      </c>
      <c r="C327" s="29">
        <v>0.08</v>
      </c>
      <c r="D327" s="29">
        <v>0.44</v>
      </c>
      <c r="E327" s="29">
        <v>0.86</v>
      </c>
      <c r="F327" s="29">
        <v>1.21</v>
      </c>
      <c r="G327" s="29">
        <v>1.98</v>
      </c>
    </row>
    <row r="328" spans="2:7">
      <c r="B328" s="28">
        <v>45613</v>
      </c>
      <c r="C328" s="29">
        <v>0.32</v>
      </c>
      <c r="D328" s="29">
        <v>0.47</v>
      </c>
      <c r="E328" s="29">
        <v>0.82</v>
      </c>
      <c r="F328" s="29">
        <v>1.21</v>
      </c>
      <c r="G328" s="29">
        <v>1.81</v>
      </c>
    </row>
    <row r="329" spans="2:7">
      <c r="B329" s="28">
        <v>45614</v>
      </c>
      <c r="C329" s="29">
        <v>0.24</v>
      </c>
      <c r="D329" s="29">
        <v>0.4</v>
      </c>
      <c r="E329" s="29">
        <v>0.75</v>
      </c>
      <c r="F329" s="29">
        <v>1.21</v>
      </c>
      <c r="G329" s="29">
        <v>1.77</v>
      </c>
    </row>
    <row r="330" spans="2:7">
      <c r="B330" s="28">
        <v>45615</v>
      </c>
      <c r="C330" s="29">
        <v>0.08</v>
      </c>
      <c r="D330" s="29">
        <v>0.5</v>
      </c>
      <c r="E330" s="29">
        <v>0.76</v>
      </c>
      <c r="F330" s="29">
        <v>1.2</v>
      </c>
      <c r="G330" s="29">
        <v>1.67</v>
      </c>
    </row>
    <row r="331" spans="2:7">
      <c r="B331" s="28">
        <v>45616</v>
      </c>
      <c r="C331" s="29">
        <v>0.21</v>
      </c>
      <c r="D331" s="29">
        <v>0.46</v>
      </c>
      <c r="E331" s="29">
        <v>0.88</v>
      </c>
      <c r="F331" s="29">
        <v>1.17</v>
      </c>
      <c r="G331" s="29">
        <v>1.87</v>
      </c>
    </row>
    <row r="332" spans="2:7">
      <c r="B332" s="28">
        <v>45617</v>
      </c>
      <c r="C332" s="29">
        <v>0.11</v>
      </c>
      <c r="D332" s="29">
        <v>0.41</v>
      </c>
      <c r="E332" s="29">
        <v>0.93</v>
      </c>
      <c r="F332" s="29">
        <v>1.02</v>
      </c>
      <c r="G332" s="29">
        <v>1.26</v>
      </c>
    </row>
    <row r="333" spans="2:7">
      <c r="B333" s="28">
        <v>45618</v>
      </c>
      <c r="C333" s="29">
        <v>0.09</v>
      </c>
      <c r="D333" s="29">
        <v>0.44</v>
      </c>
      <c r="E333" s="29">
        <v>0.87</v>
      </c>
      <c r="F333" s="29">
        <v>1.18</v>
      </c>
      <c r="G333" s="29">
        <v>1.78</v>
      </c>
    </row>
    <row r="334" spans="2:7">
      <c r="B334" s="28">
        <v>45619</v>
      </c>
      <c r="C334" s="29">
        <v>0.36</v>
      </c>
      <c r="D334" s="29">
        <v>0.5</v>
      </c>
      <c r="E334" s="29">
        <v>0.76</v>
      </c>
      <c r="F334" s="29">
        <v>1.1100000000000001</v>
      </c>
      <c r="G334" s="29">
        <v>1.87</v>
      </c>
    </row>
    <row r="335" spans="2:7">
      <c r="B335" s="28">
        <v>45620</v>
      </c>
      <c r="C335" s="29">
        <v>0.4</v>
      </c>
      <c r="D335" s="29">
        <v>0.44</v>
      </c>
      <c r="E335" s="29">
        <v>0.95</v>
      </c>
      <c r="F335" s="29">
        <v>1.17</v>
      </c>
      <c r="G335" s="29">
        <v>1.86</v>
      </c>
    </row>
    <row r="336" spans="2:7">
      <c r="B336" s="28">
        <v>45621</v>
      </c>
      <c r="C336" s="29">
        <v>0.16</v>
      </c>
      <c r="D336" s="29">
        <v>0.48</v>
      </c>
      <c r="E336" s="29">
        <v>0.83</v>
      </c>
      <c r="F336" s="29">
        <v>1</v>
      </c>
      <c r="G336" s="29">
        <v>1.5</v>
      </c>
    </row>
    <row r="337" spans="2:7">
      <c r="B337" s="28">
        <v>45622</v>
      </c>
      <c r="C337" s="29">
        <v>0.09</v>
      </c>
      <c r="D337" s="29">
        <v>0.4</v>
      </c>
      <c r="E337" s="29">
        <v>0.83</v>
      </c>
      <c r="F337" s="29">
        <v>1.1100000000000001</v>
      </c>
      <c r="G337" s="29">
        <v>1.7</v>
      </c>
    </row>
    <row r="338" spans="2:7">
      <c r="B338" s="28">
        <v>45623</v>
      </c>
      <c r="C338" s="29">
        <v>0.04</v>
      </c>
      <c r="D338" s="29">
        <v>0.4</v>
      </c>
      <c r="E338" s="29">
        <v>0.85</v>
      </c>
      <c r="F338" s="29">
        <v>1.1000000000000001</v>
      </c>
      <c r="G338" s="29">
        <v>1.33</v>
      </c>
    </row>
    <row r="339" spans="2:7">
      <c r="B339" s="28">
        <v>45624</v>
      </c>
      <c r="C339" s="29">
        <v>0.32</v>
      </c>
      <c r="D339" s="29">
        <v>0.42</v>
      </c>
      <c r="E339" s="29">
        <v>0.81</v>
      </c>
      <c r="F339" s="29">
        <v>1.1200000000000001</v>
      </c>
      <c r="G339" s="29">
        <v>1.43</v>
      </c>
    </row>
    <row r="340" spans="2:7">
      <c r="B340" s="28">
        <v>45625</v>
      </c>
      <c r="C340" s="29">
        <v>0.16</v>
      </c>
      <c r="D340" s="29">
        <v>0.47</v>
      </c>
      <c r="E340" s="29">
        <v>0.95</v>
      </c>
      <c r="F340" s="29">
        <v>1.1200000000000001</v>
      </c>
      <c r="G340" s="29">
        <v>1.39</v>
      </c>
    </row>
    <row r="341" spans="2:7">
      <c r="B341" s="28">
        <v>45626</v>
      </c>
      <c r="C341" s="29">
        <v>0.22</v>
      </c>
      <c r="D341" s="29">
        <v>0.46</v>
      </c>
      <c r="E341" s="29">
        <v>0.89</v>
      </c>
      <c r="F341" s="29">
        <v>1.22</v>
      </c>
      <c r="G341" s="29">
        <v>1.31</v>
      </c>
    </row>
    <row r="342" spans="2:7">
      <c r="B342" s="28">
        <v>45627</v>
      </c>
      <c r="C342" s="29">
        <v>0.11</v>
      </c>
      <c r="D342" s="29">
        <v>0.42</v>
      </c>
      <c r="E342" s="29">
        <v>0.99</v>
      </c>
      <c r="F342" s="29">
        <v>1.1200000000000001</v>
      </c>
      <c r="G342" s="29">
        <v>2</v>
      </c>
    </row>
    <row r="343" spans="2:7">
      <c r="B343" s="28">
        <v>45628</v>
      </c>
      <c r="C343" s="29">
        <v>0.11</v>
      </c>
      <c r="D343" s="29">
        <v>0.47</v>
      </c>
      <c r="E343" s="29">
        <v>0.94</v>
      </c>
      <c r="F343" s="29">
        <v>1.1599999999999999</v>
      </c>
      <c r="G343" s="29">
        <v>1.57</v>
      </c>
    </row>
    <row r="344" spans="2:7">
      <c r="B344" s="28">
        <v>45629</v>
      </c>
      <c r="C344" s="29">
        <v>0.08</v>
      </c>
      <c r="D344" s="29">
        <v>0.48</v>
      </c>
      <c r="E344" s="29">
        <v>0.94</v>
      </c>
      <c r="F344" s="29">
        <v>1.25</v>
      </c>
      <c r="G344" s="29">
        <v>1.26</v>
      </c>
    </row>
    <row r="345" spans="2:7">
      <c r="B345" s="28">
        <v>45630</v>
      </c>
      <c r="C345" s="29">
        <v>0.34</v>
      </c>
      <c r="D345" s="29">
        <v>0.45</v>
      </c>
      <c r="E345" s="29">
        <v>0.86</v>
      </c>
      <c r="F345" s="29">
        <v>1.0900000000000001</v>
      </c>
      <c r="G345" s="29">
        <v>1.8</v>
      </c>
    </row>
    <row r="346" spans="2:7">
      <c r="B346" s="28">
        <v>45631</v>
      </c>
      <c r="C346" s="29">
        <v>0.02</v>
      </c>
      <c r="D346" s="29">
        <v>0.41</v>
      </c>
      <c r="E346" s="29">
        <v>0.8</v>
      </c>
      <c r="F346" s="29">
        <v>1.21</v>
      </c>
      <c r="G346" s="29">
        <v>1.42</v>
      </c>
    </row>
    <row r="347" spans="2:7">
      <c r="B347" s="28">
        <v>45632</v>
      </c>
      <c r="C347" s="29">
        <v>0.12</v>
      </c>
      <c r="D347" s="29">
        <v>0.46</v>
      </c>
      <c r="E347" s="29">
        <v>1</v>
      </c>
      <c r="F347" s="29">
        <v>1.1499999999999999</v>
      </c>
      <c r="G347" s="29">
        <v>1.88</v>
      </c>
    </row>
    <row r="348" spans="2:7">
      <c r="B348" s="28">
        <v>45633</v>
      </c>
      <c r="C348" s="29">
        <v>0.08</v>
      </c>
      <c r="D348" s="29">
        <v>0.45</v>
      </c>
      <c r="E348" s="29">
        <v>0.82</v>
      </c>
      <c r="F348" s="29">
        <v>1.1399999999999999</v>
      </c>
      <c r="G348" s="29">
        <v>1.97</v>
      </c>
    </row>
    <row r="349" spans="2:7">
      <c r="B349" s="28">
        <v>45634</v>
      </c>
      <c r="C349" s="29">
        <v>0.15</v>
      </c>
      <c r="D349" s="29">
        <v>0.46</v>
      </c>
      <c r="E349" s="29">
        <v>0.87</v>
      </c>
      <c r="F349" s="29">
        <v>1.25</v>
      </c>
      <c r="G349" s="29">
        <v>1.47</v>
      </c>
    </row>
    <row r="350" spans="2:7">
      <c r="B350" s="28">
        <v>45635</v>
      </c>
      <c r="C350" s="29">
        <v>0.4</v>
      </c>
      <c r="D350" s="29">
        <v>0.46</v>
      </c>
      <c r="E350" s="29">
        <v>0.9</v>
      </c>
      <c r="F350" s="29">
        <v>1.1599999999999999</v>
      </c>
      <c r="G350" s="29">
        <v>1.89</v>
      </c>
    </row>
    <row r="351" spans="2:7">
      <c r="B351" s="28">
        <v>45636</v>
      </c>
      <c r="C351" s="29">
        <v>0.26</v>
      </c>
      <c r="D351" s="29">
        <v>0.41</v>
      </c>
      <c r="E351" s="29">
        <v>0.82</v>
      </c>
      <c r="F351" s="29">
        <v>1.05</v>
      </c>
      <c r="G351" s="29">
        <v>1.81</v>
      </c>
    </row>
    <row r="352" spans="2:7">
      <c r="B352" s="28">
        <v>45637</v>
      </c>
      <c r="C352" s="29">
        <v>0.17</v>
      </c>
      <c r="D352" s="29">
        <v>0.43</v>
      </c>
      <c r="E352" s="29">
        <v>0.81</v>
      </c>
      <c r="F352" s="29">
        <v>1.1599999999999999</v>
      </c>
      <c r="G352" s="29">
        <v>1.54</v>
      </c>
    </row>
    <row r="353" spans="2:7">
      <c r="B353" s="28">
        <v>45638</v>
      </c>
      <c r="C353" s="29">
        <v>0.13</v>
      </c>
      <c r="D353" s="29">
        <v>0.48</v>
      </c>
      <c r="E353" s="29">
        <v>0.94</v>
      </c>
      <c r="F353" s="29">
        <v>1.23</v>
      </c>
      <c r="G353" s="29">
        <v>1.98</v>
      </c>
    </row>
    <row r="354" spans="2:7">
      <c r="B354" s="28">
        <v>45639</v>
      </c>
      <c r="C354" s="29">
        <v>0.03</v>
      </c>
      <c r="D354" s="29">
        <v>0.44</v>
      </c>
      <c r="E354" s="29">
        <v>0.99</v>
      </c>
      <c r="F354" s="29">
        <v>1.1299999999999999</v>
      </c>
      <c r="G354" s="29">
        <v>1.36</v>
      </c>
    </row>
    <row r="355" spans="2:7">
      <c r="B355" s="28">
        <v>45640</v>
      </c>
      <c r="C355" s="29">
        <v>0.19</v>
      </c>
      <c r="D355" s="29">
        <v>0.4</v>
      </c>
      <c r="E355" s="29">
        <v>0.96</v>
      </c>
      <c r="F355" s="29">
        <v>1.07</v>
      </c>
      <c r="G355" s="29">
        <v>1.48</v>
      </c>
    </row>
    <row r="356" spans="2:7">
      <c r="B356" s="28">
        <v>45641</v>
      </c>
      <c r="C356" s="29">
        <v>0.33</v>
      </c>
      <c r="D356" s="29">
        <v>0.42</v>
      </c>
      <c r="E356" s="29">
        <v>0.8</v>
      </c>
      <c r="F356" s="29">
        <v>1.22</v>
      </c>
      <c r="G356" s="29">
        <v>1.67</v>
      </c>
    </row>
    <row r="357" spans="2:7">
      <c r="B357" s="28">
        <v>45642</v>
      </c>
      <c r="C357" s="29">
        <v>0.37</v>
      </c>
      <c r="D357" s="29">
        <v>0.42</v>
      </c>
      <c r="E357" s="29">
        <v>0.86</v>
      </c>
      <c r="F357" s="29">
        <v>1.0900000000000001</v>
      </c>
      <c r="G357" s="29">
        <v>1.58</v>
      </c>
    </row>
    <row r="358" spans="2:7">
      <c r="B358" s="28">
        <v>45643</v>
      </c>
      <c r="C358" s="29">
        <v>0.38</v>
      </c>
      <c r="D358" s="29">
        <v>0.46</v>
      </c>
      <c r="E358" s="29">
        <v>0.97</v>
      </c>
      <c r="F358" s="29">
        <v>1.05</v>
      </c>
      <c r="G358" s="29">
        <v>1.46</v>
      </c>
    </row>
    <row r="359" spans="2:7">
      <c r="B359" s="28">
        <v>45644</v>
      </c>
      <c r="C359" s="29">
        <v>0.28000000000000003</v>
      </c>
      <c r="D359" s="29">
        <v>0.41</v>
      </c>
      <c r="E359" s="29">
        <v>0.98</v>
      </c>
      <c r="F359" s="29">
        <v>1.1599999999999999</v>
      </c>
      <c r="G359" s="29">
        <v>1.52</v>
      </c>
    </row>
    <row r="360" spans="2:7">
      <c r="B360" s="28">
        <v>45645</v>
      </c>
      <c r="C360" s="29">
        <v>0.39</v>
      </c>
      <c r="D360" s="29">
        <v>0.47</v>
      </c>
      <c r="E360" s="29">
        <v>0.94</v>
      </c>
      <c r="F360" s="29">
        <v>1.22</v>
      </c>
      <c r="G360" s="29">
        <v>1.28</v>
      </c>
    </row>
    <row r="361" spans="2:7">
      <c r="B361" s="28">
        <v>45646</v>
      </c>
      <c r="C361" s="29">
        <v>0.09</v>
      </c>
      <c r="D361" s="29">
        <v>0.46</v>
      </c>
      <c r="E361" s="29">
        <v>0.91</v>
      </c>
      <c r="F361" s="29">
        <v>1.17</v>
      </c>
      <c r="G361" s="29">
        <v>1.89</v>
      </c>
    </row>
    <row r="362" spans="2:7">
      <c r="B362" s="28">
        <v>45647</v>
      </c>
      <c r="C362" s="29">
        <v>0.02</v>
      </c>
      <c r="D362" s="29">
        <v>0.44</v>
      </c>
      <c r="E362" s="29">
        <v>0.82</v>
      </c>
      <c r="F362" s="29">
        <v>1.1200000000000001</v>
      </c>
      <c r="G362" s="29">
        <v>1.89</v>
      </c>
    </row>
    <row r="363" spans="2:7">
      <c r="B363" s="28">
        <v>45648</v>
      </c>
      <c r="C363" s="29">
        <v>0.27</v>
      </c>
      <c r="D363" s="29">
        <v>0.41</v>
      </c>
      <c r="E363" s="29">
        <v>0.87</v>
      </c>
      <c r="F363" s="29">
        <v>1.02</v>
      </c>
      <c r="G363" s="29">
        <v>1.9</v>
      </c>
    </row>
    <row r="364" spans="2:7">
      <c r="B364" s="28">
        <v>45649</v>
      </c>
      <c r="C364" s="29">
        <v>0.2</v>
      </c>
      <c r="D364" s="29">
        <v>0.49</v>
      </c>
      <c r="E364" s="29">
        <v>0.98</v>
      </c>
      <c r="F364" s="29">
        <v>1</v>
      </c>
      <c r="G364" s="29">
        <v>1.86</v>
      </c>
    </row>
    <row r="365" spans="2:7">
      <c r="B365" s="28">
        <v>45650</v>
      </c>
      <c r="C365" s="29">
        <v>0.28000000000000003</v>
      </c>
      <c r="D365" s="29">
        <v>0.49</v>
      </c>
      <c r="E365" s="29">
        <v>0.96</v>
      </c>
      <c r="F365" s="29">
        <v>1.25</v>
      </c>
      <c r="G365" s="29">
        <v>1.64</v>
      </c>
    </row>
    <row r="366" spans="2:7">
      <c r="B366" s="28">
        <v>45651</v>
      </c>
      <c r="C366" s="29">
        <v>0.15</v>
      </c>
      <c r="D366" s="29">
        <v>0.48</v>
      </c>
      <c r="E366" s="29">
        <v>0.88</v>
      </c>
      <c r="F366" s="29">
        <v>1.19</v>
      </c>
      <c r="G366" s="29">
        <v>1.34</v>
      </c>
    </row>
    <row r="367" spans="2:7">
      <c r="B367" s="28">
        <v>45652</v>
      </c>
      <c r="C367" s="29">
        <v>0.36</v>
      </c>
      <c r="D367" s="29">
        <v>0.44</v>
      </c>
      <c r="E367" s="29">
        <v>0.92</v>
      </c>
      <c r="F367" s="29">
        <v>1.01</v>
      </c>
      <c r="G367" s="29">
        <v>1.84</v>
      </c>
    </row>
    <row r="368" spans="2:7">
      <c r="B368" s="28">
        <v>45653</v>
      </c>
      <c r="C368" s="29">
        <v>0.09</v>
      </c>
      <c r="D368" s="29">
        <v>0.45</v>
      </c>
      <c r="E368" s="29">
        <v>0.81</v>
      </c>
      <c r="F368" s="29">
        <v>1.07</v>
      </c>
      <c r="G368" s="29">
        <v>1.34</v>
      </c>
    </row>
    <row r="369" spans="2:7">
      <c r="B369" s="28">
        <v>45654</v>
      </c>
      <c r="C369" s="29">
        <v>0.11</v>
      </c>
      <c r="D369" s="29">
        <v>0.49</v>
      </c>
      <c r="E369" s="29">
        <v>1</v>
      </c>
      <c r="F369" s="29">
        <v>1.04</v>
      </c>
      <c r="G369" s="29">
        <v>1.32</v>
      </c>
    </row>
    <row r="370" spans="2:7">
      <c r="B370" s="28">
        <v>45655</v>
      </c>
      <c r="C370" s="29">
        <v>0.09</v>
      </c>
      <c r="D370" s="29">
        <v>0.4</v>
      </c>
      <c r="E370" s="29">
        <v>0.9</v>
      </c>
      <c r="F370" s="29">
        <v>1.1399999999999999</v>
      </c>
      <c r="G370" s="29">
        <v>1.56</v>
      </c>
    </row>
    <row r="371" spans="2:7">
      <c r="B371" s="28">
        <v>45656</v>
      </c>
      <c r="C371" s="29">
        <v>0.3</v>
      </c>
      <c r="D371" s="29">
        <v>0.47</v>
      </c>
      <c r="E371" s="29">
        <v>0.99</v>
      </c>
      <c r="F371" s="29">
        <v>1.18</v>
      </c>
      <c r="G371" s="29">
        <v>1.76</v>
      </c>
    </row>
    <row r="372" spans="2:7">
      <c r="B372" s="28">
        <v>45657</v>
      </c>
      <c r="C372" s="29">
        <v>0.13</v>
      </c>
      <c r="D372" s="29">
        <v>0.47</v>
      </c>
      <c r="E372" s="29">
        <v>0.82</v>
      </c>
      <c r="F372" s="29">
        <v>1.1499999999999999</v>
      </c>
      <c r="G372" s="29">
        <v>1.57</v>
      </c>
    </row>
    <row r="373" spans="2:7">
      <c r="B373" s="28">
        <v>45658</v>
      </c>
      <c r="C373" s="29">
        <v>0.14000000000000001</v>
      </c>
      <c r="D373" s="29">
        <v>0.44</v>
      </c>
      <c r="E373" s="29">
        <v>0.81</v>
      </c>
      <c r="F373" s="29">
        <v>1.03</v>
      </c>
      <c r="G373" s="29">
        <v>1.81</v>
      </c>
    </row>
    <row r="374" spans="2:7">
      <c r="B374" s="28">
        <v>45659</v>
      </c>
      <c r="C374" s="29">
        <v>0.28999999999999998</v>
      </c>
      <c r="D374" s="29">
        <v>0.43</v>
      </c>
      <c r="E374" s="29">
        <v>0.81</v>
      </c>
      <c r="F374" s="29">
        <v>1.01</v>
      </c>
      <c r="G374" s="29">
        <v>1.47</v>
      </c>
    </row>
    <row r="375" spans="2:7">
      <c r="B375" s="28">
        <v>45660</v>
      </c>
      <c r="C375" s="29">
        <v>0.05</v>
      </c>
      <c r="D375" s="29">
        <v>0.43</v>
      </c>
      <c r="E375" s="29">
        <v>0.98</v>
      </c>
      <c r="F375" s="29">
        <v>1</v>
      </c>
      <c r="G375" s="29">
        <v>1.8</v>
      </c>
    </row>
    <row r="376" spans="2:7">
      <c r="B376" s="28">
        <v>45661</v>
      </c>
      <c r="C376" s="29">
        <v>0.34</v>
      </c>
      <c r="D376" s="29">
        <v>0.48</v>
      </c>
      <c r="E376" s="29">
        <v>0.86</v>
      </c>
      <c r="F376" s="29">
        <v>1.1200000000000001</v>
      </c>
      <c r="G376" s="29">
        <v>1.46</v>
      </c>
    </row>
    <row r="377" spans="2:7">
      <c r="B377" s="28">
        <v>45662</v>
      </c>
      <c r="C377" s="29">
        <v>0.3</v>
      </c>
      <c r="D377" s="29">
        <v>0.48</v>
      </c>
      <c r="E377" s="29">
        <v>0.9</v>
      </c>
      <c r="F377" s="29">
        <v>1.1299999999999999</v>
      </c>
      <c r="G377" s="29">
        <v>1.5</v>
      </c>
    </row>
    <row r="378" spans="2:7">
      <c r="B378" s="28">
        <v>45663</v>
      </c>
      <c r="C378" s="29">
        <v>0.28999999999999998</v>
      </c>
      <c r="D378" s="29">
        <v>0.43</v>
      </c>
      <c r="E378" s="29">
        <v>0.88</v>
      </c>
      <c r="F378" s="29">
        <v>1.22</v>
      </c>
      <c r="G378" s="29">
        <v>1.91</v>
      </c>
    </row>
    <row r="379" spans="2:7">
      <c r="B379" s="28">
        <v>45664</v>
      </c>
      <c r="C379" s="29">
        <v>0.21</v>
      </c>
      <c r="D379" s="29">
        <v>0.4</v>
      </c>
      <c r="E379" s="29">
        <v>0.96</v>
      </c>
      <c r="F379" s="29">
        <v>1.1299999999999999</v>
      </c>
      <c r="G379" s="29">
        <v>1.92</v>
      </c>
    </row>
    <row r="380" spans="2:7">
      <c r="B380" s="28">
        <v>45665</v>
      </c>
      <c r="C380" s="29">
        <v>0.39</v>
      </c>
      <c r="D380" s="29">
        <v>0.5</v>
      </c>
      <c r="E380" s="29">
        <v>0.98</v>
      </c>
      <c r="F380" s="29">
        <v>1.21</v>
      </c>
      <c r="G380" s="29">
        <v>1.84</v>
      </c>
    </row>
    <row r="381" spans="2:7">
      <c r="B381" s="28">
        <v>45666</v>
      </c>
      <c r="C381" s="29">
        <v>0.4</v>
      </c>
      <c r="D381" s="29">
        <v>0.41</v>
      </c>
      <c r="E381" s="29">
        <v>0.84</v>
      </c>
      <c r="F381" s="29">
        <v>1.02</v>
      </c>
      <c r="G381" s="29">
        <v>1.94</v>
      </c>
    </row>
    <row r="382" spans="2:7">
      <c r="B382" s="28">
        <v>45667</v>
      </c>
      <c r="C382" s="29">
        <v>0.23</v>
      </c>
      <c r="D382" s="29">
        <v>0.49</v>
      </c>
      <c r="E382" s="29">
        <v>0.98</v>
      </c>
      <c r="F382" s="29">
        <v>1.1599999999999999</v>
      </c>
      <c r="G382" s="29">
        <v>1.4</v>
      </c>
    </row>
  </sheetData>
  <mergeCells count="1">
    <mergeCell ref="B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485AF-4E1C-4CE5-BA0B-351C14E44C58}">
  <sheetPr codeName="Sheet5">
    <tabColor theme="5" tint="0.79998168889431442"/>
  </sheetPr>
  <dimension ref="B2:U68"/>
  <sheetViews>
    <sheetView workbookViewId="0">
      <selection activeCell="G30" sqref="G30"/>
    </sheetView>
  </sheetViews>
  <sheetFormatPr defaultColWidth="9.140625" defaultRowHeight="12.75"/>
  <cols>
    <col min="1" max="1" width="3" style="13" customWidth="1"/>
    <col min="2" max="2" width="7" style="13" bestFit="1" customWidth="1"/>
    <col min="3" max="3" width="19" style="13" bestFit="1" customWidth="1"/>
    <col min="4" max="4" width="27.42578125" style="13" bestFit="1" customWidth="1"/>
    <col min="5" max="5" width="24.5703125" style="13" customWidth="1"/>
    <col min="6" max="14" width="12.28515625" style="30" customWidth="1"/>
    <col min="15" max="15" width="9.140625" style="13"/>
    <col min="16" max="16" width="7" style="13" bestFit="1" customWidth="1"/>
    <col min="17" max="17" width="28.85546875" style="13" customWidth="1"/>
    <col min="18" max="18" width="19.5703125" style="13" customWidth="1"/>
    <col min="19" max="19" width="7.42578125" style="13" bestFit="1" customWidth="1"/>
    <col min="20" max="20" width="14" style="13" bestFit="1" customWidth="1"/>
    <col min="21" max="21" width="8.85546875" style="30" bestFit="1" customWidth="1"/>
    <col min="22" max="16384" width="9.140625" style="13"/>
  </cols>
  <sheetData>
    <row r="2" spans="2:21" ht="23.25">
      <c r="B2" s="149" t="s">
        <v>426</v>
      </c>
      <c r="C2" s="150"/>
      <c r="D2" s="150"/>
      <c r="E2" s="150"/>
      <c r="F2" s="150"/>
      <c r="G2" s="150"/>
      <c r="H2" s="123"/>
      <c r="I2" s="123"/>
      <c r="J2" s="123"/>
      <c r="K2" s="123"/>
      <c r="L2" s="123"/>
      <c r="M2" s="123"/>
      <c r="N2" s="123"/>
      <c r="P2" s="149" t="s">
        <v>871</v>
      </c>
      <c r="Q2" s="150"/>
      <c r="R2" s="150"/>
      <c r="S2" s="150"/>
      <c r="T2" s="150"/>
      <c r="U2" s="150"/>
    </row>
    <row r="4" spans="2:21" s="16" customFormat="1">
      <c r="B4" s="22" t="s">
        <v>872</v>
      </c>
      <c r="C4" s="14" t="s">
        <v>428</v>
      </c>
      <c r="D4" s="14" t="s">
        <v>429</v>
      </c>
      <c r="E4" s="14" t="s">
        <v>873</v>
      </c>
      <c r="F4" s="22" t="s">
        <v>366</v>
      </c>
      <c r="G4" s="22" t="s">
        <v>367</v>
      </c>
      <c r="H4" s="14" t="s">
        <v>874</v>
      </c>
      <c r="I4" s="14" t="s">
        <v>875</v>
      </c>
      <c r="J4" s="14" t="s">
        <v>876</v>
      </c>
      <c r="K4" s="124" t="s">
        <v>877</v>
      </c>
      <c r="L4" s="124" t="s">
        <v>878</v>
      </c>
      <c r="M4" s="124" t="s">
        <v>879</v>
      </c>
      <c r="N4" s="124" t="s">
        <v>880</v>
      </c>
      <c r="P4" s="22" t="s">
        <v>881</v>
      </c>
      <c r="Q4" s="14" t="s">
        <v>882</v>
      </c>
      <c r="R4" s="14" t="s">
        <v>874</v>
      </c>
      <c r="S4" s="14" t="s">
        <v>875</v>
      </c>
      <c r="T4" s="14" t="s">
        <v>876</v>
      </c>
      <c r="U4" s="22" t="s">
        <v>883</v>
      </c>
    </row>
    <row r="5" spans="2:21">
      <c r="B5" s="30">
        <v>12</v>
      </c>
      <c r="C5" s="13" t="s">
        <v>884</v>
      </c>
      <c r="D5" s="13" t="s">
        <v>885</v>
      </c>
      <c r="E5" s="13" t="s">
        <v>886</v>
      </c>
      <c r="F5" s="31">
        <v>6990</v>
      </c>
      <c r="G5" s="29">
        <v>1</v>
      </c>
      <c r="H5" s="29" t="str">
        <f t="shared" ref="H5:H43" si="0">INDEX(R$5:R$68,MATCH($E5,$Q$5:$Q$68,0))</f>
        <v>Druid, Rogue</v>
      </c>
      <c r="I5" s="29" t="str">
        <f t="shared" ref="I5:I43" si="1">INDEX(S$5:S$68,MATCH($E5,$Q$5:$Q$68,0))</f>
        <v>Agility</v>
      </c>
      <c r="J5" s="29">
        <f t="shared" ref="J5:J43" si="2">INDEX(T$5:T$68,MATCH($E5,$Q$5:$Q$68,0))</f>
        <v>20</v>
      </c>
      <c r="K5" s="31">
        <f>COUNTIFS($I$5:I5,I5,$H$5:H5,H5)</f>
        <v>1</v>
      </c>
      <c r="L5" s="31">
        <f>SUMIFS($J$5:$J$43,$I$5:$I$43,I5,$K$5:$K$43,"&lt;="&amp;K5,$H$5:$H$43,H5)</f>
        <v>20</v>
      </c>
      <c r="M5" s="31">
        <f>SUMIFS($F$5:$F$43,$I$5:$I$43,I5,$K$5:$K$43,"&lt;="&amp;K5,$H$5:$H$43,H5)</f>
        <v>6990</v>
      </c>
      <c r="N5" s="125">
        <f>SUMIFS($G$5:$G$43,$I$5:$I$43,I5,$K$5:$K$43,"&lt;="&amp;K5,$H$5:$H$43,H5)</f>
        <v>1</v>
      </c>
      <c r="P5" s="30">
        <v>1</v>
      </c>
      <c r="Q5" s="13" t="s">
        <v>887</v>
      </c>
      <c r="R5" s="13" t="s">
        <v>71</v>
      </c>
      <c r="S5" s="13" t="s">
        <v>229</v>
      </c>
      <c r="T5" s="32">
        <v>100</v>
      </c>
      <c r="U5" s="31" t="s">
        <v>888</v>
      </c>
    </row>
    <row r="6" spans="2:21">
      <c r="B6" s="30">
        <v>4</v>
      </c>
      <c r="C6" s="13" t="s">
        <v>101</v>
      </c>
      <c r="D6" s="13" t="s">
        <v>889</v>
      </c>
      <c r="E6" s="13" t="s">
        <v>890</v>
      </c>
      <c r="F6" s="31">
        <v>5499</v>
      </c>
      <c r="G6" s="29">
        <v>1.1000000000000001</v>
      </c>
      <c r="H6" s="29" t="str">
        <f t="shared" si="0"/>
        <v>Druid, Rogue</v>
      </c>
      <c r="I6" s="29" t="str">
        <f t="shared" si="1"/>
        <v>Agility</v>
      </c>
      <c r="J6" s="29">
        <f t="shared" si="2"/>
        <v>20</v>
      </c>
      <c r="K6" s="31">
        <f>COUNTIFS($I$5:I6,I6,$H$5:H6,H6)</f>
        <v>2</v>
      </c>
      <c r="L6" s="31">
        <f t="shared" ref="L6:L43" si="3">SUMIFS($J$5:$J$43,$I$5:$I$43,I6,$K$5:$K$43,"&lt;="&amp;K6,$H$5:$H$43,H6)</f>
        <v>40</v>
      </c>
      <c r="M6" s="31">
        <f t="shared" ref="M6:M43" si="4">SUMIFS($F$5:$F$43,$I$5:$I$43,I6,$K$5:$K$43,"&lt;="&amp;K6,$H$5:$H$43,H6)</f>
        <v>12489</v>
      </c>
      <c r="N6" s="125">
        <f t="shared" ref="N6:N43" si="5">SUMIFS($G$5:$G$43,$I$5:$I$43,I6,$K$5:$K$43,"&lt;="&amp;K6,$H$5:$H$43,H6)</f>
        <v>2.1</v>
      </c>
      <c r="P6" s="30">
        <v>2</v>
      </c>
      <c r="Q6" s="13" t="s">
        <v>891</v>
      </c>
      <c r="R6" s="13" t="s">
        <v>71</v>
      </c>
      <c r="S6" s="13" t="s">
        <v>229</v>
      </c>
      <c r="T6" s="32">
        <v>80</v>
      </c>
      <c r="U6" s="31" t="s">
        <v>892</v>
      </c>
    </row>
    <row r="7" spans="2:21">
      <c r="B7" s="30">
        <v>34</v>
      </c>
      <c r="C7" s="19" t="s">
        <v>893</v>
      </c>
      <c r="D7" s="20" t="s">
        <v>894</v>
      </c>
      <c r="E7" s="20" t="s">
        <v>895</v>
      </c>
      <c r="F7" s="31">
        <v>6500</v>
      </c>
      <c r="G7" s="29">
        <v>0.55000000000000004</v>
      </c>
      <c r="H7" s="29" t="str">
        <f t="shared" si="0"/>
        <v>Druid, Rogue</v>
      </c>
      <c r="I7" s="29" t="str">
        <f t="shared" si="1"/>
        <v>Agility</v>
      </c>
      <c r="J7" s="29">
        <f t="shared" si="2"/>
        <v>15</v>
      </c>
      <c r="K7" s="31">
        <f>COUNTIFS($I$5:I7,I7,$H$5:H7,H7)</f>
        <v>3</v>
      </c>
      <c r="L7" s="31">
        <f t="shared" si="3"/>
        <v>55</v>
      </c>
      <c r="M7" s="31">
        <f t="shared" si="4"/>
        <v>18989</v>
      </c>
      <c r="N7" s="125">
        <f t="shared" si="5"/>
        <v>2.6500000000000004</v>
      </c>
      <c r="P7" s="30">
        <v>3</v>
      </c>
      <c r="Q7" s="13" t="s">
        <v>896</v>
      </c>
      <c r="R7" s="13" t="s">
        <v>71</v>
      </c>
      <c r="S7" s="13" t="s">
        <v>229</v>
      </c>
      <c r="T7" s="32">
        <v>120</v>
      </c>
      <c r="U7" s="31" t="s">
        <v>897</v>
      </c>
    </row>
    <row r="8" spans="2:21">
      <c r="B8" s="30">
        <v>15</v>
      </c>
      <c r="C8" s="13" t="s">
        <v>898</v>
      </c>
      <c r="D8" s="13" t="s">
        <v>899</v>
      </c>
      <c r="E8" s="13" t="s">
        <v>900</v>
      </c>
      <c r="F8" s="31">
        <v>5300</v>
      </c>
      <c r="G8" s="29">
        <v>0.4</v>
      </c>
      <c r="H8" s="29" t="str">
        <f t="shared" si="0"/>
        <v>Druid, Rogue</v>
      </c>
      <c r="I8" s="29" t="str">
        <f t="shared" si="1"/>
        <v>Agility</v>
      </c>
      <c r="J8" s="29">
        <f t="shared" si="2"/>
        <v>12</v>
      </c>
      <c r="K8" s="31">
        <f>COUNTIFS($I$5:I8,I8,$H$5:H8,H8)</f>
        <v>4</v>
      </c>
      <c r="L8" s="31">
        <f t="shared" si="3"/>
        <v>67</v>
      </c>
      <c r="M8" s="31">
        <f t="shared" si="4"/>
        <v>24289</v>
      </c>
      <c r="N8" s="125">
        <f t="shared" si="5"/>
        <v>3.0500000000000003</v>
      </c>
      <c r="P8" s="30">
        <v>4</v>
      </c>
      <c r="Q8" s="13" t="s">
        <v>901</v>
      </c>
      <c r="R8" s="13" t="s">
        <v>71</v>
      </c>
      <c r="S8" s="13" t="s">
        <v>229</v>
      </c>
      <c r="T8" s="32">
        <v>50</v>
      </c>
      <c r="U8" s="31" t="s">
        <v>902</v>
      </c>
    </row>
    <row r="9" spans="2:21">
      <c r="B9" s="30">
        <v>5</v>
      </c>
      <c r="C9" s="13" t="s">
        <v>95</v>
      </c>
      <c r="D9" s="13" t="s">
        <v>903</v>
      </c>
      <c r="E9" s="13" t="s">
        <v>904</v>
      </c>
      <c r="F9" s="31">
        <v>4905</v>
      </c>
      <c r="G9" s="29">
        <v>0.75</v>
      </c>
      <c r="H9" s="29" t="str">
        <f t="shared" si="0"/>
        <v>Druid, Rogue</v>
      </c>
      <c r="I9" s="29" t="str">
        <f t="shared" si="1"/>
        <v>Agility</v>
      </c>
      <c r="J9" s="29">
        <f t="shared" si="2"/>
        <v>12</v>
      </c>
      <c r="K9" s="31">
        <f>COUNTIFS($I$5:I9,I9,$H$5:H9,H9)</f>
        <v>5</v>
      </c>
      <c r="L9" s="31">
        <f t="shared" si="3"/>
        <v>79</v>
      </c>
      <c r="M9" s="31">
        <f t="shared" si="4"/>
        <v>29194</v>
      </c>
      <c r="N9" s="125">
        <f t="shared" si="5"/>
        <v>3.8000000000000003</v>
      </c>
      <c r="P9" s="30">
        <v>5</v>
      </c>
      <c r="Q9" s="13" t="s">
        <v>905</v>
      </c>
      <c r="R9" s="13" t="s">
        <v>71</v>
      </c>
      <c r="S9" s="13" t="s">
        <v>229</v>
      </c>
      <c r="T9" s="32">
        <v>60</v>
      </c>
      <c r="U9" s="31" t="s">
        <v>906</v>
      </c>
    </row>
    <row r="10" spans="2:21">
      <c r="B10" s="30">
        <v>38</v>
      </c>
      <c r="C10" s="19" t="s">
        <v>907</v>
      </c>
      <c r="D10" s="20" t="s">
        <v>908</v>
      </c>
      <c r="E10" s="20" t="s">
        <v>909</v>
      </c>
      <c r="F10" s="31">
        <v>5000</v>
      </c>
      <c r="G10" s="29">
        <v>1.3</v>
      </c>
      <c r="H10" s="29" t="str">
        <f t="shared" si="0"/>
        <v>Druid, Rogue</v>
      </c>
      <c r="I10" s="29" t="str">
        <f t="shared" si="1"/>
        <v>Agility</v>
      </c>
      <c r="J10" s="29">
        <f t="shared" si="2"/>
        <v>10</v>
      </c>
      <c r="K10" s="31">
        <f>COUNTIFS($I$5:I10,I10,$H$5:H10,H10)</f>
        <v>6</v>
      </c>
      <c r="L10" s="31">
        <f t="shared" si="3"/>
        <v>89</v>
      </c>
      <c r="M10" s="31">
        <f t="shared" si="4"/>
        <v>34194</v>
      </c>
      <c r="N10" s="125">
        <f t="shared" si="5"/>
        <v>5.1000000000000005</v>
      </c>
      <c r="P10" s="30">
        <v>6</v>
      </c>
      <c r="Q10" s="13" t="s">
        <v>910</v>
      </c>
      <c r="R10" s="13" t="s">
        <v>71</v>
      </c>
      <c r="S10" s="13" t="s">
        <v>229</v>
      </c>
      <c r="T10" s="32">
        <v>110</v>
      </c>
      <c r="U10" s="31" t="s">
        <v>911</v>
      </c>
    </row>
    <row r="11" spans="2:21">
      <c r="B11" s="30">
        <v>30</v>
      </c>
      <c r="C11" s="19" t="s">
        <v>893</v>
      </c>
      <c r="D11" s="20" t="s">
        <v>912</v>
      </c>
      <c r="E11" s="20" t="s">
        <v>913</v>
      </c>
      <c r="F11" s="31">
        <v>6000</v>
      </c>
      <c r="G11" s="29">
        <v>0.5</v>
      </c>
      <c r="H11" s="29" t="str">
        <f t="shared" si="0"/>
        <v>Druid, Rogue</v>
      </c>
      <c r="I11" s="29" t="str">
        <f t="shared" si="1"/>
        <v>Agility</v>
      </c>
      <c r="J11" s="29">
        <f t="shared" si="2"/>
        <v>8</v>
      </c>
      <c r="K11" s="31">
        <f>COUNTIFS($I$5:I11,I11,$H$5:H11,H11)</f>
        <v>7</v>
      </c>
      <c r="L11" s="31">
        <f t="shared" si="3"/>
        <v>97</v>
      </c>
      <c r="M11" s="31">
        <f t="shared" si="4"/>
        <v>40194</v>
      </c>
      <c r="N11" s="125">
        <f t="shared" si="5"/>
        <v>5.6000000000000005</v>
      </c>
      <c r="P11" s="30">
        <v>7</v>
      </c>
      <c r="Q11" s="13" t="s">
        <v>914</v>
      </c>
      <c r="R11" s="13" t="s">
        <v>71</v>
      </c>
      <c r="S11" s="13" t="s">
        <v>229</v>
      </c>
      <c r="T11" s="32">
        <v>75</v>
      </c>
      <c r="U11" s="31" t="s">
        <v>915</v>
      </c>
    </row>
    <row r="12" spans="2:21">
      <c r="B12" s="30">
        <v>6</v>
      </c>
      <c r="C12" s="13" t="s">
        <v>95</v>
      </c>
      <c r="D12" s="13" t="s">
        <v>916</v>
      </c>
      <c r="E12" s="13" t="s">
        <v>917</v>
      </c>
      <c r="F12" s="31">
        <v>4505</v>
      </c>
      <c r="G12" s="29">
        <v>0.5</v>
      </c>
      <c r="H12" s="29" t="str">
        <f t="shared" si="0"/>
        <v>Druid, Rogue</v>
      </c>
      <c r="I12" s="29" t="str">
        <f t="shared" si="1"/>
        <v>Agility</v>
      </c>
      <c r="J12" s="29">
        <f t="shared" si="2"/>
        <v>8</v>
      </c>
      <c r="K12" s="31">
        <f>COUNTIFS($I$5:I12,I12,$H$5:H12,H12)</f>
        <v>8</v>
      </c>
      <c r="L12" s="31">
        <f t="shared" si="3"/>
        <v>105</v>
      </c>
      <c r="M12" s="31">
        <f t="shared" si="4"/>
        <v>44699</v>
      </c>
      <c r="N12" s="125">
        <f t="shared" si="5"/>
        <v>6.1000000000000005</v>
      </c>
      <c r="P12" s="30">
        <v>8</v>
      </c>
      <c r="Q12" s="13" t="s">
        <v>918</v>
      </c>
      <c r="R12" s="13" t="s">
        <v>71</v>
      </c>
      <c r="S12" s="13" t="s">
        <v>229</v>
      </c>
      <c r="T12" s="32">
        <v>40</v>
      </c>
      <c r="U12" s="31" t="s">
        <v>919</v>
      </c>
    </row>
    <row r="13" spans="2:21">
      <c r="B13" s="30">
        <v>31</v>
      </c>
      <c r="C13" s="19" t="s">
        <v>920</v>
      </c>
      <c r="D13" s="20" t="s">
        <v>921</v>
      </c>
      <c r="E13" s="20" t="s">
        <v>922</v>
      </c>
      <c r="F13" s="31">
        <v>4725</v>
      </c>
      <c r="G13" s="29">
        <v>1.2</v>
      </c>
      <c r="H13" s="29" t="str">
        <f t="shared" si="0"/>
        <v>Hunter</v>
      </c>
      <c r="I13" s="29" t="str">
        <f t="shared" si="1"/>
        <v>Agility</v>
      </c>
      <c r="J13" s="29">
        <f t="shared" si="2"/>
        <v>25</v>
      </c>
      <c r="K13" s="31">
        <f>COUNTIFS($I$5:I13,I13,$H$5:H13,H13)</f>
        <v>1</v>
      </c>
      <c r="L13" s="31">
        <f t="shared" si="3"/>
        <v>25</v>
      </c>
      <c r="M13" s="31">
        <f t="shared" si="4"/>
        <v>4725</v>
      </c>
      <c r="N13" s="125">
        <f t="shared" si="5"/>
        <v>1.2</v>
      </c>
      <c r="P13" s="30">
        <v>9</v>
      </c>
      <c r="Q13" s="13" t="s">
        <v>923</v>
      </c>
      <c r="R13" s="13" t="s">
        <v>924</v>
      </c>
      <c r="S13" s="13" t="s">
        <v>227</v>
      </c>
      <c r="T13" s="32">
        <v>15</v>
      </c>
      <c r="U13" s="31" t="s">
        <v>888</v>
      </c>
    </row>
    <row r="14" spans="2:21">
      <c r="B14" s="30">
        <v>37</v>
      </c>
      <c r="C14" s="19" t="s">
        <v>907</v>
      </c>
      <c r="D14" s="20" t="s">
        <v>925</v>
      </c>
      <c r="E14" s="20" t="s">
        <v>926</v>
      </c>
      <c r="F14" s="31">
        <v>5200</v>
      </c>
      <c r="G14" s="29">
        <v>0.6</v>
      </c>
      <c r="H14" s="29" t="str">
        <f t="shared" si="0"/>
        <v>Hunter</v>
      </c>
      <c r="I14" s="29" t="str">
        <f t="shared" si="1"/>
        <v>Agility</v>
      </c>
      <c r="J14" s="29">
        <f t="shared" si="2"/>
        <v>20</v>
      </c>
      <c r="K14" s="31">
        <f>COUNTIFS($I$5:I14,I14,$H$5:H14,H14)</f>
        <v>2</v>
      </c>
      <c r="L14" s="31">
        <f t="shared" si="3"/>
        <v>45</v>
      </c>
      <c r="M14" s="31">
        <f t="shared" si="4"/>
        <v>9925</v>
      </c>
      <c r="N14" s="125">
        <f t="shared" si="5"/>
        <v>1.7999999999999998</v>
      </c>
      <c r="P14" s="30">
        <v>10</v>
      </c>
      <c r="Q14" s="13" t="s">
        <v>927</v>
      </c>
      <c r="R14" s="13" t="s">
        <v>924</v>
      </c>
      <c r="S14" s="13" t="s">
        <v>227</v>
      </c>
      <c r="T14" s="32">
        <v>12</v>
      </c>
      <c r="U14" s="31" t="s">
        <v>892</v>
      </c>
    </row>
    <row r="15" spans="2:21">
      <c r="B15" s="30">
        <v>32</v>
      </c>
      <c r="C15" s="19" t="s">
        <v>928</v>
      </c>
      <c r="D15" s="20" t="s">
        <v>929</v>
      </c>
      <c r="E15" s="20" t="s">
        <v>930</v>
      </c>
      <c r="F15" s="31">
        <v>5600</v>
      </c>
      <c r="G15" s="29">
        <v>1.5</v>
      </c>
      <c r="H15" s="29" t="str">
        <f t="shared" si="0"/>
        <v>Hunter</v>
      </c>
      <c r="I15" s="29" t="str">
        <f t="shared" si="1"/>
        <v>Agility</v>
      </c>
      <c r="J15" s="29">
        <f t="shared" si="2"/>
        <v>15</v>
      </c>
      <c r="K15" s="31">
        <f>COUNTIFS($I$5:I15,I15,$H$5:H15,H15)</f>
        <v>3</v>
      </c>
      <c r="L15" s="31">
        <f t="shared" si="3"/>
        <v>60</v>
      </c>
      <c r="M15" s="31">
        <f t="shared" si="4"/>
        <v>15525</v>
      </c>
      <c r="N15" s="125">
        <f t="shared" si="5"/>
        <v>3.3</v>
      </c>
      <c r="P15" s="30">
        <v>11</v>
      </c>
      <c r="Q15" s="13" t="s">
        <v>931</v>
      </c>
      <c r="R15" s="13" t="s">
        <v>924</v>
      </c>
      <c r="S15" s="13" t="s">
        <v>227</v>
      </c>
      <c r="T15" s="32">
        <v>30</v>
      </c>
      <c r="U15" s="31" t="s">
        <v>897</v>
      </c>
    </row>
    <row r="16" spans="2:21">
      <c r="B16" s="30">
        <v>17</v>
      </c>
      <c r="C16" s="13" t="s">
        <v>932</v>
      </c>
      <c r="D16" s="13" t="s">
        <v>933</v>
      </c>
      <c r="E16" s="13" t="s">
        <v>934</v>
      </c>
      <c r="F16" s="31">
        <v>4300</v>
      </c>
      <c r="G16" s="29">
        <v>0.5</v>
      </c>
      <c r="H16" s="29" t="str">
        <f t="shared" si="0"/>
        <v>Hunter</v>
      </c>
      <c r="I16" s="29" t="str">
        <f t="shared" si="1"/>
        <v>Agility</v>
      </c>
      <c r="J16" s="29">
        <f t="shared" si="2"/>
        <v>12</v>
      </c>
      <c r="K16" s="31">
        <f>COUNTIFS($I$5:I16,I16,$H$5:H16,H16)</f>
        <v>4</v>
      </c>
      <c r="L16" s="31">
        <f t="shared" si="3"/>
        <v>72</v>
      </c>
      <c r="M16" s="31">
        <f t="shared" si="4"/>
        <v>19825</v>
      </c>
      <c r="N16" s="125">
        <f t="shared" si="5"/>
        <v>3.8</v>
      </c>
      <c r="P16" s="30">
        <v>12</v>
      </c>
      <c r="Q16" s="13" t="s">
        <v>935</v>
      </c>
      <c r="R16" s="13" t="s">
        <v>924</v>
      </c>
      <c r="S16" s="13" t="s">
        <v>227</v>
      </c>
      <c r="T16" s="32">
        <v>10</v>
      </c>
      <c r="U16" s="31" t="s">
        <v>902</v>
      </c>
    </row>
    <row r="17" spans="2:21">
      <c r="B17" s="30">
        <v>8</v>
      </c>
      <c r="C17" s="13" t="s">
        <v>98</v>
      </c>
      <c r="D17" s="13" t="s">
        <v>936</v>
      </c>
      <c r="E17" s="13" t="s">
        <v>937</v>
      </c>
      <c r="F17" s="31">
        <v>6003</v>
      </c>
      <c r="G17" s="29">
        <v>1.3</v>
      </c>
      <c r="H17" s="29" t="str">
        <f t="shared" si="0"/>
        <v>Hunter</v>
      </c>
      <c r="I17" s="29" t="str">
        <f t="shared" si="1"/>
        <v>Agility</v>
      </c>
      <c r="J17" s="29">
        <f t="shared" si="2"/>
        <v>10</v>
      </c>
      <c r="K17" s="31">
        <f>COUNTIFS($I$5:I17,I17,$H$5:H17,H17)</f>
        <v>5</v>
      </c>
      <c r="L17" s="31">
        <f t="shared" si="3"/>
        <v>82</v>
      </c>
      <c r="M17" s="31">
        <f t="shared" si="4"/>
        <v>25828</v>
      </c>
      <c r="N17" s="125">
        <f t="shared" si="5"/>
        <v>5.0999999999999996</v>
      </c>
      <c r="P17" s="30">
        <v>13</v>
      </c>
      <c r="Q17" s="13" t="s">
        <v>938</v>
      </c>
      <c r="R17" s="13" t="s">
        <v>924</v>
      </c>
      <c r="S17" s="13" t="s">
        <v>227</v>
      </c>
      <c r="T17" s="32">
        <v>12</v>
      </c>
      <c r="U17" s="31" t="s">
        <v>906</v>
      </c>
    </row>
    <row r="18" spans="2:21">
      <c r="B18" s="30">
        <v>7</v>
      </c>
      <c r="C18" s="13" t="s">
        <v>105</v>
      </c>
      <c r="D18" s="13" t="s">
        <v>939</v>
      </c>
      <c r="E18" s="13" t="s">
        <v>940</v>
      </c>
      <c r="F18" s="31">
        <v>5002</v>
      </c>
      <c r="G18" s="29">
        <v>0.8</v>
      </c>
      <c r="H18" s="29" t="str">
        <f t="shared" si="0"/>
        <v>Hunter</v>
      </c>
      <c r="I18" s="29" t="str">
        <f t="shared" si="1"/>
        <v>Agility</v>
      </c>
      <c r="J18" s="29">
        <f t="shared" si="2"/>
        <v>8</v>
      </c>
      <c r="K18" s="31">
        <f>COUNTIFS($I$5:I18,I18,$H$5:H18,H18)</f>
        <v>6</v>
      </c>
      <c r="L18" s="31">
        <f t="shared" si="3"/>
        <v>90</v>
      </c>
      <c r="M18" s="31">
        <f t="shared" si="4"/>
        <v>30830</v>
      </c>
      <c r="N18" s="125">
        <f t="shared" si="5"/>
        <v>5.8999999999999995</v>
      </c>
      <c r="P18" s="30">
        <v>14</v>
      </c>
      <c r="Q18" s="13" t="s">
        <v>941</v>
      </c>
      <c r="R18" s="13" t="s">
        <v>924</v>
      </c>
      <c r="S18" s="13" t="s">
        <v>227</v>
      </c>
      <c r="T18" s="32">
        <v>25</v>
      </c>
      <c r="U18" s="31" t="s">
        <v>911</v>
      </c>
    </row>
    <row r="19" spans="2:21">
      <c r="B19" s="30">
        <v>27</v>
      </c>
      <c r="C19" s="19" t="s">
        <v>907</v>
      </c>
      <c r="D19" s="20" t="s">
        <v>942</v>
      </c>
      <c r="E19" s="20" t="s">
        <v>943</v>
      </c>
      <c r="F19" s="31">
        <v>7000</v>
      </c>
      <c r="G19" s="29">
        <v>0.85</v>
      </c>
      <c r="H19" s="29" t="str">
        <f t="shared" si="0"/>
        <v>Shaman</v>
      </c>
      <c r="I19" s="29" t="str">
        <f t="shared" si="1"/>
        <v>Strength</v>
      </c>
      <c r="J19" s="29">
        <f t="shared" si="2"/>
        <v>20</v>
      </c>
      <c r="K19" s="31">
        <f>COUNTIFS($I$5:I19,I19,$H$5:H19,H19)</f>
        <v>1</v>
      </c>
      <c r="L19" s="31">
        <f t="shared" si="3"/>
        <v>20</v>
      </c>
      <c r="M19" s="31">
        <f t="shared" si="4"/>
        <v>7000</v>
      </c>
      <c r="N19" s="125">
        <f t="shared" si="5"/>
        <v>0.85</v>
      </c>
      <c r="P19" s="30">
        <v>15</v>
      </c>
      <c r="Q19" s="13" t="s">
        <v>944</v>
      </c>
      <c r="R19" s="13" t="s">
        <v>924</v>
      </c>
      <c r="S19" s="13" t="s">
        <v>227</v>
      </c>
      <c r="T19" s="32">
        <v>15</v>
      </c>
      <c r="U19" s="31" t="s">
        <v>915</v>
      </c>
    </row>
    <row r="20" spans="2:21">
      <c r="B20" s="30">
        <v>24</v>
      </c>
      <c r="C20" s="19" t="s">
        <v>907</v>
      </c>
      <c r="D20" s="20" t="s">
        <v>945</v>
      </c>
      <c r="E20" s="20" t="s">
        <v>946</v>
      </c>
      <c r="F20" s="31">
        <v>8000</v>
      </c>
      <c r="G20" s="29">
        <v>1.3</v>
      </c>
      <c r="H20" s="29" t="str">
        <f t="shared" si="0"/>
        <v>Shaman</v>
      </c>
      <c r="I20" s="29" t="str">
        <f t="shared" si="1"/>
        <v>Strength</v>
      </c>
      <c r="J20" s="29">
        <f t="shared" si="2"/>
        <v>15</v>
      </c>
      <c r="K20" s="31">
        <f>COUNTIFS($I$5:I20,I20,$H$5:H20,H20)</f>
        <v>2</v>
      </c>
      <c r="L20" s="31">
        <f t="shared" si="3"/>
        <v>35</v>
      </c>
      <c r="M20" s="31">
        <f t="shared" si="4"/>
        <v>15000</v>
      </c>
      <c r="N20" s="125">
        <f t="shared" si="5"/>
        <v>2.15</v>
      </c>
      <c r="P20" s="30">
        <v>16</v>
      </c>
      <c r="Q20" s="13" t="s">
        <v>947</v>
      </c>
      <c r="R20" s="13" t="s">
        <v>924</v>
      </c>
      <c r="S20" s="13" t="s">
        <v>227</v>
      </c>
      <c r="T20" s="32">
        <v>10</v>
      </c>
      <c r="U20" s="31" t="s">
        <v>919</v>
      </c>
    </row>
    <row r="21" spans="2:21">
      <c r="B21" s="30">
        <v>16</v>
      </c>
      <c r="C21" s="13" t="s">
        <v>898</v>
      </c>
      <c r="D21" s="13" t="s">
        <v>948</v>
      </c>
      <c r="E21" s="13" t="s">
        <v>949</v>
      </c>
      <c r="F21" s="31">
        <v>7500</v>
      </c>
      <c r="G21" s="29">
        <v>1.4</v>
      </c>
      <c r="H21" s="29" t="str">
        <f t="shared" si="0"/>
        <v>Shaman</v>
      </c>
      <c r="I21" s="29" t="str">
        <f t="shared" si="1"/>
        <v>Strength</v>
      </c>
      <c r="J21" s="29">
        <f t="shared" si="2"/>
        <v>15</v>
      </c>
      <c r="K21" s="31">
        <f>COUNTIFS($I$5:I21,I21,$H$5:H21,H21)</f>
        <v>3</v>
      </c>
      <c r="L21" s="31">
        <f t="shared" si="3"/>
        <v>50</v>
      </c>
      <c r="M21" s="31">
        <f t="shared" si="4"/>
        <v>22500</v>
      </c>
      <c r="N21" s="125">
        <f t="shared" si="5"/>
        <v>3.55</v>
      </c>
      <c r="P21" s="30">
        <v>17</v>
      </c>
      <c r="Q21" s="13" t="s">
        <v>950</v>
      </c>
      <c r="R21" s="13" t="s">
        <v>924</v>
      </c>
      <c r="S21" s="13" t="s">
        <v>227</v>
      </c>
      <c r="T21" s="32">
        <v>20</v>
      </c>
      <c r="U21" s="31" t="s">
        <v>888</v>
      </c>
    </row>
    <row r="22" spans="2:21">
      <c r="B22" s="30">
        <v>39</v>
      </c>
      <c r="C22" s="19" t="s">
        <v>907</v>
      </c>
      <c r="D22" s="20" t="s">
        <v>951</v>
      </c>
      <c r="E22" s="20" t="s">
        <v>952</v>
      </c>
      <c r="F22" s="31">
        <v>4500</v>
      </c>
      <c r="G22" s="29">
        <v>0.65</v>
      </c>
      <c r="H22" s="29" t="str">
        <f t="shared" si="0"/>
        <v>Shaman</v>
      </c>
      <c r="I22" s="29" t="str">
        <f t="shared" si="1"/>
        <v>Strength</v>
      </c>
      <c r="J22" s="29">
        <f t="shared" si="2"/>
        <v>15</v>
      </c>
      <c r="K22" s="31">
        <f>COUNTIFS($I$5:I22,I22,$H$5:H22,H22)</f>
        <v>4</v>
      </c>
      <c r="L22" s="31">
        <f t="shared" si="3"/>
        <v>65</v>
      </c>
      <c r="M22" s="31">
        <f t="shared" si="4"/>
        <v>27000</v>
      </c>
      <c r="N22" s="125">
        <f t="shared" si="5"/>
        <v>4.2</v>
      </c>
      <c r="P22" s="30">
        <v>18</v>
      </c>
      <c r="Q22" s="13" t="s">
        <v>953</v>
      </c>
      <c r="R22" s="13" t="s">
        <v>924</v>
      </c>
      <c r="S22" s="13" t="s">
        <v>227</v>
      </c>
      <c r="T22" s="32">
        <v>15</v>
      </c>
      <c r="U22" s="31" t="s">
        <v>892</v>
      </c>
    </row>
    <row r="23" spans="2:21">
      <c r="B23" s="30">
        <v>20</v>
      </c>
      <c r="C23" s="13" t="s">
        <v>954</v>
      </c>
      <c r="D23" s="13" t="s">
        <v>955</v>
      </c>
      <c r="E23" s="13" t="s">
        <v>956</v>
      </c>
      <c r="F23" s="31">
        <v>8150</v>
      </c>
      <c r="G23" s="29">
        <v>1.3</v>
      </c>
      <c r="H23" s="29" t="str">
        <f t="shared" si="0"/>
        <v>Shaman</v>
      </c>
      <c r="I23" s="29" t="str">
        <f t="shared" si="1"/>
        <v>Strength</v>
      </c>
      <c r="J23" s="29">
        <f t="shared" si="2"/>
        <v>12</v>
      </c>
      <c r="K23" s="31">
        <f>COUNTIFS($I$5:I23,I23,$H$5:H23,H23)</f>
        <v>5</v>
      </c>
      <c r="L23" s="31">
        <f t="shared" si="3"/>
        <v>77</v>
      </c>
      <c r="M23" s="31">
        <f t="shared" si="4"/>
        <v>35150</v>
      </c>
      <c r="N23" s="125">
        <f t="shared" si="5"/>
        <v>5.5</v>
      </c>
      <c r="P23" s="30">
        <v>19</v>
      </c>
      <c r="Q23" s="13" t="s">
        <v>957</v>
      </c>
      <c r="R23" s="13" t="s">
        <v>924</v>
      </c>
      <c r="S23" s="13" t="s">
        <v>227</v>
      </c>
      <c r="T23" s="32">
        <v>25</v>
      </c>
      <c r="U23" s="31" t="s">
        <v>897</v>
      </c>
    </row>
    <row r="24" spans="2:21">
      <c r="B24" s="30">
        <v>9</v>
      </c>
      <c r="C24" s="13" t="s">
        <v>91</v>
      </c>
      <c r="D24" s="13" t="s">
        <v>790</v>
      </c>
      <c r="E24" s="13" t="s">
        <v>958</v>
      </c>
      <c r="F24" s="31">
        <v>4600</v>
      </c>
      <c r="G24" s="29">
        <v>0.6</v>
      </c>
      <c r="H24" s="29" t="str">
        <f t="shared" si="0"/>
        <v>Shaman</v>
      </c>
      <c r="I24" s="29" t="str">
        <f t="shared" si="1"/>
        <v>Strength</v>
      </c>
      <c r="J24" s="29">
        <f t="shared" si="2"/>
        <v>10</v>
      </c>
      <c r="K24" s="31">
        <f>COUNTIFS($I$5:I24,I24,$H$5:H24,H24)</f>
        <v>6</v>
      </c>
      <c r="L24" s="31">
        <f t="shared" si="3"/>
        <v>87</v>
      </c>
      <c r="M24" s="31">
        <f t="shared" si="4"/>
        <v>39750</v>
      </c>
      <c r="N24" s="125">
        <f t="shared" si="5"/>
        <v>6.1</v>
      </c>
      <c r="P24" s="30">
        <v>20</v>
      </c>
      <c r="Q24" s="13" t="s">
        <v>959</v>
      </c>
      <c r="R24" s="13" t="s">
        <v>924</v>
      </c>
      <c r="S24" s="13" t="s">
        <v>227</v>
      </c>
      <c r="T24" s="32">
        <v>15</v>
      </c>
      <c r="U24" s="31" t="s">
        <v>902</v>
      </c>
    </row>
    <row r="25" spans="2:21">
      <c r="B25" s="30">
        <v>21</v>
      </c>
      <c r="C25" s="19" t="s">
        <v>91</v>
      </c>
      <c r="D25" s="20" t="s">
        <v>960</v>
      </c>
      <c r="E25" s="20" t="s">
        <v>961</v>
      </c>
      <c r="F25" s="31">
        <v>4200</v>
      </c>
      <c r="G25" s="29">
        <v>0.3</v>
      </c>
      <c r="H25" s="29" t="str">
        <f t="shared" si="0"/>
        <v>Shaman</v>
      </c>
      <c r="I25" s="29" t="str">
        <f t="shared" si="1"/>
        <v>Strength</v>
      </c>
      <c r="J25" s="29">
        <f t="shared" si="2"/>
        <v>10</v>
      </c>
      <c r="K25" s="31">
        <f>COUNTIFS($I$5:I25,I25,$H$5:H25,H25)</f>
        <v>7</v>
      </c>
      <c r="L25" s="31">
        <f t="shared" si="3"/>
        <v>97</v>
      </c>
      <c r="M25" s="31">
        <f t="shared" si="4"/>
        <v>43950</v>
      </c>
      <c r="N25" s="125">
        <f t="shared" si="5"/>
        <v>6.3999999999999995</v>
      </c>
      <c r="P25" s="30">
        <v>21</v>
      </c>
      <c r="Q25" s="19" t="s">
        <v>962</v>
      </c>
      <c r="R25" s="13" t="s">
        <v>924</v>
      </c>
      <c r="S25" s="20" t="s">
        <v>227</v>
      </c>
      <c r="T25" s="32">
        <v>10</v>
      </c>
      <c r="U25" s="31" t="s">
        <v>906</v>
      </c>
    </row>
    <row r="26" spans="2:21">
      <c r="B26" s="30">
        <v>29</v>
      </c>
      <c r="C26" s="19" t="s">
        <v>105</v>
      </c>
      <c r="D26" s="20" t="s">
        <v>454</v>
      </c>
      <c r="E26" s="20" t="s">
        <v>963</v>
      </c>
      <c r="F26" s="31">
        <v>5500</v>
      </c>
      <c r="G26" s="29">
        <v>0.65</v>
      </c>
      <c r="H26" s="29" t="str">
        <f t="shared" si="0"/>
        <v>Shaman</v>
      </c>
      <c r="I26" s="29" t="str">
        <f t="shared" si="1"/>
        <v>Strength</v>
      </c>
      <c r="J26" s="29">
        <f t="shared" si="2"/>
        <v>8</v>
      </c>
      <c r="K26" s="31">
        <f>COUNTIFS($I$5:I26,I26,$H$5:H26,H26)</f>
        <v>8</v>
      </c>
      <c r="L26" s="31">
        <f t="shared" si="3"/>
        <v>105</v>
      </c>
      <c r="M26" s="31">
        <f t="shared" si="4"/>
        <v>49450</v>
      </c>
      <c r="N26" s="125">
        <f t="shared" si="5"/>
        <v>7.05</v>
      </c>
      <c r="P26" s="30">
        <v>22</v>
      </c>
      <c r="Q26" s="19" t="s">
        <v>964</v>
      </c>
      <c r="R26" s="13" t="s">
        <v>924</v>
      </c>
      <c r="S26" s="20" t="s">
        <v>227</v>
      </c>
      <c r="T26" s="32">
        <v>20</v>
      </c>
      <c r="U26" s="31" t="s">
        <v>911</v>
      </c>
    </row>
    <row r="27" spans="2:21">
      <c r="B27" s="30">
        <v>33</v>
      </c>
      <c r="C27" s="19" t="s">
        <v>884</v>
      </c>
      <c r="D27" s="20" t="s">
        <v>965</v>
      </c>
      <c r="E27" s="20" t="s">
        <v>931</v>
      </c>
      <c r="F27" s="31">
        <v>3950</v>
      </c>
      <c r="G27" s="29">
        <v>0.9</v>
      </c>
      <c r="H27" s="29" t="str">
        <f t="shared" si="0"/>
        <v>Warlock, Priest, Mage</v>
      </c>
      <c r="I27" s="29" t="str">
        <f t="shared" si="1"/>
        <v>Intellect</v>
      </c>
      <c r="J27" s="29">
        <f t="shared" si="2"/>
        <v>30</v>
      </c>
      <c r="K27" s="31">
        <f>COUNTIFS($I$5:I27,I27,$H$5:H27,H27)</f>
        <v>1</v>
      </c>
      <c r="L27" s="31">
        <f t="shared" si="3"/>
        <v>30</v>
      </c>
      <c r="M27" s="31">
        <f t="shared" si="4"/>
        <v>3950</v>
      </c>
      <c r="N27" s="125">
        <f t="shared" si="5"/>
        <v>0.9</v>
      </c>
      <c r="P27" s="30">
        <v>23</v>
      </c>
      <c r="Q27" s="19" t="s">
        <v>966</v>
      </c>
      <c r="R27" s="13" t="s">
        <v>924</v>
      </c>
      <c r="S27" s="20" t="s">
        <v>227</v>
      </c>
      <c r="T27" s="32">
        <v>15</v>
      </c>
      <c r="U27" s="31" t="s">
        <v>915</v>
      </c>
    </row>
    <row r="28" spans="2:21">
      <c r="B28" s="30">
        <v>2</v>
      </c>
      <c r="C28" s="13" t="s">
        <v>893</v>
      </c>
      <c r="D28" s="13" t="s">
        <v>967</v>
      </c>
      <c r="E28" s="13" t="s">
        <v>968</v>
      </c>
      <c r="F28" s="31">
        <v>6150</v>
      </c>
      <c r="G28" s="29">
        <v>1.2</v>
      </c>
      <c r="H28" s="29" t="str">
        <f t="shared" si="0"/>
        <v>Warlock, Priest, Mage</v>
      </c>
      <c r="I28" s="29" t="str">
        <f t="shared" si="1"/>
        <v>Intellect</v>
      </c>
      <c r="J28" s="29">
        <f t="shared" si="2"/>
        <v>20</v>
      </c>
      <c r="K28" s="31">
        <f>COUNTIFS($I$5:I28,I28,$H$5:H28,H28)</f>
        <v>2</v>
      </c>
      <c r="L28" s="31">
        <f t="shared" si="3"/>
        <v>50</v>
      </c>
      <c r="M28" s="31">
        <f t="shared" si="4"/>
        <v>10100</v>
      </c>
      <c r="N28" s="125">
        <f t="shared" si="5"/>
        <v>2.1</v>
      </c>
      <c r="P28" s="30">
        <v>24</v>
      </c>
      <c r="Q28" s="19" t="s">
        <v>969</v>
      </c>
      <c r="R28" s="13" t="s">
        <v>924</v>
      </c>
      <c r="S28" s="20" t="s">
        <v>227</v>
      </c>
      <c r="T28" s="32">
        <v>8</v>
      </c>
      <c r="U28" s="31" t="s">
        <v>919</v>
      </c>
    </row>
    <row r="29" spans="2:21">
      <c r="B29" s="30">
        <v>11</v>
      </c>
      <c r="C29" s="13" t="s">
        <v>907</v>
      </c>
      <c r="D29" s="13" t="s">
        <v>970</v>
      </c>
      <c r="E29" s="13" t="s">
        <v>971</v>
      </c>
      <c r="F29" s="31">
        <v>5110</v>
      </c>
      <c r="G29" s="29">
        <v>0.95</v>
      </c>
      <c r="H29" s="29" t="str">
        <f t="shared" si="0"/>
        <v>Warlock, Priest, Mage</v>
      </c>
      <c r="I29" s="29" t="str">
        <f t="shared" si="1"/>
        <v>Intellect</v>
      </c>
      <c r="J29" s="29">
        <f t="shared" si="2"/>
        <v>20</v>
      </c>
      <c r="K29" s="31">
        <f>COUNTIFS($I$5:I29,I29,$H$5:H29,H29)</f>
        <v>3</v>
      </c>
      <c r="L29" s="31">
        <f t="shared" si="3"/>
        <v>70</v>
      </c>
      <c r="M29" s="31">
        <f t="shared" si="4"/>
        <v>15210</v>
      </c>
      <c r="N29" s="125">
        <f t="shared" si="5"/>
        <v>3.05</v>
      </c>
      <c r="P29" s="30">
        <v>25</v>
      </c>
      <c r="Q29" s="19" t="s">
        <v>968</v>
      </c>
      <c r="R29" s="13" t="s">
        <v>924</v>
      </c>
      <c r="S29" s="20" t="s">
        <v>227</v>
      </c>
      <c r="T29" s="32">
        <v>20</v>
      </c>
      <c r="U29" s="31" t="s">
        <v>888</v>
      </c>
    </row>
    <row r="30" spans="2:21">
      <c r="B30" s="30">
        <v>14</v>
      </c>
      <c r="C30" s="13" t="s">
        <v>972</v>
      </c>
      <c r="D30" s="13" t="s">
        <v>973</v>
      </c>
      <c r="E30" s="13" t="s">
        <v>923</v>
      </c>
      <c r="F30" s="31">
        <v>5250</v>
      </c>
      <c r="G30" s="29">
        <v>0.65</v>
      </c>
      <c r="H30" s="29" t="str">
        <f t="shared" si="0"/>
        <v>Warlock, Priest, Mage</v>
      </c>
      <c r="I30" s="29" t="str">
        <f t="shared" si="1"/>
        <v>Intellect</v>
      </c>
      <c r="J30" s="29">
        <f t="shared" si="2"/>
        <v>15</v>
      </c>
      <c r="K30" s="31">
        <f>COUNTIFS($I$5:I30,I30,$H$5:H30,H30)</f>
        <v>4</v>
      </c>
      <c r="L30" s="31">
        <f t="shared" si="3"/>
        <v>85</v>
      </c>
      <c r="M30" s="31">
        <f t="shared" si="4"/>
        <v>20460</v>
      </c>
      <c r="N30" s="125">
        <f t="shared" si="5"/>
        <v>3.6999999999999997</v>
      </c>
      <c r="P30" s="30">
        <v>26</v>
      </c>
      <c r="Q30" s="19" t="s">
        <v>971</v>
      </c>
      <c r="R30" s="13" t="s">
        <v>924</v>
      </c>
      <c r="S30" s="20" t="s">
        <v>227</v>
      </c>
      <c r="T30" s="32">
        <v>20</v>
      </c>
      <c r="U30" s="31" t="s">
        <v>892</v>
      </c>
    </row>
    <row r="31" spans="2:21">
      <c r="B31" s="30">
        <v>36</v>
      </c>
      <c r="C31" s="19" t="s">
        <v>893</v>
      </c>
      <c r="D31" s="20" t="s">
        <v>974</v>
      </c>
      <c r="E31" s="20" t="s">
        <v>975</v>
      </c>
      <c r="F31" s="31">
        <v>4800</v>
      </c>
      <c r="G31" s="29">
        <v>0.75</v>
      </c>
      <c r="H31" s="29" t="str">
        <f t="shared" si="0"/>
        <v>Warlock, Priest, Mage</v>
      </c>
      <c r="I31" s="29" t="str">
        <f t="shared" si="1"/>
        <v>Intellect</v>
      </c>
      <c r="J31" s="29">
        <f t="shared" si="2"/>
        <v>15</v>
      </c>
      <c r="K31" s="31">
        <f>COUNTIFS($I$5:I31,I31,$H$5:H31,H31)</f>
        <v>5</v>
      </c>
      <c r="L31" s="31">
        <f t="shared" si="3"/>
        <v>100</v>
      </c>
      <c r="M31" s="31">
        <f t="shared" si="4"/>
        <v>25260</v>
      </c>
      <c r="N31" s="125">
        <f t="shared" si="5"/>
        <v>4.4499999999999993</v>
      </c>
      <c r="P31" s="30">
        <v>27</v>
      </c>
      <c r="Q31" s="19" t="s">
        <v>976</v>
      </c>
      <c r="R31" s="13" t="s">
        <v>924</v>
      </c>
      <c r="S31" s="20" t="s">
        <v>227</v>
      </c>
      <c r="T31" s="32">
        <v>25</v>
      </c>
      <c r="U31" s="31" t="s">
        <v>897</v>
      </c>
    </row>
    <row r="32" spans="2:21">
      <c r="B32" s="30">
        <v>25</v>
      </c>
      <c r="C32" s="19" t="s">
        <v>907</v>
      </c>
      <c r="D32" s="20" t="s">
        <v>977</v>
      </c>
      <c r="E32" s="20" t="s">
        <v>978</v>
      </c>
      <c r="F32" s="31">
        <v>4385</v>
      </c>
      <c r="G32" s="29">
        <v>0.2</v>
      </c>
      <c r="H32" s="29" t="str">
        <f t="shared" si="0"/>
        <v>Warlock, Priest, Mage</v>
      </c>
      <c r="I32" s="29" t="str">
        <f t="shared" si="1"/>
        <v>Intellect</v>
      </c>
      <c r="J32" s="29">
        <f t="shared" si="2"/>
        <v>15</v>
      </c>
      <c r="K32" s="31">
        <f>COUNTIFS($I$5:I32,I32,$H$5:H32,H32)</f>
        <v>6</v>
      </c>
      <c r="L32" s="31">
        <f t="shared" si="3"/>
        <v>115</v>
      </c>
      <c r="M32" s="31">
        <f t="shared" si="4"/>
        <v>29645</v>
      </c>
      <c r="N32" s="125">
        <f t="shared" si="5"/>
        <v>4.6499999999999995</v>
      </c>
      <c r="P32" s="30">
        <v>28</v>
      </c>
      <c r="Q32" s="19" t="s">
        <v>975</v>
      </c>
      <c r="R32" s="13" t="s">
        <v>924</v>
      </c>
      <c r="S32" s="20" t="s">
        <v>227</v>
      </c>
      <c r="T32" s="32">
        <v>15</v>
      </c>
      <c r="U32" s="31" t="s">
        <v>902</v>
      </c>
    </row>
    <row r="33" spans="2:21">
      <c r="B33" s="30">
        <v>3</v>
      </c>
      <c r="C33" s="13" t="s">
        <v>893</v>
      </c>
      <c r="D33" s="13" t="s">
        <v>570</v>
      </c>
      <c r="E33" s="13" t="s">
        <v>959</v>
      </c>
      <c r="F33" s="31">
        <v>4122</v>
      </c>
      <c r="G33" s="29">
        <v>0.35</v>
      </c>
      <c r="H33" s="29" t="str">
        <f t="shared" si="0"/>
        <v>Warlock, Priest, Mage</v>
      </c>
      <c r="I33" s="29" t="str">
        <f t="shared" si="1"/>
        <v>Intellect</v>
      </c>
      <c r="J33" s="29">
        <f t="shared" si="2"/>
        <v>15</v>
      </c>
      <c r="K33" s="31">
        <f>COUNTIFS($I$5:I33,I33,$H$5:H33,H33)</f>
        <v>7</v>
      </c>
      <c r="L33" s="31">
        <f t="shared" si="3"/>
        <v>130</v>
      </c>
      <c r="M33" s="31">
        <f t="shared" si="4"/>
        <v>33767</v>
      </c>
      <c r="N33" s="125">
        <f t="shared" si="5"/>
        <v>4.9999999999999991</v>
      </c>
      <c r="P33" s="30">
        <v>29</v>
      </c>
      <c r="Q33" s="19" t="s">
        <v>979</v>
      </c>
      <c r="R33" s="13" t="s">
        <v>924</v>
      </c>
      <c r="S33" s="20" t="s">
        <v>227</v>
      </c>
      <c r="T33" s="32">
        <v>10</v>
      </c>
      <c r="U33" s="31" t="s">
        <v>906</v>
      </c>
    </row>
    <row r="34" spans="2:21">
      <c r="B34" s="30">
        <v>19</v>
      </c>
      <c r="C34" s="13" t="s">
        <v>102</v>
      </c>
      <c r="D34" s="13" t="s">
        <v>980</v>
      </c>
      <c r="E34" s="13" t="s">
        <v>947</v>
      </c>
      <c r="F34" s="31">
        <v>5150</v>
      </c>
      <c r="G34" s="29">
        <v>0.95</v>
      </c>
      <c r="H34" s="29" t="str">
        <f t="shared" si="0"/>
        <v>Warlock, Priest, Mage</v>
      </c>
      <c r="I34" s="29" t="str">
        <f t="shared" si="1"/>
        <v>Intellect</v>
      </c>
      <c r="J34" s="29">
        <f t="shared" si="2"/>
        <v>10</v>
      </c>
      <c r="K34" s="31">
        <f>COUNTIFS($I$5:I34,I34,$H$5:H34,H34)</f>
        <v>8</v>
      </c>
      <c r="L34" s="31">
        <f t="shared" si="3"/>
        <v>140</v>
      </c>
      <c r="M34" s="31">
        <f t="shared" si="4"/>
        <v>38917</v>
      </c>
      <c r="N34" s="125">
        <f t="shared" si="5"/>
        <v>5.9499999999999993</v>
      </c>
      <c r="P34" s="30">
        <v>30</v>
      </c>
      <c r="Q34" s="19" t="s">
        <v>981</v>
      </c>
      <c r="R34" s="13" t="s">
        <v>924</v>
      </c>
      <c r="S34" s="20" t="s">
        <v>227</v>
      </c>
      <c r="T34" s="32">
        <v>20</v>
      </c>
      <c r="U34" s="31" t="s">
        <v>911</v>
      </c>
    </row>
    <row r="35" spans="2:21">
      <c r="B35" s="30">
        <v>13</v>
      </c>
      <c r="C35" s="13" t="s">
        <v>982</v>
      </c>
      <c r="D35" s="13" t="s">
        <v>983</v>
      </c>
      <c r="E35" s="13" t="s">
        <v>962</v>
      </c>
      <c r="F35" s="31">
        <v>5100</v>
      </c>
      <c r="G35" s="29">
        <v>0.85</v>
      </c>
      <c r="H35" s="29" t="str">
        <f t="shared" si="0"/>
        <v>Warlock, Priest, Mage</v>
      </c>
      <c r="I35" s="29" t="str">
        <f t="shared" si="1"/>
        <v>Intellect</v>
      </c>
      <c r="J35" s="29">
        <f t="shared" si="2"/>
        <v>10</v>
      </c>
      <c r="K35" s="31">
        <f>COUNTIFS($I$5:I35,I35,$H$5:H35,H35)</f>
        <v>9</v>
      </c>
      <c r="L35" s="31">
        <f t="shared" si="3"/>
        <v>150</v>
      </c>
      <c r="M35" s="31">
        <f t="shared" si="4"/>
        <v>44017</v>
      </c>
      <c r="N35" s="125">
        <f t="shared" si="5"/>
        <v>6.7999999999999989</v>
      </c>
      <c r="P35" s="30">
        <v>31</v>
      </c>
      <c r="Q35" s="19" t="s">
        <v>978</v>
      </c>
      <c r="R35" s="13" t="s">
        <v>924</v>
      </c>
      <c r="S35" s="20" t="s">
        <v>227</v>
      </c>
      <c r="T35" s="32">
        <v>15</v>
      </c>
      <c r="U35" s="31" t="s">
        <v>915</v>
      </c>
    </row>
    <row r="36" spans="2:21">
      <c r="B36" s="30">
        <v>28</v>
      </c>
      <c r="C36" s="19" t="s">
        <v>102</v>
      </c>
      <c r="D36" s="20" t="s">
        <v>984</v>
      </c>
      <c r="E36" s="20" t="s">
        <v>896</v>
      </c>
      <c r="F36" s="31">
        <v>4925</v>
      </c>
      <c r="G36" s="29">
        <v>1.1000000000000001</v>
      </c>
      <c r="H36" s="29" t="str">
        <f t="shared" si="0"/>
        <v>Warrior</v>
      </c>
      <c r="I36" s="29" t="str">
        <f t="shared" si="1"/>
        <v>Armor</v>
      </c>
      <c r="J36" s="29">
        <f t="shared" si="2"/>
        <v>120</v>
      </c>
      <c r="K36" s="31">
        <f>COUNTIFS($I$5:I36,I36,$H$5:H36,H36)</f>
        <v>1</v>
      </c>
      <c r="L36" s="31">
        <f t="shared" si="3"/>
        <v>120</v>
      </c>
      <c r="M36" s="31">
        <f t="shared" si="4"/>
        <v>4925</v>
      </c>
      <c r="N36" s="125">
        <f t="shared" si="5"/>
        <v>1.1000000000000001</v>
      </c>
      <c r="P36" s="30">
        <v>32</v>
      </c>
      <c r="Q36" s="19" t="s">
        <v>985</v>
      </c>
      <c r="R36" s="13" t="s">
        <v>924</v>
      </c>
      <c r="S36" s="20" t="s">
        <v>227</v>
      </c>
      <c r="T36" s="32">
        <v>8</v>
      </c>
      <c r="U36" s="31" t="s">
        <v>919</v>
      </c>
    </row>
    <row r="37" spans="2:21">
      <c r="B37" s="30">
        <v>22</v>
      </c>
      <c r="C37" s="19" t="s">
        <v>907</v>
      </c>
      <c r="D37" s="20" t="s">
        <v>986</v>
      </c>
      <c r="E37" s="20" t="s">
        <v>910</v>
      </c>
      <c r="F37" s="31">
        <v>4850</v>
      </c>
      <c r="G37" s="29">
        <v>0.85</v>
      </c>
      <c r="H37" s="29" t="str">
        <f t="shared" si="0"/>
        <v>Warrior</v>
      </c>
      <c r="I37" s="29" t="str">
        <f t="shared" si="1"/>
        <v>Armor</v>
      </c>
      <c r="J37" s="29">
        <f t="shared" si="2"/>
        <v>110</v>
      </c>
      <c r="K37" s="31">
        <f>COUNTIFS($I$5:I37,I37,$H$5:H37,H37)</f>
        <v>2</v>
      </c>
      <c r="L37" s="31">
        <f t="shared" si="3"/>
        <v>230</v>
      </c>
      <c r="M37" s="31">
        <f t="shared" si="4"/>
        <v>9775</v>
      </c>
      <c r="N37" s="125">
        <f t="shared" si="5"/>
        <v>1.9500000000000002</v>
      </c>
      <c r="P37" s="30">
        <v>33</v>
      </c>
      <c r="Q37" s="19" t="s">
        <v>926</v>
      </c>
      <c r="R37" s="19" t="s">
        <v>76</v>
      </c>
      <c r="S37" s="20" t="s">
        <v>231</v>
      </c>
      <c r="T37" s="32">
        <v>20</v>
      </c>
      <c r="U37" s="31" t="s">
        <v>888</v>
      </c>
    </row>
    <row r="38" spans="2:21">
      <c r="B38" s="30">
        <v>1</v>
      </c>
      <c r="C38" s="13" t="s">
        <v>932</v>
      </c>
      <c r="D38" s="13" t="s">
        <v>822</v>
      </c>
      <c r="E38" s="13" t="s">
        <v>887</v>
      </c>
      <c r="F38" s="31">
        <v>4250</v>
      </c>
      <c r="G38" s="29">
        <v>0.9</v>
      </c>
      <c r="H38" s="29" t="str">
        <f t="shared" si="0"/>
        <v>Warrior</v>
      </c>
      <c r="I38" s="29" t="str">
        <f t="shared" si="1"/>
        <v>Armor</v>
      </c>
      <c r="J38" s="29">
        <f t="shared" si="2"/>
        <v>100</v>
      </c>
      <c r="K38" s="31">
        <f>COUNTIFS($I$5:I38,I38,$H$5:H38,H38)</f>
        <v>3</v>
      </c>
      <c r="L38" s="31">
        <f t="shared" si="3"/>
        <v>330</v>
      </c>
      <c r="M38" s="31">
        <f t="shared" si="4"/>
        <v>14025</v>
      </c>
      <c r="N38" s="125">
        <f t="shared" si="5"/>
        <v>2.85</v>
      </c>
      <c r="P38" s="30">
        <v>34</v>
      </c>
      <c r="Q38" s="19" t="s">
        <v>930</v>
      </c>
      <c r="R38" s="19" t="s">
        <v>76</v>
      </c>
      <c r="S38" s="20" t="s">
        <v>231</v>
      </c>
      <c r="T38" s="32">
        <v>15</v>
      </c>
      <c r="U38" s="31" t="s">
        <v>892</v>
      </c>
    </row>
    <row r="39" spans="2:21">
      <c r="B39" s="30">
        <v>23</v>
      </c>
      <c r="C39" s="19" t="s">
        <v>907</v>
      </c>
      <c r="D39" s="20" t="s">
        <v>987</v>
      </c>
      <c r="E39" s="20" t="s">
        <v>891</v>
      </c>
      <c r="F39" s="31">
        <v>4730</v>
      </c>
      <c r="G39" s="29">
        <v>0.55000000000000004</v>
      </c>
      <c r="H39" s="29" t="str">
        <f t="shared" si="0"/>
        <v>Warrior</v>
      </c>
      <c r="I39" s="29" t="str">
        <f t="shared" si="1"/>
        <v>Armor</v>
      </c>
      <c r="J39" s="29">
        <f t="shared" si="2"/>
        <v>80</v>
      </c>
      <c r="K39" s="31">
        <f>COUNTIFS($I$5:I39,I39,$H$5:H39,H39)</f>
        <v>4</v>
      </c>
      <c r="L39" s="31">
        <f t="shared" si="3"/>
        <v>410</v>
      </c>
      <c r="M39" s="31">
        <f t="shared" si="4"/>
        <v>18755</v>
      </c>
      <c r="N39" s="125">
        <f t="shared" si="5"/>
        <v>3.4000000000000004</v>
      </c>
      <c r="P39" s="30">
        <v>35</v>
      </c>
      <c r="Q39" s="19" t="s">
        <v>922</v>
      </c>
      <c r="R39" s="19" t="s">
        <v>76</v>
      </c>
      <c r="S39" s="20" t="s">
        <v>231</v>
      </c>
      <c r="T39" s="32">
        <v>25</v>
      </c>
      <c r="U39" s="31" t="s">
        <v>897</v>
      </c>
    </row>
    <row r="40" spans="2:21">
      <c r="B40" s="30">
        <v>10</v>
      </c>
      <c r="C40" s="13" t="s">
        <v>898</v>
      </c>
      <c r="D40" s="13" t="s">
        <v>988</v>
      </c>
      <c r="E40" s="13" t="s">
        <v>914</v>
      </c>
      <c r="F40" s="31">
        <v>7100</v>
      </c>
      <c r="G40" s="29">
        <v>1.5</v>
      </c>
      <c r="H40" s="29" t="str">
        <f t="shared" si="0"/>
        <v>Warrior</v>
      </c>
      <c r="I40" s="29" t="str">
        <f t="shared" si="1"/>
        <v>Armor</v>
      </c>
      <c r="J40" s="29">
        <f t="shared" si="2"/>
        <v>75</v>
      </c>
      <c r="K40" s="31">
        <f>COUNTIFS($I$5:I40,I40,$H$5:H40,H40)</f>
        <v>5</v>
      </c>
      <c r="L40" s="31">
        <f t="shared" si="3"/>
        <v>485</v>
      </c>
      <c r="M40" s="31">
        <f t="shared" si="4"/>
        <v>25855</v>
      </c>
      <c r="N40" s="125">
        <f t="shared" si="5"/>
        <v>4.9000000000000004</v>
      </c>
      <c r="P40" s="30">
        <v>36</v>
      </c>
      <c r="Q40" s="19" t="s">
        <v>937</v>
      </c>
      <c r="R40" s="19" t="s">
        <v>76</v>
      </c>
      <c r="S40" s="20" t="s">
        <v>231</v>
      </c>
      <c r="T40" s="32">
        <v>10</v>
      </c>
      <c r="U40" s="31" t="s">
        <v>902</v>
      </c>
    </row>
    <row r="41" spans="2:21">
      <c r="B41" s="30">
        <v>18</v>
      </c>
      <c r="C41" s="13" t="s">
        <v>932</v>
      </c>
      <c r="D41" s="13" t="s">
        <v>989</v>
      </c>
      <c r="E41" s="13" t="s">
        <v>905</v>
      </c>
      <c r="F41" s="31">
        <v>4750</v>
      </c>
      <c r="G41" s="29">
        <v>0.7</v>
      </c>
      <c r="H41" s="29" t="str">
        <f t="shared" si="0"/>
        <v>Warrior</v>
      </c>
      <c r="I41" s="29" t="str">
        <f t="shared" si="1"/>
        <v>Armor</v>
      </c>
      <c r="J41" s="29">
        <f t="shared" si="2"/>
        <v>60</v>
      </c>
      <c r="K41" s="31">
        <f>COUNTIFS($I$5:I41,I41,$H$5:H41,H41)</f>
        <v>6</v>
      </c>
      <c r="L41" s="31">
        <f t="shared" si="3"/>
        <v>545</v>
      </c>
      <c r="M41" s="31">
        <f t="shared" si="4"/>
        <v>30605</v>
      </c>
      <c r="N41" s="125">
        <f t="shared" si="5"/>
        <v>5.6000000000000005</v>
      </c>
      <c r="P41" s="30">
        <v>37</v>
      </c>
      <c r="Q41" s="19" t="s">
        <v>990</v>
      </c>
      <c r="R41" s="19" t="s">
        <v>76</v>
      </c>
      <c r="S41" s="20" t="s">
        <v>231</v>
      </c>
      <c r="T41" s="32">
        <v>8</v>
      </c>
      <c r="U41" s="31" t="s">
        <v>906</v>
      </c>
    </row>
    <row r="42" spans="2:21">
      <c r="B42" s="30">
        <v>35</v>
      </c>
      <c r="C42" s="19" t="s">
        <v>884</v>
      </c>
      <c r="D42" s="20" t="s">
        <v>991</v>
      </c>
      <c r="E42" s="20" t="s">
        <v>901</v>
      </c>
      <c r="F42" s="31">
        <v>3900</v>
      </c>
      <c r="G42" s="29">
        <v>1.1000000000000001</v>
      </c>
      <c r="H42" s="29" t="str">
        <f t="shared" si="0"/>
        <v>Warrior</v>
      </c>
      <c r="I42" s="29" t="str">
        <f t="shared" si="1"/>
        <v>Armor</v>
      </c>
      <c r="J42" s="29">
        <f t="shared" si="2"/>
        <v>50</v>
      </c>
      <c r="K42" s="31">
        <f>COUNTIFS($I$5:I42,I42,$H$5:H42,H42)</f>
        <v>7</v>
      </c>
      <c r="L42" s="31">
        <f t="shared" si="3"/>
        <v>595</v>
      </c>
      <c r="M42" s="31">
        <f t="shared" si="4"/>
        <v>34505</v>
      </c>
      <c r="N42" s="125">
        <f t="shared" si="5"/>
        <v>6.7000000000000011</v>
      </c>
      <c r="P42" s="30">
        <v>38</v>
      </c>
      <c r="Q42" s="19" t="s">
        <v>992</v>
      </c>
      <c r="R42" s="19" t="s">
        <v>76</v>
      </c>
      <c r="S42" s="20" t="s">
        <v>231</v>
      </c>
      <c r="T42" s="32">
        <v>20</v>
      </c>
      <c r="U42" s="31" t="s">
        <v>911</v>
      </c>
    </row>
    <row r="43" spans="2:21">
      <c r="B43" s="30">
        <v>26</v>
      </c>
      <c r="C43" s="19" t="s">
        <v>907</v>
      </c>
      <c r="D43" s="20" t="s">
        <v>993</v>
      </c>
      <c r="E43" s="20" t="s">
        <v>918</v>
      </c>
      <c r="F43" s="31">
        <v>4150</v>
      </c>
      <c r="G43" s="29">
        <v>0.5</v>
      </c>
      <c r="H43" s="29" t="str">
        <f t="shared" si="0"/>
        <v>Warrior</v>
      </c>
      <c r="I43" s="29" t="str">
        <f t="shared" si="1"/>
        <v>Armor</v>
      </c>
      <c r="J43" s="29">
        <f t="shared" si="2"/>
        <v>40</v>
      </c>
      <c r="K43" s="31">
        <f>COUNTIFS($I$5:I43,I43,$H$5:H43,H43)</f>
        <v>8</v>
      </c>
      <c r="L43" s="31">
        <f t="shared" si="3"/>
        <v>635</v>
      </c>
      <c r="M43" s="31">
        <f t="shared" si="4"/>
        <v>38655</v>
      </c>
      <c r="N43" s="125">
        <f t="shared" si="5"/>
        <v>7.2000000000000011</v>
      </c>
      <c r="P43" s="30">
        <v>39</v>
      </c>
      <c r="Q43" s="19" t="s">
        <v>934</v>
      </c>
      <c r="R43" s="19" t="s">
        <v>76</v>
      </c>
      <c r="S43" s="20" t="s">
        <v>231</v>
      </c>
      <c r="T43" s="32">
        <v>12</v>
      </c>
      <c r="U43" s="31" t="s">
        <v>915</v>
      </c>
    </row>
    <row r="44" spans="2:21">
      <c r="B44" s="30"/>
      <c r="C44" s="19"/>
      <c r="D44" s="20"/>
      <c r="E44" s="20"/>
      <c r="F44" s="31"/>
      <c r="G44" s="29"/>
      <c r="H44" s="29"/>
      <c r="I44" s="29"/>
      <c r="J44" s="29"/>
      <c r="K44" s="29"/>
      <c r="L44" s="29"/>
      <c r="M44" s="29"/>
      <c r="N44" s="29"/>
      <c r="P44" s="30">
        <v>40</v>
      </c>
      <c r="Q44" s="19" t="s">
        <v>940</v>
      </c>
      <c r="R44" s="19" t="s">
        <v>76</v>
      </c>
      <c r="S44" s="20" t="s">
        <v>231</v>
      </c>
      <c r="T44" s="32">
        <v>8</v>
      </c>
      <c r="U44" s="31" t="s">
        <v>919</v>
      </c>
    </row>
    <row r="45" spans="2:21">
      <c r="B45" s="30"/>
      <c r="P45" s="30">
        <v>41</v>
      </c>
      <c r="Q45" s="19" t="s">
        <v>946</v>
      </c>
      <c r="R45" s="19" t="s">
        <v>78</v>
      </c>
      <c r="S45" s="20" t="s">
        <v>225</v>
      </c>
      <c r="T45" s="32">
        <v>15</v>
      </c>
      <c r="U45" s="31" t="s">
        <v>888</v>
      </c>
    </row>
    <row r="46" spans="2:21">
      <c r="B46" s="30"/>
      <c r="C46" s="19"/>
      <c r="D46" s="20"/>
      <c r="E46" s="20"/>
      <c r="F46" s="31"/>
      <c r="G46" s="29"/>
      <c r="H46" s="29"/>
      <c r="I46" s="29"/>
      <c r="J46" s="29"/>
      <c r="K46" s="29"/>
      <c r="L46" s="29"/>
      <c r="M46" s="29"/>
      <c r="N46" s="29"/>
      <c r="P46" s="30">
        <v>42</v>
      </c>
      <c r="Q46" s="19" t="s">
        <v>961</v>
      </c>
      <c r="R46" s="19" t="s">
        <v>78</v>
      </c>
      <c r="S46" s="20" t="s">
        <v>225</v>
      </c>
      <c r="T46" s="32">
        <v>10</v>
      </c>
      <c r="U46" s="31" t="s">
        <v>892</v>
      </c>
    </row>
    <row r="47" spans="2:21">
      <c r="B47" s="30"/>
      <c r="C47" s="19"/>
      <c r="D47" s="20"/>
      <c r="E47" s="20"/>
      <c r="F47" s="31"/>
      <c r="G47" s="29"/>
      <c r="H47" s="29"/>
      <c r="I47" s="29"/>
      <c r="J47" s="29"/>
      <c r="K47" s="29"/>
      <c r="L47" s="29"/>
      <c r="M47" s="29"/>
      <c r="N47" s="29"/>
      <c r="P47" s="30">
        <v>43</v>
      </c>
      <c r="Q47" s="19" t="s">
        <v>943</v>
      </c>
      <c r="R47" s="19" t="s">
        <v>78</v>
      </c>
      <c r="S47" s="20" t="s">
        <v>225</v>
      </c>
      <c r="T47" s="32">
        <v>20</v>
      </c>
      <c r="U47" s="31" t="s">
        <v>897</v>
      </c>
    </row>
    <row r="48" spans="2:21">
      <c r="B48" s="30"/>
      <c r="P48" s="30">
        <v>44</v>
      </c>
      <c r="Q48" s="19" t="s">
        <v>956</v>
      </c>
      <c r="R48" s="19" t="s">
        <v>78</v>
      </c>
      <c r="S48" s="20" t="s">
        <v>225</v>
      </c>
      <c r="T48" s="32">
        <v>12</v>
      </c>
      <c r="U48" s="31" t="s">
        <v>902</v>
      </c>
    </row>
    <row r="49" spans="2:21">
      <c r="B49" s="30"/>
      <c r="C49" s="19"/>
      <c r="D49" s="20"/>
      <c r="E49" s="20"/>
      <c r="F49" s="31"/>
      <c r="G49" s="29"/>
      <c r="H49" s="29"/>
      <c r="I49" s="29"/>
      <c r="J49" s="29"/>
      <c r="K49" s="29"/>
      <c r="L49" s="29"/>
      <c r="M49" s="29"/>
      <c r="N49" s="29"/>
      <c r="P49" s="30">
        <v>45</v>
      </c>
      <c r="Q49" s="19" t="s">
        <v>963</v>
      </c>
      <c r="R49" s="19" t="s">
        <v>78</v>
      </c>
      <c r="S49" s="20" t="s">
        <v>225</v>
      </c>
      <c r="T49" s="32">
        <v>8</v>
      </c>
      <c r="U49" s="31" t="s">
        <v>906</v>
      </c>
    </row>
    <row r="50" spans="2:21">
      <c r="B50" s="30"/>
      <c r="C50" s="19"/>
      <c r="D50" s="20"/>
      <c r="E50" s="20"/>
      <c r="F50" s="31"/>
      <c r="G50" s="29"/>
      <c r="H50" s="29"/>
      <c r="I50" s="29"/>
      <c r="J50" s="29"/>
      <c r="K50" s="29"/>
      <c r="L50" s="29"/>
      <c r="M50" s="29"/>
      <c r="N50" s="29"/>
      <c r="P50" s="30">
        <v>46</v>
      </c>
      <c r="Q50" s="19" t="s">
        <v>952</v>
      </c>
      <c r="R50" s="19" t="s">
        <v>78</v>
      </c>
      <c r="S50" s="20" t="s">
        <v>225</v>
      </c>
      <c r="T50" s="32">
        <v>15</v>
      </c>
      <c r="U50" s="31" t="s">
        <v>911</v>
      </c>
    </row>
    <row r="51" spans="2:21">
      <c r="B51" s="30"/>
      <c r="C51" s="19"/>
      <c r="D51" s="20"/>
      <c r="E51" s="20"/>
      <c r="F51" s="31"/>
      <c r="G51" s="29"/>
      <c r="H51" s="29"/>
      <c r="I51" s="29"/>
      <c r="J51" s="29"/>
      <c r="K51" s="29"/>
      <c r="L51" s="29"/>
      <c r="M51" s="29"/>
      <c r="N51" s="29"/>
      <c r="P51" s="30">
        <v>47</v>
      </c>
      <c r="Q51" s="19" t="s">
        <v>949</v>
      </c>
      <c r="R51" s="19" t="s">
        <v>78</v>
      </c>
      <c r="S51" s="20" t="s">
        <v>225</v>
      </c>
      <c r="T51" s="32">
        <v>15</v>
      </c>
      <c r="U51" s="31" t="s">
        <v>915</v>
      </c>
    </row>
    <row r="52" spans="2:21">
      <c r="B52" s="30"/>
      <c r="P52" s="30">
        <v>48</v>
      </c>
      <c r="Q52" s="19" t="s">
        <v>958</v>
      </c>
      <c r="R52" s="19" t="s">
        <v>78</v>
      </c>
      <c r="S52" s="20" t="s">
        <v>225</v>
      </c>
      <c r="T52" s="32">
        <v>10</v>
      </c>
      <c r="U52" s="31" t="s">
        <v>919</v>
      </c>
    </row>
    <row r="53" spans="2:21">
      <c r="B53" s="30"/>
      <c r="C53" s="19"/>
      <c r="D53" s="20"/>
      <c r="E53" s="20"/>
      <c r="F53" s="31"/>
      <c r="G53" s="29"/>
      <c r="H53" s="29"/>
      <c r="I53" s="29"/>
      <c r="J53" s="29"/>
      <c r="K53" s="29"/>
      <c r="L53" s="29"/>
      <c r="M53" s="29"/>
      <c r="N53" s="29"/>
      <c r="P53" s="30">
        <v>49</v>
      </c>
      <c r="Q53" s="19" t="s">
        <v>895</v>
      </c>
      <c r="R53" s="19" t="s">
        <v>994</v>
      </c>
      <c r="S53" s="20" t="s">
        <v>231</v>
      </c>
      <c r="T53" s="32">
        <v>15</v>
      </c>
      <c r="U53" s="31" t="s">
        <v>888</v>
      </c>
    </row>
    <row r="54" spans="2:21">
      <c r="B54" s="30"/>
      <c r="C54" s="19"/>
      <c r="D54" s="20"/>
      <c r="E54" s="20"/>
      <c r="F54" s="31"/>
      <c r="G54" s="29"/>
      <c r="H54" s="29"/>
      <c r="I54" s="29"/>
      <c r="J54" s="29"/>
      <c r="K54" s="29"/>
      <c r="L54" s="29"/>
      <c r="M54" s="29"/>
      <c r="N54" s="29"/>
      <c r="P54" s="30">
        <v>50</v>
      </c>
      <c r="Q54" s="19" t="s">
        <v>904</v>
      </c>
      <c r="R54" s="19" t="s">
        <v>994</v>
      </c>
      <c r="S54" s="20" t="s">
        <v>231</v>
      </c>
      <c r="T54" s="32">
        <v>12</v>
      </c>
      <c r="U54" s="31" t="s">
        <v>892</v>
      </c>
    </row>
    <row r="55" spans="2:21">
      <c r="B55" s="30"/>
      <c r="P55" s="30">
        <v>51</v>
      </c>
      <c r="Q55" s="19" t="s">
        <v>890</v>
      </c>
      <c r="R55" s="19" t="s">
        <v>994</v>
      </c>
      <c r="S55" s="20" t="s">
        <v>231</v>
      </c>
      <c r="T55" s="32">
        <v>20</v>
      </c>
      <c r="U55" s="31" t="s">
        <v>897</v>
      </c>
    </row>
    <row r="56" spans="2:21">
      <c r="B56" s="30"/>
      <c r="P56" s="30">
        <v>52</v>
      </c>
      <c r="Q56" s="19" t="s">
        <v>995</v>
      </c>
      <c r="R56" s="19" t="s">
        <v>994</v>
      </c>
      <c r="S56" s="20" t="s">
        <v>231</v>
      </c>
      <c r="T56" s="32">
        <v>10</v>
      </c>
      <c r="U56" s="31" t="s">
        <v>902</v>
      </c>
    </row>
    <row r="57" spans="2:21">
      <c r="B57" s="30"/>
      <c r="P57" s="30">
        <v>53</v>
      </c>
      <c r="Q57" s="19" t="s">
        <v>996</v>
      </c>
      <c r="R57" s="19" t="s">
        <v>994</v>
      </c>
      <c r="S57" s="20" t="s">
        <v>231</v>
      </c>
      <c r="T57" s="32">
        <v>8</v>
      </c>
      <c r="U57" s="31" t="s">
        <v>906</v>
      </c>
    </row>
    <row r="58" spans="2:21">
      <c r="B58" s="30"/>
      <c r="P58" s="30">
        <v>54</v>
      </c>
      <c r="Q58" s="19" t="s">
        <v>997</v>
      </c>
      <c r="R58" s="19" t="s">
        <v>994</v>
      </c>
      <c r="S58" s="20" t="s">
        <v>231</v>
      </c>
      <c r="T58" s="32">
        <v>18</v>
      </c>
      <c r="U58" s="31" t="s">
        <v>911</v>
      </c>
    </row>
    <row r="59" spans="2:21">
      <c r="B59" s="30"/>
      <c r="P59" s="30">
        <v>55</v>
      </c>
      <c r="Q59" s="19" t="s">
        <v>900</v>
      </c>
      <c r="R59" s="19" t="s">
        <v>994</v>
      </c>
      <c r="S59" s="20" t="s">
        <v>231</v>
      </c>
      <c r="T59" s="32">
        <v>12</v>
      </c>
      <c r="U59" s="31" t="s">
        <v>915</v>
      </c>
    </row>
    <row r="60" spans="2:21">
      <c r="B60" s="30"/>
      <c r="C60" s="19"/>
      <c r="D60" s="20"/>
      <c r="E60" s="20"/>
      <c r="F60" s="31"/>
      <c r="G60" s="29"/>
      <c r="H60" s="29"/>
      <c r="I60" s="29"/>
      <c r="J60" s="29"/>
      <c r="K60" s="29"/>
      <c r="L60" s="29"/>
      <c r="M60" s="29"/>
      <c r="N60" s="29"/>
      <c r="P60" s="30">
        <v>56</v>
      </c>
      <c r="Q60" s="19" t="s">
        <v>998</v>
      </c>
      <c r="R60" s="19" t="s">
        <v>994</v>
      </c>
      <c r="S60" s="20" t="s">
        <v>231</v>
      </c>
      <c r="T60" s="32">
        <v>8</v>
      </c>
      <c r="U60" s="31" t="s">
        <v>919</v>
      </c>
    </row>
    <row r="61" spans="2:21">
      <c r="B61" s="30"/>
      <c r="P61" s="30">
        <v>57</v>
      </c>
      <c r="Q61" s="19" t="s">
        <v>999</v>
      </c>
      <c r="R61" s="19" t="s">
        <v>994</v>
      </c>
      <c r="S61" s="20" t="s">
        <v>231</v>
      </c>
      <c r="T61" s="32">
        <v>20</v>
      </c>
      <c r="U61" s="31" t="s">
        <v>888</v>
      </c>
    </row>
    <row r="62" spans="2:21">
      <c r="B62" s="30"/>
      <c r="C62" s="19"/>
      <c r="D62" s="20"/>
      <c r="E62" s="20"/>
      <c r="F62" s="31"/>
      <c r="G62" s="29"/>
      <c r="H62" s="29"/>
      <c r="I62" s="29"/>
      <c r="J62" s="29"/>
      <c r="K62" s="29"/>
      <c r="L62" s="29"/>
      <c r="M62" s="29"/>
      <c r="N62" s="29"/>
      <c r="P62" s="30">
        <v>58</v>
      </c>
      <c r="Q62" s="19" t="s">
        <v>1000</v>
      </c>
      <c r="R62" s="19" t="s">
        <v>994</v>
      </c>
      <c r="S62" s="20" t="s">
        <v>231</v>
      </c>
      <c r="T62" s="32">
        <v>12</v>
      </c>
      <c r="U62" s="31" t="s">
        <v>892</v>
      </c>
    </row>
    <row r="63" spans="2:21">
      <c r="B63" s="30"/>
      <c r="C63" s="19"/>
      <c r="D63" s="20"/>
      <c r="E63" s="20"/>
      <c r="F63" s="31"/>
      <c r="G63" s="29"/>
      <c r="H63" s="29"/>
      <c r="I63" s="29"/>
      <c r="J63" s="29"/>
      <c r="K63" s="29"/>
      <c r="L63" s="29"/>
      <c r="M63" s="29"/>
      <c r="N63" s="29"/>
      <c r="P63" s="30">
        <v>59</v>
      </c>
      <c r="Q63" s="19" t="s">
        <v>1001</v>
      </c>
      <c r="R63" s="19" t="s">
        <v>994</v>
      </c>
      <c r="S63" s="20" t="s">
        <v>231</v>
      </c>
      <c r="T63" s="32">
        <v>25</v>
      </c>
      <c r="U63" s="31" t="s">
        <v>897</v>
      </c>
    </row>
    <row r="64" spans="2:21">
      <c r="B64" s="30"/>
      <c r="P64" s="30">
        <v>60</v>
      </c>
      <c r="Q64" s="19" t="s">
        <v>909</v>
      </c>
      <c r="R64" s="19" t="s">
        <v>994</v>
      </c>
      <c r="S64" s="20" t="s">
        <v>231</v>
      </c>
      <c r="T64" s="32">
        <v>10</v>
      </c>
      <c r="U64" s="31" t="s">
        <v>902</v>
      </c>
    </row>
    <row r="65" spans="3:21">
      <c r="C65" s="19"/>
      <c r="D65" s="20"/>
      <c r="E65" s="20"/>
      <c r="F65" s="31"/>
      <c r="G65" s="29"/>
      <c r="H65" s="29"/>
      <c r="I65" s="29"/>
      <c r="J65" s="29"/>
      <c r="K65" s="29"/>
      <c r="L65" s="29"/>
      <c r="M65" s="29"/>
      <c r="N65" s="29"/>
      <c r="P65" s="30">
        <v>61</v>
      </c>
      <c r="Q65" s="19" t="s">
        <v>917</v>
      </c>
      <c r="R65" s="19" t="s">
        <v>994</v>
      </c>
      <c r="S65" s="20" t="s">
        <v>231</v>
      </c>
      <c r="T65" s="32">
        <v>8</v>
      </c>
      <c r="U65" s="31" t="s">
        <v>906</v>
      </c>
    </row>
    <row r="66" spans="3:21">
      <c r="C66" s="19"/>
      <c r="D66" s="20"/>
      <c r="E66" s="20"/>
      <c r="F66" s="31"/>
      <c r="G66" s="29"/>
      <c r="H66" s="29"/>
      <c r="I66" s="29"/>
      <c r="J66" s="29"/>
      <c r="K66" s="29"/>
      <c r="L66" s="29"/>
      <c r="M66" s="29"/>
      <c r="N66" s="29"/>
      <c r="P66" s="30">
        <v>62</v>
      </c>
      <c r="Q66" s="19" t="s">
        <v>886</v>
      </c>
      <c r="R66" s="19" t="s">
        <v>994</v>
      </c>
      <c r="S66" s="20" t="s">
        <v>231</v>
      </c>
      <c r="T66" s="32">
        <v>20</v>
      </c>
      <c r="U66" s="31" t="s">
        <v>911</v>
      </c>
    </row>
    <row r="67" spans="3:21">
      <c r="C67" s="19"/>
      <c r="D67" s="20"/>
      <c r="E67" s="20"/>
      <c r="F67" s="31"/>
      <c r="G67" s="29"/>
      <c r="H67" s="29"/>
      <c r="I67" s="29"/>
      <c r="J67" s="29"/>
      <c r="K67" s="29"/>
      <c r="L67" s="29"/>
      <c r="M67" s="29"/>
      <c r="N67" s="29"/>
      <c r="P67" s="30">
        <v>63</v>
      </c>
      <c r="Q67" s="19" t="s">
        <v>1002</v>
      </c>
      <c r="R67" s="19" t="s">
        <v>994</v>
      </c>
      <c r="S67" s="20" t="s">
        <v>231</v>
      </c>
      <c r="T67" s="32">
        <v>10</v>
      </c>
      <c r="U67" s="31" t="s">
        <v>915</v>
      </c>
    </row>
    <row r="68" spans="3:21">
      <c r="C68" s="19"/>
      <c r="D68" s="20"/>
      <c r="E68" s="20"/>
      <c r="F68" s="31"/>
      <c r="G68" s="29"/>
      <c r="H68" s="29"/>
      <c r="I68" s="29"/>
      <c r="J68" s="29"/>
      <c r="K68" s="29"/>
      <c r="L68" s="29"/>
      <c r="M68" s="29"/>
      <c r="N68" s="29"/>
      <c r="P68" s="37">
        <v>64</v>
      </c>
      <c r="Q68" s="38" t="s">
        <v>913</v>
      </c>
      <c r="R68" s="38" t="s">
        <v>994</v>
      </c>
      <c r="S68" s="39" t="s">
        <v>231</v>
      </c>
      <c r="T68" s="40">
        <v>8</v>
      </c>
      <c r="U68" s="41" t="s">
        <v>919</v>
      </c>
    </row>
  </sheetData>
  <autoFilter ref="B4:K43" xr:uid="{128485AF-4E1C-4CE5-BA0B-351C14E44C58}"/>
  <sortState xmlns:xlrd2="http://schemas.microsoft.com/office/spreadsheetml/2017/richdata2" ref="B5:N43">
    <sortCondition ref="H5:H43"/>
    <sortCondition descending="1" ref="J5:J43"/>
    <sortCondition descending="1" ref="F5:F43"/>
  </sortState>
  <mergeCells count="2">
    <mergeCell ref="B2:G2"/>
    <mergeCell ref="P2:U2"/>
  </mergeCells>
  <dataValidations disablePrompts="1" count="1">
    <dataValidation type="list" allowBlank="1" showInputMessage="1" showErrorMessage="1" sqref="E46:E47 E44 E53:E54 E60 E49:E51 E62:E63" xr:uid="{8CD9C66D-FFE1-41F9-9BE3-6711BC4A69A7}">
      <formula1>$Q$5:$Q$68</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496E6-C1E8-4603-849E-E1E296A291BE}">
  <sheetPr codeName="Sheet6">
    <tabColor theme="5" tint="0.79998168889431442"/>
  </sheetPr>
  <dimension ref="B2:L34"/>
  <sheetViews>
    <sheetView zoomScale="130" zoomScaleNormal="130" workbookViewId="0">
      <selection activeCell="B2" sqref="B2:L34"/>
    </sheetView>
  </sheetViews>
  <sheetFormatPr defaultColWidth="9.140625" defaultRowHeight="12.75"/>
  <cols>
    <col min="1" max="1" width="3" style="13" customWidth="1"/>
    <col min="2" max="2" width="9.28515625" style="13" bestFit="1" customWidth="1"/>
    <col min="3" max="3" width="9.28515625" style="13" customWidth="1"/>
    <col min="4" max="4" width="24.28515625" style="13" customWidth="1"/>
    <col min="5" max="7" width="12.28515625" style="30" customWidth="1"/>
    <col min="8" max="8" width="26.42578125" style="30" bestFit="1" customWidth="1"/>
    <col min="9" max="9" width="10" style="34" bestFit="1" customWidth="1"/>
    <col min="10" max="10" width="8.5703125" style="34" bestFit="1" customWidth="1"/>
    <col min="11" max="11" width="12.140625" style="34" bestFit="1" customWidth="1"/>
    <col min="12" max="12" width="13.28515625" style="34" bestFit="1" customWidth="1"/>
    <col min="13" max="16384" width="9.140625" style="13"/>
  </cols>
  <sheetData>
    <row r="2" spans="2:12">
      <c r="B2" s="135" t="s">
        <v>1003</v>
      </c>
      <c r="C2" s="136"/>
      <c r="D2" s="136"/>
      <c r="E2" s="136"/>
      <c r="F2" s="136"/>
      <c r="G2" s="136"/>
      <c r="H2" s="136"/>
      <c r="I2" s="136"/>
      <c r="J2" s="136"/>
      <c r="K2" s="136"/>
      <c r="L2" s="136"/>
    </row>
    <row r="3" spans="2:12">
      <c r="H3" s="13"/>
      <c r="I3" s="13"/>
      <c r="J3" s="13"/>
      <c r="K3" s="13"/>
      <c r="L3" s="13"/>
    </row>
    <row r="4" spans="2:12" s="16" customFormat="1">
      <c r="B4" s="22" t="s">
        <v>1004</v>
      </c>
      <c r="C4" s="22" t="s">
        <v>1005</v>
      </c>
      <c r="D4" s="14" t="s">
        <v>1006</v>
      </c>
      <c r="E4" s="22" t="s">
        <v>1007</v>
      </c>
      <c r="F4" s="22" t="s">
        <v>366</v>
      </c>
      <c r="G4" s="22" t="s">
        <v>367</v>
      </c>
      <c r="H4" s="22" t="s">
        <v>1008</v>
      </c>
      <c r="I4" s="22" t="s">
        <v>1009</v>
      </c>
      <c r="J4" s="22" t="s">
        <v>1010</v>
      </c>
      <c r="K4" s="22" t="s">
        <v>1011</v>
      </c>
      <c r="L4" s="22" t="s">
        <v>14</v>
      </c>
    </row>
    <row r="5" spans="2:12">
      <c r="B5" s="30">
        <v>1</v>
      </c>
      <c r="C5" s="30" t="s">
        <v>1012</v>
      </c>
      <c r="D5" s="13" t="s">
        <v>1013</v>
      </c>
      <c r="E5" s="30">
        <v>37</v>
      </c>
      <c r="F5" s="31">
        <v>50000</v>
      </c>
      <c r="G5" s="36">
        <v>1</v>
      </c>
      <c r="H5" s="33" t="s">
        <v>1014</v>
      </c>
      <c r="I5" s="29">
        <v>2.2000000000000002</v>
      </c>
      <c r="J5" s="29" t="s">
        <v>229</v>
      </c>
      <c r="K5" s="31">
        <v>24</v>
      </c>
      <c r="L5" s="29" t="s">
        <v>71</v>
      </c>
    </row>
    <row r="6" spans="2:12">
      <c r="B6" s="30"/>
      <c r="C6" s="30" t="s">
        <v>1015</v>
      </c>
      <c r="D6" s="13" t="s">
        <v>1013</v>
      </c>
      <c r="E6" s="30">
        <v>37</v>
      </c>
      <c r="F6" s="31">
        <v>50000</v>
      </c>
      <c r="G6" s="36">
        <v>1</v>
      </c>
      <c r="H6" s="33" t="s">
        <v>1016</v>
      </c>
      <c r="I6" s="29">
        <v>2.06</v>
      </c>
      <c r="J6" s="29" t="s">
        <v>231</v>
      </c>
      <c r="K6" s="31">
        <v>31</v>
      </c>
      <c r="L6" s="29" t="s">
        <v>77</v>
      </c>
    </row>
    <row r="7" spans="2:12">
      <c r="B7" s="30"/>
      <c r="C7" s="30" t="s">
        <v>1017</v>
      </c>
      <c r="D7" s="13" t="s">
        <v>1013</v>
      </c>
      <c r="E7" s="30">
        <v>37</v>
      </c>
      <c r="F7" s="31">
        <v>50000</v>
      </c>
      <c r="G7" s="36">
        <v>1</v>
      </c>
      <c r="H7" s="33" t="s">
        <v>1018</v>
      </c>
      <c r="I7" s="29">
        <v>2.72</v>
      </c>
      <c r="J7" s="29" t="s">
        <v>227</v>
      </c>
      <c r="K7" s="31">
        <v>27</v>
      </c>
      <c r="L7" s="29" t="s">
        <v>1019</v>
      </c>
    </row>
    <row r="8" spans="2:12">
      <c r="B8" s="30">
        <v>2</v>
      </c>
      <c r="C8" s="30" t="s">
        <v>1012</v>
      </c>
      <c r="D8" s="13" t="s">
        <v>1020</v>
      </c>
      <c r="E8" s="30">
        <v>41</v>
      </c>
      <c r="F8" s="31">
        <v>55000</v>
      </c>
      <c r="G8" s="36">
        <v>1.5</v>
      </c>
      <c r="H8" s="33" t="s">
        <v>1021</v>
      </c>
      <c r="I8" s="29">
        <v>3.4</v>
      </c>
      <c r="J8" s="29" t="s">
        <v>229</v>
      </c>
      <c r="K8" s="31">
        <v>33</v>
      </c>
      <c r="L8" s="29" t="s">
        <v>71</v>
      </c>
    </row>
    <row r="9" spans="2:12">
      <c r="B9" s="30"/>
      <c r="C9" s="30" t="s">
        <v>1015</v>
      </c>
      <c r="D9" s="13" t="str">
        <f>D8</f>
        <v>Razorfen Downs</v>
      </c>
      <c r="E9" s="30">
        <v>41</v>
      </c>
      <c r="F9" s="31">
        <f t="shared" ref="F9:F10" si="0">F8</f>
        <v>55000</v>
      </c>
      <c r="G9" s="36">
        <f t="shared" ref="G9:G10" si="1">G8</f>
        <v>1.5</v>
      </c>
      <c r="H9" s="33" t="s">
        <v>1022</v>
      </c>
      <c r="I9" s="29">
        <v>1.87</v>
      </c>
      <c r="J9" s="29" t="s">
        <v>231</v>
      </c>
      <c r="K9" s="31">
        <v>38</v>
      </c>
      <c r="L9" s="29" t="s">
        <v>76</v>
      </c>
    </row>
    <row r="10" spans="2:12">
      <c r="B10" s="30"/>
      <c r="C10" s="30" t="s">
        <v>1017</v>
      </c>
      <c r="D10" s="13" t="str">
        <f t="shared" ref="D10" si="2">D9</f>
        <v>Razorfen Downs</v>
      </c>
      <c r="E10" s="30">
        <v>41</v>
      </c>
      <c r="F10" s="31">
        <f t="shared" si="0"/>
        <v>55000</v>
      </c>
      <c r="G10" s="36">
        <f t="shared" si="1"/>
        <v>1.5</v>
      </c>
      <c r="H10" s="33" t="s">
        <v>1023</v>
      </c>
      <c r="I10" s="29">
        <v>3.77</v>
      </c>
      <c r="J10" s="29" t="s">
        <v>227</v>
      </c>
      <c r="K10" s="31">
        <v>28</v>
      </c>
      <c r="L10" s="29" t="s">
        <v>1019</v>
      </c>
    </row>
    <row r="11" spans="2:12">
      <c r="B11" s="30">
        <v>3</v>
      </c>
      <c r="C11" s="30" t="s">
        <v>1012</v>
      </c>
      <c r="D11" s="13" t="s">
        <v>1024</v>
      </c>
      <c r="E11" s="30">
        <v>43</v>
      </c>
      <c r="F11" s="31">
        <v>65000</v>
      </c>
      <c r="G11" s="36">
        <v>1.7</v>
      </c>
      <c r="H11" s="33" t="s">
        <v>1025</v>
      </c>
      <c r="I11" s="29">
        <v>1.55</v>
      </c>
      <c r="J11" s="29" t="s">
        <v>231</v>
      </c>
      <c r="K11" s="31">
        <v>40</v>
      </c>
      <c r="L11" s="29" t="s">
        <v>80</v>
      </c>
    </row>
    <row r="12" spans="2:12">
      <c r="B12" s="30"/>
      <c r="C12" s="30" t="s">
        <v>1015</v>
      </c>
      <c r="D12" s="13" t="str">
        <f>D11</f>
        <v>Maraudon</v>
      </c>
      <c r="E12" s="30">
        <v>43</v>
      </c>
      <c r="F12" s="31">
        <f t="shared" ref="F12:F13" si="3">F11</f>
        <v>65000</v>
      </c>
      <c r="G12" s="36">
        <f t="shared" ref="G12:G13" si="4">G11</f>
        <v>1.7</v>
      </c>
      <c r="H12" s="33" t="s">
        <v>1026</v>
      </c>
      <c r="I12" s="29">
        <v>1.06</v>
      </c>
      <c r="J12" s="29" t="s">
        <v>229</v>
      </c>
      <c r="K12" s="31">
        <v>47</v>
      </c>
      <c r="L12" s="29" t="s">
        <v>71</v>
      </c>
    </row>
    <row r="13" spans="2:12">
      <c r="B13" s="30"/>
      <c r="C13" s="30" t="s">
        <v>1017</v>
      </c>
      <c r="D13" s="13" t="str">
        <f t="shared" ref="D13" si="5">D12</f>
        <v>Maraudon</v>
      </c>
      <c r="E13" s="30">
        <v>43</v>
      </c>
      <c r="F13" s="31">
        <f t="shared" si="3"/>
        <v>65000</v>
      </c>
      <c r="G13" s="36">
        <f t="shared" si="4"/>
        <v>1.7</v>
      </c>
      <c r="H13" s="33" t="s">
        <v>1027</v>
      </c>
      <c r="I13" s="29">
        <v>2.0699999999999998</v>
      </c>
      <c r="J13" s="29" t="s">
        <v>231</v>
      </c>
      <c r="K13" s="31">
        <v>21</v>
      </c>
      <c r="L13" s="29" t="s">
        <v>77</v>
      </c>
    </row>
    <row r="14" spans="2:12">
      <c r="B14" s="30">
        <v>4</v>
      </c>
      <c r="C14" s="30" t="s">
        <v>1012</v>
      </c>
      <c r="D14" s="13" t="s">
        <v>1028</v>
      </c>
      <c r="E14" s="30">
        <v>46</v>
      </c>
      <c r="F14" s="31">
        <v>70000</v>
      </c>
      <c r="G14" s="36">
        <v>2</v>
      </c>
      <c r="H14" s="13" t="s">
        <v>1029</v>
      </c>
      <c r="I14" s="29">
        <v>1.65</v>
      </c>
      <c r="J14" s="29" t="s">
        <v>227</v>
      </c>
      <c r="K14" s="31">
        <v>103</v>
      </c>
      <c r="L14" s="29" t="s">
        <v>68</v>
      </c>
    </row>
    <row r="15" spans="2:12">
      <c r="B15" s="30"/>
      <c r="C15" s="30" t="s">
        <v>1015</v>
      </c>
      <c r="D15" s="13" t="str">
        <f>D14</f>
        <v>Zul'Farrak</v>
      </c>
      <c r="E15" s="30">
        <v>46</v>
      </c>
      <c r="F15" s="31">
        <f t="shared" ref="F15:F16" si="6">F14</f>
        <v>70000</v>
      </c>
      <c r="G15" s="36">
        <f t="shared" ref="G15:G16" si="7">G14</f>
        <v>2</v>
      </c>
      <c r="H15" s="33" t="s">
        <v>1030</v>
      </c>
      <c r="I15" s="29">
        <v>2.35</v>
      </c>
      <c r="J15" s="29" t="s">
        <v>225</v>
      </c>
      <c r="K15" s="31">
        <v>110</v>
      </c>
      <c r="L15" s="29" t="s">
        <v>78</v>
      </c>
    </row>
    <row r="16" spans="2:12">
      <c r="B16" s="30"/>
      <c r="C16" s="30" t="s">
        <v>1017</v>
      </c>
      <c r="D16" s="13" t="str">
        <f t="shared" ref="D16" si="8">D15</f>
        <v>Zul'Farrak</v>
      </c>
      <c r="E16" s="30">
        <v>46</v>
      </c>
      <c r="F16" s="31">
        <f t="shared" si="6"/>
        <v>70000</v>
      </c>
      <c r="G16" s="36">
        <f t="shared" si="7"/>
        <v>2</v>
      </c>
      <c r="H16" s="33" t="s">
        <v>1031</v>
      </c>
      <c r="I16" s="29">
        <v>2.86</v>
      </c>
      <c r="J16" s="29" t="s">
        <v>231</v>
      </c>
      <c r="K16" s="31">
        <v>91</v>
      </c>
      <c r="L16" s="29" t="s">
        <v>76</v>
      </c>
    </row>
    <row r="17" spans="2:12">
      <c r="B17" s="30">
        <v>5</v>
      </c>
      <c r="C17" s="30" t="s">
        <v>1012</v>
      </c>
      <c r="D17" s="13" t="s">
        <v>1032</v>
      </c>
      <c r="E17" s="30">
        <v>47</v>
      </c>
      <c r="F17" s="31">
        <v>75000</v>
      </c>
      <c r="G17" s="36">
        <v>2.5</v>
      </c>
      <c r="H17" s="13" t="s">
        <v>1033</v>
      </c>
      <c r="I17" s="29">
        <v>3.85</v>
      </c>
      <c r="J17" s="29" t="s">
        <v>229</v>
      </c>
      <c r="K17" s="31">
        <v>84</v>
      </c>
      <c r="L17" s="29" t="s">
        <v>71</v>
      </c>
    </row>
    <row r="18" spans="2:12">
      <c r="B18" s="30"/>
      <c r="C18" s="30" t="s">
        <v>1015</v>
      </c>
      <c r="D18" s="13" t="str">
        <f>D17</f>
        <v>Uldaman</v>
      </c>
      <c r="E18" s="30">
        <v>47</v>
      </c>
      <c r="F18" s="31">
        <f t="shared" ref="F18:F19" si="9">F17</f>
        <v>75000</v>
      </c>
      <c r="G18" s="36">
        <f t="shared" ref="G18:G19" si="10">G17</f>
        <v>2.5</v>
      </c>
      <c r="H18" s="33" t="s">
        <v>1034</v>
      </c>
      <c r="I18" s="29">
        <v>2.11</v>
      </c>
      <c r="J18" s="29" t="s">
        <v>231</v>
      </c>
      <c r="K18" s="31">
        <v>99</v>
      </c>
      <c r="L18" s="29" t="s">
        <v>80</v>
      </c>
    </row>
    <row r="19" spans="2:12">
      <c r="B19" s="30"/>
      <c r="C19" s="30" t="s">
        <v>1017</v>
      </c>
      <c r="D19" s="13" t="str">
        <f t="shared" ref="D19" si="11">D18</f>
        <v>Uldaman</v>
      </c>
      <c r="E19" s="30">
        <v>47</v>
      </c>
      <c r="F19" s="31">
        <f t="shared" si="9"/>
        <v>75000</v>
      </c>
      <c r="G19" s="36">
        <f t="shared" si="10"/>
        <v>2.5</v>
      </c>
      <c r="H19" s="33" t="s">
        <v>1035</v>
      </c>
      <c r="I19" s="29">
        <v>3.2</v>
      </c>
      <c r="J19" s="29" t="s">
        <v>231</v>
      </c>
      <c r="K19" s="31">
        <v>107</v>
      </c>
      <c r="L19" s="29" t="s">
        <v>76</v>
      </c>
    </row>
    <row r="20" spans="2:12">
      <c r="B20" s="30">
        <v>6</v>
      </c>
      <c r="C20" s="30" t="s">
        <v>1012</v>
      </c>
      <c r="D20" s="13" t="s">
        <v>1036</v>
      </c>
      <c r="E20" s="30">
        <v>50</v>
      </c>
      <c r="F20" s="31">
        <v>80000</v>
      </c>
      <c r="G20" s="36">
        <v>3</v>
      </c>
      <c r="H20" s="33" t="s">
        <v>1037</v>
      </c>
      <c r="I20" s="29">
        <v>3.25</v>
      </c>
      <c r="J20" s="29" t="s">
        <v>231</v>
      </c>
      <c r="K20" s="31">
        <v>121</v>
      </c>
      <c r="L20" s="29" t="s">
        <v>77</v>
      </c>
    </row>
    <row r="21" spans="2:12">
      <c r="B21" s="30"/>
      <c r="C21" s="30" t="s">
        <v>1015</v>
      </c>
      <c r="D21" s="13" t="str">
        <f>D20</f>
        <v>The Temple of Atal'Hakkar</v>
      </c>
      <c r="E21" s="30">
        <v>50</v>
      </c>
      <c r="F21" s="31">
        <f t="shared" ref="F21:F22" si="12">F20</f>
        <v>80000</v>
      </c>
      <c r="G21" s="36">
        <f t="shared" ref="G21:G22" si="13">G20</f>
        <v>3</v>
      </c>
      <c r="H21" s="33" t="s">
        <v>1038</v>
      </c>
      <c r="I21" s="29">
        <v>3.41</v>
      </c>
      <c r="J21" s="29" t="s">
        <v>225</v>
      </c>
      <c r="K21" s="31">
        <v>117</v>
      </c>
      <c r="L21" s="29" t="s">
        <v>78</v>
      </c>
    </row>
    <row r="22" spans="2:12">
      <c r="B22" s="30"/>
      <c r="C22" s="30" t="s">
        <v>1017</v>
      </c>
      <c r="D22" s="13" t="str">
        <f t="shared" ref="D22" si="14">D21</f>
        <v>The Temple of Atal'Hakkar</v>
      </c>
      <c r="E22" s="30">
        <v>50</v>
      </c>
      <c r="F22" s="31">
        <f t="shared" si="12"/>
        <v>80000</v>
      </c>
      <c r="G22" s="36">
        <f t="shared" si="13"/>
        <v>3</v>
      </c>
      <c r="H22" s="33" t="s">
        <v>1039</v>
      </c>
      <c r="I22" s="29">
        <v>1.38</v>
      </c>
      <c r="J22" s="29" t="s">
        <v>231</v>
      </c>
      <c r="K22" s="31">
        <v>66</v>
      </c>
      <c r="L22" s="29" t="s">
        <v>77</v>
      </c>
    </row>
    <row r="23" spans="2:12">
      <c r="B23" s="30">
        <v>7</v>
      </c>
      <c r="C23" s="30" t="s">
        <v>1012</v>
      </c>
      <c r="D23" s="13" t="s">
        <v>1040</v>
      </c>
      <c r="E23" s="30">
        <v>52</v>
      </c>
      <c r="F23" s="31">
        <v>90000</v>
      </c>
      <c r="G23" s="36">
        <v>4</v>
      </c>
      <c r="H23" s="33" t="s">
        <v>1041</v>
      </c>
      <c r="I23" s="29">
        <v>4.3499999999999996</v>
      </c>
      <c r="J23" s="29" t="s">
        <v>227</v>
      </c>
      <c r="K23" s="31">
        <v>91</v>
      </c>
      <c r="L23" s="29" t="s">
        <v>68</v>
      </c>
    </row>
    <row r="24" spans="2:12">
      <c r="B24" s="30"/>
      <c r="C24" s="30" t="s">
        <v>1015</v>
      </c>
      <c r="D24" s="13" t="str">
        <f>D23</f>
        <v>Blackrock Depths</v>
      </c>
      <c r="E24" s="30">
        <v>52</v>
      </c>
      <c r="F24" s="31">
        <f t="shared" ref="F24:F25" si="15">F23</f>
        <v>90000</v>
      </c>
      <c r="G24" s="36">
        <f t="shared" ref="G24:G25" si="16">G23</f>
        <v>4</v>
      </c>
      <c r="H24" s="33" t="s">
        <v>1042</v>
      </c>
      <c r="I24" s="29">
        <v>1.1499999999999999</v>
      </c>
      <c r="J24" s="29" t="s">
        <v>227</v>
      </c>
      <c r="K24" s="31">
        <v>51</v>
      </c>
      <c r="L24" s="29" t="s">
        <v>79</v>
      </c>
    </row>
    <row r="25" spans="2:12">
      <c r="B25" s="30"/>
      <c r="C25" s="30" t="s">
        <v>1017</v>
      </c>
      <c r="D25" s="13" t="str">
        <f t="shared" ref="D25" si="17">D24</f>
        <v>Blackrock Depths</v>
      </c>
      <c r="E25" s="30">
        <v>52</v>
      </c>
      <c r="F25" s="31">
        <f t="shared" si="15"/>
        <v>90000</v>
      </c>
      <c r="G25" s="36">
        <f t="shared" si="16"/>
        <v>4</v>
      </c>
      <c r="H25" s="33" t="s">
        <v>1043</v>
      </c>
      <c r="I25" s="29">
        <v>2.82</v>
      </c>
      <c r="J25" s="29" t="s">
        <v>227</v>
      </c>
      <c r="K25" s="31">
        <v>69</v>
      </c>
      <c r="L25" s="29" t="s">
        <v>73</v>
      </c>
    </row>
    <row r="26" spans="2:12">
      <c r="B26" s="30">
        <v>8</v>
      </c>
      <c r="C26" s="30" t="s">
        <v>1012</v>
      </c>
      <c r="D26" s="13" t="s">
        <v>1044</v>
      </c>
      <c r="E26" s="30">
        <v>54</v>
      </c>
      <c r="F26" s="31">
        <v>100000</v>
      </c>
      <c r="G26" s="36">
        <v>5</v>
      </c>
      <c r="H26" s="33" t="s">
        <v>1045</v>
      </c>
      <c r="I26" s="29">
        <v>3.22</v>
      </c>
      <c r="J26" s="29" t="s">
        <v>225</v>
      </c>
      <c r="K26" s="31">
        <v>145</v>
      </c>
      <c r="L26" s="29" t="s">
        <v>78</v>
      </c>
    </row>
    <row r="27" spans="2:12">
      <c r="B27" s="30"/>
      <c r="C27" s="30" t="s">
        <v>1015</v>
      </c>
      <c r="D27" s="13" t="str">
        <f>D26</f>
        <v>Scholomance</v>
      </c>
      <c r="E27" s="30">
        <v>54</v>
      </c>
      <c r="F27" s="31">
        <f t="shared" ref="F27:F28" si="18">F26</f>
        <v>100000</v>
      </c>
      <c r="G27" s="36">
        <f t="shared" ref="G27:G28" si="19">G26</f>
        <v>5</v>
      </c>
      <c r="H27" s="33" t="s">
        <v>1046</v>
      </c>
      <c r="I27" s="29">
        <v>2.82</v>
      </c>
      <c r="J27" s="29" t="s">
        <v>231</v>
      </c>
      <c r="K27" s="31">
        <v>126</v>
      </c>
      <c r="L27" s="29" t="s">
        <v>80</v>
      </c>
    </row>
    <row r="28" spans="2:12">
      <c r="B28" s="30"/>
      <c r="C28" s="30" t="s">
        <v>1017</v>
      </c>
      <c r="D28" s="13" t="str">
        <f t="shared" ref="D28" si="20">D27</f>
        <v>Scholomance</v>
      </c>
      <c r="E28" s="30">
        <v>54</v>
      </c>
      <c r="F28" s="31">
        <f t="shared" si="18"/>
        <v>100000</v>
      </c>
      <c r="G28" s="36">
        <f t="shared" si="19"/>
        <v>5</v>
      </c>
      <c r="H28" s="33" t="s">
        <v>1047</v>
      </c>
      <c r="I28" s="29">
        <v>1.3</v>
      </c>
      <c r="J28" s="29" t="s">
        <v>227</v>
      </c>
      <c r="K28" s="31">
        <v>115</v>
      </c>
      <c r="L28" s="29" t="s">
        <v>1019</v>
      </c>
    </row>
    <row r="29" spans="2:12">
      <c r="B29" s="30">
        <v>9</v>
      </c>
      <c r="C29" s="30" t="s">
        <v>1012</v>
      </c>
      <c r="D29" s="13" t="s">
        <v>1048</v>
      </c>
      <c r="E29" s="30">
        <v>56</v>
      </c>
      <c r="F29" s="31">
        <v>110000</v>
      </c>
      <c r="G29" s="36">
        <v>5.5</v>
      </c>
      <c r="H29" s="33" t="s">
        <v>1049</v>
      </c>
      <c r="I29" s="29">
        <v>1.49</v>
      </c>
      <c r="J29" s="29" t="s">
        <v>231</v>
      </c>
      <c r="K29" s="31">
        <v>85</v>
      </c>
      <c r="L29" s="29" t="s">
        <v>76</v>
      </c>
    </row>
    <row r="30" spans="2:12">
      <c r="B30" s="30"/>
      <c r="C30" s="30" t="s">
        <v>1015</v>
      </c>
      <c r="D30" s="13" t="str">
        <f>D29</f>
        <v>Stratholme</v>
      </c>
      <c r="E30" s="30">
        <v>56</v>
      </c>
      <c r="F30" s="31">
        <f t="shared" ref="F30:F31" si="21">F29</f>
        <v>110000</v>
      </c>
      <c r="G30" s="36">
        <f t="shared" ref="G30:G31" si="22">G29</f>
        <v>5.5</v>
      </c>
      <c r="H30" s="33" t="s">
        <v>1050</v>
      </c>
      <c r="I30" s="29">
        <v>1.84</v>
      </c>
      <c r="J30" s="29" t="s">
        <v>229</v>
      </c>
      <c r="K30" s="31">
        <v>146</v>
      </c>
      <c r="L30" s="29" t="s">
        <v>71</v>
      </c>
    </row>
    <row r="31" spans="2:12">
      <c r="B31" s="30"/>
      <c r="C31" s="30" t="s">
        <v>1017</v>
      </c>
      <c r="D31" s="13" t="str">
        <f t="shared" ref="D31" si="23">D30</f>
        <v>Stratholme</v>
      </c>
      <c r="E31" s="30">
        <v>56</v>
      </c>
      <c r="F31" s="31">
        <f t="shared" si="21"/>
        <v>110000</v>
      </c>
      <c r="G31" s="36">
        <f t="shared" si="22"/>
        <v>5.5</v>
      </c>
      <c r="H31" s="33" t="s">
        <v>1051</v>
      </c>
      <c r="I31" s="29">
        <v>1.18</v>
      </c>
      <c r="J31" s="29" t="s">
        <v>225</v>
      </c>
      <c r="K31" s="31">
        <v>91</v>
      </c>
      <c r="L31" s="29" t="s">
        <v>78</v>
      </c>
    </row>
    <row r="32" spans="2:12">
      <c r="B32" s="30">
        <v>10</v>
      </c>
      <c r="C32" s="30" t="s">
        <v>1012</v>
      </c>
      <c r="D32" s="13" t="s">
        <v>1052</v>
      </c>
      <c r="E32" s="30">
        <v>58</v>
      </c>
      <c r="F32" s="31">
        <v>115000</v>
      </c>
      <c r="G32" s="36">
        <v>6</v>
      </c>
      <c r="H32" s="33" t="s">
        <v>1053</v>
      </c>
      <c r="I32" s="29">
        <v>3</v>
      </c>
      <c r="J32" s="29" t="s">
        <v>231</v>
      </c>
      <c r="K32" s="31">
        <v>80</v>
      </c>
      <c r="L32" s="29" t="s">
        <v>76</v>
      </c>
    </row>
    <row r="33" spans="2:12">
      <c r="B33" s="30"/>
      <c r="C33" s="30" t="s">
        <v>1015</v>
      </c>
      <c r="D33" s="13" t="str">
        <f>D32</f>
        <v>Dire Maul</v>
      </c>
      <c r="E33" s="30">
        <v>58</v>
      </c>
      <c r="F33" s="31">
        <f t="shared" ref="F33:F34" si="24">F32</f>
        <v>115000</v>
      </c>
      <c r="G33" s="36">
        <f t="shared" ref="G33:G34" si="25">G32</f>
        <v>6</v>
      </c>
      <c r="H33" s="33" t="s">
        <v>1054</v>
      </c>
      <c r="I33" s="29">
        <v>2.97</v>
      </c>
      <c r="J33" s="29" t="s">
        <v>231</v>
      </c>
      <c r="K33" s="31">
        <v>113</v>
      </c>
      <c r="L33" s="29" t="s">
        <v>77</v>
      </c>
    </row>
    <row r="34" spans="2:12">
      <c r="B34" s="30"/>
      <c r="C34" s="30" t="s">
        <v>1017</v>
      </c>
      <c r="D34" s="13" t="str">
        <f t="shared" ref="D34" si="26">D33</f>
        <v>Dire Maul</v>
      </c>
      <c r="E34" s="30">
        <v>58</v>
      </c>
      <c r="F34" s="31">
        <f t="shared" si="24"/>
        <v>115000</v>
      </c>
      <c r="G34" s="36">
        <f t="shared" si="25"/>
        <v>6</v>
      </c>
      <c r="H34" s="33" t="s">
        <v>1055</v>
      </c>
      <c r="I34" s="29">
        <v>1.01</v>
      </c>
      <c r="J34" s="29" t="s">
        <v>227</v>
      </c>
      <c r="K34" s="31">
        <v>133</v>
      </c>
      <c r="L34" s="29" t="s">
        <v>73</v>
      </c>
    </row>
  </sheetData>
  <autoFilter ref="B4:L34" xr:uid="{146496E6-C1E8-4603-849E-E1E296A291BE}"/>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E690-4683-42EC-834B-278988B5EBB6}">
  <sheetPr codeName="Sheet7">
    <tabColor theme="5" tint="0.79998168889431442"/>
  </sheetPr>
  <dimension ref="A2:S23"/>
  <sheetViews>
    <sheetView workbookViewId="0">
      <selection activeCell="A17" sqref="A17:N17"/>
    </sheetView>
  </sheetViews>
  <sheetFormatPr defaultRowHeight="15"/>
  <cols>
    <col min="1" max="1" width="7.5703125" bestFit="1" customWidth="1"/>
    <col min="2" max="2" width="7.85546875" bestFit="1" customWidth="1"/>
    <col min="3" max="3" width="8.140625" bestFit="1" customWidth="1"/>
    <col min="4" max="4" width="12.5703125" bestFit="1" customWidth="1"/>
    <col min="5" max="5" width="13.5703125" bestFit="1" customWidth="1"/>
    <col min="6" max="6" width="11.28515625" bestFit="1" customWidth="1"/>
    <col min="7" max="7" width="7.7109375" bestFit="1" customWidth="1"/>
    <col min="8" max="8" width="17.7109375" bestFit="1" customWidth="1"/>
    <col min="9" max="9" width="9.28515625" bestFit="1" customWidth="1"/>
    <col min="10" max="10" width="10" bestFit="1" customWidth="1"/>
    <col min="11" max="11" width="9" bestFit="1" customWidth="1"/>
    <col min="12" max="12" width="9.85546875" bestFit="1" customWidth="1"/>
    <col min="13" max="13" width="20.140625" bestFit="1" customWidth="1"/>
    <col min="14" max="14" width="19.140625" bestFit="1" customWidth="1"/>
    <col min="15" max="15" width="19.140625" customWidth="1"/>
  </cols>
  <sheetData>
    <row r="2" spans="1:19">
      <c r="A2" s="42" t="s">
        <v>1056</v>
      </c>
      <c r="B2" s="42" t="s">
        <v>13</v>
      </c>
      <c r="C2" s="42" t="s">
        <v>14</v>
      </c>
      <c r="D2" s="42" t="s">
        <v>1057</v>
      </c>
      <c r="E2" s="42" t="s">
        <v>1058</v>
      </c>
      <c r="F2" s="42" t="s">
        <v>223</v>
      </c>
      <c r="G2" s="42" t="s">
        <v>224</v>
      </c>
      <c r="H2" s="42" t="s">
        <v>1059</v>
      </c>
      <c r="I2" s="42" t="s">
        <v>1060</v>
      </c>
      <c r="J2" s="42" t="s">
        <v>1061</v>
      </c>
      <c r="K2" s="42" t="s">
        <v>152</v>
      </c>
      <c r="L2" s="145" t="s">
        <v>151</v>
      </c>
      <c r="M2" s="145" t="s">
        <v>261</v>
      </c>
      <c r="N2" s="145" t="s">
        <v>1062</v>
      </c>
      <c r="O2" s="145" t="s">
        <v>135</v>
      </c>
      <c r="R2" t="s">
        <v>54</v>
      </c>
    </row>
    <row r="3" spans="1:19">
      <c r="A3" t="s">
        <v>66</v>
      </c>
      <c r="B3" t="str">
        <f>INDEX(Case!$F$246:$F$267,MATCH(A3,Case!$E$246:$E$267,0))</f>
        <v>Orc</v>
      </c>
      <c r="C3" t="str">
        <f>INDEX(Case!$G$246:$G$267,MATCH(A3,Case!$E$246:$E$267,0))</f>
        <v>Warlock</v>
      </c>
      <c r="D3" s="122">
        <f>INDEX(Case!$L$246:$L$267,MATCH(A3,Case!$E$246:$E$267,0))</f>
        <v>315908</v>
      </c>
      <c r="E3">
        <f>INDEX(Case!$M$246:$M$267,MATCH(A3,Case!$E$246:$E$267,0))</f>
        <v>21.69</v>
      </c>
      <c r="F3" t="str">
        <f>INDEX(Case!$K$207:$K$214,MATCH('L4 Calc'!C3,Case!$J$207:$J$214,0))</f>
        <v>Intellect</v>
      </c>
      <c r="G3">
        <f>INDEX(Case!$L$207:$L$214,MATCH('L4 Calc'!C3,Case!$J$207:$J$214,0))</f>
        <v>80</v>
      </c>
      <c r="H3" t="e" cm="1">
        <f t="array" aca="1" ref="H3" ca="1">_xlfn.LET(
    _xlpm.RT_stats,'More Quests &amp; Items (L4)'!$L$5:$L$43,
    _xlpm.class_rng,'More Quests &amp; Items (L4)'!$H$5:$H$43,
    _xlpm.curr_class,"*"&amp;'L4 Calc'!C3&amp;"*",
    _xlpm.first_row,MATCH(_xlpm.curr_class,_xlpm.class_rng,0),
    _xlpm.class_count,COUNTIF(_xlpm.class_rng,_xlpm.curr_class),
    _xlpm.search_rng,INDEX(_xlpm.RT_stats,_xlpm.first_row):INDEX(_xlpm.RT_stats,_xlpm.first_row+_xlpm.class_count-1),
    _xlpm.approx_match,MATCH(G3,_xlpm.search_rng,1),
    _xlpm.exact_match,MATCH(G3,_xlpm.search_rng,0),
    _xlpm.approx_match+IF(ISERROR(_xlpm.exact_match),1,0)
)</f>
        <v>#NAME?</v>
      </c>
      <c r="I3" s="126" t="e" cm="1">
        <f t="array" aca="1" ref="I3" ca="1">_xlfn.LET(
    _xlpm.RT_exp,'More Quests &amp; Items (L4)'!$M$5:$M$43,
    _xlpm.quest_order_rng,'More Quests &amp; Items (L4)'!$K$5:$K$43,
    _xlpm.class_rng,'More Quests &amp; Items (L4)'!$H$5:$H$43,
    _xlpm.curr_class,"*"&amp;'L4 Calc'!C3&amp;"*",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INDEX(_xlpm.search_rng,MATCH(H3,_xlpm.matchingLookups,0))
)</f>
        <v>#NAME?</v>
      </c>
      <c r="J3" t="e" cm="1">
        <f t="array" aca="1" ref="J3" ca="1">_xlfn.LET(
    _xlpm.RT_gold,'More Quests &amp; Items (L4)'!$N$5:$N$43,
    _xlpm.quest_order_rng,'More Quests &amp; Items (L4)'!$K$5:$K$43,
    _xlpm.class_rng,'More Quests &amp; Items (L4)'!$H$5:$H$43,
    _xlpm.curr_class,"*"&amp;'L4 Calc'!C3&amp;"*",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INDEX(_xlpm.search_rng,MATCH(H3,_xlpm.matchingLookups,0))
)</f>
        <v>#NAME?</v>
      </c>
      <c r="K3" s="127" t="e">
        <f ca="1">ROUND(I3+D3,0)</f>
        <v>#NAME?</v>
      </c>
      <c r="L3" t="e">
        <f ca="1">E3+J3</f>
        <v>#NAME?</v>
      </c>
      <c r="M3" t="e" cm="1">
        <f t="array" aca="1" ref="M3" ca="1">_xlfn.LET(
    _xlpm.item_rng,'More Quests &amp; Items (L4)'!$E$5:$E$43,
    _xlpm.quest_order_rng,'More Quests &amp; Items (L4)'!$K$5:$K$43,
    _xlpm.class_rng,'More Quests &amp; Items (L4)'!$H$5:$H$43,
    _xlpm.curr_class,"*"&amp;'L4 Calc'!C3&amp;"*",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INDEX(_xlpm.search_rng,MATCH(H3,_xlpm.matchingLookups,0))
)</f>
        <v>#NAME?</v>
      </c>
      <c r="N3" t="e">
        <f ca="1">INDEX('More Quests &amp; Items (L4)'!$L$5:$L$43,MATCH('L4 Calc'!M3,'More Quests &amp; Items (L4)'!$E$5:$E$43,0))</f>
        <v>#NAME?</v>
      </c>
      <c r="O3" t="e" cm="1">
        <f t="array" aca="1" ref="O3" ca="1">INDEX(Case!$Z$63:$DU$63,0,MATCH(K3,Case!$Z$64:$DU$64,1))</f>
        <v>#NAME?</v>
      </c>
      <c r="R3" t="s">
        <v>1063</v>
      </c>
    </row>
    <row r="4" spans="1:19">
      <c r="A4">
        <v>1</v>
      </c>
      <c r="B4" t="str">
        <f>INDEX(Case!$F$246:$F$267,MATCH(A4,Case!$E$246:$E$267,0))</f>
        <v>Orc</v>
      </c>
      <c r="C4" t="str">
        <f>INDEX(Case!$G$246:$G$267,MATCH(A4,Case!$E$246:$E$267,0))</f>
        <v>Warrior</v>
      </c>
      <c r="D4" s="122">
        <f>INDEX(Case!$L$246:$L$267,MATCH(A4,Case!$E$246:$E$267,0))</f>
        <v>315945</v>
      </c>
      <c r="E4">
        <f>INDEX(Case!$M$246:$M$267,MATCH(A4,Case!$E$246:$E$267,0))</f>
        <v>7.45</v>
      </c>
      <c r="F4" t="str">
        <f>INDEX(Case!$K$207:$K$214,MATCH('L4 Calc'!C4,Case!$J$207:$J$214,0))</f>
        <v>Armor</v>
      </c>
      <c r="G4">
        <f>INDEX(Case!$L$207:$L$214,MATCH('L4 Calc'!C4,Case!$J$207:$J$214,0))</f>
        <v>300</v>
      </c>
      <c r="H4" t="e" cm="1">
        <f t="array" aca="1" ref="H4" ca="1">_xlfn.LET(
    _xlpm.RT_stats,'More Quests &amp; Items (L4)'!$L$5:$L$43,
    _xlpm.class_rng,'More Quests &amp; Items (L4)'!$H$5:$H$43,
    _xlpm.curr_class,"*"&amp;'L4 Calc'!C4&amp;"*",
    _xlpm.first_row,MATCH(_xlpm.curr_class,_xlpm.class_rng,0),
    _xlpm.class_count,COUNTIF(_xlpm.class_rng,_xlpm.curr_class),
    _xlpm.search_rng,INDEX(_xlpm.RT_stats,_xlpm.first_row):INDEX(_xlpm.RT_stats,_xlpm.first_row+_xlpm.class_count-1),
    _xlpm.approx_match,MATCH(G4,_xlpm.search_rng,1),
    _xlpm.exact_match,MATCH(G4,_xlpm.search_rng,0),
    _xlpm.approx_match+IF(ISERROR(_xlpm.exact_match),1,0)
)</f>
        <v>#NAME?</v>
      </c>
      <c r="I4" s="126" t="e" cm="1">
        <f t="array" aca="1" ref="I4" ca="1">_xlfn.LET(
    _xlpm.RT_exp,'More Quests &amp; Items (L4)'!$M$5:$M$43,
    _xlpm.quest_order_rng,'More Quests &amp; Items (L4)'!$K$5:$K$43,
    _xlpm.class_rng,'More Quests &amp; Items (L4)'!$H$5:$H$43,
    _xlpm.curr_class,"*"&amp;'L4 Calc'!C4&amp;"*",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INDEX(_xlpm.search_rng,MATCH(H4,_xlpm.matchingLookups,0))
)</f>
        <v>#NAME?</v>
      </c>
      <c r="J4" t="e" cm="1">
        <f t="array" aca="1" ref="J4" ca="1">_xlfn.LET(
    _xlpm.RT_gold,'More Quests &amp; Items (L4)'!$N$5:$N$43,
    _xlpm.quest_order_rng,'More Quests &amp; Items (L4)'!$K$5:$K$43,
    _xlpm.class_rng,'More Quests &amp; Items (L4)'!$H$5:$H$43,
    _xlpm.curr_class,"*"&amp;'L4 Calc'!C4&amp;"*",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INDEX(_xlpm.search_rng,MATCH(H4,_xlpm.matchingLookups,0))
)</f>
        <v>#NAME?</v>
      </c>
      <c r="K4" s="127" t="e">
        <f t="shared" ref="K4:K23" ca="1" si="0">ROUND(I4+D4,0)</f>
        <v>#NAME?</v>
      </c>
      <c r="L4" t="e">
        <f t="shared" ref="L4:L23" ca="1" si="1">E4+J4</f>
        <v>#NAME?</v>
      </c>
      <c r="M4" t="e" cm="1">
        <f t="array" aca="1" ref="M4" ca="1">_xlfn.LET(
    _xlpm.item_rng,'More Quests &amp; Items (L4)'!$E$5:$E$43,
    _xlpm.quest_order_rng,'More Quests &amp; Items (L4)'!$K$5:$K$43,
    _xlpm.class_rng,'More Quests &amp; Items (L4)'!$H$5:$H$43,
    _xlpm.curr_class,"*"&amp;'L4 Calc'!C4&amp;"*",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INDEX(_xlpm.search_rng,MATCH(H4,_xlpm.matchingLookups,0))
)</f>
        <v>#NAME?</v>
      </c>
      <c r="N4" t="e">
        <f ca="1">INDEX('More Quests &amp; Items (L4)'!$L$5:$L$43,MATCH('L4 Calc'!M4,'More Quests &amp; Items (L4)'!$E$5:$E$43,0))</f>
        <v>#NAME?</v>
      </c>
      <c r="O4" t="e" cm="1">
        <f t="array" aca="1" ref="O4" ca="1">INDEX(Case!$Z$63:$DU$63,0,MATCH(K4,Case!$Z$64:$DU$64,1))</f>
        <v>#NAME?</v>
      </c>
      <c r="R4" t="s">
        <v>1064</v>
      </c>
    </row>
    <row r="5" spans="1:19">
      <c r="A5">
        <v>2</v>
      </c>
      <c r="B5" t="str">
        <f>INDEX(Case!$F$246:$F$267,MATCH(A5,Case!$E$246:$E$267,0))</f>
        <v>Troll</v>
      </c>
      <c r="C5" t="str">
        <f>INDEX(Case!$G$246:$G$267,MATCH(A5,Case!$E$246:$E$267,0))</f>
        <v>Priest</v>
      </c>
      <c r="D5" s="122">
        <f>INDEX(Case!$L$246:$L$267,MATCH(A5,Case!$E$246:$E$267,0))</f>
        <v>315612</v>
      </c>
      <c r="E5">
        <f>INDEX(Case!$M$246:$M$267,MATCH(A5,Case!$E$246:$E$267,0))</f>
        <v>16.96</v>
      </c>
      <c r="F5" t="str">
        <f>INDEX(Case!$K$207:$K$214,MATCH('L4 Calc'!C5,Case!$J$207:$J$214,0))</f>
        <v>Intellect</v>
      </c>
      <c r="G5">
        <f>INDEX(Case!$L$207:$L$214,MATCH('L4 Calc'!C5,Case!$J$207:$J$214,0))</f>
        <v>65</v>
      </c>
      <c r="H5" t="e" cm="1">
        <f t="array" aca="1" ref="H5" ca="1">_xlfn.LET(
    _xlpm.RT_stats,'More Quests &amp; Items (L4)'!$L$5:$L$43,
    _xlpm.class_rng,'More Quests &amp; Items (L4)'!$H$5:$H$43,
    _xlpm.curr_class,"*"&amp;'L4 Calc'!C5&amp;"*",
    _xlpm.first_row,MATCH(_xlpm.curr_class,_xlpm.class_rng,0),
    _xlpm.class_count,COUNTIF(_xlpm.class_rng,_xlpm.curr_class),
    _xlpm.search_rng,INDEX(_xlpm.RT_stats,_xlpm.first_row):INDEX(_xlpm.RT_stats,_xlpm.first_row+_xlpm.class_count-1),
    _xlpm.approx_match,MATCH(G5,_xlpm.search_rng,1),
    _xlpm.exact_match,MATCH(G5,_xlpm.search_rng,0),
    _xlpm.approx_match+IF(ISERROR(_xlpm.exact_match),1,0)
)</f>
        <v>#NAME?</v>
      </c>
      <c r="I5" s="126" t="e" cm="1">
        <f t="array" aca="1" ref="I5" ca="1">_xlfn.LET(
    _xlpm.RT_exp,'More Quests &amp; Items (L4)'!$M$5:$M$43,
    _xlpm.quest_order_rng,'More Quests &amp; Items (L4)'!$K$5:$K$43,
    _xlpm.class_rng,'More Quests &amp; Items (L4)'!$H$5:$H$43,
    _xlpm.curr_class,"*"&amp;'L4 Calc'!C5&amp;"*",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INDEX(_xlpm.search_rng,MATCH(H5,_xlpm.matchingLookups,0))
)</f>
        <v>#NAME?</v>
      </c>
      <c r="J5" t="e" cm="1">
        <f t="array" aca="1" ref="J5" ca="1">_xlfn.LET(
    _xlpm.RT_gold,'More Quests &amp; Items (L4)'!$N$5:$N$43,
    _xlpm.quest_order_rng,'More Quests &amp; Items (L4)'!$K$5:$K$43,
    _xlpm.class_rng,'More Quests &amp; Items (L4)'!$H$5:$H$43,
    _xlpm.curr_class,"*"&amp;'L4 Calc'!C5&amp;"*",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INDEX(_xlpm.search_rng,MATCH(H5,_xlpm.matchingLookups,0))
)</f>
        <v>#NAME?</v>
      </c>
      <c r="K5" s="127" t="e">
        <f t="shared" ca="1" si="0"/>
        <v>#NAME?</v>
      </c>
      <c r="L5" t="e">
        <f t="shared" ca="1" si="1"/>
        <v>#NAME?</v>
      </c>
      <c r="M5" t="e" cm="1">
        <f t="array" aca="1" ref="M5" ca="1">_xlfn.LET(
    _xlpm.item_rng,'More Quests &amp; Items (L4)'!$E$5:$E$43,
    _xlpm.quest_order_rng,'More Quests &amp; Items (L4)'!$K$5:$K$43,
    _xlpm.class_rng,'More Quests &amp; Items (L4)'!$H$5:$H$43,
    _xlpm.curr_class,"*"&amp;'L4 Calc'!C5&amp;"*",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INDEX(_xlpm.search_rng,MATCH(H5,_xlpm.matchingLookups,0))
)</f>
        <v>#NAME?</v>
      </c>
      <c r="N5" t="e">
        <f ca="1">INDEX('More Quests &amp; Items (L4)'!$L$5:$L$43,MATCH('L4 Calc'!M5,'More Quests &amp; Items (L4)'!$E$5:$E$43,0))</f>
        <v>#NAME?</v>
      </c>
      <c r="O5" t="e" cm="1">
        <f t="array" aca="1" ref="O5" ca="1">INDEX(Case!$Z$63:$DU$63,0,MATCH(K5,Case!$Z$64:$DU$64,1))</f>
        <v>#NAME?</v>
      </c>
      <c r="R5" t="s">
        <v>1065</v>
      </c>
    </row>
    <row r="6" spans="1:19">
      <c r="A6">
        <v>3</v>
      </c>
      <c r="B6" t="str">
        <f>INDEX(Case!$F$246:$F$267,MATCH(A6,Case!$E$246:$E$267,0))</f>
        <v>Undead</v>
      </c>
      <c r="C6" t="str">
        <f>INDEX(Case!$G$246:$G$267,MATCH(A6,Case!$E$246:$E$267,0))</f>
        <v>Warlock</v>
      </c>
      <c r="D6" s="122">
        <f>INDEX(Case!$L$246:$L$267,MATCH(A6,Case!$E$246:$E$267,0))</f>
        <v>317200</v>
      </c>
      <c r="E6">
        <f>INDEX(Case!$M$246:$M$267,MATCH(A6,Case!$E$246:$E$267,0))</f>
        <v>2.4300000000000002</v>
      </c>
      <c r="F6" t="str">
        <f>INDEX(Case!$K$207:$K$214,MATCH('L4 Calc'!C6,Case!$J$207:$J$214,0))</f>
        <v>Intellect</v>
      </c>
      <c r="G6">
        <f>INDEX(Case!$L$207:$L$214,MATCH('L4 Calc'!C6,Case!$J$207:$J$214,0))</f>
        <v>80</v>
      </c>
      <c r="H6" t="e" cm="1">
        <f t="array" aca="1" ref="H6" ca="1">_xlfn.LET(
    _xlpm.RT_stats,'More Quests &amp; Items (L4)'!$L$5:$L$43,
    _xlpm.class_rng,'More Quests &amp; Items (L4)'!$H$5:$H$43,
    _xlpm.curr_class,"*"&amp;'L4 Calc'!C6&amp;"*",
    _xlpm.first_row,MATCH(_xlpm.curr_class,_xlpm.class_rng,0),
    _xlpm.class_count,COUNTIF(_xlpm.class_rng,_xlpm.curr_class),
    _xlpm.search_rng,INDEX(_xlpm.RT_stats,_xlpm.first_row):INDEX(_xlpm.RT_stats,_xlpm.first_row+_xlpm.class_count-1),
    _xlpm.approx_match,MATCH(G6,_xlpm.search_rng,1),
    _xlpm.exact_match,MATCH(G6,_xlpm.search_rng,0),
    _xlpm.approx_match+IF(ISERROR(_xlpm.exact_match),1,0)
)</f>
        <v>#NAME?</v>
      </c>
      <c r="I6" s="126" t="e" cm="1">
        <f t="array" aca="1" ref="I6" ca="1">_xlfn.LET(
    _xlpm.RT_exp,'More Quests &amp; Items (L4)'!$M$5:$M$43,
    _xlpm.quest_order_rng,'More Quests &amp; Items (L4)'!$K$5:$K$43,
    _xlpm.class_rng,'More Quests &amp; Items (L4)'!$H$5:$H$43,
    _xlpm.curr_class,"*"&amp;'L4 Calc'!C6&amp;"*",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INDEX(_xlpm.search_rng,MATCH(H6,_xlpm.matchingLookups,0))
)</f>
        <v>#NAME?</v>
      </c>
      <c r="J6" t="e" cm="1">
        <f t="array" aca="1" ref="J6" ca="1">_xlfn.LET(
    _xlpm.RT_gold,'More Quests &amp; Items (L4)'!$N$5:$N$43,
    _xlpm.quest_order_rng,'More Quests &amp; Items (L4)'!$K$5:$K$43,
    _xlpm.class_rng,'More Quests &amp; Items (L4)'!$H$5:$H$43,
    _xlpm.curr_class,"*"&amp;'L4 Calc'!C6&amp;"*",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INDEX(_xlpm.search_rng,MATCH(H6,_xlpm.matchingLookups,0))
)</f>
        <v>#NAME?</v>
      </c>
      <c r="K6" s="127" t="e">
        <f t="shared" ca="1" si="0"/>
        <v>#NAME?</v>
      </c>
      <c r="L6" t="e">
        <f t="shared" ca="1" si="1"/>
        <v>#NAME?</v>
      </c>
      <c r="M6" t="e" cm="1">
        <f t="array" aca="1" ref="M6" ca="1">_xlfn.LET(
    _xlpm.item_rng,'More Quests &amp; Items (L4)'!$E$5:$E$43,
    _xlpm.quest_order_rng,'More Quests &amp; Items (L4)'!$K$5:$K$43,
    _xlpm.class_rng,'More Quests &amp; Items (L4)'!$H$5:$H$43,
    _xlpm.curr_class,"*"&amp;'L4 Calc'!C6&amp;"*",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INDEX(_xlpm.search_rng,MATCH(H6,_xlpm.matchingLookups,0))
)</f>
        <v>#NAME?</v>
      </c>
      <c r="N6" t="e">
        <f ca="1">INDEX('More Quests &amp; Items (L4)'!$L$5:$L$43,MATCH('L4 Calc'!M6,'More Quests &amp; Items (L4)'!$E$5:$E$43,0))</f>
        <v>#NAME?</v>
      </c>
      <c r="O6" t="e" cm="1">
        <f t="array" aca="1" ref="O6" ca="1">INDEX(Case!$Z$63:$DU$63,0,MATCH(K6,Case!$Z$64:$DU$64,1))</f>
        <v>#NAME?</v>
      </c>
      <c r="R6" t="s">
        <v>1066</v>
      </c>
    </row>
    <row r="7" spans="1:19">
      <c r="A7">
        <v>4</v>
      </c>
      <c r="B7" t="str">
        <f>INDEX(Case!$F$246:$F$267,MATCH(A7,Case!$E$246:$E$267,0))</f>
        <v>Tauren</v>
      </c>
      <c r="C7" t="str">
        <f>INDEX(Case!$G$246:$G$267,MATCH(A7,Case!$E$246:$E$267,0))</f>
        <v>Warrior</v>
      </c>
      <c r="D7" s="122">
        <f>INDEX(Case!$L$246:$L$267,MATCH(A7,Case!$E$246:$E$267,0))</f>
        <v>314691</v>
      </c>
      <c r="E7">
        <f>INDEX(Case!$M$246:$M$267,MATCH(A7,Case!$E$246:$E$267,0))</f>
        <v>11.6</v>
      </c>
      <c r="F7" t="str">
        <f>INDEX(Case!$K$207:$K$214,MATCH('L4 Calc'!C7,Case!$J$207:$J$214,0))</f>
        <v>Armor</v>
      </c>
      <c r="G7">
        <f>INDEX(Case!$L$207:$L$214,MATCH('L4 Calc'!C7,Case!$J$207:$J$214,0))</f>
        <v>300</v>
      </c>
      <c r="H7" t="e" cm="1">
        <f t="array" aca="1" ref="H7" ca="1">_xlfn.LET(
    _xlpm.RT_stats,'More Quests &amp; Items (L4)'!$L$5:$L$43,
    _xlpm.class_rng,'More Quests &amp; Items (L4)'!$H$5:$H$43,
    _xlpm.curr_class,"*"&amp;'L4 Calc'!C7&amp;"*",
    _xlpm.first_row,MATCH(_xlpm.curr_class,_xlpm.class_rng,0),
    _xlpm.class_count,COUNTIF(_xlpm.class_rng,_xlpm.curr_class),
    _xlpm.search_rng,INDEX(_xlpm.RT_stats,_xlpm.first_row):INDEX(_xlpm.RT_stats,_xlpm.first_row+_xlpm.class_count-1),
    _xlpm.approx_match,MATCH(G7,_xlpm.search_rng,1),
    _xlpm.exact_match,MATCH(G7,_xlpm.search_rng,0),
    _xlpm.approx_match+IF(ISERROR(_xlpm.exact_match),1,0)
)</f>
        <v>#NAME?</v>
      </c>
      <c r="I7" s="126" t="e" cm="1">
        <f t="array" aca="1" ref="I7" ca="1">_xlfn.LET(
    _xlpm.RT_exp,'More Quests &amp; Items (L4)'!$M$5:$M$43,
    _xlpm.quest_order_rng,'More Quests &amp; Items (L4)'!$K$5:$K$43,
    _xlpm.class_rng,'More Quests &amp; Items (L4)'!$H$5:$H$43,
    _xlpm.curr_class,"*"&amp;'L4 Calc'!C7&amp;"*",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INDEX(_xlpm.search_rng,MATCH(H7,_xlpm.matchingLookups,0))
)</f>
        <v>#NAME?</v>
      </c>
      <c r="J7" t="e" cm="1">
        <f t="array" aca="1" ref="J7" ca="1">_xlfn.LET(
    _xlpm.RT_gold,'More Quests &amp; Items (L4)'!$N$5:$N$43,
    _xlpm.quest_order_rng,'More Quests &amp; Items (L4)'!$K$5:$K$43,
    _xlpm.class_rng,'More Quests &amp; Items (L4)'!$H$5:$H$43,
    _xlpm.curr_class,"*"&amp;'L4 Calc'!C7&amp;"*",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INDEX(_xlpm.search_rng,MATCH(H7,_xlpm.matchingLookups,0))
)</f>
        <v>#NAME?</v>
      </c>
      <c r="K7" s="127" t="e">
        <f t="shared" ca="1" si="0"/>
        <v>#NAME?</v>
      </c>
      <c r="L7" t="e">
        <f t="shared" ca="1" si="1"/>
        <v>#NAME?</v>
      </c>
      <c r="M7" t="e" cm="1">
        <f t="array" aca="1" ref="M7" ca="1">_xlfn.LET(
    _xlpm.item_rng,'More Quests &amp; Items (L4)'!$E$5:$E$43,
    _xlpm.quest_order_rng,'More Quests &amp; Items (L4)'!$K$5:$K$43,
    _xlpm.class_rng,'More Quests &amp; Items (L4)'!$H$5:$H$43,
    _xlpm.curr_class,"*"&amp;'L4 Calc'!C7&amp;"*",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INDEX(_xlpm.search_rng,MATCH(H7,_xlpm.matchingLookups,0))
)</f>
        <v>#NAME?</v>
      </c>
      <c r="N7" t="e">
        <f ca="1">INDEX('More Quests &amp; Items (L4)'!$L$5:$L$43,MATCH('L4 Calc'!M7,'More Quests &amp; Items (L4)'!$E$5:$E$43,0))</f>
        <v>#NAME?</v>
      </c>
      <c r="O7" t="e" cm="1">
        <f t="array" aca="1" ref="O7" ca="1">INDEX(Case!$Z$63:$DU$63,0,MATCH(K7,Case!$Z$64:$DU$64,1))</f>
        <v>#NAME?</v>
      </c>
      <c r="S7" t="s">
        <v>1067</v>
      </c>
    </row>
    <row r="8" spans="1:19">
      <c r="A8">
        <v>5</v>
      </c>
      <c r="B8" t="str">
        <f>INDEX(Case!$F$246:$F$267,MATCH(A8,Case!$E$246:$E$267,0))</f>
        <v>Tauren</v>
      </c>
      <c r="C8" t="str">
        <f>INDEX(Case!$G$246:$G$267,MATCH(A8,Case!$E$246:$E$267,0))</f>
        <v>Hunter</v>
      </c>
      <c r="D8" s="122">
        <f>INDEX(Case!$L$246:$L$267,MATCH(A8,Case!$E$246:$E$267,0))</f>
        <v>314277</v>
      </c>
      <c r="E8">
        <f>INDEX(Case!$M$246:$M$267,MATCH(A8,Case!$E$246:$E$267,0))</f>
        <v>2.79</v>
      </c>
      <c r="F8" t="str">
        <f>INDEX(Case!$K$207:$K$214,MATCH('L4 Calc'!C8,Case!$J$207:$J$214,0))</f>
        <v>Agility</v>
      </c>
      <c r="G8">
        <f>INDEX(Case!$L$207:$L$214,MATCH('L4 Calc'!C8,Case!$J$207:$J$214,0))</f>
        <v>60</v>
      </c>
      <c r="H8" t="e" cm="1">
        <f t="array" aca="1" ref="H8" ca="1">_xlfn.LET(
    _xlpm.RT_stats,'More Quests &amp; Items (L4)'!$L$5:$L$43,
    _xlpm.class_rng,'More Quests &amp; Items (L4)'!$H$5:$H$43,
    _xlpm.curr_class,"*"&amp;'L4 Calc'!C8&amp;"*",
    _xlpm.first_row,MATCH(_xlpm.curr_class,_xlpm.class_rng,0),
    _xlpm.class_count,COUNTIF(_xlpm.class_rng,_xlpm.curr_class),
    _xlpm.search_rng,INDEX(_xlpm.RT_stats,_xlpm.first_row):INDEX(_xlpm.RT_stats,_xlpm.first_row+_xlpm.class_count-1),
    _xlpm.approx_match,MATCH(G8,_xlpm.search_rng,1),
    _xlpm.exact_match,MATCH(G8,_xlpm.search_rng,0),
    _xlpm.approx_match+IF(ISERROR(_xlpm.exact_match),1,0)
)</f>
        <v>#NAME?</v>
      </c>
      <c r="I8" s="126" t="e" cm="1">
        <f t="array" aca="1" ref="I8" ca="1">_xlfn.LET(
    _xlpm.RT_exp,'More Quests &amp; Items (L4)'!$M$5:$M$43,
    _xlpm.quest_order_rng,'More Quests &amp; Items (L4)'!$K$5:$K$43,
    _xlpm.class_rng,'More Quests &amp; Items (L4)'!$H$5:$H$43,
    _xlpm.curr_class,"*"&amp;'L4 Calc'!C8&amp;"*",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INDEX(_xlpm.search_rng,MATCH(H8,_xlpm.matchingLookups,0))
)</f>
        <v>#NAME?</v>
      </c>
      <c r="J8" t="e" cm="1">
        <f t="array" aca="1" ref="J8" ca="1">_xlfn.LET(
    _xlpm.RT_gold,'More Quests &amp; Items (L4)'!$N$5:$N$43,
    _xlpm.quest_order_rng,'More Quests &amp; Items (L4)'!$K$5:$K$43,
    _xlpm.class_rng,'More Quests &amp; Items (L4)'!$H$5:$H$43,
    _xlpm.curr_class,"*"&amp;'L4 Calc'!C8&amp;"*",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INDEX(_xlpm.search_rng,MATCH(H8,_xlpm.matchingLookups,0))
)</f>
        <v>#NAME?</v>
      </c>
      <c r="K8" s="127" t="e">
        <f t="shared" ca="1" si="0"/>
        <v>#NAME?</v>
      </c>
      <c r="L8" t="e">
        <f t="shared" ca="1" si="1"/>
        <v>#NAME?</v>
      </c>
      <c r="M8" t="e" cm="1">
        <f t="array" aca="1" ref="M8" ca="1">_xlfn.LET(
    _xlpm.item_rng,'More Quests &amp; Items (L4)'!$E$5:$E$43,
    _xlpm.quest_order_rng,'More Quests &amp; Items (L4)'!$K$5:$K$43,
    _xlpm.class_rng,'More Quests &amp; Items (L4)'!$H$5:$H$43,
    _xlpm.curr_class,"*"&amp;'L4 Calc'!C8&amp;"*",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INDEX(_xlpm.search_rng,MATCH(H8,_xlpm.matchingLookups,0))
)</f>
        <v>#NAME?</v>
      </c>
      <c r="N8" t="e">
        <f ca="1">INDEX('More Quests &amp; Items (L4)'!$L$5:$L$43,MATCH('L4 Calc'!M8,'More Quests &amp; Items (L4)'!$E$5:$E$43,0))</f>
        <v>#NAME?</v>
      </c>
      <c r="O8" t="e" cm="1">
        <f t="array" aca="1" ref="O8" ca="1">INDEX(Case!$Z$63:$DU$63,0,MATCH(K8,Case!$Z$64:$DU$64,1))</f>
        <v>#NAME?</v>
      </c>
      <c r="R8" t="s">
        <v>1068</v>
      </c>
    </row>
    <row r="9" spans="1:19">
      <c r="A9">
        <v>6</v>
      </c>
      <c r="B9" t="str">
        <f>INDEX(Case!$F$246:$F$267,MATCH(A9,Case!$E$246:$E$267,0))</f>
        <v>Undead</v>
      </c>
      <c r="C9" t="str">
        <f>INDEX(Case!$G$246:$G$267,MATCH(A9,Case!$E$246:$E$267,0))</f>
        <v>Priest</v>
      </c>
      <c r="D9" s="122">
        <f>INDEX(Case!$L$246:$L$267,MATCH(A9,Case!$E$246:$E$267,0))</f>
        <v>313429</v>
      </c>
      <c r="E9">
        <f>INDEX(Case!$M$246:$M$267,MATCH(A9,Case!$E$246:$E$267,0))</f>
        <v>5.18</v>
      </c>
      <c r="F9" t="str">
        <f>INDEX(Case!$K$207:$K$214,MATCH('L4 Calc'!C9,Case!$J$207:$J$214,0))</f>
        <v>Intellect</v>
      </c>
      <c r="G9">
        <f>INDEX(Case!$L$207:$L$214,MATCH('L4 Calc'!C9,Case!$J$207:$J$214,0))</f>
        <v>65</v>
      </c>
      <c r="H9" t="e" cm="1">
        <f t="array" aca="1" ref="H9" ca="1">_xlfn.LET(
    _xlpm.RT_stats,'More Quests &amp; Items (L4)'!$L$5:$L$43,
    _xlpm.class_rng,'More Quests &amp; Items (L4)'!$H$5:$H$43,
    _xlpm.curr_class,"*"&amp;'L4 Calc'!C9&amp;"*",
    _xlpm.first_row,MATCH(_xlpm.curr_class,_xlpm.class_rng,0),
    _xlpm.class_count,COUNTIF(_xlpm.class_rng,_xlpm.curr_class),
    _xlpm.search_rng,INDEX(_xlpm.RT_stats,_xlpm.first_row):INDEX(_xlpm.RT_stats,_xlpm.first_row+_xlpm.class_count-1),
    _xlpm.approx_match,MATCH(G9,_xlpm.search_rng,1),
    _xlpm.exact_match,MATCH(G9,_xlpm.search_rng,0),
    _xlpm.approx_match+IF(ISERROR(_xlpm.exact_match),1,0)
)</f>
        <v>#NAME?</v>
      </c>
      <c r="I9" s="126" t="e" cm="1">
        <f t="array" aca="1" ref="I9" ca="1">_xlfn.LET(
    _xlpm.RT_exp,'More Quests &amp; Items (L4)'!$M$5:$M$43,
    _xlpm.quest_order_rng,'More Quests &amp; Items (L4)'!$K$5:$K$43,
    _xlpm.class_rng,'More Quests &amp; Items (L4)'!$H$5:$H$43,
    _xlpm.curr_class,"*"&amp;'L4 Calc'!C9&amp;"*",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INDEX(_xlpm.search_rng,MATCH(H9,_xlpm.matchingLookups,0))
)</f>
        <v>#NAME?</v>
      </c>
      <c r="J9" t="e" cm="1">
        <f t="array" aca="1" ref="J9" ca="1">_xlfn.LET(
    _xlpm.RT_gold,'More Quests &amp; Items (L4)'!$N$5:$N$43,
    _xlpm.quest_order_rng,'More Quests &amp; Items (L4)'!$K$5:$K$43,
    _xlpm.class_rng,'More Quests &amp; Items (L4)'!$H$5:$H$43,
    _xlpm.curr_class,"*"&amp;'L4 Calc'!C9&amp;"*",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INDEX(_xlpm.search_rng,MATCH(H9,_xlpm.matchingLookups,0))
)</f>
        <v>#NAME?</v>
      </c>
      <c r="K9" s="127" t="e">
        <f t="shared" ca="1" si="0"/>
        <v>#NAME?</v>
      </c>
      <c r="L9" t="e">
        <f t="shared" ca="1" si="1"/>
        <v>#NAME?</v>
      </c>
      <c r="M9" t="e" cm="1">
        <f t="array" aca="1" ref="M9" ca="1">_xlfn.LET(
    _xlpm.item_rng,'More Quests &amp; Items (L4)'!$E$5:$E$43,
    _xlpm.quest_order_rng,'More Quests &amp; Items (L4)'!$K$5:$K$43,
    _xlpm.class_rng,'More Quests &amp; Items (L4)'!$H$5:$H$43,
    _xlpm.curr_class,"*"&amp;'L4 Calc'!C9&amp;"*",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INDEX(_xlpm.search_rng,MATCH(H9,_xlpm.matchingLookups,0))
)</f>
        <v>#NAME?</v>
      </c>
      <c r="N9" t="e">
        <f ca="1">INDEX('More Quests &amp; Items (L4)'!$L$5:$L$43,MATCH('L4 Calc'!M9,'More Quests &amp; Items (L4)'!$E$5:$E$43,0))</f>
        <v>#NAME?</v>
      </c>
      <c r="O9" t="e" cm="1">
        <f t="array" aca="1" ref="O9" ca="1">INDEX(Case!$Z$63:$DU$63,0,MATCH(K9,Case!$Z$64:$DU$64,1))</f>
        <v>#NAME?</v>
      </c>
      <c r="S9" t="s">
        <v>1069</v>
      </c>
    </row>
    <row r="10" spans="1:19">
      <c r="A10">
        <v>7</v>
      </c>
      <c r="B10" t="str">
        <f>INDEX(Case!$F$246:$F$267,MATCH(A10,Case!$E$246:$E$267,0))</f>
        <v>Troll</v>
      </c>
      <c r="C10" t="str">
        <f>INDEX(Case!$G$246:$G$267,MATCH(A10,Case!$E$246:$E$267,0))</f>
        <v>Hunter</v>
      </c>
      <c r="D10" s="122">
        <f>INDEX(Case!$L$246:$L$267,MATCH(A10,Case!$E$246:$E$267,0))</f>
        <v>316365</v>
      </c>
      <c r="E10">
        <f>INDEX(Case!$M$246:$M$267,MATCH(A10,Case!$E$246:$E$267,0))</f>
        <v>5.58</v>
      </c>
      <c r="F10" t="str">
        <f>INDEX(Case!$K$207:$K$214,MATCH('L4 Calc'!C10,Case!$J$207:$J$214,0))</f>
        <v>Agility</v>
      </c>
      <c r="G10">
        <f>INDEX(Case!$L$207:$L$214,MATCH('L4 Calc'!C10,Case!$J$207:$J$214,0))</f>
        <v>60</v>
      </c>
      <c r="H10" t="e" cm="1">
        <f t="array" aca="1" ref="H10" ca="1">_xlfn.LET(
    _xlpm.RT_stats,'More Quests &amp; Items (L4)'!$L$5:$L$43,
    _xlpm.class_rng,'More Quests &amp; Items (L4)'!$H$5:$H$43,
    _xlpm.curr_class,"*"&amp;'L4 Calc'!C10&amp;"*",
    _xlpm.first_row,MATCH(_xlpm.curr_class,_xlpm.class_rng,0),
    _xlpm.class_count,COUNTIF(_xlpm.class_rng,_xlpm.curr_class),
    _xlpm.search_rng,INDEX(_xlpm.RT_stats,_xlpm.first_row):INDEX(_xlpm.RT_stats,_xlpm.first_row+_xlpm.class_count-1),
    _xlpm.approx_match,MATCH(G10,_xlpm.search_rng,1),
    _xlpm.exact_match,MATCH(G10,_xlpm.search_rng,0),
    _xlpm.approx_match+IF(ISERROR(_xlpm.exact_match),1,0)
)</f>
        <v>#NAME?</v>
      </c>
      <c r="I10" s="126" t="e" cm="1">
        <f t="array" aca="1" ref="I10" ca="1">_xlfn.LET(
    _xlpm.RT_exp,'More Quests &amp; Items (L4)'!$M$5:$M$43,
    _xlpm.quest_order_rng,'More Quests &amp; Items (L4)'!$K$5:$K$43,
    _xlpm.class_rng,'More Quests &amp; Items (L4)'!$H$5:$H$43,
    _xlpm.curr_class,"*"&amp;'L4 Calc'!C10&amp;"*",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INDEX(_xlpm.search_rng,MATCH(H10,_xlpm.matchingLookups,0))
)</f>
        <v>#NAME?</v>
      </c>
      <c r="J10" t="e" cm="1">
        <f t="array" aca="1" ref="J10" ca="1">_xlfn.LET(
    _xlpm.RT_gold,'More Quests &amp; Items (L4)'!$N$5:$N$43,
    _xlpm.quest_order_rng,'More Quests &amp; Items (L4)'!$K$5:$K$43,
    _xlpm.class_rng,'More Quests &amp; Items (L4)'!$H$5:$H$43,
    _xlpm.curr_class,"*"&amp;'L4 Calc'!C10&amp;"*",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INDEX(_xlpm.search_rng,MATCH(H10,_xlpm.matchingLookups,0))
)</f>
        <v>#NAME?</v>
      </c>
      <c r="K10" s="127" t="e">
        <f t="shared" ca="1" si="0"/>
        <v>#NAME?</v>
      </c>
      <c r="L10" t="e">
        <f t="shared" ca="1" si="1"/>
        <v>#NAME?</v>
      </c>
      <c r="M10" t="e" cm="1">
        <f t="array" aca="1" ref="M10" ca="1">_xlfn.LET(
    _xlpm.item_rng,'More Quests &amp; Items (L4)'!$E$5:$E$43,
    _xlpm.quest_order_rng,'More Quests &amp; Items (L4)'!$K$5:$K$43,
    _xlpm.class_rng,'More Quests &amp; Items (L4)'!$H$5:$H$43,
    _xlpm.curr_class,"*"&amp;'L4 Calc'!C10&amp;"*",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INDEX(_xlpm.search_rng,MATCH(H10,_xlpm.matchingLookups,0))
)</f>
        <v>#NAME?</v>
      </c>
      <c r="N10" t="e">
        <f ca="1">INDEX('More Quests &amp; Items (L4)'!$L$5:$L$43,MATCH('L4 Calc'!M10,'More Quests &amp; Items (L4)'!$E$5:$E$43,0))</f>
        <v>#NAME?</v>
      </c>
      <c r="O10" t="e" cm="1">
        <f t="array" aca="1" ref="O10" ca="1">INDEX(Case!$Z$63:$DU$63,0,MATCH(K10,Case!$Z$64:$DU$64,1))</f>
        <v>#NAME?</v>
      </c>
    </row>
    <row r="11" spans="1:19">
      <c r="A11">
        <v>8</v>
      </c>
      <c r="B11" t="str">
        <f>INDEX(Case!$F$246:$F$267,MATCH(A11,Case!$E$246:$E$267,0))</f>
        <v>Orc</v>
      </c>
      <c r="C11" t="str">
        <f>INDEX(Case!$G$246:$G$267,MATCH(A11,Case!$E$246:$E$267,0))</f>
        <v>Rogue</v>
      </c>
      <c r="D11" s="122">
        <f>INDEX(Case!$L$246:$L$267,MATCH(A11,Case!$E$246:$E$267,0))</f>
        <v>314739</v>
      </c>
      <c r="E11">
        <f>INDEX(Case!$M$246:$M$267,MATCH(A11,Case!$E$246:$E$267,0))</f>
        <v>29.81</v>
      </c>
      <c r="F11" t="str">
        <f>INDEX(Case!$K$207:$K$214,MATCH('L4 Calc'!C11,Case!$J$207:$J$214,0))</f>
        <v>Agility</v>
      </c>
      <c r="G11">
        <f>INDEX(Case!$L$207:$L$214,MATCH('L4 Calc'!C11,Case!$J$207:$J$214,0))</f>
        <v>50</v>
      </c>
      <c r="H11" t="e" cm="1">
        <f t="array" aca="1" ref="H11" ca="1">_xlfn.LET(
    _xlpm.RT_stats,'More Quests &amp; Items (L4)'!$L$5:$L$43,
    _xlpm.class_rng,'More Quests &amp; Items (L4)'!$H$5:$H$43,
    _xlpm.curr_class,"*"&amp;'L4 Calc'!C11&amp;"*",
    _xlpm.first_row,MATCH(_xlpm.curr_class,_xlpm.class_rng,0),
    _xlpm.class_count,COUNTIF(_xlpm.class_rng,_xlpm.curr_class),
    _xlpm.search_rng,INDEX(_xlpm.RT_stats,_xlpm.first_row):INDEX(_xlpm.RT_stats,_xlpm.first_row+_xlpm.class_count-1),
    _xlpm.approx_match,MATCH(G11,_xlpm.search_rng,1),
    _xlpm.exact_match,MATCH(G11,_xlpm.search_rng,0),
    _xlpm.approx_match+IF(ISERROR(_xlpm.exact_match),1,0)
)</f>
        <v>#NAME?</v>
      </c>
      <c r="I11" s="126" t="e" cm="1">
        <f t="array" aca="1" ref="I11" ca="1">_xlfn.LET(
    _xlpm.RT_exp,'More Quests &amp; Items (L4)'!$M$5:$M$43,
    _xlpm.quest_order_rng,'More Quests &amp; Items (L4)'!$K$5:$K$43,
    _xlpm.class_rng,'More Quests &amp; Items (L4)'!$H$5:$H$43,
    _xlpm.curr_class,"*"&amp;'L4 Calc'!C11&amp;"*",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INDEX(_xlpm.search_rng,MATCH(H11,_xlpm.matchingLookups,0))
)</f>
        <v>#NAME?</v>
      </c>
      <c r="J11" t="e" cm="1">
        <f t="array" aca="1" ref="J11" ca="1">_xlfn.LET(
    _xlpm.RT_gold,'More Quests &amp; Items (L4)'!$N$5:$N$43,
    _xlpm.quest_order_rng,'More Quests &amp; Items (L4)'!$K$5:$K$43,
    _xlpm.class_rng,'More Quests &amp; Items (L4)'!$H$5:$H$43,
    _xlpm.curr_class,"*"&amp;'L4 Calc'!C11&amp;"*",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INDEX(_xlpm.search_rng,MATCH(H11,_xlpm.matchingLookups,0))
)</f>
        <v>#NAME?</v>
      </c>
      <c r="K11" s="127" t="e">
        <f t="shared" ca="1" si="0"/>
        <v>#NAME?</v>
      </c>
      <c r="L11" t="e">
        <f t="shared" ca="1" si="1"/>
        <v>#NAME?</v>
      </c>
      <c r="M11" t="e" cm="1">
        <f t="array" aca="1" ref="M11" ca="1">_xlfn.LET(
    _xlpm.item_rng,'More Quests &amp; Items (L4)'!$E$5:$E$43,
    _xlpm.quest_order_rng,'More Quests &amp; Items (L4)'!$K$5:$K$43,
    _xlpm.class_rng,'More Quests &amp; Items (L4)'!$H$5:$H$43,
    _xlpm.curr_class,"*"&amp;'L4 Calc'!C11&amp;"*",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INDEX(_xlpm.search_rng,MATCH(H11,_xlpm.matchingLookups,0))
)</f>
        <v>#NAME?</v>
      </c>
      <c r="N11" t="e">
        <f ca="1">INDEX('More Quests &amp; Items (L4)'!$L$5:$L$43,MATCH('L4 Calc'!M11,'More Quests &amp; Items (L4)'!$E$5:$E$43,0))</f>
        <v>#NAME?</v>
      </c>
      <c r="O11" t="e" cm="1">
        <f t="array" aca="1" ref="O11" ca="1">INDEX(Case!$Z$63:$DU$63,0,MATCH(K11,Case!$Z$64:$DU$64,1))</f>
        <v>#NAME?</v>
      </c>
    </row>
    <row r="12" spans="1:19">
      <c r="A12">
        <v>9</v>
      </c>
      <c r="B12" t="str">
        <f>INDEX(Case!$F$246:$F$267,MATCH(A12,Case!$E$246:$E$267,0))</f>
        <v>Orc</v>
      </c>
      <c r="C12" t="str">
        <f>INDEX(Case!$G$246:$G$267,MATCH(A12,Case!$E$246:$E$267,0))</f>
        <v>Shaman</v>
      </c>
      <c r="D12" s="122">
        <f>INDEX(Case!$L$246:$L$267,MATCH(A12,Case!$E$246:$E$267,0))</f>
        <v>316158</v>
      </c>
      <c r="E12">
        <f>INDEX(Case!$M$246:$M$267,MATCH(A12,Case!$E$246:$E$267,0))</f>
        <v>51.53</v>
      </c>
      <c r="F12" t="str">
        <f>INDEX(Case!$K$207:$K$214,MATCH('L4 Calc'!C12,Case!$J$207:$J$214,0))</f>
        <v>Strength</v>
      </c>
      <c r="G12">
        <f>INDEX(Case!$L$207:$L$214,MATCH('L4 Calc'!C12,Case!$J$207:$J$214,0))</f>
        <v>45</v>
      </c>
      <c r="H12" t="e" cm="1">
        <f t="array" aca="1" ref="H12" ca="1">_xlfn.LET(
    _xlpm.RT_stats,'More Quests &amp; Items (L4)'!$L$5:$L$43,
    _xlpm.class_rng,'More Quests &amp; Items (L4)'!$H$5:$H$43,
    _xlpm.curr_class,"*"&amp;'L4 Calc'!C12&amp;"*",
    _xlpm.first_row,MATCH(_xlpm.curr_class,_xlpm.class_rng,0),
    _xlpm.class_count,COUNTIF(_xlpm.class_rng,_xlpm.curr_class),
    _xlpm.search_rng,INDEX(_xlpm.RT_stats,_xlpm.first_row):INDEX(_xlpm.RT_stats,_xlpm.first_row+_xlpm.class_count-1),
    _xlpm.approx_match,MATCH(G12,_xlpm.search_rng,1),
    _xlpm.exact_match,MATCH(G12,_xlpm.search_rng,0),
    _xlpm.approx_match+IF(ISERROR(_xlpm.exact_match),1,0)
)</f>
        <v>#NAME?</v>
      </c>
      <c r="I12" s="126" t="e" cm="1">
        <f t="array" aca="1" ref="I12" ca="1">_xlfn.LET(
    _xlpm.RT_exp,'More Quests &amp; Items (L4)'!$M$5:$M$43,
    _xlpm.quest_order_rng,'More Quests &amp; Items (L4)'!$K$5:$K$43,
    _xlpm.class_rng,'More Quests &amp; Items (L4)'!$H$5:$H$43,
    _xlpm.curr_class,"*"&amp;'L4 Calc'!C12&amp;"*",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INDEX(_xlpm.search_rng,MATCH(H12,_xlpm.matchingLookups,0))
)</f>
        <v>#NAME?</v>
      </c>
      <c r="J12" t="e" cm="1">
        <f t="array" aca="1" ref="J12" ca="1">_xlfn.LET(
    _xlpm.RT_gold,'More Quests &amp; Items (L4)'!$N$5:$N$43,
    _xlpm.quest_order_rng,'More Quests &amp; Items (L4)'!$K$5:$K$43,
    _xlpm.class_rng,'More Quests &amp; Items (L4)'!$H$5:$H$43,
    _xlpm.curr_class,"*"&amp;'L4 Calc'!C12&amp;"*",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INDEX(_xlpm.search_rng,MATCH(H12,_xlpm.matchingLookups,0))
)</f>
        <v>#NAME?</v>
      </c>
      <c r="K12" s="127" t="e">
        <f t="shared" ca="1" si="0"/>
        <v>#NAME?</v>
      </c>
      <c r="L12" t="e">
        <f t="shared" ca="1" si="1"/>
        <v>#NAME?</v>
      </c>
      <c r="M12" t="e" cm="1">
        <f t="array" aca="1" ref="M12" ca="1">_xlfn.LET(
    _xlpm.item_rng,'More Quests &amp; Items (L4)'!$E$5:$E$43,
    _xlpm.quest_order_rng,'More Quests &amp; Items (L4)'!$K$5:$K$43,
    _xlpm.class_rng,'More Quests &amp; Items (L4)'!$H$5:$H$43,
    _xlpm.curr_class,"*"&amp;'L4 Calc'!C12&amp;"*",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INDEX(_xlpm.search_rng,MATCH(H12,_xlpm.matchingLookups,0))
)</f>
        <v>#NAME?</v>
      </c>
      <c r="N12" t="e">
        <f ca="1">INDEX('More Quests &amp; Items (L4)'!$L$5:$L$43,MATCH('L4 Calc'!M12,'More Quests &amp; Items (L4)'!$E$5:$E$43,0))</f>
        <v>#NAME?</v>
      </c>
      <c r="O12" t="e" cm="1">
        <f t="array" aca="1" ref="O12" ca="1">INDEX(Case!$Z$63:$DU$63,0,MATCH(K12,Case!$Z$64:$DU$64,1))</f>
        <v>#NAME?</v>
      </c>
    </row>
    <row r="13" spans="1:19">
      <c r="A13">
        <v>10</v>
      </c>
      <c r="B13" t="str">
        <f>INDEX(Case!$F$246:$F$267,MATCH(A13,Case!$E$246:$E$267,0))</f>
        <v>Undead</v>
      </c>
      <c r="C13" t="str">
        <f>INDEX(Case!$G$246:$G$267,MATCH(A13,Case!$E$246:$E$267,0))</f>
        <v>Mage</v>
      </c>
      <c r="D13" s="122">
        <f>INDEX(Case!$L$246:$L$267,MATCH(A13,Case!$E$246:$E$267,0))</f>
        <v>318950</v>
      </c>
      <c r="E13">
        <f>INDEX(Case!$M$246:$M$267,MATCH(A13,Case!$E$246:$E$267,0))</f>
        <v>12.88</v>
      </c>
      <c r="F13" t="str">
        <f>INDEX(Case!$K$207:$K$214,MATCH('L4 Calc'!C13,Case!$J$207:$J$214,0))</f>
        <v>Intellect</v>
      </c>
      <c r="G13">
        <f>INDEX(Case!$L$207:$L$214,MATCH('L4 Calc'!C13,Case!$J$207:$J$214,0))</f>
        <v>120</v>
      </c>
      <c r="H13" t="e" cm="1">
        <f t="array" aca="1" ref="H13" ca="1">_xlfn.LET(
    _xlpm.RT_stats,'More Quests &amp; Items (L4)'!$L$5:$L$43,
    _xlpm.class_rng,'More Quests &amp; Items (L4)'!$H$5:$H$43,
    _xlpm.curr_class,"*"&amp;'L4 Calc'!C13&amp;"*",
    _xlpm.first_row,MATCH(_xlpm.curr_class,_xlpm.class_rng,0),
    _xlpm.class_count,COUNTIF(_xlpm.class_rng,_xlpm.curr_class),
    _xlpm.search_rng,INDEX(_xlpm.RT_stats,_xlpm.first_row):INDEX(_xlpm.RT_stats,_xlpm.first_row+_xlpm.class_count-1),
    _xlpm.approx_match,MATCH(G13,_xlpm.search_rng,1),
    _xlpm.exact_match,MATCH(G13,_xlpm.search_rng,0),
    _xlpm.approx_match+IF(ISERROR(_xlpm.exact_match),1,0)
)</f>
        <v>#NAME?</v>
      </c>
      <c r="I13" s="126" t="e" cm="1">
        <f t="array" aca="1" ref="I13" ca="1">_xlfn.LET(
    _xlpm.RT_exp,'More Quests &amp; Items (L4)'!$M$5:$M$43,
    _xlpm.quest_order_rng,'More Quests &amp; Items (L4)'!$K$5:$K$43,
    _xlpm.class_rng,'More Quests &amp; Items (L4)'!$H$5:$H$43,
    _xlpm.curr_class,"*"&amp;'L4 Calc'!C13&amp;"*",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INDEX(_xlpm.search_rng,MATCH(H13,_xlpm.matchingLookups,0))
)</f>
        <v>#NAME?</v>
      </c>
      <c r="J13" t="e" cm="1">
        <f t="array" aca="1" ref="J13" ca="1">_xlfn.LET(
    _xlpm.RT_gold,'More Quests &amp; Items (L4)'!$N$5:$N$43,
    _xlpm.quest_order_rng,'More Quests &amp; Items (L4)'!$K$5:$K$43,
    _xlpm.class_rng,'More Quests &amp; Items (L4)'!$H$5:$H$43,
    _xlpm.curr_class,"*"&amp;'L4 Calc'!C13&amp;"*",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INDEX(_xlpm.search_rng,MATCH(H13,_xlpm.matchingLookups,0))
)</f>
        <v>#NAME?</v>
      </c>
      <c r="K13" s="127" t="e">
        <f t="shared" ca="1" si="0"/>
        <v>#NAME?</v>
      </c>
      <c r="L13" t="e">
        <f t="shared" ca="1" si="1"/>
        <v>#NAME?</v>
      </c>
      <c r="M13" t="e" cm="1">
        <f t="array" aca="1" ref="M13" ca="1">_xlfn.LET(
    _xlpm.item_rng,'More Quests &amp; Items (L4)'!$E$5:$E$43,
    _xlpm.quest_order_rng,'More Quests &amp; Items (L4)'!$K$5:$K$43,
    _xlpm.class_rng,'More Quests &amp; Items (L4)'!$H$5:$H$43,
    _xlpm.curr_class,"*"&amp;'L4 Calc'!C13&amp;"*",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INDEX(_xlpm.search_rng,MATCH(H13,_xlpm.matchingLookups,0))
)</f>
        <v>#NAME?</v>
      </c>
      <c r="N13" t="e">
        <f ca="1">INDEX('More Quests &amp; Items (L4)'!$L$5:$L$43,MATCH('L4 Calc'!M13,'More Quests &amp; Items (L4)'!$E$5:$E$43,0))</f>
        <v>#NAME?</v>
      </c>
      <c r="O13" t="e" cm="1">
        <f t="array" aca="1" ref="O13" ca="1">INDEX(Case!$Z$63:$DU$63,0,MATCH(K13,Case!$Z$64:$DU$64,1))</f>
        <v>#NAME?</v>
      </c>
    </row>
    <row r="14" spans="1:19">
      <c r="A14">
        <v>11</v>
      </c>
      <c r="B14" t="str">
        <f>INDEX(Case!$F$246:$F$267,MATCH(A14,Case!$E$246:$E$267,0))</f>
        <v>Orc</v>
      </c>
      <c r="C14" t="str">
        <f>INDEX(Case!$G$246:$G$267,MATCH(A14,Case!$E$246:$E$267,0))</f>
        <v>Warlock</v>
      </c>
      <c r="D14" s="122">
        <f>INDEX(Case!$L$246:$L$267,MATCH(A14,Case!$E$246:$E$267,0))</f>
        <v>315212</v>
      </c>
      <c r="E14">
        <f>INDEX(Case!$M$246:$M$267,MATCH(A14,Case!$E$246:$E$267,0))</f>
        <v>26.77</v>
      </c>
      <c r="F14" t="str">
        <f>INDEX(Case!$K$207:$K$214,MATCH('L4 Calc'!C14,Case!$J$207:$J$214,0))</f>
        <v>Intellect</v>
      </c>
      <c r="G14">
        <f>INDEX(Case!$L$207:$L$214,MATCH('L4 Calc'!C14,Case!$J$207:$J$214,0))</f>
        <v>80</v>
      </c>
      <c r="H14" t="e" cm="1">
        <f t="array" aca="1" ref="H14" ca="1">_xlfn.LET(
    _xlpm.RT_stats,'More Quests &amp; Items (L4)'!$L$5:$L$43,
    _xlpm.class_rng,'More Quests &amp; Items (L4)'!$H$5:$H$43,
    _xlpm.curr_class,"*"&amp;'L4 Calc'!C14&amp;"*",
    _xlpm.first_row,MATCH(_xlpm.curr_class,_xlpm.class_rng,0),
    _xlpm.class_count,COUNTIF(_xlpm.class_rng,_xlpm.curr_class),
    _xlpm.search_rng,INDEX(_xlpm.RT_stats,_xlpm.first_row):INDEX(_xlpm.RT_stats,_xlpm.first_row+_xlpm.class_count-1),
    _xlpm.approx_match,MATCH(G14,_xlpm.search_rng,1),
    _xlpm.exact_match,MATCH(G14,_xlpm.search_rng,0),
    _xlpm.approx_match+IF(ISERROR(_xlpm.exact_match),1,0)
)</f>
        <v>#NAME?</v>
      </c>
      <c r="I14" s="126" t="e" cm="1">
        <f t="array" aca="1" ref="I14" ca="1">_xlfn.LET(
    _xlpm.RT_exp,'More Quests &amp; Items (L4)'!$M$5:$M$43,
    _xlpm.quest_order_rng,'More Quests &amp; Items (L4)'!$K$5:$K$43,
    _xlpm.class_rng,'More Quests &amp; Items (L4)'!$H$5:$H$43,
    _xlpm.curr_class,"*"&amp;'L4 Calc'!C14&amp;"*",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INDEX(_xlpm.search_rng,MATCH(H14,_xlpm.matchingLookups,0))
)</f>
        <v>#NAME?</v>
      </c>
      <c r="J14" t="e" cm="1">
        <f t="array" aca="1" ref="J14" ca="1">_xlfn.LET(
    _xlpm.RT_gold,'More Quests &amp; Items (L4)'!$N$5:$N$43,
    _xlpm.quest_order_rng,'More Quests &amp; Items (L4)'!$K$5:$K$43,
    _xlpm.class_rng,'More Quests &amp; Items (L4)'!$H$5:$H$43,
    _xlpm.curr_class,"*"&amp;'L4 Calc'!C14&amp;"*",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INDEX(_xlpm.search_rng,MATCH(H14,_xlpm.matchingLookups,0))
)</f>
        <v>#NAME?</v>
      </c>
      <c r="K14" s="127" t="e">
        <f t="shared" ca="1" si="0"/>
        <v>#NAME?</v>
      </c>
      <c r="L14" t="e">
        <f t="shared" ca="1" si="1"/>
        <v>#NAME?</v>
      </c>
      <c r="M14" t="e" cm="1">
        <f t="array" aca="1" ref="M14" ca="1">_xlfn.LET(
    _xlpm.item_rng,'More Quests &amp; Items (L4)'!$E$5:$E$43,
    _xlpm.quest_order_rng,'More Quests &amp; Items (L4)'!$K$5:$K$43,
    _xlpm.class_rng,'More Quests &amp; Items (L4)'!$H$5:$H$43,
    _xlpm.curr_class,"*"&amp;'L4 Calc'!C14&amp;"*",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INDEX(_xlpm.search_rng,MATCH(H14,_xlpm.matchingLookups,0))
)</f>
        <v>#NAME?</v>
      </c>
      <c r="N14" t="e">
        <f ca="1">INDEX('More Quests &amp; Items (L4)'!$L$5:$L$43,MATCH('L4 Calc'!M14,'More Quests &amp; Items (L4)'!$E$5:$E$43,0))</f>
        <v>#NAME?</v>
      </c>
      <c r="O14" t="e" cm="1">
        <f t="array" aca="1" ref="O14" ca="1">INDEX(Case!$Z$63:$DU$63,0,MATCH(K14,Case!$Z$64:$DU$64,1))</f>
        <v>#NAME?</v>
      </c>
    </row>
    <row r="15" spans="1:19">
      <c r="A15">
        <v>12</v>
      </c>
      <c r="B15" t="str">
        <f>INDEX(Case!$F$246:$F$267,MATCH(A15,Case!$E$246:$E$267,0))</f>
        <v>Troll</v>
      </c>
      <c r="C15" t="str">
        <f>INDEX(Case!$G$246:$G$267,MATCH(A15,Case!$E$246:$E$267,0))</f>
        <v>Warrior</v>
      </c>
      <c r="D15" s="122">
        <f>INDEX(Case!$L$246:$L$267,MATCH(A15,Case!$E$246:$E$267,0))</f>
        <v>316492</v>
      </c>
      <c r="E15">
        <f>INDEX(Case!$M$246:$M$267,MATCH(A15,Case!$E$246:$E$267,0))</f>
        <v>7.56</v>
      </c>
      <c r="F15" t="str">
        <f>INDEX(Case!$K$207:$K$214,MATCH('L4 Calc'!C15,Case!$J$207:$J$214,0))</f>
        <v>Armor</v>
      </c>
      <c r="G15">
        <f>INDEX(Case!$L$207:$L$214,MATCH('L4 Calc'!C15,Case!$J$207:$J$214,0))</f>
        <v>300</v>
      </c>
      <c r="H15" t="e" cm="1">
        <f t="array" aca="1" ref="H15" ca="1">_xlfn.LET(
    _xlpm.RT_stats,'More Quests &amp; Items (L4)'!$L$5:$L$43,
    _xlpm.class_rng,'More Quests &amp; Items (L4)'!$H$5:$H$43,
    _xlpm.curr_class,"*"&amp;'L4 Calc'!C15&amp;"*",
    _xlpm.first_row,MATCH(_xlpm.curr_class,_xlpm.class_rng,0),
    _xlpm.class_count,COUNTIF(_xlpm.class_rng,_xlpm.curr_class),
    _xlpm.search_rng,INDEX(_xlpm.RT_stats,_xlpm.first_row):INDEX(_xlpm.RT_stats,_xlpm.first_row+_xlpm.class_count-1),
    _xlpm.approx_match,MATCH(G15,_xlpm.search_rng,1),
    _xlpm.exact_match,MATCH(G15,_xlpm.search_rng,0),
    _xlpm.approx_match+IF(ISERROR(_xlpm.exact_match),1,0)
)</f>
        <v>#NAME?</v>
      </c>
      <c r="I15" s="126" t="e" cm="1">
        <f t="array" aca="1" ref="I15" ca="1">_xlfn.LET(
    _xlpm.RT_exp,'More Quests &amp; Items (L4)'!$M$5:$M$43,
    _xlpm.quest_order_rng,'More Quests &amp; Items (L4)'!$K$5:$K$43,
    _xlpm.class_rng,'More Quests &amp; Items (L4)'!$H$5:$H$43,
    _xlpm.curr_class,"*"&amp;'L4 Calc'!C15&amp;"*",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INDEX(_xlpm.search_rng,MATCH(H15,_xlpm.matchingLookups,0))
)</f>
        <v>#NAME?</v>
      </c>
      <c r="J15" t="e" cm="1">
        <f t="array" aca="1" ref="J15" ca="1">_xlfn.LET(
    _xlpm.RT_gold,'More Quests &amp; Items (L4)'!$N$5:$N$43,
    _xlpm.quest_order_rng,'More Quests &amp; Items (L4)'!$K$5:$K$43,
    _xlpm.class_rng,'More Quests &amp; Items (L4)'!$H$5:$H$43,
    _xlpm.curr_class,"*"&amp;'L4 Calc'!C15&amp;"*",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INDEX(_xlpm.search_rng,MATCH(H15,_xlpm.matchingLookups,0))
)</f>
        <v>#NAME?</v>
      </c>
      <c r="K15" s="127" t="e">
        <f t="shared" ca="1" si="0"/>
        <v>#NAME?</v>
      </c>
      <c r="L15" t="e">
        <f t="shared" ca="1" si="1"/>
        <v>#NAME?</v>
      </c>
      <c r="M15" t="e" cm="1">
        <f t="array" aca="1" ref="M15" ca="1">_xlfn.LET(
    _xlpm.item_rng,'More Quests &amp; Items (L4)'!$E$5:$E$43,
    _xlpm.quest_order_rng,'More Quests &amp; Items (L4)'!$K$5:$K$43,
    _xlpm.class_rng,'More Quests &amp; Items (L4)'!$H$5:$H$43,
    _xlpm.curr_class,"*"&amp;'L4 Calc'!C15&amp;"*",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INDEX(_xlpm.search_rng,MATCH(H15,_xlpm.matchingLookups,0))
)</f>
        <v>#NAME?</v>
      </c>
      <c r="N15" t="e">
        <f ca="1">INDEX('More Quests &amp; Items (L4)'!$L$5:$L$43,MATCH('L4 Calc'!M15,'More Quests &amp; Items (L4)'!$E$5:$E$43,0))</f>
        <v>#NAME?</v>
      </c>
      <c r="O15" t="e" cm="1">
        <f t="array" aca="1" ref="O15" ca="1">INDEX(Case!$Z$63:$DU$63,0,MATCH(K15,Case!$Z$64:$DU$64,1))</f>
        <v>#NAME?</v>
      </c>
    </row>
    <row r="16" spans="1:19">
      <c r="A16">
        <v>13</v>
      </c>
      <c r="B16" t="str">
        <f>INDEX(Case!$F$246:$F$267,MATCH(A16,Case!$E$246:$E$267,0))</f>
        <v>Undead</v>
      </c>
      <c r="C16" t="str">
        <f>INDEX(Case!$G$246:$G$267,MATCH(A16,Case!$E$246:$E$267,0))</f>
        <v>Rogue</v>
      </c>
      <c r="D16" s="122">
        <f>INDEX(Case!$L$246:$L$267,MATCH(A16,Case!$E$246:$E$267,0))</f>
        <v>313171</v>
      </c>
      <c r="E16">
        <f>INDEX(Case!$M$246:$M$267,MATCH(A16,Case!$E$246:$E$267,0))</f>
        <v>0.64</v>
      </c>
      <c r="F16" t="str">
        <f>INDEX(Case!$K$207:$K$214,MATCH('L4 Calc'!C16,Case!$J$207:$J$214,0))</f>
        <v>Agility</v>
      </c>
      <c r="G16">
        <f>INDEX(Case!$L$207:$L$214,MATCH('L4 Calc'!C16,Case!$J$207:$J$214,0))</f>
        <v>50</v>
      </c>
      <c r="H16" t="e" cm="1">
        <f t="array" aca="1" ref="H16" ca="1">_xlfn.LET(
    _xlpm.RT_stats,'More Quests &amp; Items (L4)'!$L$5:$L$43,
    _xlpm.class_rng,'More Quests &amp; Items (L4)'!$H$5:$H$43,
    _xlpm.curr_class,"*"&amp;'L4 Calc'!C16&amp;"*",
    _xlpm.first_row,MATCH(_xlpm.curr_class,_xlpm.class_rng,0),
    _xlpm.class_count,COUNTIF(_xlpm.class_rng,_xlpm.curr_class),
    _xlpm.search_rng,INDEX(_xlpm.RT_stats,_xlpm.first_row):INDEX(_xlpm.RT_stats,_xlpm.first_row+_xlpm.class_count-1),
    _xlpm.approx_match,MATCH(G16,_xlpm.search_rng,1),
    _xlpm.exact_match,MATCH(G16,_xlpm.search_rng,0),
    _xlpm.approx_match+IF(ISERROR(_xlpm.exact_match),1,0)
)</f>
        <v>#NAME?</v>
      </c>
      <c r="I16" s="126" t="e" cm="1">
        <f t="array" aca="1" ref="I16" ca="1">_xlfn.LET(
    _xlpm.RT_exp,'More Quests &amp; Items (L4)'!$M$5:$M$43,
    _xlpm.quest_order_rng,'More Quests &amp; Items (L4)'!$K$5:$K$43,
    _xlpm.class_rng,'More Quests &amp; Items (L4)'!$H$5:$H$43,
    _xlpm.curr_class,"*"&amp;'L4 Calc'!C16&amp;"*",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INDEX(_xlpm.search_rng,MATCH(H16,_xlpm.matchingLookups,0))
)</f>
        <v>#NAME?</v>
      </c>
      <c r="J16" t="e" cm="1">
        <f t="array" aca="1" ref="J16" ca="1">_xlfn.LET(
    _xlpm.RT_gold,'More Quests &amp; Items (L4)'!$N$5:$N$43,
    _xlpm.quest_order_rng,'More Quests &amp; Items (L4)'!$K$5:$K$43,
    _xlpm.class_rng,'More Quests &amp; Items (L4)'!$H$5:$H$43,
    _xlpm.curr_class,"*"&amp;'L4 Calc'!C16&amp;"*",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INDEX(_xlpm.search_rng,MATCH(H16,_xlpm.matchingLookups,0))
)</f>
        <v>#NAME?</v>
      </c>
      <c r="K16" s="127" t="e">
        <f t="shared" ca="1" si="0"/>
        <v>#NAME?</v>
      </c>
      <c r="L16" t="e">
        <f t="shared" ca="1" si="1"/>
        <v>#NAME?</v>
      </c>
      <c r="M16" t="e" cm="1">
        <f t="array" aca="1" ref="M16" ca="1">_xlfn.LET(
    _xlpm.item_rng,'More Quests &amp; Items (L4)'!$E$5:$E$43,
    _xlpm.quest_order_rng,'More Quests &amp; Items (L4)'!$K$5:$K$43,
    _xlpm.class_rng,'More Quests &amp; Items (L4)'!$H$5:$H$43,
    _xlpm.curr_class,"*"&amp;'L4 Calc'!C16&amp;"*",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INDEX(_xlpm.search_rng,MATCH(H16,_xlpm.matchingLookups,0))
)</f>
        <v>#NAME?</v>
      </c>
      <c r="N16" t="e">
        <f ca="1">INDEX('More Quests &amp; Items (L4)'!$L$5:$L$43,MATCH('L4 Calc'!M16,'More Quests &amp; Items (L4)'!$E$5:$E$43,0))</f>
        <v>#NAME?</v>
      </c>
      <c r="O16" t="e" cm="1">
        <f t="array" aca="1" ref="O16" ca="1">INDEX(Case!$Z$63:$DU$63,0,MATCH(K16,Case!$Z$64:$DU$64,1))</f>
        <v>#NAME?</v>
      </c>
    </row>
    <row r="17" spans="1:15">
      <c r="A17">
        <v>14</v>
      </c>
      <c r="B17" t="str">
        <f>INDEX(Case!$F$246:$F$267,MATCH(A17,Case!$E$246:$E$267,0))</f>
        <v>Troll</v>
      </c>
      <c r="C17" t="str">
        <f>INDEX(Case!$G$246:$G$267,MATCH(A17,Case!$E$246:$E$267,0))</f>
        <v>Mage</v>
      </c>
      <c r="D17" s="122">
        <f>INDEX(Case!$L$246:$L$267,MATCH(A17,Case!$E$246:$E$267,0))</f>
        <v>315783</v>
      </c>
      <c r="E17">
        <f>INDEX(Case!$M$246:$M$267,MATCH(A17,Case!$E$246:$E$267,0))</f>
        <v>3.85</v>
      </c>
      <c r="F17" t="str">
        <f>INDEX(Case!$K$207:$K$214,MATCH('L4 Calc'!C17,Case!$J$207:$J$214,0))</f>
        <v>Intellect</v>
      </c>
      <c r="G17">
        <f>INDEX(Case!$L$207:$L$214,MATCH('L4 Calc'!C17,Case!$J$207:$J$214,0))</f>
        <v>120</v>
      </c>
      <c r="H17" t="e" cm="1">
        <f t="array" aca="1" ref="H17" ca="1">_xlfn.LET(
    _xlpm.RT_stats,'More Quests &amp; Items (L4)'!$L$5:$L$43,
    _xlpm.class_rng,'More Quests &amp; Items (L4)'!$H$5:$H$43,
    _xlpm.curr_class,"*"&amp;'L4 Calc'!C17&amp;"*",
    _xlpm.first_row,MATCH(_xlpm.curr_class,_xlpm.class_rng,0),
    _xlpm.class_count,COUNTIF(_xlpm.class_rng,_xlpm.curr_class),
    _xlpm.search_rng,INDEX(_xlpm.RT_stats,_xlpm.first_row):INDEX(_xlpm.RT_stats,_xlpm.first_row+_xlpm.class_count-1),
    _xlpm.approx_match,MATCH(G17,_xlpm.search_rng,1),
    _xlpm.exact_match,MATCH(G17,_xlpm.search_rng,0),
    _xlpm.approx_match+IF(ISERROR(_xlpm.exact_match),1,0)
)</f>
        <v>#NAME?</v>
      </c>
      <c r="I17" s="126" t="e" cm="1">
        <f t="array" aca="1" ref="I17" ca="1">_xlfn.LET(
    _xlpm.RT_exp,'More Quests &amp; Items (L4)'!$M$5:$M$43,
    _xlpm.quest_order_rng,'More Quests &amp; Items (L4)'!$K$5:$K$43,
    _xlpm.class_rng,'More Quests &amp; Items (L4)'!$H$5:$H$43,
    _xlpm.curr_class,"*"&amp;'L4 Calc'!C17&amp;"*",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INDEX(_xlpm.search_rng,MATCH(H17,_xlpm.matchingLookups,0))
)</f>
        <v>#NAME?</v>
      </c>
      <c r="J17" t="e" cm="1">
        <f t="array" aca="1" ref="J17" ca="1">_xlfn.LET(
    _xlpm.RT_gold,'More Quests &amp; Items (L4)'!$N$5:$N$43,
    _xlpm.quest_order_rng,'More Quests &amp; Items (L4)'!$K$5:$K$43,
    _xlpm.class_rng,'More Quests &amp; Items (L4)'!$H$5:$H$43,
    _xlpm.curr_class,"*"&amp;'L4 Calc'!C17&amp;"*",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INDEX(_xlpm.search_rng,MATCH(H17,_xlpm.matchingLookups,0))
)</f>
        <v>#NAME?</v>
      </c>
      <c r="K17" s="127" t="e">
        <f t="shared" ca="1" si="0"/>
        <v>#NAME?</v>
      </c>
      <c r="L17" t="e">
        <f t="shared" ca="1" si="1"/>
        <v>#NAME?</v>
      </c>
      <c r="M17" t="e" cm="1">
        <f t="array" aca="1" ref="M17" ca="1">_xlfn.LET(
    _xlpm.item_rng,'More Quests &amp; Items (L4)'!$E$5:$E$43,
    _xlpm.quest_order_rng,'More Quests &amp; Items (L4)'!$K$5:$K$43,
    _xlpm.class_rng,'More Quests &amp; Items (L4)'!$H$5:$H$43,
    _xlpm.curr_class,"*"&amp;'L4 Calc'!C17&amp;"*",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INDEX(_xlpm.search_rng,MATCH(H17,_xlpm.matchingLookups,0))
)</f>
        <v>#NAME?</v>
      </c>
      <c r="N17" t="e">
        <f ca="1">INDEX('More Quests &amp; Items (L4)'!$L$5:$L$43,MATCH('L4 Calc'!M17,'More Quests &amp; Items (L4)'!$E$5:$E$43,0))</f>
        <v>#NAME?</v>
      </c>
      <c r="O17" t="e" cm="1">
        <f t="array" aca="1" ref="O17" ca="1">INDEX(Case!$Z$63:$DU$63,0,MATCH(K17,Case!$Z$64:$DU$64,1))</f>
        <v>#NAME?</v>
      </c>
    </row>
    <row r="18" spans="1:15">
      <c r="A18">
        <v>15</v>
      </c>
      <c r="B18" t="str">
        <f>INDEX(Case!$F$246:$F$267,MATCH(A18,Case!$E$246:$E$267,0))</f>
        <v>Tauren</v>
      </c>
      <c r="C18" t="str">
        <f>INDEX(Case!$G$246:$G$267,MATCH(A18,Case!$E$246:$E$267,0))</f>
        <v>Shaman</v>
      </c>
      <c r="D18" s="122">
        <f>INDEX(Case!$L$246:$L$267,MATCH(A18,Case!$E$246:$E$267,0))</f>
        <v>315797</v>
      </c>
      <c r="E18">
        <f>INDEX(Case!$M$246:$M$267,MATCH(A18,Case!$E$246:$E$267,0))</f>
        <v>20.46</v>
      </c>
      <c r="F18" t="str">
        <f>INDEX(Case!$K$207:$K$214,MATCH('L4 Calc'!C18,Case!$J$207:$J$214,0))</f>
        <v>Strength</v>
      </c>
      <c r="G18">
        <f>INDEX(Case!$L$207:$L$214,MATCH('L4 Calc'!C18,Case!$J$207:$J$214,0))</f>
        <v>45</v>
      </c>
      <c r="H18" t="e" cm="1">
        <f t="array" aca="1" ref="H18" ca="1">_xlfn.LET(
    _xlpm.RT_stats,'More Quests &amp; Items (L4)'!$L$5:$L$43,
    _xlpm.class_rng,'More Quests &amp; Items (L4)'!$H$5:$H$43,
    _xlpm.curr_class,"*"&amp;'L4 Calc'!C18&amp;"*",
    _xlpm.first_row,MATCH(_xlpm.curr_class,_xlpm.class_rng,0),
    _xlpm.class_count,COUNTIF(_xlpm.class_rng,_xlpm.curr_class),
    _xlpm.search_rng,INDEX(_xlpm.RT_stats,_xlpm.first_row):INDEX(_xlpm.RT_stats,_xlpm.first_row+_xlpm.class_count-1),
    _xlpm.approx_match,MATCH(G18,_xlpm.search_rng,1),
    _xlpm.exact_match,MATCH(G18,_xlpm.search_rng,0),
    _xlpm.approx_match+IF(ISERROR(_xlpm.exact_match),1,0)
)</f>
        <v>#NAME?</v>
      </c>
      <c r="I18" s="126" t="e" cm="1">
        <f t="array" aca="1" ref="I18" ca="1">_xlfn.LET(
    _xlpm.RT_exp,'More Quests &amp; Items (L4)'!$M$5:$M$43,
    _xlpm.quest_order_rng,'More Quests &amp; Items (L4)'!$K$5:$K$43,
    _xlpm.class_rng,'More Quests &amp; Items (L4)'!$H$5:$H$43,
    _xlpm.curr_class,"*"&amp;'L4 Calc'!C18&amp;"*",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INDEX(_xlpm.search_rng,MATCH(H18,_xlpm.matchingLookups,0))
)</f>
        <v>#NAME?</v>
      </c>
      <c r="J18" t="e" cm="1">
        <f t="array" aca="1" ref="J18" ca="1">_xlfn.LET(
    _xlpm.RT_gold,'More Quests &amp; Items (L4)'!$N$5:$N$43,
    _xlpm.quest_order_rng,'More Quests &amp; Items (L4)'!$K$5:$K$43,
    _xlpm.class_rng,'More Quests &amp; Items (L4)'!$H$5:$H$43,
    _xlpm.curr_class,"*"&amp;'L4 Calc'!C18&amp;"*",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INDEX(_xlpm.search_rng,MATCH(H18,_xlpm.matchingLookups,0))
)</f>
        <v>#NAME?</v>
      </c>
      <c r="K18" s="127" t="e">
        <f t="shared" ca="1" si="0"/>
        <v>#NAME?</v>
      </c>
      <c r="L18" t="e">
        <f t="shared" ca="1" si="1"/>
        <v>#NAME?</v>
      </c>
      <c r="M18" t="e" cm="1">
        <f t="array" aca="1" ref="M18" ca="1">_xlfn.LET(
    _xlpm.item_rng,'More Quests &amp; Items (L4)'!$E$5:$E$43,
    _xlpm.quest_order_rng,'More Quests &amp; Items (L4)'!$K$5:$K$43,
    _xlpm.class_rng,'More Quests &amp; Items (L4)'!$H$5:$H$43,
    _xlpm.curr_class,"*"&amp;'L4 Calc'!C18&amp;"*",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INDEX(_xlpm.search_rng,MATCH(H18,_xlpm.matchingLookups,0))
)</f>
        <v>#NAME?</v>
      </c>
      <c r="N18" t="e">
        <f ca="1">INDEX('More Quests &amp; Items (L4)'!$L$5:$L$43,MATCH('L4 Calc'!M18,'More Quests &amp; Items (L4)'!$E$5:$E$43,0))</f>
        <v>#NAME?</v>
      </c>
      <c r="O18" t="e" cm="1">
        <f t="array" aca="1" ref="O18" ca="1">INDEX(Case!$Z$63:$DU$63,0,MATCH(K18,Case!$Z$64:$DU$64,1))</f>
        <v>#NAME?</v>
      </c>
    </row>
    <row r="19" spans="1:15">
      <c r="A19">
        <v>16</v>
      </c>
      <c r="B19" t="str">
        <f>INDEX(Case!$F$246:$F$267,MATCH(A19,Case!$E$246:$E$267,0))</f>
        <v>Troll</v>
      </c>
      <c r="C19" t="str">
        <f>INDEX(Case!$G$246:$G$267,MATCH(A19,Case!$E$246:$E$267,0))</f>
        <v>Shaman</v>
      </c>
      <c r="D19" s="122">
        <f>INDEX(Case!$L$246:$L$267,MATCH(A19,Case!$E$246:$E$267,0))</f>
        <v>314589</v>
      </c>
      <c r="E19">
        <f>INDEX(Case!$M$246:$M$267,MATCH(A19,Case!$E$246:$E$267,0))</f>
        <v>28.49</v>
      </c>
      <c r="F19" t="str">
        <f>INDEX(Case!$K$207:$K$214,MATCH('L4 Calc'!C19,Case!$J$207:$J$214,0))</f>
        <v>Strength</v>
      </c>
      <c r="G19">
        <f>INDEX(Case!$L$207:$L$214,MATCH('L4 Calc'!C19,Case!$J$207:$J$214,0))</f>
        <v>45</v>
      </c>
      <c r="H19" t="e" cm="1">
        <f t="array" aca="1" ref="H19" ca="1">_xlfn.LET(
    _xlpm.RT_stats,'More Quests &amp; Items (L4)'!$L$5:$L$43,
    _xlpm.class_rng,'More Quests &amp; Items (L4)'!$H$5:$H$43,
    _xlpm.curr_class,"*"&amp;'L4 Calc'!C19&amp;"*",
    _xlpm.first_row,MATCH(_xlpm.curr_class,_xlpm.class_rng,0),
    _xlpm.class_count,COUNTIF(_xlpm.class_rng,_xlpm.curr_class),
    _xlpm.search_rng,INDEX(_xlpm.RT_stats,_xlpm.first_row):INDEX(_xlpm.RT_stats,_xlpm.first_row+_xlpm.class_count-1),
    _xlpm.approx_match,MATCH(G19,_xlpm.search_rng,1),
    _xlpm.exact_match,MATCH(G19,_xlpm.search_rng,0),
    _xlpm.approx_match+IF(ISERROR(_xlpm.exact_match),1,0)
)</f>
        <v>#NAME?</v>
      </c>
      <c r="I19" s="126" t="e" cm="1">
        <f t="array" aca="1" ref="I19" ca="1">_xlfn.LET(
    _xlpm.RT_exp,'More Quests &amp; Items (L4)'!$M$5:$M$43,
    _xlpm.quest_order_rng,'More Quests &amp; Items (L4)'!$K$5:$K$43,
    _xlpm.class_rng,'More Quests &amp; Items (L4)'!$H$5:$H$43,
    _xlpm.curr_class,"*"&amp;'L4 Calc'!C19&amp;"*",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INDEX(_xlpm.search_rng,MATCH(H19,_xlpm.matchingLookups,0))
)</f>
        <v>#NAME?</v>
      </c>
      <c r="J19" t="e" cm="1">
        <f t="array" aca="1" ref="J19" ca="1">_xlfn.LET(
    _xlpm.RT_gold,'More Quests &amp; Items (L4)'!$N$5:$N$43,
    _xlpm.quest_order_rng,'More Quests &amp; Items (L4)'!$K$5:$K$43,
    _xlpm.class_rng,'More Quests &amp; Items (L4)'!$H$5:$H$43,
    _xlpm.curr_class,"*"&amp;'L4 Calc'!C19&amp;"*",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INDEX(_xlpm.search_rng,MATCH(H19,_xlpm.matchingLookups,0))
)</f>
        <v>#NAME?</v>
      </c>
      <c r="K19" s="127" t="e">
        <f t="shared" ca="1" si="0"/>
        <v>#NAME?</v>
      </c>
      <c r="L19" t="e">
        <f t="shared" ca="1" si="1"/>
        <v>#NAME?</v>
      </c>
      <c r="M19" t="e" cm="1">
        <f t="array" aca="1" ref="M19" ca="1">_xlfn.LET(
    _xlpm.item_rng,'More Quests &amp; Items (L4)'!$E$5:$E$43,
    _xlpm.quest_order_rng,'More Quests &amp; Items (L4)'!$K$5:$K$43,
    _xlpm.class_rng,'More Quests &amp; Items (L4)'!$H$5:$H$43,
    _xlpm.curr_class,"*"&amp;'L4 Calc'!C19&amp;"*",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INDEX(_xlpm.search_rng,MATCH(H19,_xlpm.matchingLookups,0))
)</f>
        <v>#NAME?</v>
      </c>
      <c r="N19" t="e">
        <f ca="1">INDEX('More Quests &amp; Items (L4)'!$L$5:$L$43,MATCH('L4 Calc'!M19,'More Quests &amp; Items (L4)'!$E$5:$E$43,0))</f>
        <v>#NAME?</v>
      </c>
      <c r="O19" t="e" cm="1">
        <f t="array" aca="1" ref="O19" ca="1">INDEX(Case!$Z$63:$DU$63,0,MATCH(K19,Case!$Z$64:$DU$64,1))</f>
        <v>#NAME?</v>
      </c>
    </row>
    <row r="20" spans="1:15">
      <c r="A20">
        <v>17</v>
      </c>
      <c r="B20" t="str">
        <f>INDEX(Case!$F$246:$F$267,MATCH(A20,Case!$E$246:$E$267,0))</f>
        <v>Undead</v>
      </c>
      <c r="C20" t="str">
        <f>INDEX(Case!$G$246:$G$267,MATCH(A20,Case!$E$246:$E$267,0))</f>
        <v>Rogue</v>
      </c>
      <c r="D20" s="122">
        <f>INDEX(Case!$L$246:$L$267,MATCH(A20,Case!$E$246:$E$267,0))</f>
        <v>314466</v>
      </c>
      <c r="E20">
        <f>INDEX(Case!$M$246:$M$267,MATCH(A20,Case!$E$246:$E$267,0))</f>
        <v>36.090000000000003</v>
      </c>
      <c r="F20" t="str">
        <f>INDEX(Case!$K$207:$K$214,MATCH('L4 Calc'!C20,Case!$J$207:$J$214,0))</f>
        <v>Agility</v>
      </c>
      <c r="G20">
        <f>INDEX(Case!$L$207:$L$214,MATCH('L4 Calc'!C20,Case!$J$207:$J$214,0))</f>
        <v>50</v>
      </c>
      <c r="H20" t="e" cm="1">
        <f t="array" aca="1" ref="H20" ca="1">_xlfn.LET(
    _xlpm.RT_stats,'More Quests &amp; Items (L4)'!$L$5:$L$43,
    _xlpm.class_rng,'More Quests &amp; Items (L4)'!$H$5:$H$43,
    _xlpm.curr_class,"*"&amp;'L4 Calc'!C20&amp;"*",
    _xlpm.first_row,MATCH(_xlpm.curr_class,_xlpm.class_rng,0),
    _xlpm.class_count,COUNTIF(_xlpm.class_rng,_xlpm.curr_class),
    _xlpm.search_rng,INDEX(_xlpm.RT_stats,_xlpm.first_row):INDEX(_xlpm.RT_stats,_xlpm.first_row+_xlpm.class_count-1),
    _xlpm.approx_match,MATCH(G20,_xlpm.search_rng,1),
    _xlpm.exact_match,MATCH(G20,_xlpm.search_rng,0),
    _xlpm.approx_match+IF(ISERROR(_xlpm.exact_match),1,0)
)</f>
        <v>#NAME?</v>
      </c>
      <c r="I20" s="126" t="e" cm="1">
        <f t="array" aca="1" ref="I20" ca="1">_xlfn.LET(
    _xlpm.RT_exp,'More Quests &amp; Items (L4)'!$M$5:$M$43,
    _xlpm.quest_order_rng,'More Quests &amp; Items (L4)'!$K$5:$K$43,
    _xlpm.class_rng,'More Quests &amp; Items (L4)'!$H$5:$H$43,
    _xlpm.curr_class,"*"&amp;'L4 Calc'!C20&amp;"*",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INDEX(_xlpm.search_rng,MATCH(H20,_xlpm.matchingLookups,0))
)</f>
        <v>#NAME?</v>
      </c>
      <c r="J20" t="e" cm="1">
        <f t="array" aca="1" ref="J20" ca="1">_xlfn.LET(
    _xlpm.RT_gold,'More Quests &amp; Items (L4)'!$N$5:$N$43,
    _xlpm.quest_order_rng,'More Quests &amp; Items (L4)'!$K$5:$K$43,
    _xlpm.class_rng,'More Quests &amp; Items (L4)'!$H$5:$H$43,
    _xlpm.curr_class,"*"&amp;'L4 Calc'!C20&amp;"*",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INDEX(_xlpm.search_rng,MATCH(H20,_xlpm.matchingLookups,0))
)</f>
        <v>#NAME?</v>
      </c>
      <c r="K20" s="127" t="e">
        <f t="shared" ca="1" si="0"/>
        <v>#NAME?</v>
      </c>
      <c r="L20" t="e">
        <f t="shared" ca="1" si="1"/>
        <v>#NAME?</v>
      </c>
      <c r="M20" t="e" cm="1">
        <f t="array" aca="1" ref="M20" ca="1">_xlfn.LET(
    _xlpm.item_rng,'More Quests &amp; Items (L4)'!$E$5:$E$43,
    _xlpm.quest_order_rng,'More Quests &amp; Items (L4)'!$K$5:$K$43,
    _xlpm.class_rng,'More Quests &amp; Items (L4)'!$H$5:$H$43,
    _xlpm.curr_class,"*"&amp;'L4 Calc'!C20&amp;"*",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INDEX(_xlpm.search_rng,MATCH(H20,_xlpm.matchingLookups,0))
)</f>
        <v>#NAME?</v>
      </c>
      <c r="N20" t="e">
        <f ca="1">INDEX('More Quests &amp; Items (L4)'!$L$5:$L$43,MATCH('L4 Calc'!M20,'More Quests &amp; Items (L4)'!$E$5:$E$43,0))</f>
        <v>#NAME?</v>
      </c>
      <c r="O20" t="e" cm="1">
        <f t="array" aca="1" ref="O20" ca="1">INDEX(Case!$Z$63:$DU$63,0,MATCH(K20,Case!$Z$64:$DU$64,1))</f>
        <v>#NAME?</v>
      </c>
    </row>
    <row r="21" spans="1:15">
      <c r="A21">
        <v>18</v>
      </c>
      <c r="B21" t="str">
        <f>INDEX(Case!$F$246:$F$267,MATCH(A21,Case!$E$246:$E$267,0))</f>
        <v>Troll</v>
      </c>
      <c r="C21" t="str">
        <f>INDEX(Case!$G$246:$G$267,MATCH(A21,Case!$E$246:$E$267,0))</f>
        <v>Priest</v>
      </c>
      <c r="D21" s="122">
        <f>INDEX(Case!$L$246:$L$267,MATCH(A21,Case!$E$246:$E$267,0))</f>
        <v>318966</v>
      </c>
      <c r="E21">
        <f>INDEX(Case!$M$246:$M$267,MATCH(A21,Case!$E$246:$E$267,0))</f>
        <v>17.149999999999999</v>
      </c>
      <c r="F21" t="str">
        <f>INDEX(Case!$K$207:$K$214,MATCH('L4 Calc'!C21,Case!$J$207:$J$214,0))</f>
        <v>Intellect</v>
      </c>
      <c r="G21">
        <f>INDEX(Case!$L$207:$L$214,MATCH('L4 Calc'!C21,Case!$J$207:$J$214,0))</f>
        <v>65</v>
      </c>
      <c r="H21" t="e" cm="1">
        <f t="array" aca="1" ref="H21" ca="1">_xlfn.LET(
    _xlpm.RT_stats,'More Quests &amp; Items (L4)'!$L$5:$L$43,
    _xlpm.class_rng,'More Quests &amp; Items (L4)'!$H$5:$H$43,
    _xlpm.curr_class,"*"&amp;'L4 Calc'!C21&amp;"*",
    _xlpm.first_row,MATCH(_xlpm.curr_class,_xlpm.class_rng,0),
    _xlpm.class_count,COUNTIF(_xlpm.class_rng,_xlpm.curr_class),
    _xlpm.search_rng,INDEX(_xlpm.RT_stats,_xlpm.first_row):INDEX(_xlpm.RT_stats,_xlpm.first_row+_xlpm.class_count-1),
    _xlpm.approx_match,MATCH(G21,_xlpm.search_rng,1),
    _xlpm.exact_match,MATCH(G21,_xlpm.search_rng,0),
    _xlpm.approx_match+IF(ISERROR(_xlpm.exact_match),1,0)
)</f>
        <v>#NAME?</v>
      </c>
      <c r="I21" s="126" t="e" cm="1">
        <f t="array" aca="1" ref="I21" ca="1">_xlfn.LET(
    _xlpm.RT_exp,'More Quests &amp; Items (L4)'!$M$5:$M$43,
    _xlpm.quest_order_rng,'More Quests &amp; Items (L4)'!$K$5:$K$43,
    _xlpm.class_rng,'More Quests &amp; Items (L4)'!$H$5:$H$43,
    _xlpm.curr_class,"*"&amp;'L4 Calc'!C21&amp;"*",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INDEX(_xlpm.search_rng,MATCH(H21,_xlpm.matchingLookups,0))
)</f>
        <v>#NAME?</v>
      </c>
      <c r="J21" t="e" cm="1">
        <f t="array" aca="1" ref="J21" ca="1">_xlfn.LET(
    _xlpm.RT_gold,'More Quests &amp; Items (L4)'!$N$5:$N$43,
    _xlpm.quest_order_rng,'More Quests &amp; Items (L4)'!$K$5:$K$43,
    _xlpm.class_rng,'More Quests &amp; Items (L4)'!$H$5:$H$43,
    _xlpm.curr_class,"*"&amp;'L4 Calc'!C21&amp;"*",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INDEX(_xlpm.search_rng,MATCH(H21,_xlpm.matchingLookups,0))
)</f>
        <v>#NAME?</v>
      </c>
      <c r="K21" s="127" t="e">
        <f t="shared" ca="1" si="0"/>
        <v>#NAME?</v>
      </c>
      <c r="L21" t="e">
        <f t="shared" ca="1" si="1"/>
        <v>#NAME?</v>
      </c>
      <c r="M21" t="e" cm="1">
        <f t="array" aca="1" ref="M21" ca="1">_xlfn.LET(
    _xlpm.item_rng,'More Quests &amp; Items (L4)'!$E$5:$E$43,
    _xlpm.quest_order_rng,'More Quests &amp; Items (L4)'!$K$5:$K$43,
    _xlpm.class_rng,'More Quests &amp; Items (L4)'!$H$5:$H$43,
    _xlpm.curr_class,"*"&amp;'L4 Calc'!C21&amp;"*",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INDEX(_xlpm.search_rng,MATCH(H21,_xlpm.matchingLookups,0))
)</f>
        <v>#NAME?</v>
      </c>
      <c r="N21" t="e">
        <f ca="1">INDEX('More Quests &amp; Items (L4)'!$L$5:$L$43,MATCH('L4 Calc'!M21,'More Quests &amp; Items (L4)'!$E$5:$E$43,0))</f>
        <v>#NAME?</v>
      </c>
      <c r="O21" t="e" cm="1">
        <f t="array" aca="1" ref="O21" ca="1">INDEX(Case!$Z$63:$DU$63,0,MATCH(K21,Case!$Z$64:$DU$64,1))</f>
        <v>#NAME?</v>
      </c>
    </row>
    <row r="22" spans="1:15">
      <c r="A22">
        <v>19</v>
      </c>
      <c r="B22" t="str">
        <f>INDEX(Case!$F$246:$F$267,MATCH(A22,Case!$E$246:$E$267,0))</f>
        <v>Troll</v>
      </c>
      <c r="C22" t="str">
        <f>INDEX(Case!$G$246:$G$267,MATCH(A22,Case!$E$246:$E$267,0))</f>
        <v>Priest</v>
      </c>
      <c r="D22" s="122">
        <f>INDEX(Case!$L$246:$L$267,MATCH(A22,Case!$E$246:$E$267,0))</f>
        <v>313640</v>
      </c>
      <c r="E22">
        <f>INDEX(Case!$M$246:$M$267,MATCH(A22,Case!$E$246:$E$267,0))</f>
        <v>9.99</v>
      </c>
      <c r="F22" t="str">
        <f>INDEX(Case!$K$207:$K$214,MATCH('L4 Calc'!C22,Case!$J$207:$J$214,0))</f>
        <v>Intellect</v>
      </c>
      <c r="G22">
        <f>INDEX(Case!$L$207:$L$214,MATCH('L4 Calc'!C22,Case!$J$207:$J$214,0))</f>
        <v>65</v>
      </c>
      <c r="H22" t="e" cm="1">
        <f t="array" aca="1" ref="H22" ca="1">_xlfn.LET(
    _xlpm.RT_stats,'More Quests &amp; Items (L4)'!$L$5:$L$43,
    _xlpm.class_rng,'More Quests &amp; Items (L4)'!$H$5:$H$43,
    _xlpm.curr_class,"*"&amp;'L4 Calc'!C22&amp;"*",
    _xlpm.first_row,MATCH(_xlpm.curr_class,_xlpm.class_rng,0),
    _xlpm.class_count,COUNTIF(_xlpm.class_rng,_xlpm.curr_class),
    _xlpm.search_rng,INDEX(_xlpm.RT_stats,_xlpm.first_row):INDEX(_xlpm.RT_stats,_xlpm.first_row+_xlpm.class_count-1),
    _xlpm.approx_match,MATCH(G22,_xlpm.search_rng,1),
    _xlpm.exact_match,MATCH(G22,_xlpm.search_rng,0),
    _xlpm.approx_match+IF(ISERROR(_xlpm.exact_match),1,0)
)</f>
        <v>#NAME?</v>
      </c>
      <c r="I22" s="126" t="e" cm="1">
        <f t="array" aca="1" ref="I22" ca="1">_xlfn.LET(
    _xlpm.RT_exp,'More Quests &amp; Items (L4)'!$M$5:$M$43,
    _xlpm.quest_order_rng,'More Quests &amp; Items (L4)'!$K$5:$K$43,
    _xlpm.class_rng,'More Quests &amp; Items (L4)'!$H$5:$H$43,
    _xlpm.curr_class,"*"&amp;'L4 Calc'!C22&amp;"*",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INDEX(_xlpm.search_rng,MATCH(H22,_xlpm.matchingLookups,0))
)</f>
        <v>#NAME?</v>
      </c>
      <c r="J22" t="e" cm="1">
        <f t="array" aca="1" ref="J22" ca="1">_xlfn.LET(
    _xlpm.RT_gold,'More Quests &amp; Items (L4)'!$N$5:$N$43,
    _xlpm.quest_order_rng,'More Quests &amp; Items (L4)'!$K$5:$K$43,
    _xlpm.class_rng,'More Quests &amp; Items (L4)'!$H$5:$H$43,
    _xlpm.curr_class,"*"&amp;'L4 Calc'!C22&amp;"*",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INDEX(_xlpm.search_rng,MATCH(H22,_xlpm.matchingLookups,0))
)</f>
        <v>#NAME?</v>
      </c>
      <c r="K22" s="127" t="e">
        <f t="shared" ca="1" si="0"/>
        <v>#NAME?</v>
      </c>
      <c r="L22" t="e">
        <f t="shared" ca="1" si="1"/>
        <v>#NAME?</v>
      </c>
      <c r="M22" t="e" cm="1">
        <f t="array" aca="1" ref="M22" ca="1">_xlfn.LET(
    _xlpm.item_rng,'More Quests &amp; Items (L4)'!$E$5:$E$43,
    _xlpm.quest_order_rng,'More Quests &amp; Items (L4)'!$K$5:$K$43,
    _xlpm.class_rng,'More Quests &amp; Items (L4)'!$H$5:$H$43,
    _xlpm.curr_class,"*"&amp;'L4 Calc'!C22&amp;"*",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INDEX(_xlpm.search_rng,MATCH(H22,_xlpm.matchingLookups,0))
)</f>
        <v>#NAME?</v>
      </c>
      <c r="N22" t="e">
        <f ca="1">INDEX('More Quests &amp; Items (L4)'!$L$5:$L$43,MATCH('L4 Calc'!M22,'More Quests &amp; Items (L4)'!$E$5:$E$43,0))</f>
        <v>#NAME?</v>
      </c>
      <c r="O22" t="e" cm="1">
        <f t="array" aca="1" ref="O22" ca="1">INDEX(Case!$Z$63:$DU$63,0,MATCH(K22,Case!$Z$64:$DU$64,1))</f>
        <v>#NAME?</v>
      </c>
    </row>
    <row r="23" spans="1:15">
      <c r="A23">
        <v>20</v>
      </c>
      <c r="B23" t="str">
        <f>INDEX(Case!$F$246:$F$267,MATCH(A23,Case!$E$246:$E$267,0))</f>
        <v>Tauren</v>
      </c>
      <c r="C23" t="str">
        <f>INDEX(Case!$G$246:$G$267,MATCH(A23,Case!$E$246:$E$267,0))</f>
        <v>Druid</v>
      </c>
      <c r="D23" s="122">
        <f>INDEX(Case!$L$246:$L$267,MATCH(A23,Case!$E$246:$E$267,0))</f>
        <v>319000</v>
      </c>
      <c r="E23">
        <f>INDEX(Case!$M$246:$M$267,MATCH(A23,Case!$E$246:$E$267,0))</f>
        <v>16.84</v>
      </c>
      <c r="F23" t="str">
        <f>INDEX(Case!$K$207:$K$214,MATCH('L4 Calc'!C23,Case!$J$207:$J$214,0))</f>
        <v>Agility</v>
      </c>
      <c r="G23">
        <f>INDEX(Case!$L$207:$L$214,MATCH('L4 Calc'!C23,Case!$J$207:$J$214,0))</f>
        <v>75</v>
      </c>
      <c r="H23" t="e" cm="1">
        <f t="array" aca="1" ref="H23" ca="1">_xlfn.LET(
    _xlpm.RT_stats,'More Quests &amp; Items (L4)'!$L$5:$L$43,
    _xlpm.class_rng,'More Quests &amp; Items (L4)'!$H$5:$H$43,
    _xlpm.curr_class,"*"&amp;'L4 Calc'!C23&amp;"*",
    _xlpm.first_row,MATCH(_xlpm.curr_class,_xlpm.class_rng,0),
    _xlpm.class_count,COUNTIF(_xlpm.class_rng,_xlpm.curr_class),
    _xlpm.search_rng,INDEX(_xlpm.RT_stats,_xlpm.first_row):INDEX(_xlpm.RT_stats,_xlpm.first_row+_xlpm.class_count-1),
    _xlpm.approx_match,MATCH(G23,_xlpm.search_rng,1),
    _xlpm.exact_match,MATCH(G23,_xlpm.search_rng,0),
    _xlpm.approx_match+IF(ISERROR(_xlpm.exact_match),1,0)
)</f>
        <v>#NAME?</v>
      </c>
      <c r="I23" s="126" t="e" cm="1">
        <f t="array" aca="1" ref="I23" ca="1">_xlfn.LET(
    _xlpm.RT_exp,'More Quests &amp; Items (L4)'!$M$5:$M$43,
    _xlpm.quest_order_rng,'More Quests &amp; Items (L4)'!$K$5:$K$43,
    _xlpm.class_rng,'More Quests &amp; Items (L4)'!$H$5:$H$43,
    _xlpm.curr_class,"*"&amp;'L4 Calc'!C23&amp;"*",
    _xlpm.first_row,MATCH(_xlpm.curr_class,_xlpm.class_rng,0),
    _xlpm.class_count,COUNTIF(_xlpm.class_rng,_xlpm.curr_class),
    _xlpm.search_rng,INDEX(_xlpm.RT_exp,_xlpm.first_row):INDEX(_xlpm.RT_exp,_xlpm.first_row+_xlpm.class_count-1),
    _xlpm.matchingLookups,INDEX(_xlpm.quest_order_rng,_xlpm.first_row):INDEX(_xlpm.quest_order_rng,_xlpm.first_row+_xlpm.class_count-1),
    INDEX(_xlpm.search_rng,MATCH(H23,_xlpm.matchingLookups,0))
)</f>
        <v>#NAME?</v>
      </c>
      <c r="J23" t="e" cm="1">
        <f t="array" aca="1" ref="J23" ca="1">_xlfn.LET(
    _xlpm.RT_gold,'More Quests &amp; Items (L4)'!$N$5:$N$43,
    _xlpm.quest_order_rng,'More Quests &amp; Items (L4)'!$K$5:$K$43,
    _xlpm.class_rng,'More Quests &amp; Items (L4)'!$H$5:$H$43,
    _xlpm.curr_class,"*"&amp;'L4 Calc'!C23&amp;"*",
    _xlpm.first_row,MATCH(_xlpm.curr_class,_xlpm.class_rng,0),
    _xlpm.class_count,COUNTIF(_xlpm.class_rng,_xlpm.curr_class),
    _xlpm.search_rng,INDEX(_xlpm.RT_gold,_xlpm.first_row):INDEX(_xlpm.RT_gold,_xlpm.first_row+_xlpm.class_count-1),
    _xlpm.matchingLookups,INDEX(_xlpm.quest_order_rng,_xlpm.first_row):INDEX(_xlpm.quest_order_rng,_xlpm.first_row+_xlpm.class_count-1),
    INDEX(_xlpm.search_rng,MATCH(H23,_xlpm.matchingLookups,0))
)</f>
        <v>#NAME?</v>
      </c>
      <c r="K23" s="127" t="e">
        <f t="shared" ca="1" si="0"/>
        <v>#NAME?</v>
      </c>
      <c r="L23" t="e">
        <f t="shared" ca="1" si="1"/>
        <v>#NAME?</v>
      </c>
      <c r="M23" t="e" cm="1">
        <f t="array" aca="1" ref="M23" ca="1">_xlfn.LET(
    _xlpm.item_rng,'More Quests &amp; Items (L4)'!$E$5:$E$43,
    _xlpm.quest_order_rng,'More Quests &amp; Items (L4)'!$K$5:$K$43,
    _xlpm.class_rng,'More Quests &amp; Items (L4)'!$H$5:$H$43,
    _xlpm.curr_class,"*"&amp;'L4 Calc'!C23&amp;"*",
    _xlpm.first_row,MATCH(_xlpm.curr_class,_xlpm.class_rng,0),
    _xlpm.class_count,COUNTIF(_xlpm.class_rng,_xlpm.curr_class),
    _xlpm.search_rng,INDEX(_xlpm.item_rng,_xlpm.first_row):INDEX(_xlpm.item_rng,_xlpm.first_row+_xlpm.class_count-1),
    _xlpm.matchingLookups,INDEX(_xlpm.quest_order_rng,_xlpm.first_row):INDEX(_xlpm.quest_order_rng,_xlpm.first_row+_xlpm.class_count-1),
    INDEX(_xlpm.search_rng,MATCH(H23,_xlpm.matchingLookups,0))
)</f>
        <v>#NAME?</v>
      </c>
      <c r="N23" t="e">
        <f ca="1">INDEX('More Quests &amp; Items (L4)'!$L$5:$L$43,MATCH('L4 Calc'!M23,'More Quests &amp; Items (L4)'!$E$5:$E$43,0))</f>
        <v>#NAME?</v>
      </c>
      <c r="O23" t="e" cm="1">
        <f t="array" aca="1" ref="O23" ca="1">INDEX(Case!$Z$63:$DU$63,0,MATCH(K23,Case!$Z$64:$DU$64,1))</f>
        <v>#NAME?</v>
      </c>
    </row>
  </sheetData>
  <autoFilter ref="H31" xr:uid="{A93AE690-4683-42EC-834B-278988B5EBB6}"/>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51DB-59EB-49D2-B832-B025E5002835}">
  <sheetPr codeName="Sheet8">
    <tabColor theme="5" tint="0.79998168889431442"/>
  </sheetPr>
  <dimension ref="A1:AK164"/>
  <sheetViews>
    <sheetView topLeftCell="F1" workbookViewId="0">
      <selection activeCell="Q5" sqref="Q5"/>
    </sheetView>
  </sheetViews>
  <sheetFormatPr defaultRowHeight="15"/>
  <cols>
    <col min="1" max="1" width="14.7109375" bestFit="1" customWidth="1"/>
    <col min="2" max="2" width="15.28515625" bestFit="1" customWidth="1"/>
    <col min="4" max="4" width="12.5703125" bestFit="1" customWidth="1"/>
    <col min="5" max="5" width="14.7109375" bestFit="1" customWidth="1"/>
    <col min="6" max="6" width="11.28515625" bestFit="1" customWidth="1"/>
    <col min="7" max="7" width="19.42578125" bestFit="1" customWidth="1"/>
    <col min="8" max="8" width="15.85546875" bestFit="1" customWidth="1"/>
    <col min="10" max="10" width="11.5703125" bestFit="1" customWidth="1"/>
    <col min="11" max="11" width="10.5703125" bestFit="1" customWidth="1"/>
    <col min="15" max="15" width="14.85546875" bestFit="1" customWidth="1"/>
    <col min="16" max="16" width="11.42578125" bestFit="1" customWidth="1"/>
    <col min="17" max="17" width="12.28515625" bestFit="1" customWidth="1"/>
    <col min="18" max="18" width="12.85546875" bestFit="1" customWidth="1"/>
    <col min="19" max="19" width="17" bestFit="1" customWidth="1"/>
    <col min="20" max="21" width="14.42578125" bestFit="1" customWidth="1"/>
    <col min="22" max="22" width="12.7109375" bestFit="1" customWidth="1"/>
    <col min="23" max="23" width="10.85546875" bestFit="1" customWidth="1"/>
    <col min="24" max="24" width="12.7109375" bestFit="1" customWidth="1"/>
    <col min="25" max="25" width="8.5703125" bestFit="1" customWidth="1"/>
    <col min="26" max="26" width="10.42578125" bestFit="1" customWidth="1"/>
    <col min="27" max="27" width="14.140625" bestFit="1" customWidth="1"/>
    <col min="28" max="28" width="14.7109375" bestFit="1" customWidth="1"/>
    <col min="29" max="29" width="14.7109375" customWidth="1"/>
    <col min="30" max="30" width="14.140625" bestFit="1" customWidth="1"/>
    <col min="31" max="31" width="14.85546875" bestFit="1" customWidth="1"/>
    <col min="32" max="32" width="16.42578125" bestFit="1" customWidth="1"/>
    <col min="33" max="33" width="10.5703125" bestFit="1" customWidth="1"/>
    <col min="34" max="34" width="13.28515625" bestFit="1" customWidth="1"/>
  </cols>
  <sheetData>
    <row r="1" spans="1:27">
      <c r="N1" t="s">
        <v>1070</v>
      </c>
      <c r="O1" t="s">
        <v>1071</v>
      </c>
      <c r="P1" t="s">
        <v>1062</v>
      </c>
      <c r="Q1" t="s">
        <v>64</v>
      </c>
      <c r="R1" t="s">
        <v>1072</v>
      </c>
      <c r="S1" t="s">
        <v>62</v>
      </c>
      <c r="T1" t="s">
        <v>1073</v>
      </c>
      <c r="U1" t="s">
        <v>223</v>
      </c>
    </row>
    <row r="2" spans="1:27">
      <c r="A2" s="42" t="s">
        <v>1056</v>
      </c>
      <c r="B2" s="42" t="s">
        <v>13</v>
      </c>
      <c r="C2" s="42" t="s">
        <v>14</v>
      </c>
      <c r="D2" s="42" t="s">
        <v>1057</v>
      </c>
      <c r="E2" s="42" t="s">
        <v>1058</v>
      </c>
      <c r="F2" s="42" t="s">
        <v>223</v>
      </c>
      <c r="G2" s="42" t="s">
        <v>1074</v>
      </c>
      <c r="H2" s="42" t="s">
        <v>1075</v>
      </c>
      <c r="O2" t="e">
        <f ca="1">R29</f>
        <v>#N/A</v>
      </c>
      <c r="P2" t="e">
        <f t="shared" ref="P2:U2" ca="1" si="0">S29</f>
        <v>#NAME?</v>
      </c>
      <c r="Q2" t="e">
        <f t="shared" ca="1" si="0"/>
        <v>#N/A</v>
      </c>
      <c r="R2" t="e">
        <f t="shared" ca="1" si="0"/>
        <v>#N/A</v>
      </c>
      <c r="S2" t="e">
        <f t="shared" ca="1" si="0"/>
        <v>#N/A</v>
      </c>
      <c r="T2" t="e">
        <f t="shared" ca="1" si="0"/>
        <v>#N/A</v>
      </c>
      <c r="U2" t="e">
        <f t="shared" ca="1" si="0"/>
        <v>#N/A</v>
      </c>
      <c r="X2" t="s">
        <v>1076</v>
      </c>
    </row>
    <row r="3" spans="1:27">
      <c r="A3" t="s">
        <v>66</v>
      </c>
      <c r="B3" t="str">
        <f>INDEX(Case!$F$246:$F$267,MATCH(A3,Case!$E$246:$E$267,0))</f>
        <v>Orc</v>
      </c>
      <c r="C3" t="str">
        <f>INDEX(Case!$G$246:$G$267,MATCH(A3,Case!$E$246:$E$267,0))</f>
        <v>Warlock</v>
      </c>
      <c r="D3" s="122" t="e">
        <f ca="1">INDEX(Case!N$307:N$328,MATCH('L5 Calc'!$A3,Case!$E$307:$E$328,0))</f>
        <v>#NAME?</v>
      </c>
      <c r="E3" s="128" t="e">
        <f ca="1">INDEX(Case!O$307:O$328,MATCH('L5 Calc'!$A3,Case!$E$307:$E$328,0))</f>
        <v>#NAME?</v>
      </c>
      <c r="F3" s="122" t="str">
        <f>INDEX(Case!P$307:P$328,MATCH('L5 Calc'!$A3,Case!$E$307:$E$328,0))</f>
        <v>Intellect</v>
      </c>
      <c r="G3" s="122" t="e">
        <f ca="1">INDEX(Case!Q$307:Q$328,MATCH('L5 Calc'!$A3,Case!$E$307:$E$328,0))</f>
        <v>#NAME?</v>
      </c>
      <c r="H3" t="e">
        <f ca="1">INDEX(Case!$S$246:$S$267,MATCH(A3,Case!$E$246:$E$267,0))</f>
        <v>#NAME?</v>
      </c>
      <c r="K3" s="129"/>
      <c r="N3" s="132" t="s">
        <v>66</v>
      </c>
      <c r="O3" t="e">
        <f t="dataTable" ref="O3:U23" dt2D="0" dtr="0" r1="P28" ca="1"/>
        <v>#N/A</v>
      </c>
      <c r="P3" t="e">
        <v>#NAME?</v>
      </c>
      <c r="Q3" t="e">
        <v>#N/A</v>
      </c>
      <c r="R3" s="122" t="e">
        <v>#N/A</v>
      </c>
      <c r="S3" t="e">
        <v>#N/A</v>
      </c>
      <c r="T3" t="e">
        <v>#N/A</v>
      </c>
      <c r="U3" s="130" t="e">
        <v>#N/A</v>
      </c>
      <c r="X3" t="s">
        <v>1077</v>
      </c>
    </row>
    <row r="4" spans="1:27">
      <c r="A4">
        <v>1</v>
      </c>
      <c r="B4" t="str">
        <f>INDEX(Case!$F$246:$F$267,MATCH(A4,Case!$E$246:$E$267,0))</f>
        <v>Orc</v>
      </c>
      <c r="C4" t="str">
        <f>INDEX(Case!$G$246:$G$267,MATCH(A4,Case!$E$246:$E$267,0))</f>
        <v>Warrior</v>
      </c>
      <c r="D4" s="122" t="e">
        <f ca="1">INDEX(Case!N$307:N$328,MATCH('L5 Calc'!$A4,Case!$E$307:$E$328,0))</f>
        <v>#NAME?</v>
      </c>
      <c r="E4" s="128" t="e">
        <f ca="1">INDEX(Case!O$307:O$328,MATCH('L5 Calc'!$A4,Case!$E$307:$E$328,0))</f>
        <v>#NAME?</v>
      </c>
      <c r="F4" s="122" t="str">
        <f>INDEX(Case!P$307:P$328,MATCH('L5 Calc'!$A4,Case!$E$307:$E$328,0))</f>
        <v>Armor</v>
      </c>
      <c r="G4" s="122" t="e">
        <f ca="1">INDEX(Case!Q$307:Q$328,MATCH('L5 Calc'!$A4,Case!$E$307:$E$328,0))</f>
        <v>#NAME?</v>
      </c>
      <c r="H4" t="e">
        <f ca="1">INDEX(Case!$S$246:$S$267,MATCH(A4,Case!$E$246:$E$267,0))</f>
        <v>#NAME?</v>
      </c>
      <c r="K4" s="129"/>
      <c r="N4" s="132">
        <v>1</v>
      </c>
      <c r="O4" t="e">
        <v>#N/A</v>
      </c>
      <c r="P4" t="e">
        <v>#NAME?</v>
      </c>
      <c r="Q4" t="e">
        <v>#N/A</v>
      </c>
      <c r="R4" s="122" t="e">
        <v>#N/A</v>
      </c>
      <c r="S4" t="e">
        <v>#N/A</v>
      </c>
      <c r="T4" t="e">
        <v>#N/A</v>
      </c>
      <c r="U4" s="130" t="e">
        <v>#N/A</v>
      </c>
      <c r="Y4" t="s">
        <v>1078</v>
      </c>
    </row>
    <row r="5" spans="1:27">
      <c r="A5">
        <v>2</v>
      </c>
      <c r="B5" t="str">
        <f>INDEX(Case!$F$246:$F$267,MATCH(A5,Case!$E$246:$E$267,0))</f>
        <v>Troll</v>
      </c>
      <c r="C5" t="str">
        <f>INDEX(Case!$G$246:$G$267,MATCH(A5,Case!$E$246:$E$267,0))</f>
        <v>Priest</v>
      </c>
      <c r="D5" s="122" t="e">
        <f ca="1">INDEX(Case!N$307:N$328,MATCH('L5 Calc'!$A5,Case!$E$307:$E$328,0))</f>
        <v>#NAME?</v>
      </c>
      <c r="E5" s="128" t="e">
        <f ca="1">INDEX(Case!O$307:O$328,MATCH('L5 Calc'!$A5,Case!$E$307:$E$328,0))</f>
        <v>#NAME?</v>
      </c>
      <c r="F5" s="122" t="str">
        <f>INDEX(Case!P$307:P$328,MATCH('L5 Calc'!$A5,Case!$E$307:$E$328,0))</f>
        <v>Intellect</v>
      </c>
      <c r="G5" s="122" t="e">
        <f ca="1">INDEX(Case!Q$307:Q$328,MATCH('L5 Calc'!$A5,Case!$E$307:$E$328,0))</f>
        <v>#NAME?</v>
      </c>
      <c r="H5" t="e">
        <f ca="1">INDEX(Case!$S$246:$S$267,MATCH(A5,Case!$E$246:$E$267,0))</f>
        <v>#NAME?</v>
      </c>
      <c r="K5" s="129"/>
      <c r="N5" s="132">
        <v>2</v>
      </c>
      <c r="O5" t="e">
        <v>#N/A</v>
      </c>
      <c r="P5" t="e">
        <v>#NAME?</v>
      </c>
      <c r="Q5" t="e">
        <v>#N/A</v>
      </c>
      <c r="R5" s="122" t="e">
        <v>#N/A</v>
      </c>
      <c r="S5" t="e">
        <v>#N/A</v>
      </c>
      <c r="T5" t="e">
        <v>#N/A</v>
      </c>
      <c r="U5" s="130" t="e">
        <v>#N/A</v>
      </c>
      <c r="X5" t="s">
        <v>1079</v>
      </c>
    </row>
    <row r="6" spans="1:27">
      <c r="A6">
        <v>3</v>
      </c>
      <c r="B6" t="str">
        <f>INDEX(Case!$F$246:$F$267,MATCH(A6,Case!$E$246:$E$267,0))</f>
        <v>Undead</v>
      </c>
      <c r="C6" t="str">
        <f>INDEX(Case!$G$246:$G$267,MATCH(A6,Case!$E$246:$E$267,0))</f>
        <v>Warlock</v>
      </c>
      <c r="D6" s="122" t="e">
        <f ca="1">INDEX(Case!N$307:N$328,MATCH('L5 Calc'!$A6,Case!$E$307:$E$328,0))</f>
        <v>#NAME?</v>
      </c>
      <c r="E6" s="128" t="e">
        <f ca="1">INDEX(Case!O$307:O$328,MATCH('L5 Calc'!$A6,Case!$E$307:$E$328,0))</f>
        <v>#NAME?</v>
      </c>
      <c r="F6" s="122" t="str">
        <f>INDEX(Case!P$307:P$328,MATCH('L5 Calc'!$A6,Case!$E$307:$E$328,0))</f>
        <v>Intellect</v>
      </c>
      <c r="G6" s="122" t="e">
        <f ca="1">INDEX(Case!Q$307:Q$328,MATCH('L5 Calc'!$A6,Case!$E$307:$E$328,0))</f>
        <v>#NAME?</v>
      </c>
      <c r="H6" t="e">
        <f ca="1">INDEX(Case!$S$246:$S$267,MATCH(A6,Case!$E$246:$E$267,0))</f>
        <v>#NAME?</v>
      </c>
      <c r="K6" s="129"/>
      <c r="N6" s="132">
        <v>3</v>
      </c>
      <c r="O6" t="e">
        <v>#N/A</v>
      </c>
      <c r="P6" t="e">
        <v>#NAME?</v>
      </c>
      <c r="Q6" t="e">
        <v>#N/A</v>
      </c>
      <c r="R6" s="122" t="e">
        <v>#N/A</v>
      </c>
      <c r="S6" t="e">
        <v>#N/A</v>
      </c>
      <c r="T6" t="e">
        <v>#N/A</v>
      </c>
      <c r="U6" s="130" t="e">
        <v>#N/A</v>
      </c>
      <c r="Y6" t="s">
        <v>1080</v>
      </c>
    </row>
    <row r="7" spans="1:27">
      <c r="A7">
        <v>4</v>
      </c>
      <c r="B7" t="str">
        <f>INDEX(Case!$F$246:$F$267,MATCH(A7,Case!$E$246:$E$267,0))</f>
        <v>Tauren</v>
      </c>
      <c r="C7" t="str">
        <f>INDEX(Case!$G$246:$G$267,MATCH(A7,Case!$E$246:$E$267,0))</f>
        <v>Warrior</v>
      </c>
      <c r="D7" s="122" t="e">
        <f ca="1">INDEX(Case!N$307:N$328,MATCH('L5 Calc'!$A7,Case!$E$307:$E$328,0))</f>
        <v>#NAME?</v>
      </c>
      <c r="E7" s="128" t="e">
        <f ca="1">INDEX(Case!O$307:O$328,MATCH('L5 Calc'!$A7,Case!$E$307:$E$328,0))</f>
        <v>#NAME?</v>
      </c>
      <c r="F7" s="122" t="str">
        <f>INDEX(Case!P$307:P$328,MATCH('L5 Calc'!$A7,Case!$E$307:$E$328,0))</f>
        <v>Armor</v>
      </c>
      <c r="G7" s="122" t="e">
        <f ca="1">INDEX(Case!Q$307:Q$328,MATCH('L5 Calc'!$A7,Case!$E$307:$E$328,0))</f>
        <v>#NAME?</v>
      </c>
      <c r="H7" t="e">
        <f ca="1">INDEX(Case!$S$246:$S$267,MATCH(A7,Case!$E$246:$E$267,0))</f>
        <v>#NAME?</v>
      </c>
      <c r="K7" s="129"/>
      <c r="N7" s="132">
        <v>4</v>
      </c>
      <c r="O7" t="e">
        <v>#N/A</v>
      </c>
      <c r="P7" t="e">
        <v>#NAME?</v>
      </c>
      <c r="Q7" t="e">
        <v>#N/A</v>
      </c>
      <c r="R7" s="122" t="e">
        <v>#N/A</v>
      </c>
      <c r="S7" t="e">
        <v>#N/A</v>
      </c>
      <c r="T7" t="e">
        <v>#N/A</v>
      </c>
      <c r="U7" s="130" t="e">
        <v>#N/A</v>
      </c>
      <c r="Z7" t="s">
        <v>1081</v>
      </c>
    </row>
    <row r="8" spans="1:27">
      <c r="A8">
        <v>5</v>
      </c>
      <c r="B8" t="str">
        <f>INDEX(Case!$F$246:$F$267,MATCH(A8,Case!$E$246:$E$267,0))</f>
        <v>Tauren</v>
      </c>
      <c r="C8" t="str">
        <f>INDEX(Case!$G$246:$G$267,MATCH(A8,Case!$E$246:$E$267,0))</f>
        <v>Hunter</v>
      </c>
      <c r="D8" s="122" t="e">
        <f ca="1">INDEX(Case!N$307:N$328,MATCH('L5 Calc'!$A8,Case!$E$307:$E$328,0))</f>
        <v>#NAME?</v>
      </c>
      <c r="E8" s="128" t="e">
        <f ca="1">INDEX(Case!O$307:O$328,MATCH('L5 Calc'!$A8,Case!$E$307:$E$328,0))</f>
        <v>#NAME?</v>
      </c>
      <c r="F8" s="122" t="str">
        <f>INDEX(Case!P$307:P$328,MATCH('L5 Calc'!$A8,Case!$E$307:$E$328,0))</f>
        <v>Agility</v>
      </c>
      <c r="G8" s="122" t="e">
        <f ca="1">INDEX(Case!Q$307:Q$328,MATCH('L5 Calc'!$A8,Case!$E$307:$E$328,0))</f>
        <v>#NAME?</v>
      </c>
      <c r="H8" t="e">
        <f ca="1">INDEX(Case!$S$246:$S$267,MATCH(A8,Case!$E$246:$E$267,0))</f>
        <v>#NAME?</v>
      </c>
      <c r="K8" s="129"/>
      <c r="N8" s="132">
        <v>5</v>
      </c>
      <c r="O8" t="e">
        <v>#N/A</v>
      </c>
      <c r="P8" t="e">
        <v>#NAME?</v>
      </c>
      <c r="Q8" t="e">
        <v>#N/A</v>
      </c>
      <c r="R8" s="122" t="e">
        <v>#N/A</v>
      </c>
      <c r="S8" t="e">
        <v>#N/A</v>
      </c>
      <c r="T8" t="e">
        <v>#N/A</v>
      </c>
      <c r="U8" s="130" t="e">
        <v>#N/A</v>
      </c>
      <c r="AA8" t="s">
        <v>1082</v>
      </c>
    </row>
    <row r="9" spans="1:27">
      <c r="A9">
        <v>6</v>
      </c>
      <c r="B9" t="str">
        <f>INDEX(Case!$F$246:$F$267,MATCH(A9,Case!$E$246:$E$267,0))</f>
        <v>Undead</v>
      </c>
      <c r="C9" t="str">
        <f>INDEX(Case!$G$246:$G$267,MATCH(A9,Case!$E$246:$E$267,0))</f>
        <v>Priest</v>
      </c>
      <c r="D9" s="122" t="e">
        <f ca="1">INDEX(Case!N$307:N$328,MATCH('L5 Calc'!$A9,Case!$E$307:$E$328,0))</f>
        <v>#NAME?</v>
      </c>
      <c r="E9" s="128" t="e">
        <f ca="1">INDEX(Case!O$307:O$328,MATCH('L5 Calc'!$A9,Case!$E$307:$E$328,0))</f>
        <v>#NAME?</v>
      </c>
      <c r="F9" s="122" t="str">
        <f>INDEX(Case!P$307:P$328,MATCH('L5 Calc'!$A9,Case!$E$307:$E$328,0))</f>
        <v>Intellect</v>
      </c>
      <c r="G9" s="122" t="e">
        <f ca="1">INDEX(Case!Q$307:Q$328,MATCH('L5 Calc'!$A9,Case!$E$307:$E$328,0))</f>
        <v>#NAME?</v>
      </c>
      <c r="H9" t="e">
        <f ca="1">INDEX(Case!$S$246:$S$267,MATCH(A9,Case!$E$246:$E$267,0))</f>
        <v>#NAME?</v>
      </c>
      <c r="K9" s="129"/>
      <c r="N9" s="132">
        <v>6</v>
      </c>
      <c r="O9" t="e">
        <v>#N/A</v>
      </c>
      <c r="P9" t="e">
        <v>#NAME?</v>
      </c>
      <c r="Q9" t="e">
        <v>#N/A</v>
      </c>
      <c r="R9" s="122" t="e">
        <v>#N/A</v>
      </c>
      <c r="S9" t="e">
        <v>#N/A</v>
      </c>
      <c r="T9" t="e">
        <v>#N/A</v>
      </c>
      <c r="U9" s="130" t="e">
        <v>#N/A</v>
      </c>
      <c r="X9" t="s">
        <v>1083</v>
      </c>
    </row>
    <row r="10" spans="1:27">
      <c r="A10">
        <v>7</v>
      </c>
      <c r="B10" t="str">
        <f>INDEX(Case!$F$246:$F$267,MATCH(A10,Case!$E$246:$E$267,0))</f>
        <v>Troll</v>
      </c>
      <c r="C10" t="str">
        <f>INDEX(Case!$G$246:$G$267,MATCH(A10,Case!$E$246:$E$267,0))</f>
        <v>Hunter</v>
      </c>
      <c r="D10" s="122" t="e">
        <f ca="1">INDEX(Case!N$307:N$328,MATCH('L5 Calc'!$A10,Case!$E$307:$E$328,0))</f>
        <v>#NAME?</v>
      </c>
      <c r="E10" s="128" t="e">
        <f ca="1">INDEX(Case!O$307:O$328,MATCH('L5 Calc'!$A10,Case!$E$307:$E$328,0))</f>
        <v>#NAME?</v>
      </c>
      <c r="F10" s="122" t="str">
        <f>INDEX(Case!P$307:P$328,MATCH('L5 Calc'!$A10,Case!$E$307:$E$328,0))</f>
        <v>Agility</v>
      </c>
      <c r="G10" s="122" t="e">
        <f ca="1">INDEX(Case!Q$307:Q$328,MATCH('L5 Calc'!$A10,Case!$E$307:$E$328,0))</f>
        <v>#NAME?</v>
      </c>
      <c r="H10" t="e">
        <f ca="1">INDEX(Case!$S$246:$S$267,MATCH(A10,Case!$E$246:$E$267,0))</f>
        <v>#NAME?</v>
      </c>
      <c r="K10" s="129"/>
      <c r="N10" s="132">
        <v>7</v>
      </c>
      <c r="O10" t="e">
        <v>#N/A</v>
      </c>
      <c r="P10" t="e">
        <v>#NAME?</v>
      </c>
      <c r="Q10" t="e">
        <v>#N/A</v>
      </c>
      <c r="R10" s="122" t="e">
        <v>#N/A</v>
      </c>
      <c r="S10" t="e">
        <v>#N/A</v>
      </c>
      <c r="T10" t="e">
        <v>#N/A</v>
      </c>
      <c r="U10" s="130" t="e">
        <v>#N/A</v>
      </c>
      <c r="X10" t="s">
        <v>1084</v>
      </c>
    </row>
    <row r="11" spans="1:27">
      <c r="A11">
        <v>8</v>
      </c>
      <c r="B11" t="str">
        <f>INDEX(Case!$F$246:$F$267,MATCH(A11,Case!$E$246:$E$267,0))</f>
        <v>Orc</v>
      </c>
      <c r="C11" t="str">
        <f>INDEX(Case!$G$246:$G$267,MATCH(A11,Case!$E$246:$E$267,0))</f>
        <v>Rogue</v>
      </c>
      <c r="D11" s="122" t="e">
        <f ca="1">INDEX(Case!N$307:N$328,MATCH('L5 Calc'!$A11,Case!$E$307:$E$328,0))</f>
        <v>#NAME?</v>
      </c>
      <c r="E11" s="128" t="e">
        <f ca="1">INDEX(Case!O$307:O$328,MATCH('L5 Calc'!$A11,Case!$E$307:$E$328,0))</f>
        <v>#NAME?</v>
      </c>
      <c r="F11" s="122" t="str">
        <f>INDEX(Case!P$307:P$328,MATCH('L5 Calc'!$A11,Case!$E$307:$E$328,0))</f>
        <v>Agility</v>
      </c>
      <c r="G11" s="122" t="e">
        <f ca="1">INDEX(Case!Q$307:Q$328,MATCH('L5 Calc'!$A11,Case!$E$307:$E$328,0))</f>
        <v>#NAME?</v>
      </c>
      <c r="H11" t="e">
        <f ca="1">INDEX(Case!$S$246:$S$267,MATCH(A11,Case!$E$246:$E$267,0))</f>
        <v>#NAME?</v>
      </c>
      <c r="K11" s="129"/>
      <c r="N11" s="132">
        <v>8</v>
      </c>
      <c r="O11" t="e">
        <v>#N/A</v>
      </c>
      <c r="P11" t="e">
        <v>#NAME?</v>
      </c>
      <c r="Q11" t="e">
        <v>#N/A</v>
      </c>
      <c r="R11" s="122" t="e">
        <v>#N/A</v>
      </c>
      <c r="S11" t="e">
        <v>#N/A</v>
      </c>
      <c r="T11" t="e">
        <v>#N/A</v>
      </c>
      <c r="U11" s="130" t="e">
        <v>#N/A</v>
      </c>
      <c r="X11" t="s">
        <v>1085</v>
      </c>
    </row>
    <row r="12" spans="1:27">
      <c r="A12">
        <v>9</v>
      </c>
      <c r="B12" t="str">
        <f>INDEX(Case!$F$246:$F$267,MATCH(A12,Case!$E$246:$E$267,0))</f>
        <v>Orc</v>
      </c>
      <c r="C12" t="str">
        <f>INDEX(Case!$G$246:$G$267,MATCH(A12,Case!$E$246:$E$267,0))</f>
        <v>Shaman</v>
      </c>
      <c r="D12" s="122" t="e">
        <f ca="1">INDEX(Case!N$307:N$328,MATCH('L5 Calc'!$A12,Case!$E$307:$E$328,0))</f>
        <v>#NAME?</v>
      </c>
      <c r="E12" s="128" t="e">
        <f ca="1">INDEX(Case!O$307:O$328,MATCH('L5 Calc'!$A12,Case!$E$307:$E$328,0))</f>
        <v>#NAME?</v>
      </c>
      <c r="F12" s="122" t="str">
        <f>INDEX(Case!P$307:P$328,MATCH('L5 Calc'!$A12,Case!$E$307:$E$328,0))</f>
        <v>Strength</v>
      </c>
      <c r="G12" s="122" t="e">
        <f ca="1">INDEX(Case!Q$307:Q$328,MATCH('L5 Calc'!$A12,Case!$E$307:$E$328,0))</f>
        <v>#NAME?</v>
      </c>
      <c r="H12" t="e">
        <f ca="1">INDEX(Case!$S$246:$S$267,MATCH(A12,Case!$E$246:$E$267,0))</f>
        <v>#NAME?</v>
      </c>
      <c r="K12" s="129"/>
      <c r="N12" s="132">
        <v>9</v>
      </c>
      <c r="O12" t="e">
        <v>#N/A</v>
      </c>
      <c r="P12" t="e">
        <v>#NAME?</v>
      </c>
      <c r="Q12" t="e">
        <v>#N/A</v>
      </c>
      <c r="R12" s="122" t="e">
        <v>#N/A</v>
      </c>
      <c r="S12" t="e">
        <v>#N/A</v>
      </c>
      <c r="T12" t="e">
        <v>#N/A</v>
      </c>
      <c r="U12" s="130" t="e">
        <v>#N/A</v>
      </c>
      <c r="Y12" t="s">
        <v>1086</v>
      </c>
    </row>
    <row r="13" spans="1:27">
      <c r="A13">
        <v>10</v>
      </c>
      <c r="B13" t="str">
        <f>INDEX(Case!$F$246:$F$267,MATCH(A13,Case!$E$246:$E$267,0))</f>
        <v>Undead</v>
      </c>
      <c r="C13" t="str">
        <f>INDEX(Case!$G$246:$G$267,MATCH(A13,Case!$E$246:$E$267,0))</f>
        <v>Mage</v>
      </c>
      <c r="D13" s="122" t="e">
        <f ca="1">INDEX(Case!N$307:N$328,MATCH('L5 Calc'!$A13,Case!$E$307:$E$328,0))</f>
        <v>#NAME?</v>
      </c>
      <c r="E13" s="128" t="e">
        <f ca="1">INDEX(Case!O$307:O$328,MATCH('L5 Calc'!$A13,Case!$E$307:$E$328,0))</f>
        <v>#NAME?</v>
      </c>
      <c r="F13" s="122" t="str">
        <f>INDEX(Case!P$307:P$328,MATCH('L5 Calc'!$A13,Case!$E$307:$E$328,0))</f>
        <v>Intellect</v>
      </c>
      <c r="G13" s="122" t="e">
        <f ca="1">INDEX(Case!Q$307:Q$328,MATCH('L5 Calc'!$A13,Case!$E$307:$E$328,0))</f>
        <v>#NAME?</v>
      </c>
      <c r="H13" t="e">
        <f ca="1">INDEX(Case!$S$246:$S$267,MATCH(A13,Case!$E$246:$E$267,0))</f>
        <v>#NAME?</v>
      </c>
      <c r="K13" s="129"/>
      <c r="N13" s="132">
        <v>10</v>
      </c>
      <c r="O13" t="e">
        <v>#N/A</v>
      </c>
      <c r="P13" t="e">
        <v>#NAME?</v>
      </c>
      <c r="Q13" t="e">
        <v>#N/A</v>
      </c>
      <c r="R13" s="122" t="e">
        <v>#N/A</v>
      </c>
      <c r="S13" t="e">
        <v>#N/A</v>
      </c>
      <c r="T13" t="e">
        <v>#N/A</v>
      </c>
      <c r="U13" s="130" t="e">
        <v>#N/A</v>
      </c>
    </row>
    <row r="14" spans="1:27">
      <c r="A14">
        <v>11</v>
      </c>
      <c r="B14" t="str">
        <f>INDEX(Case!$F$246:$F$267,MATCH(A14,Case!$E$246:$E$267,0))</f>
        <v>Orc</v>
      </c>
      <c r="C14" t="str">
        <f>INDEX(Case!$G$246:$G$267,MATCH(A14,Case!$E$246:$E$267,0))</f>
        <v>Warlock</v>
      </c>
      <c r="D14" s="122" t="e">
        <f ca="1">INDEX(Case!N$307:N$328,MATCH('L5 Calc'!$A14,Case!$E$307:$E$328,0))</f>
        <v>#NAME?</v>
      </c>
      <c r="E14" s="128" t="e">
        <f ca="1">INDEX(Case!O$307:O$328,MATCH('L5 Calc'!$A14,Case!$E$307:$E$328,0))</f>
        <v>#NAME?</v>
      </c>
      <c r="F14" s="122" t="str">
        <f>INDEX(Case!P$307:P$328,MATCH('L5 Calc'!$A14,Case!$E$307:$E$328,0))</f>
        <v>Intellect</v>
      </c>
      <c r="G14" s="122" t="e">
        <f ca="1">INDEX(Case!Q$307:Q$328,MATCH('L5 Calc'!$A14,Case!$E$307:$E$328,0))</f>
        <v>#NAME?</v>
      </c>
      <c r="H14" t="e">
        <f ca="1">INDEX(Case!$S$246:$S$267,MATCH(A14,Case!$E$246:$E$267,0))</f>
        <v>#NAME?</v>
      </c>
      <c r="K14" s="129"/>
      <c r="N14" s="132">
        <v>11</v>
      </c>
      <c r="O14" t="e">
        <v>#N/A</v>
      </c>
      <c r="P14" t="e">
        <v>#NAME?</v>
      </c>
      <c r="Q14" t="e">
        <v>#N/A</v>
      </c>
      <c r="R14" s="122" t="e">
        <v>#N/A</v>
      </c>
      <c r="S14" t="e">
        <v>#N/A</v>
      </c>
      <c r="T14" t="e">
        <v>#N/A</v>
      </c>
      <c r="U14" s="130" t="e">
        <v>#N/A</v>
      </c>
    </row>
    <row r="15" spans="1:27">
      <c r="A15">
        <v>12</v>
      </c>
      <c r="B15" t="str">
        <f>INDEX(Case!$F$246:$F$267,MATCH(A15,Case!$E$246:$E$267,0))</f>
        <v>Troll</v>
      </c>
      <c r="C15" t="str">
        <f>INDEX(Case!$G$246:$G$267,MATCH(A15,Case!$E$246:$E$267,0))</f>
        <v>Warrior</v>
      </c>
      <c r="D15" s="122" t="e">
        <f ca="1">INDEX(Case!N$307:N$328,MATCH('L5 Calc'!$A15,Case!$E$307:$E$328,0))</f>
        <v>#NAME?</v>
      </c>
      <c r="E15" s="128" t="e">
        <f ca="1">INDEX(Case!O$307:O$328,MATCH('L5 Calc'!$A15,Case!$E$307:$E$328,0))</f>
        <v>#NAME?</v>
      </c>
      <c r="F15" s="122" t="str">
        <f>INDEX(Case!P$307:P$328,MATCH('L5 Calc'!$A15,Case!$E$307:$E$328,0))</f>
        <v>Armor</v>
      </c>
      <c r="G15" s="122" t="e">
        <f ca="1">INDEX(Case!Q$307:Q$328,MATCH('L5 Calc'!$A15,Case!$E$307:$E$328,0))</f>
        <v>#NAME?</v>
      </c>
      <c r="H15" t="e">
        <f ca="1">INDEX(Case!$S$246:$S$267,MATCH(A15,Case!$E$246:$E$267,0))</f>
        <v>#NAME?</v>
      </c>
      <c r="K15" s="129"/>
      <c r="N15" s="132">
        <v>12</v>
      </c>
      <c r="O15" t="e">
        <v>#N/A</v>
      </c>
      <c r="P15" t="e">
        <v>#NAME?</v>
      </c>
      <c r="Q15" t="e">
        <v>#N/A</v>
      </c>
      <c r="R15" s="122" t="e">
        <v>#N/A</v>
      </c>
      <c r="S15" t="e">
        <v>#N/A</v>
      </c>
      <c r="T15" t="e">
        <v>#N/A</v>
      </c>
      <c r="U15" s="130" t="e">
        <v>#N/A</v>
      </c>
    </row>
    <row r="16" spans="1:27">
      <c r="A16">
        <v>13</v>
      </c>
      <c r="B16" t="str">
        <f>INDEX(Case!$F$246:$F$267,MATCH(A16,Case!$E$246:$E$267,0))</f>
        <v>Undead</v>
      </c>
      <c r="C16" t="str">
        <f>INDEX(Case!$G$246:$G$267,MATCH(A16,Case!$E$246:$E$267,0))</f>
        <v>Rogue</v>
      </c>
      <c r="D16" s="122" t="e">
        <f ca="1">INDEX(Case!N$307:N$328,MATCH('L5 Calc'!$A16,Case!$E$307:$E$328,0))</f>
        <v>#NAME?</v>
      </c>
      <c r="E16" s="128" t="e">
        <f ca="1">INDEX(Case!O$307:O$328,MATCH('L5 Calc'!$A16,Case!$E$307:$E$328,0))</f>
        <v>#NAME?</v>
      </c>
      <c r="F16" s="122" t="str">
        <f>INDEX(Case!P$307:P$328,MATCH('L5 Calc'!$A16,Case!$E$307:$E$328,0))</f>
        <v>Agility</v>
      </c>
      <c r="G16" s="122" t="e">
        <f ca="1">INDEX(Case!Q$307:Q$328,MATCH('L5 Calc'!$A16,Case!$E$307:$E$328,0))</f>
        <v>#NAME?</v>
      </c>
      <c r="H16" t="e">
        <f ca="1">INDEX(Case!$S$246:$S$267,MATCH(A16,Case!$E$246:$E$267,0))</f>
        <v>#NAME?</v>
      </c>
      <c r="K16" s="129"/>
      <c r="N16" s="132">
        <v>13</v>
      </c>
      <c r="O16" t="e">
        <v>#N/A</v>
      </c>
      <c r="P16" t="e">
        <v>#NAME?</v>
      </c>
      <c r="Q16" t="e">
        <v>#N/A</v>
      </c>
      <c r="R16" s="122" t="e">
        <v>#N/A</v>
      </c>
      <c r="S16" t="e">
        <v>#N/A</v>
      </c>
      <c r="T16" t="e">
        <v>#N/A</v>
      </c>
      <c r="U16" s="130" t="e">
        <v>#N/A</v>
      </c>
    </row>
    <row r="17" spans="1:37">
      <c r="A17">
        <v>14</v>
      </c>
      <c r="B17" t="str">
        <f>INDEX(Case!$F$246:$F$267,MATCH(A17,Case!$E$246:$E$267,0))</f>
        <v>Troll</v>
      </c>
      <c r="C17" t="str">
        <f>INDEX(Case!$G$246:$G$267,MATCH(A17,Case!$E$246:$E$267,0))</f>
        <v>Mage</v>
      </c>
      <c r="D17" s="122" t="e">
        <f ca="1">INDEX(Case!N$307:N$328,MATCH('L5 Calc'!$A17,Case!$E$307:$E$328,0))</f>
        <v>#NAME?</v>
      </c>
      <c r="E17" s="128" t="e">
        <f ca="1">INDEX(Case!O$307:O$328,MATCH('L5 Calc'!$A17,Case!$E$307:$E$328,0))</f>
        <v>#NAME?</v>
      </c>
      <c r="F17" s="122" t="str">
        <f>INDEX(Case!P$307:P$328,MATCH('L5 Calc'!$A17,Case!$E$307:$E$328,0))</f>
        <v>Intellect</v>
      </c>
      <c r="G17" s="122" t="e">
        <f ca="1">INDEX(Case!Q$307:Q$328,MATCH('L5 Calc'!$A17,Case!$E$307:$E$328,0))</f>
        <v>#NAME?</v>
      </c>
      <c r="H17" t="e">
        <f ca="1">INDEX(Case!$S$246:$S$267,MATCH(A17,Case!$E$246:$E$267,0))</f>
        <v>#NAME?</v>
      </c>
      <c r="K17" s="129"/>
      <c r="N17" s="132">
        <v>14</v>
      </c>
      <c r="O17" t="e">
        <v>#N/A</v>
      </c>
      <c r="P17" t="e">
        <v>#NAME?</v>
      </c>
      <c r="Q17" t="e">
        <v>#N/A</v>
      </c>
      <c r="R17" s="122" t="e">
        <v>#N/A</v>
      </c>
      <c r="S17" t="e">
        <v>#N/A</v>
      </c>
      <c r="T17" t="e">
        <v>#N/A</v>
      </c>
      <c r="U17" s="130" t="e">
        <v>#N/A</v>
      </c>
    </row>
    <row r="18" spans="1:37">
      <c r="A18">
        <v>15</v>
      </c>
      <c r="B18" t="str">
        <f>INDEX(Case!$F$246:$F$267,MATCH(A18,Case!$E$246:$E$267,0))</f>
        <v>Tauren</v>
      </c>
      <c r="C18" t="str">
        <f>INDEX(Case!$G$246:$G$267,MATCH(A18,Case!$E$246:$E$267,0))</f>
        <v>Shaman</v>
      </c>
      <c r="D18" s="122" t="e">
        <f ca="1">INDEX(Case!N$307:N$328,MATCH('L5 Calc'!$A18,Case!$E$307:$E$328,0))</f>
        <v>#NAME?</v>
      </c>
      <c r="E18" s="128" t="e">
        <f ca="1">INDEX(Case!O$307:O$328,MATCH('L5 Calc'!$A18,Case!$E$307:$E$328,0))</f>
        <v>#NAME?</v>
      </c>
      <c r="F18" s="122" t="str">
        <f>INDEX(Case!P$307:P$328,MATCH('L5 Calc'!$A18,Case!$E$307:$E$328,0))</f>
        <v>Strength</v>
      </c>
      <c r="G18" s="122" t="e">
        <f ca="1">INDEX(Case!Q$307:Q$328,MATCH('L5 Calc'!$A18,Case!$E$307:$E$328,0))</f>
        <v>#NAME?</v>
      </c>
      <c r="H18" t="e">
        <f ca="1">INDEX(Case!$S$246:$S$267,MATCH(A18,Case!$E$246:$E$267,0))</f>
        <v>#NAME?</v>
      </c>
      <c r="K18" s="129"/>
      <c r="N18" s="132">
        <v>15</v>
      </c>
      <c r="O18" t="e">
        <v>#N/A</v>
      </c>
      <c r="P18" t="e">
        <v>#NAME?</v>
      </c>
      <c r="Q18" t="e">
        <v>#N/A</v>
      </c>
      <c r="R18" s="122" t="e">
        <v>#N/A</v>
      </c>
      <c r="S18" t="e">
        <v>#N/A</v>
      </c>
      <c r="T18" t="e">
        <v>#N/A</v>
      </c>
      <c r="U18" s="130" t="e">
        <v>#N/A</v>
      </c>
    </row>
    <row r="19" spans="1:37">
      <c r="A19">
        <v>16</v>
      </c>
      <c r="B19" t="str">
        <f>INDEX(Case!$F$246:$F$267,MATCH(A19,Case!$E$246:$E$267,0))</f>
        <v>Troll</v>
      </c>
      <c r="C19" t="str">
        <f>INDEX(Case!$G$246:$G$267,MATCH(A19,Case!$E$246:$E$267,0))</f>
        <v>Shaman</v>
      </c>
      <c r="D19" s="122" t="e">
        <f ca="1">INDEX(Case!N$307:N$328,MATCH('L5 Calc'!$A19,Case!$E$307:$E$328,0))</f>
        <v>#NAME?</v>
      </c>
      <c r="E19" s="128" t="e">
        <f ca="1">INDEX(Case!O$307:O$328,MATCH('L5 Calc'!$A19,Case!$E$307:$E$328,0))</f>
        <v>#NAME?</v>
      </c>
      <c r="F19" s="122" t="str">
        <f>INDEX(Case!P$307:P$328,MATCH('L5 Calc'!$A19,Case!$E$307:$E$328,0))</f>
        <v>Strength</v>
      </c>
      <c r="G19" s="122" t="e">
        <f ca="1">INDEX(Case!Q$307:Q$328,MATCH('L5 Calc'!$A19,Case!$E$307:$E$328,0))</f>
        <v>#NAME?</v>
      </c>
      <c r="H19" t="e">
        <f ca="1">INDEX(Case!$S$246:$S$267,MATCH(A19,Case!$E$246:$E$267,0))</f>
        <v>#NAME?</v>
      </c>
      <c r="K19" s="129"/>
      <c r="N19" s="132">
        <v>16</v>
      </c>
      <c r="O19" t="e">
        <v>#N/A</v>
      </c>
      <c r="P19" t="e">
        <v>#NAME?</v>
      </c>
      <c r="Q19" t="e">
        <v>#N/A</v>
      </c>
      <c r="R19" s="122" t="e">
        <v>#N/A</v>
      </c>
      <c r="S19" t="e">
        <v>#N/A</v>
      </c>
      <c r="T19" t="e">
        <v>#N/A</v>
      </c>
      <c r="U19" s="130" t="e">
        <v>#N/A</v>
      </c>
      <c r="AF19" t="s">
        <v>1087</v>
      </c>
    </row>
    <row r="20" spans="1:37">
      <c r="A20">
        <v>17</v>
      </c>
      <c r="B20" t="str">
        <f>INDEX(Case!$F$246:$F$267,MATCH(A20,Case!$E$246:$E$267,0))</f>
        <v>Undead</v>
      </c>
      <c r="C20" t="str">
        <f>INDEX(Case!$G$246:$G$267,MATCH(A20,Case!$E$246:$E$267,0))</f>
        <v>Rogue</v>
      </c>
      <c r="D20" s="122" t="e">
        <f ca="1">INDEX(Case!N$307:N$328,MATCH('L5 Calc'!$A20,Case!$E$307:$E$328,0))</f>
        <v>#NAME?</v>
      </c>
      <c r="E20" s="128" t="e">
        <f ca="1">INDEX(Case!O$307:O$328,MATCH('L5 Calc'!$A20,Case!$E$307:$E$328,0))</f>
        <v>#NAME?</v>
      </c>
      <c r="F20" s="122" t="str">
        <f>INDEX(Case!P$307:P$328,MATCH('L5 Calc'!$A20,Case!$E$307:$E$328,0))</f>
        <v>Agility</v>
      </c>
      <c r="G20" s="122" t="e">
        <f ca="1">INDEX(Case!Q$307:Q$328,MATCH('L5 Calc'!$A20,Case!$E$307:$E$328,0))</f>
        <v>#NAME?</v>
      </c>
      <c r="H20" t="e">
        <f ca="1">INDEX(Case!$S$246:$S$267,MATCH(A20,Case!$E$246:$E$267,0))</f>
        <v>#NAME?</v>
      </c>
      <c r="K20" s="129"/>
      <c r="N20" s="132">
        <v>17</v>
      </c>
      <c r="O20" t="e">
        <v>#N/A</v>
      </c>
      <c r="P20" t="e">
        <v>#NAME?</v>
      </c>
      <c r="Q20" t="e">
        <v>#N/A</v>
      </c>
      <c r="R20" s="122" t="e">
        <v>#N/A</v>
      </c>
      <c r="S20" t="e">
        <v>#N/A</v>
      </c>
      <c r="T20" t="e">
        <v>#N/A</v>
      </c>
      <c r="U20" s="130" t="e">
        <v>#N/A</v>
      </c>
      <c r="AF20" t="s">
        <v>1088</v>
      </c>
      <c r="AG20" t="s">
        <v>1089</v>
      </c>
      <c r="AH20" t="s">
        <v>1090</v>
      </c>
    </row>
    <row r="21" spans="1:37">
      <c r="A21">
        <v>18</v>
      </c>
      <c r="B21" t="str">
        <f>INDEX(Case!$F$246:$F$267,MATCH(A21,Case!$E$246:$E$267,0))</f>
        <v>Troll</v>
      </c>
      <c r="C21" t="str">
        <f>INDEX(Case!$G$246:$G$267,MATCH(A21,Case!$E$246:$E$267,0))</f>
        <v>Priest</v>
      </c>
      <c r="D21" s="122" t="e">
        <f ca="1">INDEX(Case!N$307:N$328,MATCH('L5 Calc'!$A21,Case!$E$307:$E$328,0))</f>
        <v>#NAME?</v>
      </c>
      <c r="E21" s="128" t="e">
        <f ca="1">INDEX(Case!O$307:O$328,MATCH('L5 Calc'!$A21,Case!$E$307:$E$328,0))</f>
        <v>#NAME?</v>
      </c>
      <c r="F21" s="122" t="str">
        <f>INDEX(Case!P$307:P$328,MATCH('L5 Calc'!$A21,Case!$E$307:$E$328,0))</f>
        <v>Intellect</v>
      </c>
      <c r="G21" s="122" t="e">
        <f ca="1">INDEX(Case!Q$307:Q$328,MATCH('L5 Calc'!$A21,Case!$E$307:$E$328,0))</f>
        <v>#NAME?</v>
      </c>
      <c r="H21" t="e">
        <f ca="1">INDEX(Case!$S$246:$S$267,MATCH(A21,Case!$E$246:$E$267,0))</f>
        <v>#NAME?</v>
      </c>
      <c r="K21" s="129"/>
      <c r="N21" s="132">
        <v>18</v>
      </c>
      <c r="O21" t="e">
        <v>#N/A</v>
      </c>
      <c r="P21" t="e">
        <v>#NAME?</v>
      </c>
      <c r="Q21" t="e">
        <v>#N/A</v>
      </c>
      <c r="R21" s="122" t="e">
        <v>#N/A</v>
      </c>
      <c r="S21" t="e">
        <v>#N/A</v>
      </c>
      <c r="T21" t="e">
        <v>#N/A</v>
      </c>
      <c r="U21" s="130" t="e">
        <v>#N/A</v>
      </c>
      <c r="AF21" t="b">
        <v>0</v>
      </c>
      <c r="AG21" t="b">
        <v>0</v>
      </c>
      <c r="AH21" t="s">
        <v>1091</v>
      </c>
    </row>
    <row r="22" spans="1:37">
      <c r="A22">
        <v>19</v>
      </c>
      <c r="B22" t="str">
        <f>INDEX(Case!$F$246:$F$267,MATCH(A22,Case!$E$246:$E$267,0))</f>
        <v>Troll</v>
      </c>
      <c r="C22" t="str">
        <f>INDEX(Case!$G$246:$G$267,MATCH(A22,Case!$E$246:$E$267,0))</f>
        <v>Priest</v>
      </c>
      <c r="D22" s="122" t="e">
        <f ca="1">INDEX(Case!N$307:N$328,MATCH('L5 Calc'!$A22,Case!$E$307:$E$328,0))</f>
        <v>#NAME?</v>
      </c>
      <c r="E22" s="128" t="e">
        <f ca="1">INDEX(Case!O$307:O$328,MATCH('L5 Calc'!$A22,Case!$E$307:$E$328,0))</f>
        <v>#NAME?</v>
      </c>
      <c r="F22" s="122" t="str">
        <f>INDEX(Case!P$307:P$328,MATCH('L5 Calc'!$A22,Case!$E$307:$E$328,0))</f>
        <v>Intellect</v>
      </c>
      <c r="G22" s="122" t="e">
        <f ca="1">INDEX(Case!Q$307:Q$328,MATCH('L5 Calc'!$A22,Case!$E$307:$E$328,0))</f>
        <v>#NAME?</v>
      </c>
      <c r="H22" t="e">
        <f ca="1">INDEX(Case!$S$246:$S$267,MATCH(A22,Case!$E$246:$E$267,0))</f>
        <v>#NAME?</v>
      </c>
      <c r="K22" s="129"/>
      <c r="N22" s="132">
        <v>19</v>
      </c>
      <c r="O22" t="e">
        <v>#N/A</v>
      </c>
      <c r="P22" t="e">
        <v>#NAME?</v>
      </c>
      <c r="Q22" t="e">
        <v>#N/A</v>
      </c>
      <c r="R22" s="122" t="e">
        <v>#N/A</v>
      </c>
      <c r="S22" t="e">
        <v>#N/A</v>
      </c>
      <c r="T22" t="e">
        <v>#N/A</v>
      </c>
      <c r="U22" s="130" t="e">
        <v>#N/A</v>
      </c>
      <c r="AF22" t="b">
        <v>0</v>
      </c>
      <c r="AG22" t="b">
        <v>1</v>
      </c>
      <c r="AH22" t="s">
        <v>1092</v>
      </c>
    </row>
    <row r="23" spans="1:37">
      <c r="A23">
        <v>20</v>
      </c>
      <c r="B23" t="str">
        <f>INDEX(Case!$F$246:$F$267,MATCH(A23,Case!$E$246:$E$267,0))</f>
        <v>Tauren</v>
      </c>
      <c r="C23" t="str">
        <f>INDEX(Case!$G$246:$G$267,MATCH(A23,Case!$E$246:$E$267,0))</f>
        <v>Druid</v>
      </c>
      <c r="D23" s="122" t="e">
        <f ca="1">INDEX(Case!N$307:N$328,MATCH('L5 Calc'!$A23,Case!$E$307:$E$328,0))</f>
        <v>#NAME?</v>
      </c>
      <c r="E23" s="128" t="e">
        <f ca="1">INDEX(Case!O$307:O$328,MATCH('L5 Calc'!$A23,Case!$E$307:$E$328,0))</f>
        <v>#NAME?</v>
      </c>
      <c r="F23" s="122" t="str">
        <f>INDEX(Case!P$307:P$328,MATCH('L5 Calc'!$A23,Case!$E$307:$E$328,0))</f>
        <v>Agility</v>
      </c>
      <c r="G23" s="122" t="e">
        <f ca="1">INDEX(Case!Q$307:Q$328,MATCH('L5 Calc'!$A23,Case!$E$307:$E$328,0))</f>
        <v>#NAME?</v>
      </c>
      <c r="H23" t="e">
        <f ca="1">INDEX(Case!$S$246:$S$267,MATCH(A23,Case!$E$246:$E$267,0))</f>
        <v>#NAME?</v>
      </c>
      <c r="K23" s="129"/>
      <c r="N23" s="132">
        <v>20</v>
      </c>
      <c r="O23" t="e">
        <v>#N/A</v>
      </c>
      <c r="P23" t="e">
        <v>#NAME?</v>
      </c>
      <c r="Q23" t="e">
        <v>#N/A</v>
      </c>
      <c r="R23" s="122" t="e">
        <v>#N/A</v>
      </c>
      <c r="S23" t="e">
        <v>#N/A</v>
      </c>
      <c r="T23" t="e">
        <v>#N/A</v>
      </c>
      <c r="U23" s="130" t="e">
        <v>#N/A</v>
      </c>
      <c r="AF23" t="b">
        <v>1</v>
      </c>
      <c r="AG23" t="b">
        <v>0</v>
      </c>
      <c r="AH23" t="s">
        <v>1093</v>
      </c>
    </row>
    <row r="24" spans="1:37">
      <c r="AF24" t="b">
        <v>1</v>
      </c>
      <c r="AG24" t="b">
        <v>1</v>
      </c>
      <c r="AH24" t="s">
        <v>1094</v>
      </c>
    </row>
    <row r="26" spans="1:37">
      <c r="A26" t="s">
        <v>1095</v>
      </c>
    </row>
    <row r="27" spans="1:37">
      <c r="A27" t="s">
        <v>1096</v>
      </c>
    </row>
    <row r="28" spans="1:37">
      <c r="A28" s="131">
        <f>B124-B104</f>
        <v>3019107.3557647369</v>
      </c>
      <c r="O28" t="s">
        <v>1097</v>
      </c>
      <c r="P28" s="132">
        <v>14</v>
      </c>
      <c r="R28" t="s">
        <v>1071</v>
      </c>
      <c r="S28" t="s">
        <v>1062</v>
      </c>
      <c r="T28" t="s">
        <v>64</v>
      </c>
      <c r="U28" t="s">
        <v>1072</v>
      </c>
      <c r="V28" t="s">
        <v>62</v>
      </c>
      <c r="W28" t="s">
        <v>1073</v>
      </c>
      <c r="X28" t="s">
        <v>223</v>
      </c>
      <c r="AB28" s="131"/>
      <c r="AC28" s="131"/>
    </row>
    <row r="29" spans="1:37">
      <c r="A29" t="s">
        <v>1098</v>
      </c>
      <c r="O29" t="s">
        <v>14</v>
      </c>
      <c r="P29" t="str">
        <f>INDEX($C$3:$C$23,MATCH(P28,$A$3:$A$23,0))</f>
        <v>Mage</v>
      </c>
      <c r="R29" t="e">
        <f ca="1">INDEX($O$33:$O$92,MATCH(60,$AJ$33:$AJ$92,0))</f>
        <v>#N/A</v>
      </c>
      <c r="S29" t="e">
        <f ca="1">INDEX($G$3:$G$23,MATCH(P28,$A$3:$A$23,0))</f>
        <v>#NAME?</v>
      </c>
      <c r="T29" s="122" t="e">
        <f ca="1">INDEX(AH$33:AH$92,MATCH($R29,$O$33:$O$92,0))</f>
        <v>#N/A</v>
      </c>
      <c r="U29" t="e">
        <f ca="1">INDEX(AI$33:AI$92,MATCH($R29,$O$33:$O$92,0))*100</f>
        <v>#N/A</v>
      </c>
      <c r="V29" t="e">
        <f ca="1">INDEX(AJ$33:AJ$92,MATCH($R29,$O$33:$O$92,0))</f>
        <v>#N/A</v>
      </c>
      <c r="W29" t="e">
        <f ca="1">INDEX(AE$33:AE$92,MATCH($R29,$O$33:$O$92,0))</f>
        <v>#N/A</v>
      </c>
      <c r="X29" s="130" t="e">
        <f ca="1">INDEX($J$33:$J$62,MATCH(W29,$G$33:$G$62,0))+S29</f>
        <v>#N/A</v>
      </c>
    </row>
    <row r="30" spans="1:37">
      <c r="A30" s="131">
        <f>_xlfn.CEILING.MATH(A28/E33,1)</f>
        <v>61</v>
      </c>
    </row>
    <row r="31" spans="1:37">
      <c r="P31" s="133" t="s">
        <v>1099</v>
      </c>
      <c r="U31" t="s">
        <v>1100</v>
      </c>
      <c r="AH31" s="134" t="s">
        <v>1101</v>
      </c>
    </row>
    <row r="32" spans="1:37">
      <c r="A32" s="22" t="s">
        <v>1004</v>
      </c>
      <c r="B32" s="22" t="s">
        <v>1005</v>
      </c>
      <c r="C32" s="14" t="s">
        <v>1006</v>
      </c>
      <c r="D32" s="22" t="s">
        <v>1007</v>
      </c>
      <c r="E32" s="22" t="s">
        <v>366</v>
      </c>
      <c r="F32" s="22" t="s">
        <v>367</v>
      </c>
      <c r="G32" s="22" t="s">
        <v>1008</v>
      </c>
      <c r="H32" s="22" t="s">
        <v>1009</v>
      </c>
      <c r="I32" s="22" t="s">
        <v>1010</v>
      </c>
      <c r="J32" s="22" t="s">
        <v>1011</v>
      </c>
      <c r="K32" s="22" t="s">
        <v>14</v>
      </c>
      <c r="O32" t="s">
        <v>1102</v>
      </c>
      <c r="P32" s="133" t="s">
        <v>1057</v>
      </c>
      <c r="Q32" s="133" t="s">
        <v>1058</v>
      </c>
      <c r="R32" s="133" t="s">
        <v>1075</v>
      </c>
      <c r="S32" t="s">
        <v>1103</v>
      </c>
      <c r="T32" t="s">
        <v>1104</v>
      </c>
      <c r="U32" s="147" t="s">
        <v>366</v>
      </c>
      <c r="V32" s="147" t="s">
        <v>367</v>
      </c>
      <c r="W32" s="147" t="s">
        <v>1008</v>
      </c>
      <c r="X32" s="147" t="s">
        <v>1009</v>
      </c>
      <c r="Y32" s="147" t="s">
        <v>1010</v>
      </c>
      <c r="Z32" s="147" t="s">
        <v>1011</v>
      </c>
      <c r="AA32" s="147" t="s">
        <v>14</v>
      </c>
      <c r="AB32" t="s">
        <v>1088</v>
      </c>
      <c r="AC32" t="s">
        <v>1105</v>
      </c>
      <c r="AD32" t="s">
        <v>1106</v>
      </c>
      <c r="AE32" t="s">
        <v>1073</v>
      </c>
      <c r="AF32" t="s">
        <v>1089</v>
      </c>
      <c r="AG32" t="s">
        <v>1107</v>
      </c>
      <c r="AH32" s="134" t="s">
        <v>1108</v>
      </c>
      <c r="AI32" s="134" t="s">
        <v>1109</v>
      </c>
      <c r="AJ32" s="134" t="s">
        <v>62</v>
      </c>
      <c r="AK32" s="134" t="s">
        <v>1110</v>
      </c>
    </row>
    <row r="33" spans="1:37">
      <c r="A33" s="30">
        <v>1</v>
      </c>
      <c r="B33" s="30" t="s">
        <v>1012</v>
      </c>
      <c r="C33" s="13" t="s">
        <v>1013</v>
      </c>
      <c r="D33" s="30">
        <v>37</v>
      </c>
      <c r="E33" s="31">
        <v>50000</v>
      </c>
      <c r="F33" s="36">
        <v>1</v>
      </c>
      <c r="G33" s="33" t="s">
        <v>1014</v>
      </c>
      <c r="H33" s="29">
        <v>2.2000000000000002</v>
      </c>
      <c r="I33" s="29" t="s">
        <v>229</v>
      </c>
      <c r="J33" s="31">
        <v>24</v>
      </c>
      <c r="K33" s="29" t="s">
        <v>71</v>
      </c>
      <c r="O33">
        <v>1</v>
      </c>
      <c r="P33" s="133" t="e">
        <f ca="1">INDEX($D$3:$D$23,MATCH($P$28,$A$3:$A$23,0))</f>
        <v>#NAME?</v>
      </c>
      <c r="Q33" s="133" t="e">
        <f ca="1">INDEX($E$3:$E$23,MATCH($P$28,$A$3:$A$23,0))</f>
        <v>#NAME?</v>
      </c>
      <c r="R33" s="133" t="e">
        <f ca="1">INDEX($H$3:$H$23,MATCH($P$28,$A$3:$A$23,0))</f>
        <v>#NAME?</v>
      </c>
      <c r="S33" t="e">
        <f ca="1">INDEX($C$33:$C$62,MATCH($R33,$D$33:$D$62,1))</f>
        <v>#NAME?</v>
      </c>
      <c r="T33">
        <f ca="1">COUNTIF($S$33:S33,S33)</f>
        <v>1</v>
      </c>
      <c r="U33" t="e" cm="1">
        <f t="array" aca="1" ref="U33" ca="1">INDEX(E$33:E$62,MATCH($S33,$C$33:$C$62,0)+MOD($T33-1,3))</f>
        <v>#NAME?</v>
      </c>
      <c r="V33" t="e" cm="1">
        <f t="array" aca="1" ref="V33" ca="1">INDEX(F$33:F$62,MATCH($S33,$C$33:$C$62,0)+MOD($T33-1,3))</f>
        <v>#NAME?</v>
      </c>
      <c r="W33" t="e">
        <f t="shared" ref="W33:W64" ca="1" si="1">INDEX(G$33:G$62,MATCH($S33,$C$33:$C$62,0)+MOD($T33-1,3))</f>
        <v>#NAME?</v>
      </c>
      <c r="X33" t="e">
        <f t="shared" ref="X33:X64" ca="1" si="2">INDEX(H$33:H$62,MATCH($S33,$C$33:$C$62,0)+MOD($T33-1,3))</f>
        <v>#NAME?</v>
      </c>
      <c r="Y33" t="e">
        <f t="shared" ref="Y33:Y64" ca="1" si="3">INDEX(I$33:I$62,MATCH($S33,$C$33:$C$62,0)+MOD($T33-1,3))</f>
        <v>#NAME?</v>
      </c>
      <c r="Z33" t="e">
        <f t="shared" ref="Z33:Z64" ca="1" si="4">INDEX(J$33:J$62,MATCH($S33,$C$33:$C$62,0)+MOD($T33-1,3))</f>
        <v>#NAME?</v>
      </c>
      <c r="AA33" t="e">
        <f t="shared" ref="AA33:AA64" ca="1" si="5">INDEX(K$33:K$62,MATCH($S33,$C$33:$C$62,0)+MOD($T33-1,3))</f>
        <v>#NAME?</v>
      </c>
      <c r="AB33" t="b">
        <f ca="1">NOT(ISERROR(FIND($P$29,AA33)))</f>
        <v>0</v>
      </c>
      <c r="AC33" t="str">
        <f ca="1">IF(AB33,W33,"")</f>
        <v/>
      </c>
      <c r="AE33" t="str">
        <f t="shared" ref="AE33:AE64" ca="1" si="6">IF(AB33,IF(AF33,W33,AD32),IF(AE32=$AE$32,"",AE32))</f>
        <v/>
      </c>
      <c r="AF33" t="e" cm="1">
        <f t="array" aca="1" ref="AF33" ca="1">_xlfn.LET(
    _xlpm.new_weapon,AC33,
    _xlpm.old_weapon,AD33,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33" t="str">
        <f t="shared" ref="AG33:AG64" ca="1" si="7">IF(AB33,IF(AF33,AD33,AC33),"")</f>
        <v/>
      </c>
      <c r="AH33" s="134" t="e">
        <f t="shared" ref="AH33:AH64" ca="1" si="8">P33+U33</f>
        <v>#NAME?</v>
      </c>
      <c r="AI33" s="134" t="e">
        <f t="shared" ref="AI33:AI64" ca="1" si="9">Q33+V33+IF(NOT(AB33),X33,0)+IFERROR(INDEX($H$33:$H$62,MATCH(AG33,$G$33:$G$62,0)),0)</f>
        <v>#NAME?</v>
      </c>
      <c r="AJ33" s="134" t="e">
        <f ca="1">INDEX($A$65:$A$164,MATCH(AH33,$B$65:$B$164,1))</f>
        <v>#NAME?</v>
      </c>
      <c r="AK33" s="134" t="e">
        <f ca="1">AI33-Q33</f>
        <v>#NAME?</v>
      </c>
    </row>
    <row r="34" spans="1:37">
      <c r="A34" s="30">
        <v>1</v>
      </c>
      <c r="B34" s="30" t="s">
        <v>1015</v>
      </c>
      <c r="C34" s="13" t="s">
        <v>1013</v>
      </c>
      <c r="D34" s="30">
        <v>37</v>
      </c>
      <c r="E34" s="31">
        <v>50000</v>
      </c>
      <c r="F34" s="36">
        <v>1</v>
      </c>
      <c r="G34" s="33" t="s">
        <v>1016</v>
      </c>
      <c r="H34" s="29">
        <v>2.06</v>
      </c>
      <c r="I34" s="29" t="s">
        <v>231</v>
      </c>
      <c r="J34" s="31">
        <v>31</v>
      </c>
      <c r="K34" s="29" t="s">
        <v>77</v>
      </c>
      <c r="O34">
        <v>2</v>
      </c>
      <c r="P34" s="133" t="e">
        <f ca="1">AH33</f>
        <v>#NAME?</v>
      </c>
      <c r="Q34" s="133" t="e">
        <f ca="1">AI33</f>
        <v>#NAME?</v>
      </c>
      <c r="R34" s="133" t="e">
        <f ca="1">AJ33</f>
        <v>#NAME?</v>
      </c>
      <c r="S34" t="e">
        <f ca="1">INDEX($C$33:$C$62,MATCH($R34,$D$33:$D$62,1))</f>
        <v>#NAME?</v>
      </c>
      <c r="T34">
        <f ca="1">COUNTIF($S$33:S34,S34)</f>
        <v>2</v>
      </c>
      <c r="U34" t="e" cm="1">
        <f t="array" aca="1" ref="U34" ca="1">INDEX(E$33:E$62,MATCH($S34,$C$33:$C$62,0)+MOD($T34-1,3))</f>
        <v>#NAME?</v>
      </c>
      <c r="V34" t="e">
        <f t="shared" ref="V34:V64" ca="1" si="10">INDEX(F$33:F$62,MATCH($S34,$C$33:$C$62,0)+MOD($T34-1,3))</f>
        <v>#NAME?</v>
      </c>
      <c r="W34" t="e">
        <f t="shared" ca="1" si="1"/>
        <v>#NAME?</v>
      </c>
      <c r="X34" t="e">
        <f t="shared" ca="1" si="2"/>
        <v>#NAME?</v>
      </c>
      <c r="Y34" t="e">
        <f t="shared" ca="1" si="3"/>
        <v>#NAME?</v>
      </c>
      <c r="Z34" t="e">
        <f t="shared" ca="1" si="4"/>
        <v>#NAME?</v>
      </c>
      <c r="AA34" t="e">
        <f t="shared" ca="1" si="5"/>
        <v>#NAME?</v>
      </c>
      <c r="AB34" t="b">
        <f t="shared" ref="AB34:AB92" ca="1" si="11">NOT(ISERROR(FIND($P$29,AA34)))</f>
        <v>0</v>
      </c>
      <c r="AC34" t="str">
        <f t="shared" ref="AC34:AC92" ca="1" si="12">IF(AB34,W34,"")</f>
        <v/>
      </c>
      <c r="AD34" t="str">
        <f t="shared" ref="AD34:AD65" ca="1" si="13">AE33</f>
        <v/>
      </c>
      <c r="AE34" t="str">
        <f t="shared" ca="1" si="6"/>
        <v/>
      </c>
      <c r="AF34" t="e" cm="1">
        <f t="array" aca="1" ref="AF34" ca="1">_xlfn.LET(
    _xlpm.new_weapon,AC34,
    _xlpm.old_weapon,AD34,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34" t="str">
        <f t="shared" ca="1" si="7"/>
        <v/>
      </c>
      <c r="AH34" s="134" t="e">
        <f t="shared" ca="1" si="8"/>
        <v>#NAME?</v>
      </c>
      <c r="AI34" s="134" t="e">
        <f t="shared" ca="1" si="9"/>
        <v>#NAME?</v>
      </c>
      <c r="AJ34" s="134" t="e">
        <f t="shared" ref="AJ34:AJ92" ca="1" si="14">INDEX($A$65:$A$164,MATCH(AH34,$B$65:$B$164,1))</f>
        <v>#NAME?</v>
      </c>
      <c r="AK34" s="134" t="e">
        <f ca="1">AI34-AI33+AK33</f>
        <v>#NAME?</v>
      </c>
    </row>
    <row r="35" spans="1:37">
      <c r="A35" s="30">
        <v>1</v>
      </c>
      <c r="B35" s="30" t="s">
        <v>1017</v>
      </c>
      <c r="C35" s="13" t="s">
        <v>1013</v>
      </c>
      <c r="D35" s="30">
        <v>37</v>
      </c>
      <c r="E35" s="31">
        <v>50000</v>
      </c>
      <c r="F35" s="36">
        <v>1</v>
      </c>
      <c r="G35" s="33" t="s">
        <v>1018</v>
      </c>
      <c r="H35" s="29">
        <v>2.72</v>
      </c>
      <c r="I35" s="29" t="s">
        <v>227</v>
      </c>
      <c r="J35" s="31">
        <v>27</v>
      </c>
      <c r="K35" s="29" t="s">
        <v>1019</v>
      </c>
      <c r="O35">
        <v>3</v>
      </c>
      <c r="P35" s="133" t="e">
        <f t="shared" ref="P35:P92" ca="1" si="15">AH34</f>
        <v>#NAME?</v>
      </c>
      <c r="Q35" s="133" t="e">
        <f t="shared" ref="Q35:Q92" ca="1" si="16">AI34</f>
        <v>#NAME?</v>
      </c>
      <c r="R35" s="133" t="e">
        <f t="shared" ref="R35:R92" ca="1" si="17">AJ34</f>
        <v>#NAME?</v>
      </c>
      <c r="S35" t="e">
        <f t="shared" ref="S35:S92" ca="1" si="18">INDEX($C$33:$C$62,MATCH($R35,$D$33:$D$62,1))</f>
        <v>#NAME?</v>
      </c>
      <c r="T35">
        <f ca="1">COUNTIF($S$33:S35,S35)</f>
        <v>3</v>
      </c>
      <c r="U35" t="e" cm="1">
        <f t="array" aca="1" ref="U35" ca="1">INDEX(E$33:E$62,MATCH($S35,$C$33:$C$62,0)+MOD($T35-1,3))</f>
        <v>#NAME?</v>
      </c>
      <c r="V35" t="e">
        <f t="shared" ca="1" si="10"/>
        <v>#NAME?</v>
      </c>
      <c r="W35" t="e">
        <f t="shared" ca="1" si="1"/>
        <v>#NAME?</v>
      </c>
      <c r="X35" t="e">
        <f t="shared" ca="1" si="2"/>
        <v>#NAME?</v>
      </c>
      <c r="Y35" t="e">
        <f t="shared" ca="1" si="3"/>
        <v>#NAME?</v>
      </c>
      <c r="Z35" t="e">
        <f t="shared" ca="1" si="4"/>
        <v>#NAME?</v>
      </c>
      <c r="AA35" t="e">
        <f t="shared" ca="1" si="5"/>
        <v>#NAME?</v>
      </c>
      <c r="AB35" t="b">
        <f t="shared" ca="1" si="11"/>
        <v>0</v>
      </c>
      <c r="AC35" t="str">
        <f t="shared" ca="1" si="12"/>
        <v/>
      </c>
      <c r="AD35" t="str">
        <f t="shared" ca="1" si="13"/>
        <v/>
      </c>
      <c r="AE35" t="str">
        <f t="shared" ca="1" si="6"/>
        <v/>
      </c>
      <c r="AF35" t="e" cm="1">
        <f t="array" aca="1" ref="AF35" ca="1">_xlfn.LET(
    _xlpm.new_weapon,AC35,
    _xlpm.old_weapon,AD35,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35" t="str">
        <f t="shared" ca="1" si="7"/>
        <v/>
      </c>
      <c r="AH35" s="134" t="e">
        <f t="shared" ca="1" si="8"/>
        <v>#NAME?</v>
      </c>
      <c r="AI35" s="134" t="e">
        <f t="shared" ca="1" si="9"/>
        <v>#NAME?</v>
      </c>
      <c r="AJ35" s="134" t="e">
        <f t="shared" ca="1" si="14"/>
        <v>#NAME?</v>
      </c>
      <c r="AK35" s="134" t="e">
        <f t="shared" ref="AK35:AK92" ca="1" si="19">AI35-AI34+AK34</f>
        <v>#NAME?</v>
      </c>
    </row>
    <row r="36" spans="1:37">
      <c r="A36" s="30">
        <v>2</v>
      </c>
      <c r="B36" s="30" t="s">
        <v>1012</v>
      </c>
      <c r="C36" s="13" t="s">
        <v>1020</v>
      </c>
      <c r="D36" s="30">
        <v>41</v>
      </c>
      <c r="E36" s="31">
        <v>55000</v>
      </c>
      <c r="F36" s="36">
        <v>1.5</v>
      </c>
      <c r="G36" s="33" t="s">
        <v>1021</v>
      </c>
      <c r="H36" s="29">
        <v>3.4</v>
      </c>
      <c r="I36" s="29" t="s">
        <v>229</v>
      </c>
      <c r="J36" s="31">
        <v>33</v>
      </c>
      <c r="K36" s="29" t="s">
        <v>71</v>
      </c>
      <c r="O36">
        <v>4</v>
      </c>
      <c r="P36" s="133" t="e">
        <f t="shared" ca="1" si="15"/>
        <v>#NAME?</v>
      </c>
      <c r="Q36" s="133" t="e">
        <f t="shared" ca="1" si="16"/>
        <v>#NAME?</v>
      </c>
      <c r="R36" s="133" t="e">
        <f t="shared" ca="1" si="17"/>
        <v>#NAME?</v>
      </c>
      <c r="S36" t="e">
        <f t="shared" ca="1" si="18"/>
        <v>#NAME?</v>
      </c>
      <c r="T36">
        <f ca="1">COUNTIF($S$33:S36,S36)</f>
        <v>4</v>
      </c>
      <c r="U36" t="e" cm="1">
        <f t="array" aca="1" ref="U36" ca="1">INDEX(E$33:E$62,MATCH($S36,$C$33:$C$62,0)+MOD($T36-1,3))</f>
        <v>#NAME?</v>
      </c>
      <c r="V36" t="e">
        <f t="shared" ca="1" si="10"/>
        <v>#NAME?</v>
      </c>
      <c r="W36" t="e">
        <f t="shared" ca="1" si="1"/>
        <v>#NAME?</v>
      </c>
      <c r="X36" t="e">
        <f t="shared" ca="1" si="2"/>
        <v>#NAME?</v>
      </c>
      <c r="Y36" t="e">
        <f t="shared" ca="1" si="3"/>
        <v>#NAME?</v>
      </c>
      <c r="Z36" t="e">
        <f t="shared" ca="1" si="4"/>
        <v>#NAME?</v>
      </c>
      <c r="AA36" t="e">
        <f t="shared" ca="1" si="5"/>
        <v>#NAME?</v>
      </c>
      <c r="AB36" t="b">
        <f t="shared" ca="1" si="11"/>
        <v>0</v>
      </c>
      <c r="AC36" t="str">
        <f t="shared" ca="1" si="12"/>
        <v/>
      </c>
      <c r="AD36" t="str">
        <f t="shared" ca="1" si="13"/>
        <v/>
      </c>
      <c r="AE36" t="str">
        <f t="shared" ca="1" si="6"/>
        <v/>
      </c>
      <c r="AF36" t="e" cm="1">
        <f t="array" aca="1" ref="AF36" ca="1">_xlfn.LET(
    _xlpm.new_weapon,AC36,
    _xlpm.old_weapon,AD36,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36" t="str">
        <f t="shared" ca="1" si="7"/>
        <v/>
      </c>
      <c r="AH36" s="134" t="e">
        <f t="shared" ca="1" si="8"/>
        <v>#NAME?</v>
      </c>
      <c r="AI36" s="134" t="e">
        <f t="shared" ca="1" si="9"/>
        <v>#NAME?</v>
      </c>
      <c r="AJ36" s="134" t="e">
        <f t="shared" ca="1" si="14"/>
        <v>#NAME?</v>
      </c>
      <c r="AK36" s="134" t="e">
        <f t="shared" ca="1" si="19"/>
        <v>#NAME?</v>
      </c>
    </row>
    <row r="37" spans="1:37">
      <c r="A37" s="30">
        <v>2</v>
      </c>
      <c r="B37" s="30" t="s">
        <v>1015</v>
      </c>
      <c r="C37" s="13" t="str">
        <f>C36</f>
        <v>Razorfen Downs</v>
      </c>
      <c r="D37" s="30">
        <v>41</v>
      </c>
      <c r="E37" s="31">
        <f t="shared" ref="E37:F38" si="20">E36</f>
        <v>55000</v>
      </c>
      <c r="F37" s="36">
        <f t="shared" si="20"/>
        <v>1.5</v>
      </c>
      <c r="G37" s="33" t="s">
        <v>1022</v>
      </c>
      <c r="H37" s="29">
        <v>1.87</v>
      </c>
      <c r="I37" s="29" t="s">
        <v>231</v>
      </c>
      <c r="J37" s="31">
        <v>38</v>
      </c>
      <c r="K37" s="29" t="s">
        <v>76</v>
      </c>
      <c r="O37">
        <v>5</v>
      </c>
      <c r="P37" s="133" t="e">
        <f t="shared" ca="1" si="15"/>
        <v>#NAME?</v>
      </c>
      <c r="Q37" s="133" t="e">
        <f t="shared" ca="1" si="16"/>
        <v>#NAME?</v>
      </c>
      <c r="R37" s="133" t="e">
        <f t="shared" ca="1" si="17"/>
        <v>#NAME?</v>
      </c>
      <c r="S37" t="e">
        <f t="shared" ca="1" si="18"/>
        <v>#NAME?</v>
      </c>
      <c r="T37">
        <f ca="1">COUNTIF($S$33:S37,S37)</f>
        <v>5</v>
      </c>
      <c r="U37" t="e" cm="1">
        <f t="array" aca="1" ref="U37" ca="1">INDEX(E$33:E$62,MATCH($S37,$C$33:$C$62,0)+MOD($T37-1,3))</f>
        <v>#NAME?</v>
      </c>
      <c r="V37" t="e">
        <f t="shared" ca="1" si="10"/>
        <v>#NAME?</v>
      </c>
      <c r="W37" t="e">
        <f t="shared" ca="1" si="1"/>
        <v>#NAME?</v>
      </c>
      <c r="X37" t="e">
        <f t="shared" ca="1" si="2"/>
        <v>#NAME?</v>
      </c>
      <c r="Y37" t="e">
        <f t="shared" ca="1" si="3"/>
        <v>#NAME?</v>
      </c>
      <c r="Z37" t="e">
        <f t="shared" ca="1" si="4"/>
        <v>#NAME?</v>
      </c>
      <c r="AA37" t="e">
        <f t="shared" ca="1" si="5"/>
        <v>#NAME?</v>
      </c>
      <c r="AB37" t="b">
        <f t="shared" ca="1" si="11"/>
        <v>0</v>
      </c>
      <c r="AC37" t="str">
        <f t="shared" ca="1" si="12"/>
        <v/>
      </c>
      <c r="AD37" t="str">
        <f t="shared" ca="1" si="13"/>
        <v/>
      </c>
      <c r="AE37" t="str">
        <f t="shared" ca="1" si="6"/>
        <v/>
      </c>
      <c r="AF37" t="e" cm="1">
        <f t="array" aca="1" ref="AF37" ca="1">_xlfn.LET(
    _xlpm.new_weapon,AC37,
    _xlpm.old_weapon,AD37,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37" t="str">
        <f t="shared" ca="1" si="7"/>
        <v/>
      </c>
      <c r="AH37" s="134" t="e">
        <f t="shared" ca="1" si="8"/>
        <v>#NAME?</v>
      </c>
      <c r="AI37" s="134" t="e">
        <f t="shared" ca="1" si="9"/>
        <v>#NAME?</v>
      </c>
      <c r="AJ37" s="134" t="e">
        <f t="shared" ca="1" si="14"/>
        <v>#NAME?</v>
      </c>
      <c r="AK37" s="134" t="e">
        <f t="shared" ca="1" si="19"/>
        <v>#NAME?</v>
      </c>
    </row>
    <row r="38" spans="1:37">
      <c r="A38" s="30">
        <v>2</v>
      </c>
      <c r="B38" s="30" t="s">
        <v>1017</v>
      </c>
      <c r="C38" s="13" t="str">
        <f t="shared" ref="C38" si="21">C37</f>
        <v>Razorfen Downs</v>
      </c>
      <c r="D38" s="30">
        <v>41</v>
      </c>
      <c r="E38" s="31">
        <f t="shared" si="20"/>
        <v>55000</v>
      </c>
      <c r="F38" s="36">
        <f t="shared" si="20"/>
        <v>1.5</v>
      </c>
      <c r="G38" s="33" t="s">
        <v>1023</v>
      </c>
      <c r="H38" s="29">
        <v>3.77</v>
      </c>
      <c r="I38" s="29" t="s">
        <v>227</v>
      </c>
      <c r="J38" s="31">
        <v>28</v>
      </c>
      <c r="K38" s="29" t="s">
        <v>1019</v>
      </c>
      <c r="O38">
        <v>6</v>
      </c>
      <c r="P38" s="133" t="e">
        <f t="shared" ca="1" si="15"/>
        <v>#NAME?</v>
      </c>
      <c r="Q38" s="133" t="e">
        <f t="shared" ca="1" si="16"/>
        <v>#NAME?</v>
      </c>
      <c r="R38" s="133" t="e">
        <f t="shared" ca="1" si="17"/>
        <v>#NAME?</v>
      </c>
      <c r="S38" t="e">
        <f t="shared" ca="1" si="18"/>
        <v>#NAME?</v>
      </c>
      <c r="T38">
        <f ca="1">COUNTIF($S$33:S38,S38)</f>
        <v>6</v>
      </c>
      <c r="U38" t="e" cm="1">
        <f t="array" aca="1" ref="U38" ca="1">INDEX(E$33:E$62,MATCH($S38,$C$33:$C$62,0)+MOD($T38-1,3))</f>
        <v>#NAME?</v>
      </c>
      <c r="V38" t="e">
        <f t="shared" ca="1" si="10"/>
        <v>#NAME?</v>
      </c>
      <c r="W38" t="e">
        <f t="shared" ca="1" si="1"/>
        <v>#NAME?</v>
      </c>
      <c r="X38" t="e">
        <f t="shared" ca="1" si="2"/>
        <v>#NAME?</v>
      </c>
      <c r="Y38" t="e">
        <f t="shared" ca="1" si="3"/>
        <v>#NAME?</v>
      </c>
      <c r="Z38" t="e">
        <f t="shared" ca="1" si="4"/>
        <v>#NAME?</v>
      </c>
      <c r="AA38" t="e">
        <f t="shared" ca="1" si="5"/>
        <v>#NAME?</v>
      </c>
      <c r="AB38" t="b">
        <f t="shared" ca="1" si="11"/>
        <v>0</v>
      </c>
      <c r="AC38" t="str">
        <f t="shared" ca="1" si="12"/>
        <v/>
      </c>
      <c r="AD38" t="str">
        <f t="shared" ca="1" si="13"/>
        <v/>
      </c>
      <c r="AE38" t="str">
        <f t="shared" ca="1" si="6"/>
        <v/>
      </c>
      <c r="AF38" t="e" cm="1">
        <f t="array" aca="1" ref="AF38" ca="1">_xlfn.LET(
    _xlpm.new_weapon,AC38,
    _xlpm.old_weapon,AD38,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38" t="str">
        <f t="shared" ca="1" si="7"/>
        <v/>
      </c>
      <c r="AH38" s="134" t="e">
        <f t="shared" ca="1" si="8"/>
        <v>#NAME?</v>
      </c>
      <c r="AI38" s="134" t="e">
        <f t="shared" ca="1" si="9"/>
        <v>#NAME?</v>
      </c>
      <c r="AJ38" s="134" t="e">
        <f t="shared" ca="1" si="14"/>
        <v>#NAME?</v>
      </c>
      <c r="AK38" s="134" t="e">
        <f t="shared" ca="1" si="19"/>
        <v>#NAME?</v>
      </c>
    </row>
    <row r="39" spans="1:37">
      <c r="A39" s="30">
        <v>3</v>
      </c>
      <c r="B39" s="30" t="s">
        <v>1012</v>
      </c>
      <c r="C39" s="13" t="s">
        <v>1024</v>
      </c>
      <c r="D39" s="30">
        <v>43</v>
      </c>
      <c r="E39" s="31">
        <v>65000</v>
      </c>
      <c r="F39" s="36">
        <v>1.7</v>
      </c>
      <c r="G39" s="33" t="s">
        <v>1025</v>
      </c>
      <c r="H39" s="29">
        <v>1.55</v>
      </c>
      <c r="I39" s="29" t="s">
        <v>231</v>
      </c>
      <c r="J39" s="31">
        <v>40</v>
      </c>
      <c r="K39" s="29" t="s">
        <v>80</v>
      </c>
      <c r="O39">
        <v>7</v>
      </c>
      <c r="P39" s="133" t="e">
        <f t="shared" ca="1" si="15"/>
        <v>#NAME?</v>
      </c>
      <c r="Q39" s="133" t="e">
        <f t="shared" ca="1" si="16"/>
        <v>#NAME?</v>
      </c>
      <c r="R39" s="133" t="e">
        <f t="shared" ca="1" si="17"/>
        <v>#NAME?</v>
      </c>
      <c r="S39" t="e">
        <f t="shared" ca="1" si="18"/>
        <v>#NAME?</v>
      </c>
      <c r="T39">
        <f ca="1">COUNTIF($S$33:S39,S39)</f>
        <v>7</v>
      </c>
      <c r="U39" t="e" cm="1">
        <f t="array" aca="1" ref="U39" ca="1">INDEX(E$33:E$62,MATCH($S39,$C$33:$C$62,0)+MOD($T39-1,3))</f>
        <v>#NAME?</v>
      </c>
      <c r="V39" t="e">
        <f t="shared" ca="1" si="10"/>
        <v>#NAME?</v>
      </c>
      <c r="W39" t="e">
        <f t="shared" ca="1" si="1"/>
        <v>#NAME?</v>
      </c>
      <c r="X39" t="e">
        <f t="shared" ca="1" si="2"/>
        <v>#NAME?</v>
      </c>
      <c r="Y39" t="e">
        <f t="shared" ca="1" si="3"/>
        <v>#NAME?</v>
      </c>
      <c r="Z39" t="e">
        <f t="shared" ca="1" si="4"/>
        <v>#NAME?</v>
      </c>
      <c r="AA39" t="e">
        <f t="shared" ca="1" si="5"/>
        <v>#NAME?</v>
      </c>
      <c r="AB39" t="b">
        <f t="shared" ca="1" si="11"/>
        <v>0</v>
      </c>
      <c r="AC39" t="str">
        <f t="shared" ca="1" si="12"/>
        <v/>
      </c>
      <c r="AD39" t="str">
        <f t="shared" ca="1" si="13"/>
        <v/>
      </c>
      <c r="AE39" t="str">
        <f t="shared" ca="1" si="6"/>
        <v/>
      </c>
      <c r="AF39" t="e" cm="1">
        <f t="array" aca="1" ref="AF39" ca="1">_xlfn.LET(
    _xlpm.new_weapon,AC39,
    _xlpm.old_weapon,AD39,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39" t="str">
        <f t="shared" ca="1" si="7"/>
        <v/>
      </c>
      <c r="AH39" s="134" t="e">
        <f t="shared" ca="1" si="8"/>
        <v>#NAME?</v>
      </c>
      <c r="AI39" s="134" t="e">
        <f t="shared" ca="1" si="9"/>
        <v>#NAME?</v>
      </c>
      <c r="AJ39" s="134" t="e">
        <f t="shared" ca="1" si="14"/>
        <v>#NAME?</v>
      </c>
      <c r="AK39" s="134" t="e">
        <f t="shared" ca="1" si="19"/>
        <v>#NAME?</v>
      </c>
    </row>
    <row r="40" spans="1:37">
      <c r="A40" s="30">
        <v>3</v>
      </c>
      <c r="B40" s="30" t="s">
        <v>1015</v>
      </c>
      <c r="C40" s="13" t="str">
        <f>C39</f>
        <v>Maraudon</v>
      </c>
      <c r="D40" s="30">
        <v>43</v>
      </c>
      <c r="E40" s="31">
        <f t="shared" ref="E40:F41" si="22">E39</f>
        <v>65000</v>
      </c>
      <c r="F40" s="36">
        <f t="shared" si="22"/>
        <v>1.7</v>
      </c>
      <c r="G40" s="33" t="s">
        <v>1026</v>
      </c>
      <c r="H40" s="29">
        <v>1.06</v>
      </c>
      <c r="I40" s="29" t="s">
        <v>229</v>
      </c>
      <c r="J40" s="31">
        <v>47</v>
      </c>
      <c r="K40" s="29" t="s">
        <v>71</v>
      </c>
      <c r="O40">
        <v>8</v>
      </c>
      <c r="P40" s="133" t="e">
        <f t="shared" ca="1" si="15"/>
        <v>#NAME?</v>
      </c>
      <c r="Q40" s="133" t="e">
        <f t="shared" ca="1" si="16"/>
        <v>#NAME?</v>
      </c>
      <c r="R40" s="133" t="e">
        <f t="shared" ca="1" si="17"/>
        <v>#NAME?</v>
      </c>
      <c r="S40" t="e">
        <f t="shared" ca="1" si="18"/>
        <v>#NAME?</v>
      </c>
      <c r="T40">
        <f ca="1">COUNTIF($S$33:S40,S40)</f>
        <v>8</v>
      </c>
      <c r="U40" t="e" cm="1">
        <f t="array" aca="1" ref="U40" ca="1">INDEX(E$33:E$62,MATCH($S40,$C$33:$C$62,0)+MOD($T40-1,3))</f>
        <v>#NAME?</v>
      </c>
      <c r="V40" t="e">
        <f t="shared" ca="1" si="10"/>
        <v>#NAME?</v>
      </c>
      <c r="W40" t="e">
        <f t="shared" ca="1" si="1"/>
        <v>#NAME?</v>
      </c>
      <c r="X40" t="e">
        <f t="shared" ca="1" si="2"/>
        <v>#NAME?</v>
      </c>
      <c r="Y40" t="e">
        <f t="shared" ca="1" si="3"/>
        <v>#NAME?</v>
      </c>
      <c r="Z40" t="e">
        <f t="shared" ca="1" si="4"/>
        <v>#NAME?</v>
      </c>
      <c r="AA40" t="e">
        <f t="shared" ca="1" si="5"/>
        <v>#NAME?</v>
      </c>
      <c r="AB40" t="b">
        <f t="shared" ca="1" si="11"/>
        <v>0</v>
      </c>
      <c r="AC40" t="str">
        <f t="shared" ca="1" si="12"/>
        <v/>
      </c>
      <c r="AD40" t="str">
        <f t="shared" ca="1" si="13"/>
        <v/>
      </c>
      <c r="AE40" t="str">
        <f t="shared" ca="1" si="6"/>
        <v/>
      </c>
      <c r="AF40" t="e" cm="1">
        <f t="array" aca="1" ref="AF40" ca="1">_xlfn.LET(
    _xlpm.new_weapon,AC40,
    _xlpm.old_weapon,AD40,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0" t="str">
        <f t="shared" ca="1" si="7"/>
        <v/>
      </c>
      <c r="AH40" s="134" t="e">
        <f t="shared" ca="1" si="8"/>
        <v>#NAME?</v>
      </c>
      <c r="AI40" s="134" t="e">
        <f t="shared" ca="1" si="9"/>
        <v>#NAME?</v>
      </c>
      <c r="AJ40" s="134" t="e">
        <f t="shared" ca="1" si="14"/>
        <v>#NAME?</v>
      </c>
      <c r="AK40" s="134" t="e">
        <f t="shared" ca="1" si="19"/>
        <v>#NAME?</v>
      </c>
    </row>
    <row r="41" spans="1:37">
      <c r="A41" s="30">
        <v>3</v>
      </c>
      <c r="B41" s="30" t="s">
        <v>1017</v>
      </c>
      <c r="C41" s="13" t="str">
        <f t="shared" ref="C41" si="23">C40</f>
        <v>Maraudon</v>
      </c>
      <c r="D41" s="30">
        <v>43</v>
      </c>
      <c r="E41" s="31">
        <f t="shared" si="22"/>
        <v>65000</v>
      </c>
      <c r="F41" s="36">
        <f t="shared" si="22"/>
        <v>1.7</v>
      </c>
      <c r="G41" s="33" t="s">
        <v>1027</v>
      </c>
      <c r="H41" s="29">
        <v>2.0699999999999998</v>
      </c>
      <c r="I41" s="29" t="s">
        <v>231</v>
      </c>
      <c r="J41" s="31">
        <v>21</v>
      </c>
      <c r="K41" s="29" t="s">
        <v>77</v>
      </c>
      <c r="O41">
        <v>9</v>
      </c>
      <c r="P41" s="133" t="e">
        <f t="shared" ca="1" si="15"/>
        <v>#NAME?</v>
      </c>
      <c r="Q41" s="133" t="e">
        <f t="shared" ca="1" si="16"/>
        <v>#NAME?</v>
      </c>
      <c r="R41" s="133" t="e">
        <f t="shared" ca="1" si="17"/>
        <v>#NAME?</v>
      </c>
      <c r="S41" t="e">
        <f t="shared" ca="1" si="18"/>
        <v>#NAME?</v>
      </c>
      <c r="T41">
        <f ca="1">COUNTIF($S$33:S41,S41)</f>
        <v>9</v>
      </c>
      <c r="U41" t="e" cm="1">
        <f t="array" aca="1" ref="U41" ca="1">INDEX(E$33:E$62,MATCH($S41,$C$33:$C$62,0)+MOD($T41-1,3))</f>
        <v>#NAME?</v>
      </c>
      <c r="V41" t="e">
        <f t="shared" ca="1" si="10"/>
        <v>#NAME?</v>
      </c>
      <c r="W41" t="e">
        <f t="shared" ca="1" si="1"/>
        <v>#NAME?</v>
      </c>
      <c r="X41" t="e">
        <f t="shared" ca="1" si="2"/>
        <v>#NAME?</v>
      </c>
      <c r="Y41" t="e">
        <f t="shared" ca="1" si="3"/>
        <v>#NAME?</v>
      </c>
      <c r="Z41" t="e">
        <f t="shared" ca="1" si="4"/>
        <v>#NAME?</v>
      </c>
      <c r="AA41" t="e">
        <f t="shared" ca="1" si="5"/>
        <v>#NAME?</v>
      </c>
      <c r="AB41" t="b">
        <f t="shared" ca="1" si="11"/>
        <v>0</v>
      </c>
      <c r="AC41" t="str">
        <f t="shared" ca="1" si="12"/>
        <v/>
      </c>
      <c r="AD41" t="str">
        <f t="shared" ca="1" si="13"/>
        <v/>
      </c>
      <c r="AE41" t="str">
        <f t="shared" ca="1" si="6"/>
        <v/>
      </c>
      <c r="AF41" t="e" cm="1">
        <f t="array" aca="1" ref="AF41" ca="1">_xlfn.LET(
    _xlpm.new_weapon,AC41,
    _xlpm.old_weapon,AD41,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1" t="str">
        <f t="shared" ca="1" si="7"/>
        <v/>
      </c>
      <c r="AH41" s="134" t="e">
        <f t="shared" ca="1" si="8"/>
        <v>#NAME?</v>
      </c>
      <c r="AI41" s="134" t="e">
        <f t="shared" ca="1" si="9"/>
        <v>#NAME?</v>
      </c>
      <c r="AJ41" s="134" t="e">
        <f t="shared" ca="1" si="14"/>
        <v>#NAME?</v>
      </c>
      <c r="AK41" s="134" t="e">
        <f t="shared" ca="1" si="19"/>
        <v>#NAME?</v>
      </c>
    </row>
    <row r="42" spans="1:37">
      <c r="A42" s="30">
        <v>4</v>
      </c>
      <c r="B42" s="30" t="s">
        <v>1012</v>
      </c>
      <c r="C42" s="13" t="s">
        <v>1028</v>
      </c>
      <c r="D42" s="30">
        <v>46</v>
      </c>
      <c r="E42" s="31">
        <v>70000</v>
      </c>
      <c r="F42" s="36">
        <v>2</v>
      </c>
      <c r="G42" s="13" t="s">
        <v>1029</v>
      </c>
      <c r="H42" s="29">
        <v>1.65</v>
      </c>
      <c r="I42" s="29" t="s">
        <v>227</v>
      </c>
      <c r="J42" s="31">
        <v>103</v>
      </c>
      <c r="K42" s="29" t="s">
        <v>68</v>
      </c>
      <c r="O42">
        <v>10</v>
      </c>
      <c r="P42" s="133" t="e">
        <f t="shared" ca="1" si="15"/>
        <v>#NAME?</v>
      </c>
      <c r="Q42" s="133" t="e">
        <f t="shared" ca="1" si="16"/>
        <v>#NAME?</v>
      </c>
      <c r="R42" s="133" t="e">
        <f t="shared" ca="1" si="17"/>
        <v>#NAME?</v>
      </c>
      <c r="S42" t="e">
        <f t="shared" ca="1" si="18"/>
        <v>#NAME?</v>
      </c>
      <c r="T42">
        <f ca="1">COUNTIF($S$33:S42,S42)</f>
        <v>10</v>
      </c>
      <c r="U42" t="e" cm="1">
        <f t="array" aca="1" ref="U42" ca="1">INDEX(E$33:E$62,MATCH($S42,$C$33:$C$62,0)+MOD($T42-1,3))</f>
        <v>#NAME?</v>
      </c>
      <c r="V42" t="e">
        <f t="shared" ca="1" si="10"/>
        <v>#NAME?</v>
      </c>
      <c r="W42" t="e">
        <f t="shared" ca="1" si="1"/>
        <v>#NAME?</v>
      </c>
      <c r="X42" t="e">
        <f t="shared" ca="1" si="2"/>
        <v>#NAME?</v>
      </c>
      <c r="Y42" t="e">
        <f t="shared" ca="1" si="3"/>
        <v>#NAME?</v>
      </c>
      <c r="Z42" t="e">
        <f t="shared" ca="1" si="4"/>
        <v>#NAME?</v>
      </c>
      <c r="AA42" t="e">
        <f t="shared" ca="1" si="5"/>
        <v>#NAME?</v>
      </c>
      <c r="AB42" t="b">
        <f t="shared" ca="1" si="11"/>
        <v>0</v>
      </c>
      <c r="AC42" t="str">
        <f t="shared" ca="1" si="12"/>
        <v/>
      </c>
      <c r="AD42" t="str">
        <f t="shared" ca="1" si="13"/>
        <v/>
      </c>
      <c r="AE42" t="str">
        <f t="shared" ca="1" si="6"/>
        <v/>
      </c>
      <c r="AF42" t="e" cm="1">
        <f t="array" aca="1" ref="AF42" ca="1">_xlfn.LET(
    _xlpm.new_weapon,AC42,
    _xlpm.old_weapon,AD42,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2" t="str">
        <f t="shared" ca="1" si="7"/>
        <v/>
      </c>
      <c r="AH42" s="134" t="e">
        <f t="shared" ca="1" si="8"/>
        <v>#NAME?</v>
      </c>
      <c r="AI42" s="134" t="e">
        <f t="shared" ca="1" si="9"/>
        <v>#NAME?</v>
      </c>
      <c r="AJ42" s="134" t="e">
        <f t="shared" ca="1" si="14"/>
        <v>#NAME?</v>
      </c>
      <c r="AK42" s="134" t="e">
        <f t="shared" ca="1" si="19"/>
        <v>#NAME?</v>
      </c>
    </row>
    <row r="43" spans="1:37">
      <c r="A43" s="30">
        <v>4</v>
      </c>
      <c r="B43" s="30" t="s">
        <v>1015</v>
      </c>
      <c r="C43" s="13" t="str">
        <f>C42</f>
        <v>Zul'Farrak</v>
      </c>
      <c r="D43" s="30">
        <v>46</v>
      </c>
      <c r="E43" s="31">
        <f t="shared" ref="E43:F44" si="24">E42</f>
        <v>70000</v>
      </c>
      <c r="F43" s="36">
        <f t="shared" si="24"/>
        <v>2</v>
      </c>
      <c r="G43" s="33" t="s">
        <v>1030</v>
      </c>
      <c r="H43" s="29">
        <v>2.35</v>
      </c>
      <c r="I43" s="29" t="s">
        <v>225</v>
      </c>
      <c r="J43" s="31">
        <v>110</v>
      </c>
      <c r="K43" s="29" t="s">
        <v>78</v>
      </c>
      <c r="O43">
        <v>11</v>
      </c>
      <c r="P43" s="133" t="e">
        <f t="shared" ca="1" si="15"/>
        <v>#NAME?</v>
      </c>
      <c r="Q43" s="133" t="e">
        <f t="shared" ca="1" si="16"/>
        <v>#NAME?</v>
      </c>
      <c r="R43" s="133" t="e">
        <f t="shared" ca="1" si="17"/>
        <v>#NAME?</v>
      </c>
      <c r="S43" t="e">
        <f t="shared" ca="1" si="18"/>
        <v>#NAME?</v>
      </c>
      <c r="T43">
        <f ca="1">COUNTIF($S$33:S43,S43)</f>
        <v>11</v>
      </c>
      <c r="U43" t="e" cm="1">
        <f t="array" aca="1" ref="U43" ca="1">INDEX(E$33:E$62,MATCH($S43,$C$33:$C$62,0)+MOD($T43-1,3))</f>
        <v>#NAME?</v>
      </c>
      <c r="V43" t="e">
        <f t="shared" ca="1" si="10"/>
        <v>#NAME?</v>
      </c>
      <c r="W43" t="e">
        <f t="shared" ca="1" si="1"/>
        <v>#NAME?</v>
      </c>
      <c r="X43" t="e">
        <f t="shared" ca="1" si="2"/>
        <v>#NAME?</v>
      </c>
      <c r="Y43" t="e">
        <f t="shared" ca="1" si="3"/>
        <v>#NAME?</v>
      </c>
      <c r="Z43" t="e">
        <f t="shared" ca="1" si="4"/>
        <v>#NAME?</v>
      </c>
      <c r="AA43" t="e">
        <f t="shared" ca="1" si="5"/>
        <v>#NAME?</v>
      </c>
      <c r="AB43" t="b">
        <f t="shared" ca="1" si="11"/>
        <v>0</v>
      </c>
      <c r="AC43" t="str">
        <f t="shared" ca="1" si="12"/>
        <v/>
      </c>
      <c r="AD43" t="str">
        <f t="shared" ca="1" si="13"/>
        <v/>
      </c>
      <c r="AE43" t="str">
        <f t="shared" ca="1" si="6"/>
        <v/>
      </c>
      <c r="AF43" t="e" cm="1">
        <f t="array" aca="1" ref="AF43" ca="1">_xlfn.LET(
    _xlpm.new_weapon,AC43,
    _xlpm.old_weapon,AD43,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3" t="str">
        <f t="shared" ca="1" si="7"/>
        <v/>
      </c>
      <c r="AH43" s="134" t="e">
        <f t="shared" ca="1" si="8"/>
        <v>#NAME?</v>
      </c>
      <c r="AI43" s="134" t="e">
        <f t="shared" ca="1" si="9"/>
        <v>#NAME?</v>
      </c>
      <c r="AJ43" s="134" t="e">
        <f t="shared" ca="1" si="14"/>
        <v>#NAME?</v>
      </c>
      <c r="AK43" s="134" t="e">
        <f t="shared" ca="1" si="19"/>
        <v>#NAME?</v>
      </c>
    </row>
    <row r="44" spans="1:37">
      <c r="A44" s="30">
        <v>4</v>
      </c>
      <c r="B44" s="30" t="s">
        <v>1017</v>
      </c>
      <c r="C44" s="13" t="str">
        <f t="shared" ref="C44" si="25">C43</f>
        <v>Zul'Farrak</v>
      </c>
      <c r="D44" s="30">
        <v>46</v>
      </c>
      <c r="E44" s="31">
        <f t="shared" si="24"/>
        <v>70000</v>
      </c>
      <c r="F44" s="36">
        <f t="shared" si="24"/>
        <v>2</v>
      </c>
      <c r="G44" s="33" t="s">
        <v>1031</v>
      </c>
      <c r="H44" s="29">
        <v>2.86</v>
      </c>
      <c r="I44" s="29" t="s">
        <v>231</v>
      </c>
      <c r="J44" s="31">
        <v>91</v>
      </c>
      <c r="K44" s="29" t="s">
        <v>76</v>
      </c>
      <c r="O44">
        <v>12</v>
      </c>
      <c r="P44" s="133" t="e">
        <f t="shared" ca="1" si="15"/>
        <v>#NAME?</v>
      </c>
      <c r="Q44" s="133" t="e">
        <f t="shared" ca="1" si="16"/>
        <v>#NAME?</v>
      </c>
      <c r="R44" s="133" t="e">
        <f t="shared" ca="1" si="17"/>
        <v>#NAME?</v>
      </c>
      <c r="S44" t="e">
        <f t="shared" ca="1" si="18"/>
        <v>#NAME?</v>
      </c>
      <c r="T44">
        <f ca="1">COUNTIF($S$33:S44,S44)</f>
        <v>12</v>
      </c>
      <c r="U44" t="e" cm="1">
        <f t="array" aca="1" ref="U44" ca="1">INDEX(E$33:E$62,MATCH($S44,$C$33:$C$62,0)+MOD($T44-1,3))</f>
        <v>#NAME?</v>
      </c>
      <c r="V44" t="e">
        <f t="shared" ca="1" si="10"/>
        <v>#NAME?</v>
      </c>
      <c r="W44" t="e">
        <f t="shared" ca="1" si="1"/>
        <v>#NAME?</v>
      </c>
      <c r="X44" t="e">
        <f t="shared" ca="1" si="2"/>
        <v>#NAME?</v>
      </c>
      <c r="Y44" t="e">
        <f t="shared" ca="1" si="3"/>
        <v>#NAME?</v>
      </c>
      <c r="Z44" t="e">
        <f t="shared" ca="1" si="4"/>
        <v>#NAME?</v>
      </c>
      <c r="AA44" t="e">
        <f t="shared" ca="1" si="5"/>
        <v>#NAME?</v>
      </c>
      <c r="AB44" t="b">
        <f t="shared" ca="1" si="11"/>
        <v>0</v>
      </c>
      <c r="AC44" t="str">
        <f t="shared" ca="1" si="12"/>
        <v/>
      </c>
      <c r="AD44" t="str">
        <f t="shared" ca="1" si="13"/>
        <v/>
      </c>
      <c r="AE44" t="str">
        <f t="shared" ca="1" si="6"/>
        <v/>
      </c>
      <c r="AF44" t="e" cm="1">
        <f t="array" aca="1" ref="AF44" ca="1">_xlfn.LET(
    _xlpm.new_weapon,AC44,
    _xlpm.old_weapon,AD44,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4" t="str">
        <f t="shared" ca="1" si="7"/>
        <v/>
      </c>
      <c r="AH44" s="134" t="e">
        <f t="shared" ca="1" si="8"/>
        <v>#NAME?</v>
      </c>
      <c r="AI44" s="134" t="e">
        <f t="shared" ca="1" si="9"/>
        <v>#NAME?</v>
      </c>
      <c r="AJ44" s="134" t="e">
        <f t="shared" ca="1" si="14"/>
        <v>#NAME?</v>
      </c>
      <c r="AK44" s="134" t="e">
        <f t="shared" ca="1" si="19"/>
        <v>#NAME?</v>
      </c>
    </row>
    <row r="45" spans="1:37">
      <c r="A45" s="30">
        <v>5</v>
      </c>
      <c r="B45" s="30" t="s">
        <v>1012</v>
      </c>
      <c r="C45" s="13" t="s">
        <v>1032</v>
      </c>
      <c r="D45" s="30">
        <v>47</v>
      </c>
      <c r="E45" s="31">
        <v>75000</v>
      </c>
      <c r="F45" s="36">
        <v>2.5</v>
      </c>
      <c r="G45" s="13" t="s">
        <v>1033</v>
      </c>
      <c r="H45" s="29">
        <v>3.85</v>
      </c>
      <c r="I45" s="29" t="s">
        <v>229</v>
      </c>
      <c r="J45" s="31">
        <v>84</v>
      </c>
      <c r="K45" s="29" t="s">
        <v>71</v>
      </c>
      <c r="O45">
        <v>13</v>
      </c>
      <c r="P45" s="133" t="e">
        <f t="shared" ca="1" si="15"/>
        <v>#NAME?</v>
      </c>
      <c r="Q45" s="133" t="e">
        <f t="shared" ca="1" si="16"/>
        <v>#NAME?</v>
      </c>
      <c r="R45" s="133" t="e">
        <f t="shared" ca="1" si="17"/>
        <v>#NAME?</v>
      </c>
      <c r="S45" t="e">
        <f t="shared" ca="1" si="18"/>
        <v>#NAME?</v>
      </c>
      <c r="T45">
        <f ca="1">COUNTIF($S$33:S45,S45)</f>
        <v>13</v>
      </c>
      <c r="U45" t="e" cm="1">
        <f t="array" aca="1" ref="U45" ca="1">INDEX(E$33:E$62,MATCH($S45,$C$33:$C$62,0)+MOD($T45-1,3))</f>
        <v>#NAME?</v>
      </c>
      <c r="V45" t="e">
        <f t="shared" ca="1" si="10"/>
        <v>#NAME?</v>
      </c>
      <c r="W45" t="e">
        <f t="shared" ca="1" si="1"/>
        <v>#NAME?</v>
      </c>
      <c r="X45" t="e">
        <f t="shared" ca="1" si="2"/>
        <v>#NAME?</v>
      </c>
      <c r="Y45" t="e">
        <f t="shared" ca="1" si="3"/>
        <v>#NAME?</v>
      </c>
      <c r="Z45" t="e">
        <f t="shared" ca="1" si="4"/>
        <v>#NAME?</v>
      </c>
      <c r="AA45" t="e">
        <f t="shared" ca="1" si="5"/>
        <v>#NAME?</v>
      </c>
      <c r="AB45" t="b">
        <f t="shared" ca="1" si="11"/>
        <v>0</v>
      </c>
      <c r="AC45" t="str">
        <f t="shared" ca="1" si="12"/>
        <v/>
      </c>
      <c r="AD45" t="str">
        <f t="shared" ca="1" si="13"/>
        <v/>
      </c>
      <c r="AE45" t="str">
        <f t="shared" ca="1" si="6"/>
        <v/>
      </c>
      <c r="AF45" t="e" cm="1">
        <f t="array" aca="1" ref="AF45" ca="1">_xlfn.LET(
    _xlpm.new_weapon,AC45,
    _xlpm.old_weapon,AD45,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5" t="str">
        <f t="shared" ca="1" si="7"/>
        <v/>
      </c>
      <c r="AH45" s="134" t="e">
        <f t="shared" ca="1" si="8"/>
        <v>#NAME?</v>
      </c>
      <c r="AI45" s="134" t="e">
        <f t="shared" ca="1" si="9"/>
        <v>#NAME?</v>
      </c>
      <c r="AJ45" s="134" t="e">
        <f t="shared" ca="1" si="14"/>
        <v>#NAME?</v>
      </c>
      <c r="AK45" s="134" t="e">
        <f t="shared" ca="1" si="19"/>
        <v>#NAME?</v>
      </c>
    </row>
    <row r="46" spans="1:37">
      <c r="A46" s="30">
        <v>5</v>
      </c>
      <c r="B46" s="30" t="s">
        <v>1015</v>
      </c>
      <c r="C46" s="13" t="str">
        <f>C45</f>
        <v>Uldaman</v>
      </c>
      <c r="D46" s="30">
        <v>47</v>
      </c>
      <c r="E46" s="31">
        <f t="shared" ref="E46:F47" si="26">E45</f>
        <v>75000</v>
      </c>
      <c r="F46" s="36">
        <f t="shared" si="26"/>
        <v>2.5</v>
      </c>
      <c r="G46" s="33" t="s">
        <v>1034</v>
      </c>
      <c r="H46" s="29">
        <v>2.11</v>
      </c>
      <c r="I46" s="29" t="s">
        <v>231</v>
      </c>
      <c r="J46" s="31">
        <v>99</v>
      </c>
      <c r="K46" s="29" t="s">
        <v>80</v>
      </c>
      <c r="O46">
        <v>14</v>
      </c>
      <c r="P46" s="133" t="e">
        <f t="shared" ca="1" si="15"/>
        <v>#NAME?</v>
      </c>
      <c r="Q46" s="133" t="e">
        <f t="shared" ca="1" si="16"/>
        <v>#NAME?</v>
      </c>
      <c r="R46" s="133" t="e">
        <f t="shared" ca="1" si="17"/>
        <v>#NAME?</v>
      </c>
      <c r="S46" t="e">
        <f t="shared" ca="1" si="18"/>
        <v>#NAME?</v>
      </c>
      <c r="T46">
        <f ca="1">COUNTIF($S$33:S46,S46)</f>
        <v>14</v>
      </c>
      <c r="U46" t="e" cm="1">
        <f t="array" aca="1" ref="U46" ca="1">INDEX(E$33:E$62,MATCH($S46,$C$33:$C$62,0)+MOD($T46-1,3))</f>
        <v>#NAME?</v>
      </c>
      <c r="V46" t="e">
        <f t="shared" ca="1" si="10"/>
        <v>#NAME?</v>
      </c>
      <c r="W46" t="e">
        <f t="shared" ca="1" si="1"/>
        <v>#NAME?</v>
      </c>
      <c r="X46" t="e">
        <f t="shared" ca="1" si="2"/>
        <v>#NAME?</v>
      </c>
      <c r="Y46" t="e">
        <f t="shared" ca="1" si="3"/>
        <v>#NAME?</v>
      </c>
      <c r="Z46" t="e">
        <f t="shared" ca="1" si="4"/>
        <v>#NAME?</v>
      </c>
      <c r="AA46" t="e">
        <f t="shared" ca="1" si="5"/>
        <v>#NAME?</v>
      </c>
      <c r="AB46" t="b">
        <f t="shared" ca="1" si="11"/>
        <v>0</v>
      </c>
      <c r="AC46" t="str">
        <f t="shared" ca="1" si="12"/>
        <v/>
      </c>
      <c r="AD46" t="str">
        <f t="shared" ca="1" si="13"/>
        <v/>
      </c>
      <c r="AE46" t="str">
        <f t="shared" ca="1" si="6"/>
        <v/>
      </c>
      <c r="AF46" t="e" cm="1">
        <f t="array" aca="1" ref="AF46" ca="1">_xlfn.LET(
    _xlpm.new_weapon,AC46,
    _xlpm.old_weapon,AD46,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6" t="str">
        <f t="shared" ca="1" si="7"/>
        <v/>
      </c>
      <c r="AH46" s="134" t="e">
        <f t="shared" ca="1" si="8"/>
        <v>#NAME?</v>
      </c>
      <c r="AI46" s="134" t="e">
        <f t="shared" ca="1" si="9"/>
        <v>#NAME?</v>
      </c>
      <c r="AJ46" s="134" t="e">
        <f t="shared" ca="1" si="14"/>
        <v>#NAME?</v>
      </c>
      <c r="AK46" s="134" t="e">
        <f t="shared" ca="1" si="19"/>
        <v>#NAME?</v>
      </c>
    </row>
    <row r="47" spans="1:37">
      <c r="A47" s="30">
        <v>5</v>
      </c>
      <c r="B47" s="30" t="s">
        <v>1017</v>
      </c>
      <c r="C47" s="13" t="str">
        <f t="shared" ref="C47" si="27">C46</f>
        <v>Uldaman</v>
      </c>
      <c r="D47" s="30">
        <v>47</v>
      </c>
      <c r="E47" s="31">
        <f t="shared" si="26"/>
        <v>75000</v>
      </c>
      <c r="F47" s="36">
        <f t="shared" si="26"/>
        <v>2.5</v>
      </c>
      <c r="G47" s="33" t="s">
        <v>1035</v>
      </c>
      <c r="H47" s="29">
        <v>3.2</v>
      </c>
      <c r="I47" s="29" t="s">
        <v>231</v>
      </c>
      <c r="J47" s="31">
        <v>107</v>
      </c>
      <c r="K47" s="29" t="s">
        <v>76</v>
      </c>
      <c r="O47">
        <v>15</v>
      </c>
      <c r="P47" s="133" t="e">
        <f t="shared" ca="1" si="15"/>
        <v>#NAME?</v>
      </c>
      <c r="Q47" s="133" t="e">
        <f t="shared" ca="1" si="16"/>
        <v>#NAME?</v>
      </c>
      <c r="R47" s="133" t="e">
        <f t="shared" ca="1" si="17"/>
        <v>#NAME?</v>
      </c>
      <c r="S47" t="e">
        <f t="shared" ca="1" si="18"/>
        <v>#NAME?</v>
      </c>
      <c r="T47">
        <f ca="1">COUNTIF($S$33:S47,S47)</f>
        <v>15</v>
      </c>
      <c r="U47" t="e" cm="1">
        <f t="array" aca="1" ref="U47" ca="1">INDEX(E$33:E$62,MATCH($S47,$C$33:$C$62,0)+MOD($T47-1,3))</f>
        <v>#NAME?</v>
      </c>
      <c r="V47" t="e">
        <f t="shared" ca="1" si="10"/>
        <v>#NAME?</v>
      </c>
      <c r="W47" t="e">
        <f t="shared" ca="1" si="1"/>
        <v>#NAME?</v>
      </c>
      <c r="X47" t="e">
        <f t="shared" ca="1" si="2"/>
        <v>#NAME?</v>
      </c>
      <c r="Y47" t="e">
        <f t="shared" ca="1" si="3"/>
        <v>#NAME?</v>
      </c>
      <c r="Z47" t="e">
        <f t="shared" ca="1" si="4"/>
        <v>#NAME?</v>
      </c>
      <c r="AA47" t="e">
        <f t="shared" ca="1" si="5"/>
        <v>#NAME?</v>
      </c>
      <c r="AB47" t="b">
        <f t="shared" ca="1" si="11"/>
        <v>0</v>
      </c>
      <c r="AC47" t="str">
        <f t="shared" ca="1" si="12"/>
        <v/>
      </c>
      <c r="AD47" t="str">
        <f t="shared" ca="1" si="13"/>
        <v/>
      </c>
      <c r="AE47" t="str">
        <f t="shared" ca="1" si="6"/>
        <v/>
      </c>
      <c r="AF47" t="e" cm="1">
        <f t="array" aca="1" ref="AF47" ca="1">_xlfn.LET(
    _xlpm.new_weapon,AC47,
    _xlpm.old_weapon,AD47,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7" t="str">
        <f t="shared" ca="1" si="7"/>
        <v/>
      </c>
      <c r="AH47" s="134" t="e">
        <f t="shared" ca="1" si="8"/>
        <v>#NAME?</v>
      </c>
      <c r="AI47" s="134" t="e">
        <f t="shared" ca="1" si="9"/>
        <v>#NAME?</v>
      </c>
      <c r="AJ47" s="134" t="e">
        <f t="shared" ca="1" si="14"/>
        <v>#NAME?</v>
      </c>
      <c r="AK47" s="134" t="e">
        <f t="shared" ca="1" si="19"/>
        <v>#NAME?</v>
      </c>
    </row>
    <row r="48" spans="1:37">
      <c r="A48" s="30">
        <v>6</v>
      </c>
      <c r="B48" s="30" t="s">
        <v>1012</v>
      </c>
      <c r="C48" s="13" t="s">
        <v>1036</v>
      </c>
      <c r="D48" s="30">
        <v>50</v>
      </c>
      <c r="E48" s="31">
        <v>80000</v>
      </c>
      <c r="F48" s="36">
        <v>3</v>
      </c>
      <c r="G48" s="33" t="s">
        <v>1037</v>
      </c>
      <c r="H48" s="29">
        <v>3.25</v>
      </c>
      <c r="I48" s="29" t="s">
        <v>231</v>
      </c>
      <c r="J48" s="31">
        <v>121</v>
      </c>
      <c r="K48" s="29" t="s">
        <v>77</v>
      </c>
      <c r="O48">
        <v>16</v>
      </c>
      <c r="P48" s="133" t="e">
        <f t="shared" ca="1" si="15"/>
        <v>#NAME?</v>
      </c>
      <c r="Q48" s="133" t="e">
        <f t="shared" ca="1" si="16"/>
        <v>#NAME?</v>
      </c>
      <c r="R48" s="133" t="e">
        <f t="shared" ca="1" si="17"/>
        <v>#NAME?</v>
      </c>
      <c r="S48" t="e">
        <f t="shared" ca="1" si="18"/>
        <v>#NAME?</v>
      </c>
      <c r="T48">
        <f ca="1">COUNTIF($S$33:S48,S48)</f>
        <v>16</v>
      </c>
      <c r="U48" t="e" cm="1">
        <f t="array" aca="1" ref="U48" ca="1">INDEX(E$33:E$62,MATCH($S48,$C$33:$C$62,0)+MOD($T48-1,3))</f>
        <v>#NAME?</v>
      </c>
      <c r="V48" t="e">
        <f t="shared" ca="1" si="10"/>
        <v>#NAME?</v>
      </c>
      <c r="W48" t="e">
        <f t="shared" ca="1" si="1"/>
        <v>#NAME?</v>
      </c>
      <c r="X48" t="e">
        <f t="shared" ca="1" si="2"/>
        <v>#NAME?</v>
      </c>
      <c r="Y48" t="e">
        <f t="shared" ca="1" si="3"/>
        <v>#NAME?</v>
      </c>
      <c r="Z48" t="e">
        <f t="shared" ca="1" si="4"/>
        <v>#NAME?</v>
      </c>
      <c r="AA48" t="e">
        <f t="shared" ca="1" si="5"/>
        <v>#NAME?</v>
      </c>
      <c r="AB48" t="b">
        <f t="shared" ca="1" si="11"/>
        <v>0</v>
      </c>
      <c r="AC48" t="str">
        <f t="shared" ca="1" si="12"/>
        <v/>
      </c>
      <c r="AD48" t="str">
        <f t="shared" ca="1" si="13"/>
        <v/>
      </c>
      <c r="AE48" t="str">
        <f t="shared" ca="1" si="6"/>
        <v/>
      </c>
      <c r="AF48" t="e" cm="1">
        <f t="array" aca="1" ref="AF48" ca="1">_xlfn.LET(
    _xlpm.new_weapon,AC48,
    _xlpm.old_weapon,AD48,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8" t="str">
        <f t="shared" ca="1" si="7"/>
        <v/>
      </c>
      <c r="AH48" s="134" t="e">
        <f t="shared" ca="1" si="8"/>
        <v>#NAME?</v>
      </c>
      <c r="AI48" s="134" t="e">
        <f t="shared" ca="1" si="9"/>
        <v>#NAME?</v>
      </c>
      <c r="AJ48" s="134" t="e">
        <f t="shared" ca="1" si="14"/>
        <v>#NAME?</v>
      </c>
      <c r="AK48" s="134" t="e">
        <f t="shared" ca="1" si="19"/>
        <v>#NAME?</v>
      </c>
    </row>
    <row r="49" spans="1:37">
      <c r="A49" s="30">
        <v>6</v>
      </c>
      <c r="B49" s="30" t="s">
        <v>1015</v>
      </c>
      <c r="C49" s="13" t="str">
        <f>C48</f>
        <v>The Temple of Atal'Hakkar</v>
      </c>
      <c r="D49" s="30">
        <v>50</v>
      </c>
      <c r="E49" s="31">
        <f t="shared" ref="E49:F50" si="28">E48</f>
        <v>80000</v>
      </c>
      <c r="F49" s="36">
        <f t="shared" si="28"/>
        <v>3</v>
      </c>
      <c r="G49" s="33" t="s">
        <v>1038</v>
      </c>
      <c r="H49" s="29">
        <v>3.41</v>
      </c>
      <c r="I49" s="29" t="s">
        <v>225</v>
      </c>
      <c r="J49" s="31">
        <v>117</v>
      </c>
      <c r="K49" s="29" t="s">
        <v>78</v>
      </c>
      <c r="O49">
        <v>17</v>
      </c>
      <c r="P49" s="133" t="e">
        <f t="shared" ca="1" si="15"/>
        <v>#NAME?</v>
      </c>
      <c r="Q49" s="133" t="e">
        <f t="shared" ca="1" si="16"/>
        <v>#NAME?</v>
      </c>
      <c r="R49" s="133" t="e">
        <f t="shared" ca="1" si="17"/>
        <v>#NAME?</v>
      </c>
      <c r="S49" t="e">
        <f t="shared" ca="1" si="18"/>
        <v>#NAME?</v>
      </c>
      <c r="T49">
        <f ca="1">COUNTIF($S$33:S49,S49)</f>
        <v>17</v>
      </c>
      <c r="U49" t="e" cm="1">
        <f t="array" aca="1" ref="U49" ca="1">INDEX(E$33:E$62,MATCH($S49,$C$33:$C$62,0)+MOD($T49-1,3))</f>
        <v>#NAME?</v>
      </c>
      <c r="V49" t="e">
        <f t="shared" ca="1" si="10"/>
        <v>#NAME?</v>
      </c>
      <c r="W49" t="e">
        <f t="shared" ca="1" si="1"/>
        <v>#NAME?</v>
      </c>
      <c r="X49" t="e">
        <f t="shared" ca="1" si="2"/>
        <v>#NAME?</v>
      </c>
      <c r="Y49" t="e">
        <f t="shared" ca="1" si="3"/>
        <v>#NAME?</v>
      </c>
      <c r="Z49" t="e">
        <f t="shared" ca="1" si="4"/>
        <v>#NAME?</v>
      </c>
      <c r="AA49" t="e">
        <f t="shared" ca="1" si="5"/>
        <v>#NAME?</v>
      </c>
      <c r="AB49" t="b">
        <f t="shared" ca="1" si="11"/>
        <v>0</v>
      </c>
      <c r="AC49" t="str">
        <f t="shared" ca="1" si="12"/>
        <v/>
      </c>
      <c r="AD49" t="str">
        <f t="shared" ca="1" si="13"/>
        <v/>
      </c>
      <c r="AE49" t="str">
        <f t="shared" ca="1" si="6"/>
        <v/>
      </c>
      <c r="AF49" t="e" cm="1">
        <f t="array" aca="1" ref="AF49" ca="1">_xlfn.LET(
    _xlpm.new_weapon,AC49,
    _xlpm.old_weapon,AD49,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49" t="str">
        <f t="shared" ca="1" si="7"/>
        <v/>
      </c>
      <c r="AH49" s="134" t="e">
        <f t="shared" ca="1" si="8"/>
        <v>#NAME?</v>
      </c>
      <c r="AI49" s="134" t="e">
        <f t="shared" ca="1" si="9"/>
        <v>#NAME?</v>
      </c>
      <c r="AJ49" s="134" t="e">
        <f t="shared" ca="1" si="14"/>
        <v>#NAME?</v>
      </c>
      <c r="AK49" s="134" t="e">
        <f t="shared" ca="1" si="19"/>
        <v>#NAME?</v>
      </c>
    </row>
    <row r="50" spans="1:37">
      <c r="A50" s="30">
        <v>6</v>
      </c>
      <c r="B50" s="30" t="s">
        <v>1017</v>
      </c>
      <c r="C50" s="13" t="str">
        <f t="shared" ref="C50" si="29">C49</f>
        <v>The Temple of Atal'Hakkar</v>
      </c>
      <c r="D50" s="30">
        <v>50</v>
      </c>
      <c r="E50" s="31">
        <f t="shared" si="28"/>
        <v>80000</v>
      </c>
      <c r="F50" s="36">
        <f t="shared" si="28"/>
        <v>3</v>
      </c>
      <c r="G50" s="33" t="s">
        <v>1039</v>
      </c>
      <c r="H50" s="29">
        <v>1.38</v>
      </c>
      <c r="I50" s="29" t="s">
        <v>231</v>
      </c>
      <c r="J50" s="31">
        <v>66</v>
      </c>
      <c r="K50" s="29" t="s">
        <v>77</v>
      </c>
      <c r="O50">
        <v>18</v>
      </c>
      <c r="P50" s="133" t="e">
        <f t="shared" ca="1" si="15"/>
        <v>#NAME?</v>
      </c>
      <c r="Q50" s="133" t="e">
        <f t="shared" ca="1" si="16"/>
        <v>#NAME?</v>
      </c>
      <c r="R50" s="133" t="e">
        <f t="shared" ca="1" si="17"/>
        <v>#NAME?</v>
      </c>
      <c r="S50" t="e">
        <f t="shared" ca="1" si="18"/>
        <v>#NAME?</v>
      </c>
      <c r="T50">
        <f ca="1">COUNTIF($S$33:S50,S50)</f>
        <v>18</v>
      </c>
      <c r="U50" t="e" cm="1">
        <f t="array" aca="1" ref="U50" ca="1">INDEX(E$33:E$62,MATCH($S50,$C$33:$C$62,0)+MOD($T50-1,3))</f>
        <v>#NAME?</v>
      </c>
      <c r="V50" t="e">
        <f t="shared" ca="1" si="10"/>
        <v>#NAME?</v>
      </c>
      <c r="W50" t="e">
        <f t="shared" ca="1" si="1"/>
        <v>#NAME?</v>
      </c>
      <c r="X50" t="e">
        <f t="shared" ca="1" si="2"/>
        <v>#NAME?</v>
      </c>
      <c r="Y50" t="e">
        <f t="shared" ca="1" si="3"/>
        <v>#NAME?</v>
      </c>
      <c r="Z50" t="e">
        <f t="shared" ca="1" si="4"/>
        <v>#NAME?</v>
      </c>
      <c r="AA50" t="e">
        <f t="shared" ca="1" si="5"/>
        <v>#NAME?</v>
      </c>
      <c r="AB50" t="b">
        <f t="shared" ca="1" si="11"/>
        <v>0</v>
      </c>
      <c r="AC50" t="str">
        <f t="shared" ca="1" si="12"/>
        <v/>
      </c>
      <c r="AD50" t="str">
        <f t="shared" ca="1" si="13"/>
        <v/>
      </c>
      <c r="AE50" t="str">
        <f t="shared" ca="1" si="6"/>
        <v/>
      </c>
      <c r="AF50" t="e" cm="1">
        <f t="array" aca="1" ref="AF50" ca="1">_xlfn.LET(
    _xlpm.new_weapon,AC50,
    _xlpm.old_weapon,AD50,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0" t="str">
        <f t="shared" ca="1" si="7"/>
        <v/>
      </c>
      <c r="AH50" s="134" t="e">
        <f t="shared" ca="1" si="8"/>
        <v>#NAME?</v>
      </c>
      <c r="AI50" s="134" t="e">
        <f t="shared" ca="1" si="9"/>
        <v>#NAME?</v>
      </c>
      <c r="AJ50" s="134" t="e">
        <f t="shared" ca="1" si="14"/>
        <v>#NAME?</v>
      </c>
      <c r="AK50" s="134" t="e">
        <f t="shared" ca="1" si="19"/>
        <v>#NAME?</v>
      </c>
    </row>
    <row r="51" spans="1:37">
      <c r="A51" s="30">
        <v>7</v>
      </c>
      <c r="B51" s="30" t="s">
        <v>1012</v>
      </c>
      <c r="C51" s="13" t="s">
        <v>1040</v>
      </c>
      <c r="D51" s="30">
        <v>52</v>
      </c>
      <c r="E51" s="31">
        <v>90000</v>
      </c>
      <c r="F51" s="36">
        <v>4</v>
      </c>
      <c r="G51" s="33" t="s">
        <v>1041</v>
      </c>
      <c r="H51" s="29">
        <v>4.3499999999999996</v>
      </c>
      <c r="I51" s="29" t="s">
        <v>227</v>
      </c>
      <c r="J51" s="31">
        <v>91</v>
      </c>
      <c r="K51" s="29" t="s">
        <v>68</v>
      </c>
      <c r="O51">
        <v>19</v>
      </c>
      <c r="P51" s="133" t="e">
        <f t="shared" ca="1" si="15"/>
        <v>#NAME?</v>
      </c>
      <c r="Q51" s="133" t="e">
        <f t="shared" ca="1" si="16"/>
        <v>#NAME?</v>
      </c>
      <c r="R51" s="133" t="e">
        <f t="shared" ca="1" si="17"/>
        <v>#NAME?</v>
      </c>
      <c r="S51" t="e">
        <f t="shared" ca="1" si="18"/>
        <v>#NAME?</v>
      </c>
      <c r="T51">
        <f ca="1">COUNTIF($S$33:S51,S51)</f>
        <v>19</v>
      </c>
      <c r="U51" t="e" cm="1">
        <f t="array" aca="1" ref="U51" ca="1">INDEX(E$33:E$62,MATCH($S51,$C$33:$C$62,0)+MOD($T51-1,3))</f>
        <v>#NAME?</v>
      </c>
      <c r="V51" t="e">
        <f t="shared" ca="1" si="10"/>
        <v>#NAME?</v>
      </c>
      <c r="W51" t="e">
        <f t="shared" ca="1" si="1"/>
        <v>#NAME?</v>
      </c>
      <c r="X51" t="e">
        <f t="shared" ca="1" si="2"/>
        <v>#NAME?</v>
      </c>
      <c r="Y51" t="e">
        <f t="shared" ca="1" si="3"/>
        <v>#NAME?</v>
      </c>
      <c r="Z51" t="e">
        <f t="shared" ca="1" si="4"/>
        <v>#NAME?</v>
      </c>
      <c r="AA51" t="e">
        <f t="shared" ca="1" si="5"/>
        <v>#NAME?</v>
      </c>
      <c r="AB51" t="b">
        <f t="shared" ca="1" si="11"/>
        <v>0</v>
      </c>
      <c r="AC51" t="str">
        <f t="shared" ca="1" si="12"/>
        <v/>
      </c>
      <c r="AD51" t="str">
        <f t="shared" ca="1" si="13"/>
        <v/>
      </c>
      <c r="AE51" t="str">
        <f t="shared" ca="1" si="6"/>
        <v/>
      </c>
      <c r="AF51" t="e" cm="1">
        <f t="array" aca="1" ref="AF51" ca="1">_xlfn.LET(
    _xlpm.new_weapon,AC51,
    _xlpm.old_weapon,AD51,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1" t="str">
        <f t="shared" ca="1" si="7"/>
        <v/>
      </c>
      <c r="AH51" s="134" t="e">
        <f t="shared" ca="1" si="8"/>
        <v>#NAME?</v>
      </c>
      <c r="AI51" s="134" t="e">
        <f t="shared" ca="1" si="9"/>
        <v>#NAME?</v>
      </c>
      <c r="AJ51" s="134" t="e">
        <f t="shared" ca="1" si="14"/>
        <v>#NAME?</v>
      </c>
      <c r="AK51" s="134" t="e">
        <f t="shared" ca="1" si="19"/>
        <v>#NAME?</v>
      </c>
    </row>
    <row r="52" spans="1:37">
      <c r="A52" s="30">
        <v>7</v>
      </c>
      <c r="B52" s="30" t="s">
        <v>1015</v>
      </c>
      <c r="C52" s="13" t="str">
        <f>C51</f>
        <v>Blackrock Depths</v>
      </c>
      <c r="D52" s="30">
        <v>52</v>
      </c>
      <c r="E52" s="31">
        <f t="shared" ref="E52:F53" si="30">E51</f>
        <v>90000</v>
      </c>
      <c r="F52" s="36">
        <f t="shared" si="30"/>
        <v>4</v>
      </c>
      <c r="G52" s="33" t="s">
        <v>1042</v>
      </c>
      <c r="H52" s="29">
        <v>1.1499999999999999</v>
      </c>
      <c r="I52" s="29" t="s">
        <v>227</v>
      </c>
      <c r="J52" s="31">
        <v>51</v>
      </c>
      <c r="K52" s="29" t="s">
        <v>79</v>
      </c>
      <c r="O52">
        <v>20</v>
      </c>
      <c r="P52" s="133" t="e">
        <f t="shared" ca="1" si="15"/>
        <v>#NAME?</v>
      </c>
      <c r="Q52" s="133" t="e">
        <f t="shared" ca="1" si="16"/>
        <v>#NAME?</v>
      </c>
      <c r="R52" s="133" t="e">
        <f t="shared" ca="1" si="17"/>
        <v>#NAME?</v>
      </c>
      <c r="S52" t="e">
        <f t="shared" ca="1" si="18"/>
        <v>#NAME?</v>
      </c>
      <c r="T52">
        <f ca="1">COUNTIF($S$33:S52,S52)</f>
        <v>20</v>
      </c>
      <c r="U52" t="e" cm="1">
        <f t="array" aca="1" ref="U52" ca="1">INDEX(E$33:E$62,MATCH($S52,$C$33:$C$62,0)+MOD($T52-1,3))</f>
        <v>#NAME?</v>
      </c>
      <c r="V52" t="e">
        <f t="shared" ca="1" si="10"/>
        <v>#NAME?</v>
      </c>
      <c r="W52" t="e">
        <f t="shared" ca="1" si="1"/>
        <v>#NAME?</v>
      </c>
      <c r="X52" t="e">
        <f t="shared" ca="1" si="2"/>
        <v>#NAME?</v>
      </c>
      <c r="Y52" t="e">
        <f t="shared" ca="1" si="3"/>
        <v>#NAME?</v>
      </c>
      <c r="Z52" t="e">
        <f t="shared" ca="1" si="4"/>
        <v>#NAME?</v>
      </c>
      <c r="AA52" t="e">
        <f t="shared" ca="1" si="5"/>
        <v>#NAME?</v>
      </c>
      <c r="AB52" t="b">
        <f t="shared" ca="1" si="11"/>
        <v>0</v>
      </c>
      <c r="AC52" t="str">
        <f t="shared" ca="1" si="12"/>
        <v/>
      </c>
      <c r="AD52" t="str">
        <f t="shared" ca="1" si="13"/>
        <v/>
      </c>
      <c r="AE52" t="str">
        <f t="shared" ca="1" si="6"/>
        <v/>
      </c>
      <c r="AF52" t="e" cm="1">
        <f t="array" aca="1" ref="AF52" ca="1">_xlfn.LET(
    _xlpm.new_weapon,AC52,
    _xlpm.old_weapon,AD52,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2" t="str">
        <f t="shared" ca="1" si="7"/>
        <v/>
      </c>
      <c r="AH52" s="134" t="e">
        <f t="shared" ca="1" si="8"/>
        <v>#NAME?</v>
      </c>
      <c r="AI52" s="134" t="e">
        <f t="shared" ca="1" si="9"/>
        <v>#NAME?</v>
      </c>
      <c r="AJ52" s="134" t="e">
        <f t="shared" ca="1" si="14"/>
        <v>#NAME?</v>
      </c>
      <c r="AK52" s="134" t="e">
        <f t="shared" ca="1" si="19"/>
        <v>#NAME?</v>
      </c>
    </row>
    <row r="53" spans="1:37">
      <c r="A53" s="30">
        <v>7</v>
      </c>
      <c r="B53" s="30" t="s">
        <v>1017</v>
      </c>
      <c r="C53" s="13" t="str">
        <f t="shared" ref="C53" si="31">C52</f>
        <v>Blackrock Depths</v>
      </c>
      <c r="D53" s="30">
        <v>52</v>
      </c>
      <c r="E53" s="31">
        <f t="shared" si="30"/>
        <v>90000</v>
      </c>
      <c r="F53" s="36">
        <f t="shared" si="30"/>
        <v>4</v>
      </c>
      <c r="G53" s="33" t="s">
        <v>1043</v>
      </c>
      <c r="H53" s="29">
        <v>2.82</v>
      </c>
      <c r="I53" s="29" t="s">
        <v>227</v>
      </c>
      <c r="J53" s="31">
        <v>69</v>
      </c>
      <c r="K53" s="29" t="s">
        <v>73</v>
      </c>
      <c r="O53">
        <v>21</v>
      </c>
      <c r="P53" s="133" t="e">
        <f t="shared" ca="1" si="15"/>
        <v>#NAME?</v>
      </c>
      <c r="Q53" s="133" t="e">
        <f t="shared" ca="1" si="16"/>
        <v>#NAME?</v>
      </c>
      <c r="R53" s="133" t="e">
        <f t="shared" ca="1" si="17"/>
        <v>#NAME?</v>
      </c>
      <c r="S53" t="e">
        <f t="shared" ca="1" si="18"/>
        <v>#NAME?</v>
      </c>
      <c r="T53">
        <f ca="1">COUNTIF($S$33:S53,S53)</f>
        <v>21</v>
      </c>
      <c r="U53" t="e" cm="1">
        <f t="array" aca="1" ref="U53" ca="1">INDEX(E$33:E$62,MATCH($S53,$C$33:$C$62,0)+MOD($T53-1,3))</f>
        <v>#NAME?</v>
      </c>
      <c r="V53" t="e">
        <f t="shared" ca="1" si="10"/>
        <v>#NAME?</v>
      </c>
      <c r="W53" t="e">
        <f t="shared" ca="1" si="1"/>
        <v>#NAME?</v>
      </c>
      <c r="X53" t="e">
        <f t="shared" ca="1" si="2"/>
        <v>#NAME?</v>
      </c>
      <c r="Y53" t="e">
        <f t="shared" ca="1" si="3"/>
        <v>#NAME?</v>
      </c>
      <c r="Z53" t="e">
        <f t="shared" ca="1" si="4"/>
        <v>#NAME?</v>
      </c>
      <c r="AA53" t="e">
        <f t="shared" ca="1" si="5"/>
        <v>#NAME?</v>
      </c>
      <c r="AB53" t="b">
        <f t="shared" ca="1" si="11"/>
        <v>0</v>
      </c>
      <c r="AC53" t="str">
        <f t="shared" ca="1" si="12"/>
        <v/>
      </c>
      <c r="AD53" t="str">
        <f t="shared" ca="1" si="13"/>
        <v/>
      </c>
      <c r="AE53" t="str">
        <f t="shared" ca="1" si="6"/>
        <v/>
      </c>
      <c r="AF53" t="e" cm="1">
        <f t="array" aca="1" ref="AF53" ca="1">_xlfn.LET(
    _xlpm.new_weapon,AC53,
    _xlpm.old_weapon,AD53,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3" t="str">
        <f t="shared" ca="1" si="7"/>
        <v/>
      </c>
      <c r="AH53" s="134" t="e">
        <f t="shared" ca="1" si="8"/>
        <v>#NAME?</v>
      </c>
      <c r="AI53" s="134" t="e">
        <f t="shared" ca="1" si="9"/>
        <v>#NAME?</v>
      </c>
      <c r="AJ53" s="134" t="e">
        <f t="shared" ca="1" si="14"/>
        <v>#NAME?</v>
      </c>
      <c r="AK53" s="134" t="e">
        <f t="shared" ca="1" si="19"/>
        <v>#NAME?</v>
      </c>
    </row>
    <row r="54" spans="1:37">
      <c r="A54" s="30">
        <v>8</v>
      </c>
      <c r="B54" s="30" t="s">
        <v>1012</v>
      </c>
      <c r="C54" s="13" t="s">
        <v>1044</v>
      </c>
      <c r="D54" s="30">
        <v>54</v>
      </c>
      <c r="E54" s="31">
        <v>100000</v>
      </c>
      <c r="F54" s="36">
        <v>5</v>
      </c>
      <c r="G54" s="33" t="s">
        <v>1045</v>
      </c>
      <c r="H54" s="29">
        <v>3.22</v>
      </c>
      <c r="I54" s="29" t="s">
        <v>225</v>
      </c>
      <c r="J54" s="31">
        <v>145</v>
      </c>
      <c r="K54" s="29" t="s">
        <v>78</v>
      </c>
      <c r="O54">
        <v>22</v>
      </c>
      <c r="P54" s="133" t="e">
        <f t="shared" ca="1" si="15"/>
        <v>#NAME?</v>
      </c>
      <c r="Q54" s="133" t="e">
        <f t="shared" ca="1" si="16"/>
        <v>#NAME?</v>
      </c>
      <c r="R54" s="133" t="e">
        <f t="shared" ca="1" si="17"/>
        <v>#NAME?</v>
      </c>
      <c r="S54" t="e">
        <f t="shared" ca="1" si="18"/>
        <v>#NAME?</v>
      </c>
      <c r="T54">
        <f ca="1">COUNTIF($S$33:S54,S54)</f>
        <v>22</v>
      </c>
      <c r="U54" t="e" cm="1">
        <f t="array" aca="1" ref="U54" ca="1">INDEX(E$33:E$62,MATCH($S54,$C$33:$C$62,0)+MOD($T54-1,3))</f>
        <v>#NAME?</v>
      </c>
      <c r="V54" t="e">
        <f t="shared" ca="1" si="10"/>
        <v>#NAME?</v>
      </c>
      <c r="W54" t="e">
        <f t="shared" ca="1" si="1"/>
        <v>#NAME?</v>
      </c>
      <c r="X54" t="e">
        <f t="shared" ca="1" si="2"/>
        <v>#NAME?</v>
      </c>
      <c r="Y54" t="e">
        <f t="shared" ca="1" si="3"/>
        <v>#NAME?</v>
      </c>
      <c r="Z54" t="e">
        <f t="shared" ca="1" si="4"/>
        <v>#NAME?</v>
      </c>
      <c r="AA54" t="e">
        <f t="shared" ca="1" si="5"/>
        <v>#NAME?</v>
      </c>
      <c r="AB54" t="b">
        <f t="shared" ca="1" si="11"/>
        <v>0</v>
      </c>
      <c r="AC54" t="str">
        <f t="shared" ca="1" si="12"/>
        <v/>
      </c>
      <c r="AD54" t="str">
        <f t="shared" ca="1" si="13"/>
        <v/>
      </c>
      <c r="AE54" t="str">
        <f t="shared" ca="1" si="6"/>
        <v/>
      </c>
      <c r="AF54" t="e" cm="1">
        <f t="array" aca="1" ref="AF54" ca="1">_xlfn.LET(
    _xlpm.new_weapon,AC54,
    _xlpm.old_weapon,AD54,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4" t="str">
        <f t="shared" ca="1" si="7"/>
        <v/>
      </c>
      <c r="AH54" s="134" t="e">
        <f t="shared" ca="1" si="8"/>
        <v>#NAME?</v>
      </c>
      <c r="AI54" s="134" t="e">
        <f t="shared" ca="1" si="9"/>
        <v>#NAME?</v>
      </c>
      <c r="AJ54" s="134" t="e">
        <f t="shared" ca="1" si="14"/>
        <v>#NAME?</v>
      </c>
      <c r="AK54" s="134" t="e">
        <f t="shared" ca="1" si="19"/>
        <v>#NAME?</v>
      </c>
    </row>
    <row r="55" spans="1:37">
      <c r="A55" s="30">
        <v>8</v>
      </c>
      <c r="B55" s="30" t="s">
        <v>1015</v>
      </c>
      <c r="C55" s="13" t="str">
        <f>C54</f>
        <v>Scholomance</v>
      </c>
      <c r="D55" s="30">
        <v>54</v>
      </c>
      <c r="E55" s="31">
        <f t="shared" ref="E55:F56" si="32">E54</f>
        <v>100000</v>
      </c>
      <c r="F55" s="36">
        <f t="shared" si="32"/>
        <v>5</v>
      </c>
      <c r="G55" s="33" t="s">
        <v>1046</v>
      </c>
      <c r="H55" s="29">
        <v>2.82</v>
      </c>
      <c r="I55" s="29" t="s">
        <v>231</v>
      </c>
      <c r="J55" s="31">
        <v>126</v>
      </c>
      <c r="K55" s="29" t="s">
        <v>80</v>
      </c>
      <c r="O55">
        <v>23</v>
      </c>
      <c r="P55" s="133" t="e">
        <f t="shared" ca="1" si="15"/>
        <v>#NAME?</v>
      </c>
      <c r="Q55" s="133" t="e">
        <f t="shared" ca="1" si="16"/>
        <v>#NAME?</v>
      </c>
      <c r="R55" s="133" t="e">
        <f t="shared" ca="1" si="17"/>
        <v>#NAME?</v>
      </c>
      <c r="S55" t="e">
        <f t="shared" ca="1" si="18"/>
        <v>#NAME?</v>
      </c>
      <c r="T55">
        <f ca="1">COUNTIF($S$33:S55,S55)</f>
        <v>23</v>
      </c>
      <c r="U55" t="e" cm="1">
        <f t="array" aca="1" ref="U55" ca="1">INDEX(E$33:E$62,MATCH($S55,$C$33:$C$62,0)+MOD($T55-1,3))</f>
        <v>#NAME?</v>
      </c>
      <c r="V55" t="e">
        <f t="shared" ca="1" si="10"/>
        <v>#NAME?</v>
      </c>
      <c r="W55" t="e">
        <f t="shared" ca="1" si="1"/>
        <v>#NAME?</v>
      </c>
      <c r="X55" t="e">
        <f t="shared" ca="1" si="2"/>
        <v>#NAME?</v>
      </c>
      <c r="Y55" t="e">
        <f t="shared" ca="1" si="3"/>
        <v>#NAME?</v>
      </c>
      <c r="Z55" t="e">
        <f t="shared" ca="1" si="4"/>
        <v>#NAME?</v>
      </c>
      <c r="AA55" t="e">
        <f t="shared" ca="1" si="5"/>
        <v>#NAME?</v>
      </c>
      <c r="AB55" t="b">
        <f t="shared" ca="1" si="11"/>
        <v>0</v>
      </c>
      <c r="AC55" t="str">
        <f t="shared" ca="1" si="12"/>
        <v/>
      </c>
      <c r="AD55" t="str">
        <f t="shared" ca="1" si="13"/>
        <v/>
      </c>
      <c r="AE55" t="str">
        <f t="shared" ca="1" si="6"/>
        <v/>
      </c>
      <c r="AF55" t="e" cm="1">
        <f t="array" aca="1" ref="AF55" ca="1">_xlfn.LET(
    _xlpm.new_weapon,AC55,
    _xlpm.old_weapon,AD55,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5" t="str">
        <f t="shared" ca="1" si="7"/>
        <v/>
      </c>
      <c r="AH55" s="134" t="e">
        <f t="shared" ca="1" si="8"/>
        <v>#NAME?</v>
      </c>
      <c r="AI55" s="134" t="e">
        <f t="shared" ca="1" si="9"/>
        <v>#NAME?</v>
      </c>
      <c r="AJ55" s="134" t="e">
        <f t="shared" ca="1" si="14"/>
        <v>#NAME?</v>
      </c>
      <c r="AK55" s="134" t="e">
        <f t="shared" ca="1" si="19"/>
        <v>#NAME?</v>
      </c>
    </row>
    <row r="56" spans="1:37">
      <c r="A56" s="30">
        <v>8</v>
      </c>
      <c r="B56" s="30" t="s">
        <v>1017</v>
      </c>
      <c r="C56" s="13" t="str">
        <f t="shared" ref="C56" si="33">C55</f>
        <v>Scholomance</v>
      </c>
      <c r="D56" s="30">
        <v>54</v>
      </c>
      <c r="E56" s="31">
        <f t="shared" si="32"/>
        <v>100000</v>
      </c>
      <c r="F56" s="36">
        <f t="shared" si="32"/>
        <v>5</v>
      </c>
      <c r="G56" s="33" t="s">
        <v>1047</v>
      </c>
      <c r="H56" s="29">
        <v>1.3</v>
      </c>
      <c r="I56" s="29" t="s">
        <v>227</v>
      </c>
      <c r="J56" s="31">
        <v>115</v>
      </c>
      <c r="K56" s="29" t="s">
        <v>1019</v>
      </c>
      <c r="O56">
        <v>24</v>
      </c>
      <c r="P56" s="133" t="e">
        <f t="shared" ca="1" si="15"/>
        <v>#NAME?</v>
      </c>
      <c r="Q56" s="133" t="e">
        <f t="shared" ca="1" si="16"/>
        <v>#NAME?</v>
      </c>
      <c r="R56" s="133" t="e">
        <f t="shared" ca="1" si="17"/>
        <v>#NAME?</v>
      </c>
      <c r="S56" t="e">
        <f t="shared" ca="1" si="18"/>
        <v>#NAME?</v>
      </c>
      <c r="T56">
        <f ca="1">COUNTIF($S$33:S56,S56)</f>
        <v>24</v>
      </c>
      <c r="U56" t="e" cm="1">
        <f t="array" aca="1" ref="U56" ca="1">INDEX(E$33:E$62,MATCH($S56,$C$33:$C$62,0)+MOD($T56-1,3))</f>
        <v>#NAME?</v>
      </c>
      <c r="V56" t="e">
        <f t="shared" ca="1" si="10"/>
        <v>#NAME?</v>
      </c>
      <c r="W56" t="e">
        <f t="shared" ca="1" si="1"/>
        <v>#NAME?</v>
      </c>
      <c r="X56" t="e">
        <f t="shared" ca="1" si="2"/>
        <v>#NAME?</v>
      </c>
      <c r="Y56" t="e">
        <f t="shared" ca="1" si="3"/>
        <v>#NAME?</v>
      </c>
      <c r="Z56" t="e">
        <f t="shared" ca="1" si="4"/>
        <v>#NAME?</v>
      </c>
      <c r="AA56" t="e">
        <f t="shared" ca="1" si="5"/>
        <v>#NAME?</v>
      </c>
      <c r="AB56" t="b">
        <f t="shared" ca="1" si="11"/>
        <v>0</v>
      </c>
      <c r="AC56" t="str">
        <f t="shared" ca="1" si="12"/>
        <v/>
      </c>
      <c r="AD56" t="str">
        <f t="shared" ca="1" si="13"/>
        <v/>
      </c>
      <c r="AE56" t="str">
        <f t="shared" ca="1" si="6"/>
        <v/>
      </c>
      <c r="AF56" t="e" cm="1">
        <f t="array" aca="1" ref="AF56" ca="1">_xlfn.LET(
    _xlpm.new_weapon,AC56,
    _xlpm.old_weapon,AD56,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6" t="str">
        <f t="shared" ca="1" si="7"/>
        <v/>
      </c>
      <c r="AH56" s="134" t="e">
        <f t="shared" ca="1" si="8"/>
        <v>#NAME?</v>
      </c>
      <c r="AI56" s="134" t="e">
        <f t="shared" ca="1" si="9"/>
        <v>#NAME?</v>
      </c>
      <c r="AJ56" s="134" t="e">
        <f t="shared" ca="1" si="14"/>
        <v>#NAME?</v>
      </c>
      <c r="AK56" s="134" t="e">
        <f t="shared" ca="1" si="19"/>
        <v>#NAME?</v>
      </c>
    </row>
    <row r="57" spans="1:37">
      <c r="A57" s="30">
        <v>9</v>
      </c>
      <c r="B57" s="30" t="s">
        <v>1012</v>
      </c>
      <c r="C57" s="13" t="s">
        <v>1048</v>
      </c>
      <c r="D57" s="30">
        <v>56</v>
      </c>
      <c r="E57" s="31">
        <v>110000</v>
      </c>
      <c r="F57" s="36">
        <v>5.5</v>
      </c>
      <c r="G57" s="33" t="s">
        <v>1049</v>
      </c>
      <c r="H57" s="29">
        <v>1.49</v>
      </c>
      <c r="I57" s="29" t="s">
        <v>231</v>
      </c>
      <c r="J57" s="31">
        <v>85</v>
      </c>
      <c r="K57" s="29" t="s">
        <v>76</v>
      </c>
      <c r="O57">
        <v>25</v>
      </c>
      <c r="P57" s="133" t="e">
        <f t="shared" ca="1" si="15"/>
        <v>#NAME?</v>
      </c>
      <c r="Q57" s="133" t="e">
        <f t="shared" ca="1" si="16"/>
        <v>#NAME?</v>
      </c>
      <c r="R57" s="133" t="e">
        <f t="shared" ca="1" si="17"/>
        <v>#NAME?</v>
      </c>
      <c r="S57" t="e">
        <f t="shared" ca="1" si="18"/>
        <v>#NAME?</v>
      </c>
      <c r="T57">
        <f ca="1">COUNTIF($S$33:S57,S57)</f>
        <v>25</v>
      </c>
      <c r="U57" t="e" cm="1">
        <f t="array" aca="1" ref="U57" ca="1">INDEX(E$33:E$62,MATCH($S57,$C$33:$C$62,0)+MOD($T57-1,3))</f>
        <v>#NAME?</v>
      </c>
      <c r="V57" t="e">
        <f t="shared" ca="1" si="10"/>
        <v>#NAME?</v>
      </c>
      <c r="W57" t="e">
        <f t="shared" ca="1" si="1"/>
        <v>#NAME?</v>
      </c>
      <c r="X57" t="e">
        <f t="shared" ca="1" si="2"/>
        <v>#NAME?</v>
      </c>
      <c r="Y57" t="e">
        <f t="shared" ca="1" si="3"/>
        <v>#NAME?</v>
      </c>
      <c r="Z57" t="e">
        <f t="shared" ca="1" si="4"/>
        <v>#NAME?</v>
      </c>
      <c r="AA57" t="e">
        <f t="shared" ca="1" si="5"/>
        <v>#NAME?</v>
      </c>
      <c r="AB57" t="b">
        <f t="shared" ca="1" si="11"/>
        <v>0</v>
      </c>
      <c r="AC57" t="str">
        <f t="shared" ca="1" si="12"/>
        <v/>
      </c>
      <c r="AD57" t="str">
        <f t="shared" ca="1" si="13"/>
        <v/>
      </c>
      <c r="AE57" t="str">
        <f t="shared" ca="1" si="6"/>
        <v/>
      </c>
      <c r="AF57" t="e" cm="1">
        <f t="array" aca="1" ref="AF57" ca="1">_xlfn.LET(
    _xlpm.new_weapon,AC57,
    _xlpm.old_weapon,AD57,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7" t="str">
        <f t="shared" ca="1" si="7"/>
        <v/>
      </c>
      <c r="AH57" s="134" t="e">
        <f t="shared" ca="1" si="8"/>
        <v>#NAME?</v>
      </c>
      <c r="AI57" s="134" t="e">
        <f t="shared" ca="1" si="9"/>
        <v>#NAME?</v>
      </c>
      <c r="AJ57" s="134" t="e">
        <f t="shared" ca="1" si="14"/>
        <v>#NAME?</v>
      </c>
      <c r="AK57" s="134" t="e">
        <f t="shared" ca="1" si="19"/>
        <v>#NAME?</v>
      </c>
    </row>
    <row r="58" spans="1:37">
      <c r="A58" s="30">
        <v>9</v>
      </c>
      <c r="B58" s="30" t="s">
        <v>1015</v>
      </c>
      <c r="C58" s="13" t="str">
        <f>C57</f>
        <v>Stratholme</v>
      </c>
      <c r="D58" s="30">
        <v>56</v>
      </c>
      <c r="E58" s="31">
        <f t="shared" ref="E58:F59" si="34">E57</f>
        <v>110000</v>
      </c>
      <c r="F58" s="36">
        <f t="shared" si="34"/>
        <v>5.5</v>
      </c>
      <c r="G58" s="33" t="s">
        <v>1050</v>
      </c>
      <c r="H58" s="29">
        <v>1.84</v>
      </c>
      <c r="I58" s="29" t="s">
        <v>229</v>
      </c>
      <c r="J58" s="31">
        <v>146</v>
      </c>
      <c r="K58" s="29" t="s">
        <v>71</v>
      </c>
      <c r="O58">
        <v>26</v>
      </c>
      <c r="P58" s="133" t="e">
        <f t="shared" ca="1" si="15"/>
        <v>#NAME?</v>
      </c>
      <c r="Q58" s="133" t="e">
        <f t="shared" ca="1" si="16"/>
        <v>#NAME?</v>
      </c>
      <c r="R58" s="133" t="e">
        <f t="shared" ca="1" si="17"/>
        <v>#NAME?</v>
      </c>
      <c r="S58" t="e">
        <f t="shared" ca="1" si="18"/>
        <v>#NAME?</v>
      </c>
      <c r="T58">
        <f ca="1">COUNTIF($S$33:S58,S58)</f>
        <v>26</v>
      </c>
      <c r="U58" t="e" cm="1">
        <f t="array" aca="1" ref="U58" ca="1">INDEX(E$33:E$62,MATCH($S58,$C$33:$C$62,0)+MOD($T58-1,3))</f>
        <v>#NAME?</v>
      </c>
      <c r="V58" t="e">
        <f t="shared" ca="1" si="10"/>
        <v>#NAME?</v>
      </c>
      <c r="W58" t="e">
        <f t="shared" ca="1" si="1"/>
        <v>#NAME?</v>
      </c>
      <c r="X58" t="e">
        <f t="shared" ca="1" si="2"/>
        <v>#NAME?</v>
      </c>
      <c r="Y58" t="e">
        <f t="shared" ca="1" si="3"/>
        <v>#NAME?</v>
      </c>
      <c r="Z58" t="e">
        <f t="shared" ca="1" si="4"/>
        <v>#NAME?</v>
      </c>
      <c r="AA58" t="e">
        <f t="shared" ca="1" si="5"/>
        <v>#NAME?</v>
      </c>
      <c r="AB58" t="b">
        <f t="shared" ca="1" si="11"/>
        <v>0</v>
      </c>
      <c r="AC58" t="str">
        <f t="shared" ca="1" si="12"/>
        <v/>
      </c>
      <c r="AD58" t="str">
        <f t="shared" ca="1" si="13"/>
        <v/>
      </c>
      <c r="AE58" t="str">
        <f t="shared" ca="1" si="6"/>
        <v/>
      </c>
      <c r="AF58" t="e" cm="1">
        <f t="array" aca="1" ref="AF58" ca="1">_xlfn.LET(
    _xlpm.new_weapon,AC58,
    _xlpm.old_weapon,AD58,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8" t="str">
        <f t="shared" ca="1" si="7"/>
        <v/>
      </c>
      <c r="AH58" s="134" t="e">
        <f t="shared" ca="1" si="8"/>
        <v>#NAME?</v>
      </c>
      <c r="AI58" s="134" t="e">
        <f t="shared" ca="1" si="9"/>
        <v>#NAME?</v>
      </c>
      <c r="AJ58" s="134" t="e">
        <f t="shared" ca="1" si="14"/>
        <v>#NAME?</v>
      </c>
      <c r="AK58" s="134" t="e">
        <f t="shared" ca="1" si="19"/>
        <v>#NAME?</v>
      </c>
    </row>
    <row r="59" spans="1:37">
      <c r="A59" s="30">
        <v>9</v>
      </c>
      <c r="B59" s="30" t="s">
        <v>1017</v>
      </c>
      <c r="C59" s="13" t="str">
        <f t="shared" ref="C59" si="35">C58</f>
        <v>Stratholme</v>
      </c>
      <c r="D59" s="30">
        <v>56</v>
      </c>
      <c r="E59" s="31">
        <f t="shared" si="34"/>
        <v>110000</v>
      </c>
      <c r="F59" s="36">
        <f t="shared" si="34"/>
        <v>5.5</v>
      </c>
      <c r="G59" s="33" t="s">
        <v>1051</v>
      </c>
      <c r="H59" s="29">
        <v>1.18</v>
      </c>
      <c r="I59" s="29" t="s">
        <v>225</v>
      </c>
      <c r="J59" s="31">
        <v>91</v>
      </c>
      <c r="K59" s="29" t="s">
        <v>78</v>
      </c>
      <c r="O59">
        <v>27</v>
      </c>
      <c r="P59" s="133" t="e">
        <f t="shared" ca="1" si="15"/>
        <v>#NAME?</v>
      </c>
      <c r="Q59" s="133" t="e">
        <f t="shared" ca="1" si="16"/>
        <v>#NAME?</v>
      </c>
      <c r="R59" s="133" t="e">
        <f t="shared" ca="1" si="17"/>
        <v>#NAME?</v>
      </c>
      <c r="S59" t="e">
        <f t="shared" ca="1" si="18"/>
        <v>#NAME?</v>
      </c>
      <c r="T59">
        <f ca="1">COUNTIF($S$33:S59,S59)</f>
        <v>27</v>
      </c>
      <c r="U59" t="e" cm="1">
        <f t="array" aca="1" ref="U59" ca="1">INDEX(E$33:E$62,MATCH($S59,$C$33:$C$62,0)+MOD($T59-1,3))</f>
        <v>#NAME?</v>
      </c>
      <c r="V59" t="e">
        <f t="shared" ca="1" si="10"/>
        <v>#NAME?</v>
      </c>
      <c r="W59" t="e">
        <f t="shared" ca="1" si="1"/>
        <v>#NAME?</v>
      </c>
      <c r="X59" t="e">
        <f t="shared" ca="1" si="2"/>
        <v>#NAME?</v>
      </c>
      <c r="Y59" t="e">
        <f t="shared" ca="1" si="3"/>
        <v>#NAME?</v>
      </c>
      <c r="Z59" t="e">
        <f t="shared" ca="1" si="4"/>
        <v>#NAME?</v>
      </c>
      <c r="AA59" t="e">
        <f t="shared" ca="1" si="5"/>
        <v>#NAME?</v>
      </c>
      <c r="AB59" t="b">
        <f t="shared" ca="1" si="11"/>
        <v>0</v>
      </c>
      <c r="AC59" t="str">
        <f t="shared" ca="1" si="12"/>
        <v/>
      </c>
      <c r="AD59" t="str">
        <f t="shared" ca="1" si="13"/>
        <v/>
      </c>
      <c r="AE59" t="str">
        <f t="shared" ca="1" si="6"/>
        <v/>
      </c>
      <c r="AF59" t="e" cm="1">
        <f t="array" aca="1" ref="AF59" ca="1">_xlfn.LET(
    _xlpm.new_weapon,AC59,
    _xlpm.old_weapon,AD59,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59" t="str">
        <f t="shared" ca="1" si="7"/>
        <v/>
      </c>
      <c r="AH59" s="134" t="e">
        <f t="shared" ca="1" si="8"/>
        <v>#NAME?</v>
      </c>
      <c r="AI59" s="134" t="e">
        <f t="shared" ca="1" si="9"/>
        <v>#NAME?</v>
      </c>
      <c r="AJ59" s="134" t="e">
        <f t="shared" ca="1" si="14"/>
        <v>#NAME?</v>
      </c>
      <c r="AK59" s="134" t="e">
        <f t="shared" ca="1" si="19"/>
        <v>#NAME?</v>
      </c>
    </row>
    <row r="60" spans="1:37">
      <c r="A60" s="30">
        <v>10</v>
      </c>
      <c r="B60" s="30" t="s">
        <v>1012</v>
      </c>
      <c r="C60" s="13" t="s">
        <v>1052</v>
      </c>
      <c r="D60" s="30">
        <v>58</v>
      </c>
      <c r="E60" s="31">
        <v>115000</v>
      </c>
      <c r="F60" s="36">
        <v>6</v>
      </c>
      <c r="G60" s="33" t="s">
        <v>1053</v>
      </c>
      <c r="H60" s="29">
        <v>3</v>
      </c>
      <c r="I60" s="29" t="s">
        <v>231</v>
      </c>
      <c r="J60" s="31">
        <v>80</v>
      </c>
      <c r="K60" s="29" t="s">
        <v>76</v>
      </c>
      <c r="O60">
        <v>28</v>
      </c>
      <c r="P60" s="133" t="e">
        <f t="shared" ca="1" si="15"/>
        <v>#NAME?</v>
      </c>
      <c r="Q60" s="133" t="e">
        <f t="shared" ca="1" si="16"/>
        <v>#NAME?</v>
      </c>
      <c r="R60" s="133" t="e">
        <f t="shared" ca="1" si="17"/>
        <v>#NAME?</v>
      </c>
      <c r="S60" t="e">
        <f t="shared" ca="1" si="18"/>
        <v>#NAME?</v>
      </c>
      <c r="T60">
        <f ca="1">COUNTIF($S$33:S60,S60)</f>
        <v>28</v>
      </c>
      <c r="U60" t="e" cm="1">
        <f t="array" aca="1" ref="U60" ca="1">INDEX(E$33:E$62,MATCH($S60,$C$33:$C$62,0)+MOD($T60-1,3))</f>
        <v>#NAME?</v>
      </c>
      <c r="V60" t="e">
        <f t="shared" ca="1" si="10"/>
        <v>#NAME?</v>
      </c>
      <c r="W60" t="e">
        <f t="shared" ca="1" si="1"/>
        <v>#NAME?</v>
      </c>
      <c r="X60" t="e">
        <f t="shared" ca="1" si="2"/>
        <v>#NAME?</v>
      </c>
      <c r="Y60" t="e">
        <f t="shared" ca="1" si="3"/>
        <v>#NAME?</v>
      </c>
      <c r="Z60" t="e">
        <f t="shared" ca="1" si="4"/>
        <v>#NAME?</v>
      </c>
      <c r="AA60" t="e">
        <f t="shared" ca="1" si="5"/>
        <v>#NAME?</v>
      </c>
      <c r="AB60" t="b">
        <f t="shared" ca="1" si="11"/>
        <v>0</v>
      </c>
      <c r="AC60" t="str">
        <f t="shared" ca="1" si="12"/>
        <v/>
      </c>
      <c r="AD60" t="str">
        <f t="shared" ca="1" si="13"/>
        <v/>
      </c>
      <c r="AE60" t="str">
        <f t="shared" ca="1" si="6"/>
        <v/>
      </c>
      <c r="AF60" t="e" cm="1">
        <f t="array" aca="1" ref="AF60" ca="1">_xlfn.LET(
    _xlpm.new_weapon,AC60,
    _xlpm.old_weapon,AD60,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0" t="str">
        <f t="shared" ca="1" si="7"/>
        <v/>
      </c>
      <c r="AH60" s="134" t="e">
        <f t="shared" ca="1" si="8"/>
        <v>#NAME?</v>
      </c>
      <c r="AI60" s="134" t="e">
        <f t="shared" ca="1" si="9"/>
        <v>#NAME?</v>
      </c>
      <c r="AJ60" s="134" t="e">
        <f t="shared" ca="1" si="14"/>
        <v>#NAME?</v>
      </c>
      <c r="AK60" s="134" t="e">
        <f t="shared" ca="1" si="19"/>
        <v>#NAME?</v>
      </c>
    </row>
    <row r="61" spans="1:37">
      <c r="A61" s="30">
        <v>10</v>
      </c>
      <c r="B61" s="30" t="s">
        <v>1015</v>
      </c>
      <c r="C61" s="13" t="str">
        <f>C60</f>
        <v>Dire Maul</v>
      </c>
      <c r="D61" s="30">
        <v>58</v>
      </c>
      <c r="E61" s="31">
        <f t="shared" ref="E61:F62" si="36">E60</f>
        <v>115000</v>
      </c>
      <c r="F61" s="36">
        <f t="shared" si="36"/>
        <v>6</v>
      </c>
      <c r="G61" s="33" t="s">
        <v>1054</v>
      </c>
      <c r="H61" s="29">
        <v>2.97</v>
      </c>
      <c r="I61" s="29" t="s">
        <v>231</v>
      </c>
      <c r="J61" s="31">
        <v>113</v>
      </c>
      <c r="K61" s="29" t="s">
        <v>77</v>
      </c>
      <c r="O61">
        <v>29</v>
      </c>
      <c r="P61" s="133" t="e">
        <f t="shared" ca="1" si="15"/>
        <v>#NAME?</v>
      </c>
      <c r="Q61" s="133" t="e">
        <f t="shared" ca="1" si="16"/>
        <v>#NAME?</v>
      </c>
      <c r="R61" s="133" t="e">
        <f t="shared" ca="1" si="17"/>
        <v>#NAME?</v>
      </c>
      <c r="S61" t="e">
        <f t="shared" ca="1" si="18"/>
        <v>#NAME?</v>
      </c>
      <c r="T61">
        <f ca="1">COUNTIF($S$33:S61,S61)</f>
        <v>29</v>
      </c>
      <c r="U61" t="e" cm="1">
        <f t="array" aca="1" ref="U61" ca="1">INDEX(E$33:E$62,MATCH($S61,$C$33:$C$62,0)+MOD($T61-1,3))</f>
        <v>#NAME?</v>
      </c>
      <c r="V61" t="e">
        <f t="shared" ca="1" si="10"/>
        <v>#NAME?</v>
      </c>
      <c r="W61" t="e">
        <f t="shared" ca="1" si="1"/>
        <v>#NAME?</v>
      </c>
      <c r="X61" t="e">
        <f t="shared" ca="1" si="2"/>
        <v>#NAME?</v>
      </c>
      <c r="Y61" t="e">
        <f t="shared" ca="1" si="3"/>
        <v>#NAME?</v>
      </c>
      <c r="Z61" t="e">
        <f t="shared" ca="1" si="4"/>
        <v>#NAME?</v>
      </c>
      <c r="AA61" t="e">
        <f t="shared" ca="1" si="5"/>
        <v>#NAME?</v>
      </c>
      <c r="AB61" t="b">
        <f t="shared" ca="1" si="11"/>
        <v>0</v>
      </c>
      <c r="AC61" t="str">
        <f t="shared" ca="1" si="12"/>
        <v/>
      </c>
      <c r="AD61" t="str">
        <f t="shared" ca="1" si="13"/>
        <v/>
      </c>
      <c r="AE61" t="str">
        <f t="shared" ca="1" si="6"/>
        <v/>
      </c>
      <c r="AF61" t="e" cm="1">
        <f t="array" aca="1" ref="AF61" ca="1">_xlfn.LET(
    _xlpm.new_weapon,AC61,
    _xlpm.old_weapon,AD61,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1" t="str">
        <f t="shared" ca="1" si="7"/>
        <v/>
      </c>
      <c r="AH61" s="134" t="e">
        <f t="shared" ca="1" si="8"/>
        <v>#NAME?</v>
      </c>
      <c r="AI61" s="134" t="e">
        <f t="shared" ca="1" si="9"/>
        <v>#NAME?</v>
      </c>
      <c r="AJ61" s="134" t="e">
        <f t="shared" ca="1" si="14"/>
        <v>#NAME?</v>
      </c>
      <c r="AK61" s="134" t="e">
        <f t="shared" ca="1" si="19"/>
        <v>#NAME?</v>
      </c>
    </row>
    <row r="62" spans="1:37">
      <c r="A62" s="30">
        <v>10</v>
      </c>
      <c r="B62" s="30" t="s">
        <v>1017</v>
      </c>
      <c r="C62" s="13" t="str">
        <f t="shared" ref="C62" si="37">C61</f>
        <v>Dire Maul</v>
      </c>
      <c r="D62" s="30">
        <v>58</v>
      </c>
      <c r="E62" s="31">
        <f t="shared" si="36"/>
        <v>115000</v>
      </c>
      <c r="F62" s="36">
        <f t="shared" si="36"/>
        <v>6</v>
      </c>
      <c r="G62" s="33" t="s">
        <v>1055</v>
      </c>
      <c r="H62" s="29">
        <v>1.01</v>
      </c>
      <c r="I62" s="29" t="s">
        <v>227</v>
      </c>
      <c r="J62" s="31">
        <v>133</v>
      </c>
      <c r="K62" s="29" t="s">
        <v>73</v>
      </c>
      <c r="O62">
        <v>30</v>
      </c>
      <c r="P62" s="133" t="e">
        <f t="shared" ca="1" si="15"/>
        <v>#NAME?</v>
      </c>
      <c r="Q62" s="133" t="e">
        <f t="shared" ca="1" si="16"/>
        <v>#NAME?</v>
      </c>
      <c r="R62" s="133" t="e">
        <f t="shared" ca="1" si="17"/>
        <v>#NAME?</v>
      </c>
      <c r="S62" t="e">
        <f t="shared" ca="1" si="18"/>
        <v>#NAME?</v>
      </c>
      <c r="T62">
        <f ca="1">COUNTIF($S$33:S62,S62)</f>
        <v>30</v>
      </c>
      <c r="U62" t="e" cm="1">
        <f t="array" aca="1" ref="U62" ca="1">INDEX(E$33:E$62,MATCH($S62,$C$33:$C$62,0)+MOD($T62-1,3))</f>
        <v>#NAME?</v>
      </c>
      <c r="V62" t="e">
        <f t="shared" ca="1" si="10"/>
        <v>#NAME?</v>
      </c>
      <c r="W62" t="e">
        <f t="shared" ca="1" si="1"/>
        <v>#NAME?</v>
      </c>
      <c r="X62" t="e">
        <f t="shared" ca="1" si="2"/>
        <v>#NAME?</v>
      </c>
      <c r="Y62" t="e">
        <f t="shared" ca="1" si="3"/>
        <v>#NAME?</v>
      </c>
      <c r="Z62" t="e">
        <f t="shared" ca="1" si="4"/>
        <v>#NAME?</v>
      </c>
      <c r="AA62" t="e">
        <f t="shared" ca="1" si="5"/>
        <v>#NAME?</v>
      </c>
      <c r="AB62" t="b">
        <f t="shared" ca="1" si="11"/>
        <v>0</v>
      </c>
      <c r="AC62" t="str">
        <f t="shared" ca="1" si="12"/>
        <v/>
      </c>
      <c r="AD62" t="str">
        <f t="shared" ca="1" si="13"/>
        <v/>
      </c>
      <c r="AE62" t="str">
        <f t="shared" ca="1" si="6"/>
        <v/>
      </c>
      <c r="AF62" t="e" cm="1">
        <f t="array" aca="1" ref="AF62" ca="1">_xlfn.LET(
    _xlpm.new_weapon,AC62,
    _xlpm.old_weapon,AD62,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2" t="str">
        <f t="shared" ca="1" si="7"/>
        <v/>
      </c>
      <c r="AH62" s="134" t="e">
        <f t="shared" ca="1" si="8"/>
        <v>#NAME?</v>
      </c>
      <c r="AI62" s="134" t="e">
        <f t="shared" ca="1" si="9"/>
        <v>#NAME?</v>
      </c>
      <c r="AJ62" s="134" t="e">
        <f t="shared" ca="1" si="14"/>
        <v>#NAME?</v>
      </c>
      <c r="AK62" s="134" t="e">
        <f t="shared" ca="1" si="19"/>
        <v>#NAME?</v>
      </c>
    </row>
    <row r="63" spans="1:37">
      <c r="O63">
        <v>31</v>
      </c>
      <c r="P63" s="133" t="e">
        <f t="shared" ca="1" si="15"/>
        <v>#NAME?</v>
      </c>
      <c r="Q63" s="133" t="e">
        <f t="shared" ca="1" si="16"/>
        <v>#NAME?</v>
      </c>
      <c r="R63" s="133" t="e">
        <f t="shared" ca="1" si="17"/>
        <v>#NAME?</v>
      </c>
      <c r="S63" t="e">
        <f t="shared" ca="1" si="18"/>
        <v>#NAME?</v>
      </c>
      <c r="T63">
        <f ca="1">COUNTIF($S$33:S63,S63)</f>
        <v>31</v>
      </c>
      <c r="U63" t="e" cm="1">
        <f t="array" aca="1" ref="U63" ca="1">INDEX(E$33:E$62,MATCH($S63,$C$33:$C$62,0)+MOD($T63-1,3))</f>
        <v>#NAME?</v>
      </c>
      <c r="V63" t="e">
        <f t="shared" ca="1" si="10"/>
        <v>#NAME?</v>
      </c>
      <c r="W63" t="e">
        <f t="shared" ca="1" si="1"/>
        <v>#NAME?</v>
      </c>
      <c r="X63" t="e">
        <f t="shared" ca="1" si="2"/>
        <v>#NAME?</v>
      </c>
      <c r="Y63" t="e">
        <f t="shared" ca="1" si="3"/>
        <v>#NAME?</v>
      </c>
      <c r="Z63" t="e">
        <f t="shared" ca="1" si="4"/>
        <v>#NAME?</v>
      </c>
      <c r="AA63" t="e">
        <f t="shared" ca="1" si="5"/>
        <v>#NAME?</v>
      </c>
      <c r="AB63" t="b">
        <f t="shared" ca="1" si="11"/>
        <v>0</v>
      </c>
      <c r="AC63" t="str">
        <f t="shared" ca="1" si="12"/>
        <v/>
      </c>
      <c r="AD63" t="str">
        <f t="shared" ca="1" si="13"/>
        <v/>
      </c>
      <c r="AE63" t="str">
        <f t="shared" ca="1" si="6"/>
        <v/>
      </c>
      <c r="AF63" t="e" cm="1">
        <f t="array" aca="1" ref="AF63" ca="1">_xlfn.LET(
    _xlpm.new_weapon,AC63,
    _xlpm.old_weapon,AD63,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3" t="str">
        <f t="shared" ca="1" si="7"/>
        <v/>
      </c>
      <c r="AH63" s="134" t="e">
        <f t="shared" ca="1" si="8"/>
        <v>#NAME?</v>
      </c>
      <c r="AI63" s="134" t="e">
        <f t="shared" ca="1" si="9"/>
        <v>#NAME?</v>
      </c>
      <c r="AJ63" s="134" t="e">
        <f t="shared" ca="1" si="14"/>
        <v>#NAME?</v>
      </c>
      <c r="AK63" s="134" t="e">
        <f t="shared" ca="1" si="19"/>
        <v>#NAME?</v>
      </c>
    </row>
    <row r="64" spans="1:37">
      <c r="A64" t="s">
        <v>62</v>
      </c>
      <c r="B64" t="s">
        <v>69</v>
      </c>
      <c r="O64">
        <v>32</v>
      </c>
      <c r="P64" s="133" t="e">
        <f t="shared" ca="1" si="15"/>
        <v>#NAME?</v>
      </c>
      <c r="Q64" s="133" t="e">
        <f t="shared" ca="1" si="16"/>
        <v>#NAME?</v>
      </c>
      <c r="R64" s="133" t="e">
        <f t="shared" ca="1" si="17"/>
        <v>#NAME?</v>
      </c>
      <c r="S64" t="e">
        <f t="shared" ca="1" si="18"/>
        <v>#NAME?</v>
      </c>
      <c r="T64">
        <f ca="1">COUNTIF($S$33:S64,S64)</f>
        <v>32</v>
      </c>
      <c r="U64" t="e" cm="1">
        <f t="array" aca="1" ref="U64" ca="1">INDEX(E$33:E$62,MATCH($S64,$C$33:$C$62,0)+MOD($T64-1,3))</f>
        <v>#NAME?</v>
      </c>
      <c r="V64" t="e">
        <f t="shared" ca="1" si="10"/>
        <v>#NAME?</v>
      </c>
      <c r="W64" t="e">
        <f t="shared" ca="1" si="1"/>
        <v>#NAME?</v>
      </c>
      <c r="X64" t="e">
        <f t="shared" ca="1" si="2"/>
        <v>#NAME?</v>
      </c>
      <c r="Y64" t="e">
        <f t="shared" ca="1" si="3"/>
        <v>#NAME?</v>
      </c>
      <c r="Z64" t="e">
        <f t="shared" ca="1" si="4"/>
        <v>#NAME?</v>
      </c>
      <c r="AA64" t="e">
        <f t="shared" ca="1" si="5"/>
        <v>#NAME?</v>
      </c>
      <c r="AB64" t="b">
        <f t="shared" ca="1" si="11"/>
        <v>0</v>
      </c>
      <c r="AC64" t="str">
        <f t="shared" ca="1" si="12"/>
        <v/>
      </c>
      <c r="AD64" t="str">
        <f t="shared" ca="1" si="13"/>
        <v/>
      </c>
      <c r="AE64" t="str">
        <f t="shared" ca="1" si="6"/>
        <v/>
      </c>
      <c r="AF64" t="e" cm="1">
        <f t="array" aca="1" ref="AF64" ca="1">_xlfn.LET(
    _xlpm.new_weapon,AC64,
    _xlpm.old_weapon,AD64,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4" t="str">
        <f t="shared" ca="1" si="7"/>
        <v/>
      </c>
      <c r="AH64" s="134" t="e">
        <f t="shared" ca="1" si="8"/>
        <v>#NAME?</v>
      </c>
      <c r="AI64" s="134" t="e">
        <f t="shared" ca="1" si="9"/>
        <v>#NAME?</v>
      </c>
      <c r="AJ64" s="134" t="e">
        <f t="shared" ca="1" si="14"/>
        <v>#NAME?</v>
      </c>
      <c r="AK64" s="134" t="e">
        <f t="shared" ca="1" si="19"/>
        <v>#NAME?</v>
      </c>
    </row>
    <row r="65" spans="1:37">
      <c r="A65">
        <v>1</v>
      </c>
      <c r="B65" s="129">
        <v>0</v>
      </c>
      <c r="O65">
        <v>33</v>
      </c>
      <c r="P65" s="133" t="e">
        <f t="shared" ca="1" si="15"/>
        <v>#NAME?</v>
      </c>
      <c r="Q65" s="133" t="e">
        <f t="shared" ca="1" si="16"/>
        <v>#NAME?</v>
      </c>
      <c r="R65" s="133" t="e">
        <f t="shared" ca="1" si="17"/>
        <v>#NAME?</v>
      </c>
      <c r="S65" t="e">
        <f t="shared" ca="1" si="18"/>
        <v>#NAME?</v>
      </c>
      <c r="T65">
        <f ca="1">COUNTIF($S$33:S65,S65)</f>
        <v>33</v>
      </c>
      <c r="U65" t="e" cm="1">
        <f t="array" aca="1" ref="U65" ca="1">INDEX(E$33:E$62,MATCH($S65,$C$33:$C$62,0)+MOD($T65-1,3))</f>
        <v>#NAME?</v>
      </c>
      <c r="V65" t="e">
        <f t="shared" ref="V65:V92" ca="1" si="38">INDEX(F$33:F$62,MATCH($S65,$C$33:$C$62,0)+MOD($T65-1,3))</f>
        <v>#NAME?</v>
      </c>
      <c r="W65" t="e">
        <f t="shared" ref="W65:W92" ca="1" si="39">INDEX(G$33:G$62,MATCH($S65,$C$33:$C$62,0)+MOD($T65-1,3))</f>
        <v>#NAME?</v>
      </c>
      <c r="X65" t="e">
        <f t="shared" ref="X65:X92" ca="1" si="40">INDEX(H$33:H$62,MATCH($S65,$C$33:$C$62,0)+MOD($T65-1,3))</f>
        <v>#NAME?</v>
      </c>
      <c r="Y65" t="e">
        <f t="shared" ref="Y65:Y92" ca="1" si="41">INDEX(I$33:I$62,MATCH($S65,$C$33:$C$62,0)+MOD($T65-1,3))</f>
        <v>#NAME?</v>
      </c>
      <c r="Z65" t="e">
        <f t="shared" ref="Z65:Z92" ca="1" si="42">INDEX(J$33:J$62,MATCH($S65,$C$33:$C$62,0)+MOD($T65-1,3))</f>
        <v>#NAME?</v>
      </c>
      <c r="AA65" t="e">
        <f t="shared" ref="AA65:AA92" ca="1" si="43">INDEX(K$33:K$62,MATCH($S65,$C$33:$C$62,0)+MOD($T65-1,3))</f>
        <v>#NAME?</v>
      </c>
      <c r="AB65" t="b">
        <f t="shared" ca="1" si="11"/>
        <v>0</v>
      </c>
      <c r="AC65" t="str">
        <f t="shared" ca="1" si="12"/>
        <v/>
      </c>
      <c r="AD65" t="str">
        <f t="shared" ca="1" si="13"/>
        <v/>
      </c>
      <c r="AE65" t="str">
        <f t="shared" ref="AE65:AE92" ca="1" si="44">IF(AB65,IF(AF65,W65,AD64),IF(AE64=$AE$32,"",AE64))</f>
        <v/>
      </c>
      <c r="AF65" t="e" cm="1">
        <f t="array" aca="1" ref="AF65" ca="1">_xlfn.LET(
    _xlpm.new_weapon,AC65,
    _xlpm.old_weapon,AD65,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5" t="str">
        <f t="shared" ref="AG65:AG92" ca="1" si="45">IF(AB65,IF(AF65,AD65,AC65),"")</f>
        <v/>
      </c>
      <c r="AH65" s="134" t="e">
        <f t="shared" ref="AH65:AH92" ca="1" si="46">P65+U65</f>
        <v>#NAME?</v>
      </c>
      <c r="AI65" s="134" t="e">
        <f t="shared" ref="AI65:AI92" ca="1" si="47">Q65+V65+IF(NOT(AB65),X65,0)+IFERROR(INDEX($H$33:$H$62,MATCH(AG65,$G$33:$G$62,0)),0)</f>
        <v>#NAME?</v>
      </c>
      <c r="AJ65" s="134" t="e">
        <f t="shared" ca="1" si="14"/>
        <v>#NAME?</v>
      </c>
      <c r="AK65" s="134" t="e">
        <f t="shared" ca="1" si="19"/>
        <v>#NAME?</v>
      </c>
    </row>
    <row r="66" spans="1:37">
      <c r="A66">
        <v>2</v>
      </c>
      <c r="B66" s="129">
        <v>400</v>
      </c>
      <c r="O66">
        <v>34</v>
      </c>
      <c r="P66" s="133" t="e">
        <f t="shared" ca="1" si="15"/>
        <v>#NAME?</v>
      </c>
      <c r="Q66" s="133" t="e">
        <f t="shared" ca="1" si="16"/>
        <v>#NAME?</v>
      </c>
      <c r="R66" s="133" t="e">
        <f t="shared" ca="1" si="17"/>
        <v>#NAME?</v>
      </c>
      <c r="S66" t="e">
        <f t="shared" ca="1" si="18"/>
        <v>#NAME?</v>
      </c>
      <c r="T66">
        <f ca="1">COUNTIF($S$33:S66,S66)</f>
        <v>34</v>
      </c>
      <c r="U66" t="e" cm="1">
        <f t="array" aca="1" ref="U66" ca="1">INDEX(E$33:E$62,MATCH($S66,$C$33:$C$62,0)+MOD($T66-1,3))</f>
        <v>#NAME?</v>
      </c>
      <c r="V66" t="e">
        <f t="shared" ca="1" si="38"/>
        <v>#NAME?</v>
      </c>
      <c r="W66" t="e">
        <f t="shared" ca="1" si="39"/>
        <v>#NAME?</v>
      </c>
      <c r="X66" t="e">
        <f t="shared" ca="1" si="40"/>
        <v>#NAME?</v>
      </c>
      <c r="Y66" t="e">
        <f t="shared" ca="1" si="41"/>
        <v>#NAME?</v>
      </c>
      <c r="Z66" t="e">
        <f t="shared" ca="1" si="42"/>
        <v>#NAME?</v>
      </c>
      <c r="AA66" t="e">
        <f t="shared" ca="1" si="43"/>
        <v>#NAME?</v>
      </c>
      <c r="AB66" t="b">
        <f t="shared" ca="1" si="11"/>
        <v>0</v>
      </c>
      <c r="AC66" t="str">
        <f t="shared" ca="1" si="12"/>
        <v/>
      </c>
      <c r="AD66" t="str">
        <f t="shared" ref="AD66:AD92" ca="1" si="48">AE65</f>
        <v/>
      </c>
      <c r="AE66" t="str">
        <f t="shared" ca="1" si="44"/>
        <v/>
      </c>
      <c r="AF66" t="e" cm="1">
        <f t="array" aca="1" ref="AF66" ca="1">_xlfn.LET(
    _xlpm.new_weapon,AC66,
    _xlpm.old_weapon,AD66,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6" t="str">
        <f t="shared" ca="1" si="45"/>
        <v/>
      </c>
      <c r="AH66" s="134" t="e">
        <f t="shared" ca="1" si="46"/>
        <v>#NAME?</v>
      </c>
      <c r="AI66" s="134" t="e">
        <f t="shared" ca="1" si="47"/>
        <v>#NAME?</v>
      </c>
      <c r="AJ66" s="134" t="e">
        <f t="shared" ca="1" si="14"/>
        <v>#NAME?</v>
      </c>
      <c r="AK66" s="134" t="e">
        <f t="shared" ca="1" si="19"/>
        <v>#NAME?</v>
      </c>
    </row>
    <row r="67" spans="1:37">
      <c r="A67">
        <v>3</v>
      </c>
      <c r="B67" s="129">
        <v>850</v>
      </c>
      <c r="O67">
        <v>35</v>
      </c>
      <c r="P67" s="133" t="e">
        <f t="shared" ca="1" si="15"/>
        <v>#NAME?</v>
      </c>
      <c r="Q67" s="133" t="e">
        <f t="shared" ca="1" si="16"/>
        <v>#NAME?</v>
      </c>
      <c r="R67" s="133" t="e">
        <f t="shared" ca="1" si="17"/>
        <v>#NAME?</v>
      </c>
      <c r="S67" t="e">
        <f t="shared" ca="1" si="18"/>
        <v>#NAME?</v>
      </c>
      <c r="T67">
        <f ca="1">COUNTIF($S$33:S67,S67)</f>
        <v>35</v>
      </c>
      <c r="U67" t="e" cm="1">
        <f t="array" aca="1" ref="U67" ca="1">INDEX(E$33:E$62,MATCH($S67,$C$33:$C$62,0)+MOD($T67-1,3))</f>
        <v>#NAME?</v>
      </c>
      <c r="V67" t="e">
        <f t="shared" ca="1" si="38"/>
        <v>#NAME?</v>
      </c>
      <c r="W67" t="e">
        <f t="shared" ca="1" si="39"/>
        <v>#NAME?</v>
      </c>
      <c r="X67" t="e">
        <f t="shared" ca="1" si="40"/>
        <v>#NAME?</v>
      </c>
      <c r="Y67" t="e">
        <f t="shared" ca="1" si="41"/>
        <v>#NAME?</v>
      </c>
      <c r="Z67" t="e">
        <f t="shared" ca="1" si="42"/>
        <v>#NAME?</v>
      </c>
      <c r="AA67" t="e">
        <f t="shared" ca="1" si="43"/>
        <v>#NAME?</v>
      </c>
      <c r="AB67" t="b">
        <f t="shared" ca="1" si="11"/>
        <v>0</v>
      </c>
      <c r="AC67" t="str">
        <f t="shared" ca="1" si="12"/>
        <v/>
      </c>
      <c r="AD67" t="str">
        <f t="shared" ca="1" si="48"/>
        <v/>
      </c>
      <c r="AE67" t="str">
        <f t="shared" ca="1" si="44"/>
        <v/>
      </c>
      <c r="AF67" t="e" cm="1">
        <f t="array" aca="1" ref="AF67" ca="1">_xlfn.LET(
    _xlpm.new_weapon,AC67,
    _xlpm.old_weapon,AD67,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7" t="str">
        <f t="shared" ca="1" si="45"/>
        <v/>
      </c>
      <c r="AH67" s="134" t="e">
        <f t="shared" ca="1" si="46"/>
        <v>#NAME?</v>
      </c>
      <c r="AI67" s="134" t="e">
        <f t="shared" ca="1" si="47"/>
        <v>#NAME?</v>
      </c>
      <c r="AJ67" s="134" t="e">
        <f t="shared" ca="1" si="14"/>
        <v>#NAME?</v>
      </c>
      <c r="AK67" s="134" t="e">
        <f t="shared" ca="1" si="19"/>
        <v>#NAME?</v>
      </c>
    </row>
    <row r="68" spans="1:37">
      <c r="A68">
        <v>4</v>
      </c>
      <c r="B68" s="129">
        <v>1356.25</v>
      </c>
      <c r="O68">
        <v>36</v>
      </c>
      <c r="P68" s="133" t="e">
        <f t="shared" ca="1" si="15"/>
        <v>#NAME?</v>
      </c>
      <c r="Q68" s="133" t="e">
        <f t="shared" ca="1" si="16"/>
        <v>#NAME?</v>
      </c>
      <c r="R68" s="133" t="e">
        <f t="shared" ca="1" si="17"/>
        <v>#NAME?</v>
      </c>
      <c r="S68" t="e">
        <f t="shared" ca="1" si="18"/>
        <v>#NAME?</v>
      </c>
      <c r="T68">
        <f ca="1">COUNTIF($S$33:S68,S68)</f>
        <v>36</v>
      </c>
      <c r="U68" t="e" cm="1">
        <f t="array" aca="1" ref="U68" ca="1">INDEX(E$33:E$62,MATCH($S68,$C$33:$C$62,0)+MOD($T68-1,3))</f>
        <v>#NAME?</v>
      </c>
      <c r="V68" t="e">
        <f t="shared" ca="1" si="38"/>
        <v>#NAME?</v>
      </c>
      <c r="W68" t="e">
        <f t="shared" ca="1" si="39"/>
        <v>#NAME?</v>
      </c>
      <c r="X68" t="e">
        <f t="shared" ca="1" si="40"/>
        <v>#NAME?</v>
      </c>
      <c r="Y68" t="e">
        <f t="shared" ca="1" si="41"/>
        <v>#NAME?</v>
      </c>
      <c r="Z68" t="e">
        <f t="shared" ca="1" si="42"/>
        <v>#NAME?</v>
      </c>
      <c r="AA68" t="e">
        <f t="shared" ca="1" si="43"/>
        <v>#NAME?</v>
      </c>
      <c r="AB68" t="b">
        <f t="shared" ca="1" si="11"/>
        <v>0</v>
      </c>
      <c r="AC68" t="str">
        <f t="shared" ca="1" si="12"/>
        <v/>
      </c>
      <c r="AD68" t="str">
        <f t="shared" ca="1" si="48"/>
        <v/>
      </c>
      <c r="AE68" t="str">
        <f t="shared" ca="1" si="44"/>
        <v/>
      </c>
      <c r="AF68" t="e" cm="1">
        <f t="array" aca="1" ref="AF68" ca="1">_xlfn.LET(
    _xlpm.new_weapon,AC68,
    _xlpm.old_weapon,AD68,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8" t="str">
        <f t="shared" ca="1" si="45"/>
        <v/>
      </c>
      <c r="AH68" s="134" t="e">
        <f t="shared" ca="1" si="46"/>
        <v>#NAME?</v>
      </c>
      <c r="AI68" s="134" t="e">
        <f t="shared" ca="1" si="47"/>
        <v>#NAME?</v>
      </c>
      <c r="AJ68" s="134" t="e">
        <f t="shared" ca="1" si="14"/>
        <v>#NAME?</v>
      </c>
      <c r="AK68" s="134" t="e">
        <f t="shared" ca="1" si="19"/>
        <v>#NAME?</v>
      </c>
    </row>
    <row r="69" spans="1:37">
      <c r="A69">
        <v>5</v>
      </c>
      <c r="B69" s="129">
        <v>1925.78125</v>
      </c>
      <c r="O69">
        <v>37</v>
      </c>
      <c r="P69" s="133" t="e">
        <f t="shared" ca="1" si="15"/>
        <v>#NAME?</v>
      </c>
      <c r="Q69" s="133" t="e">
        <f t="shared" ca="1" si="16"/>
        <v>#NAME?</v>
      </c>
      <c r="R69" s="133" t="e">
        <f t="shared" ca="1" si="17"/>
        <v>#NAME?</v>
      </c>
      <c r="S69" t="e">
        <f t="shared" ca="1" si="18"/>
        <v>#NAME?</v>
      </c>
      <c r="T69">
        <f ca="1">COUNTIF($S$33:S69,S69)</f>
        <v>37</v>
      </c>
      <c r="U69" t="e" cm="1">
        <f t="array" aca="1" ref="U69" ca="1">INDEX(E$33:E$62,MATCH($S69,$C$33:$C$62,0)+MOD($T69-1,3))</f>
        <v>#NAME?</v>
      </c>
      <c r="V69" t="e">
        <f t="shared" ca="1" si="38"/>
        <v>#NAME?</v>
      </c>
      <c r="W69" t="e">
        <f t="shared" ca="1" si="39"/>
        <v>#NAME?</v>
      </c>
      <c r="X69" t="e">
        <f t="shared" ca="1" si="40"/>
        <v>#NAME?</v>
      </c>
      <c r="Y69" t="e">
        <f t="shared" ca="1" si="41"/>
        <v>#NAME?</v>
      </c>
      <c r="Z69" t="e">
        <f t="shared" ca="1" si="42"/>
        <v>#NAME?</v>
      </c>
      <c r="AA69" t="e">
        <f t="shared" ca="1" si="43"/>
        <v>#NAME?</v>
      </c>
      <c r="AB69" t="b">
        <f t="shared" ca="1" si="11"/>
        <v>0</v>
      </c>
      <c r="AC69" t="str">
        <f t="shared" ca="1" si="12"/>
        <v/>
      </c>
      <c r="AD69" t="str">
        <f t="shared" ca="1" si="48"/>
        <v/>
      </c>
      <c r="AE69" t="str">
        <f t="shared" ca="1" si="44"/>
        <v/>
      </c>
      <c r="AF69" t="e" cm="1">
        <f t="array" aca="1" ref="AF69" ca="1">_xlfn.LET(
    _xlpm.new_weapon,AC69,
    _xlpm.old_weapon,AD69,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69" t="str">
        <f t="shared" ca="1" si="45"/>
        <v/>
      </c>
      <c r="AH69" s="134" t="e">
        <f t="shared" ca="1" si="46"/>
        <v>#NAME?</v>
      </c>
      <c r="AI69" s="134" t="e">
        <f t="shared" ca="1" si="47"/>
        <v>#NAME?</v>
      </c>
      <c r="AJ69" s="134" t="e">
        <f t="shared" ca="1" si="14"/>
        <v>#NAME?</v>
      </c>
      <c r="AK69" s="134" t="e">
        <f t="shared" ca="1" si="19"/>
        <v>#NAME?</v>
      </c>
    </row>
    <row r="70" spans="1:37">
      <c r="A70">
        <v>6</v>
      </c>
      <c r="B70" s="129">
        <v>2566.50390625</v>
      </c>
      <c r="O70">
        <v>38</v>
      </c>
      <c r="P70" s="133" t="e">
        <f t="shared" ca="1" si="15"/>
        <v>#NAME?</v>
      </c>
      <c r="Q70" s="133" t="e">
        <f t="shared" ca="1" si="16"/>
        <v>#NAME?</v>
      </c>
      <c r="R70" s="133" t="e">
        <f t="shared" ca="1" si="17"/>
        <v>#NAME?</v>
      </c>
      <c r="S70" t="e">
        <f t="shared" ca="1" si="18"/>
        <v>#NAME?</v>
      </c>
      <c r="T70">
        <f ca="1">COUNTIF($S$33:S70,S70)</f>
        <v>38</v>
      </c>
      <c r="U70" t="e" cm="1">
        <f t="array" aca="1" ref="U70" ca="1">INDEX(E$33:E$62,MATCH($S70,$C$33:$C$62,0)+MOD($T70-1,3))</f>
        <v>#NAME?</v>
      </c>
      <c r="V70" t="e">
        <f t="shared" ca="1" si="38"/>
        <v>#NAME?</v>
      </c>
      <c r="W70" t="e">
        <f t="shared" ca="1" si="39"/>
        <v>#NAME?</v>
      </c>
      <c r="X70" t="e">
        <f t="shared" ca="1" si="40"/>
        <v>#NAME?</v>
      </c>
      <c r="Y70" t="e">
        <f t="shared" ca="1" si="41"/>
        <v>#NAME?</v>
      </c>
      <c r="Z70" t="e">
        <f t="shared" ca="1" si="42"/>
        <v>#NAME?</v>
      </c>
      <c r="AA70" t="e">
        <f t="shared" ca="1" si="43"/>
        <v>#NAME?</v>
      </c>
      <c r="AB70" t="b">
        <f t="shared" ca="1" si="11"/>
        <v>0</v>
      </c>
      <c r="AC70" t="str">
        <f t="shared" ca="1" si="12"/>
        <v/>
      </c>
      <c r="AD70" t="str">
        <f t="shared" ca="1" si="48"/>
        <v/>
      </c>
      <c r="AE70" t="str">
        <f t="shared" ca="1" si="44"/>
        <v/>
      </c>
      <c r="AF70" t="e" cm="1">
        <f t="array" aca="1" ref="AF70" ca="1">_xlfn.LET(
    _xlpm.new_weapon,AC70,
    _xlpm.old_weapon,AD70,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0" t="str">
        <f t="shared" ca="1" si="45"/>
        <v/>
      </c>
      <c r="AH70" s="134" t="e">
        <f t="shared" ca="1" si="46"/>
        <v>#NAME?</v>
      </c>
      <c r="AI70" s="134" t="e">
        <f t="shared" ca="1" si="47"/>
        <v>#NAME?</v>
      </c>
      <c r="AJ70" s="134" t="e">
        <f t="shared" ca="1" si="14"/>
        <v>#NAME?</v>
      </c>
      <c r="AK70" s="134" t="e">
        <f t="shared" ca="1" si="19"/>
        <v>#NAME?</v>
      </c>
    </row>
    <row r="71" spans="1:37">
      <c r="A71">
        <v>7</v>
      </c>
      <c r="B71" s="129">
        <v>3287.31689453125</v>
      </c>
      <c r="O71">
        <v>39</v>
      </c>
      <c r="P71" s="133" t="e">
        <f t="shared" ca="1" si="15"/>
        <v>#NAME?</v>
      </c>
      <c r="Q71" s="133" t="e">
        <f t="shared" ca="1" si="16"/>
        <v>#NAME?</v>
      </c>
      <c r="R71" s="133" t="e">
        <f t="shared" ca="1" si="17"/>
        <v>#NAME?</v>
      </c>
      <c r="S71" t="e">
        <f t="shared" ca="1" si="18"/>
        <v>#NAME?</v>
      </c>
      <c r="T71">
        <f ca="1">COUNTIF($S$33:S71,S71)</f>
        <v>39</v>
      </c>
      <c r="U71" t="e" cm="1">
        <f t="array" aca="1" ref="U71" ca="1">INDEX(E$33:E$62,MATCH($S71,$C$33:$C$62,0)+MOD($T71-1,3))</f>
        <v>#NAME?</v>
      </c>
      <c r="V71" t="e">
        <f t="shared" ca="1" si="38"/>
        <v>#NAME?</v>
      </c>
      <c r="W71" t="e">
        <f t="shared" ca="1" si="39"/>
        <v>#NAME?</v>
      </c>
      <c r="X71" t="e">
        <f t="shared" ca="1" si="40"/>
        <v>#NAME?</v>
      </c>
      <c r="Y71" t="e">
        <f t="shared" ca="1" si="41"/>
        <v>#NAME?</v>
      </c>
      <c r="Z71" t="e">
        <f t="shared" ca="1" si="42"/>
        <v>#NAME?</v>
      </c>
      <c r="AA71" t="e">
        <f t="shared" ca="1" si="43"/>
        <v>#NAME?</v>
      </c>
      <c r="AB71" t="b">
        <f t="shared" ca="1" si="11"/>
        <v>0</v>
      </c>
      <c r="AC71" t="str">
        <f t="shared" ca="1" si="12"/>
        <v/>
      </c>
      <c r="AD71" t="str">
        <f t="shared" ca="1" si="48"/>
        <v/>
      </c>
      <c r="AE71" t="str">
        <f t="shared" ca="1" si="44"/>
        <v/>
      </c>
      <c r="AF71" t="e" cm="1">
        <f t="array" aca="1" ref="AF71" ca="1">_xlfn.LET(
    _xlpm.new_weapon,AC71,
    _xlpm.old_weapon,AD71,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1" t="str">
        <f t="shared" ca="1" si="45"/>
        <v/>
      </c>
      <c r="AH71" s="134" t="e">
        <f t="shared" ca="1" si="46"/>
        <v>#NAME?</v>
      </c>
      <c r="AI71" s="134" t="e">
        <f t="shared" ca="1" si="47"/>
        <v>#NAME?</v>
      </c>
      <c r="AJ71" s="134" t="e">
        <f t="shared" ca="1" si="14"/>
        <v>#NAME?</v>
      </c>
      <c r="AK71" s="134" t="e">
        <f t="shared" ca="1" si="19"/>
        <v>#NAME?</v>
      </c>
    </row>
    <row r="72" spans="1:37">
      <c r="A72">
        <v>8</v>
      </c>
      <c r="B72" s="129">
        <v>4098.2315063476563</v>
      </c>
      <c r="O72">
        <v>40</v>
      </c>
      <c r="P72" s="133" t="e">
        <f t="shared" ca="1" si="15"/>
        <v>#NAME?</v>
      </c>
      <c r="Q72" s="133" t="e">
        <f t="shared" ca="1" si="16"/>
        <v>#NAME?</v>
      </c>
      <c r="R72" s="133" t="e">
        <f t="shared" ca="1" si="17"/>
        <v>#NAME?</v>
      </c>
      <c r="S72" t="e">
        <f t="shared" ca="1" si="18"/>
        <v>#NAME?</v>
      </c>
      <c r="T72">
        <f ca="1">COUNTIF($S$33:S72,S72)</f>
        <v>40</v>
      </c>
      <c r="U72" t="e" cm="1">
        <f t="array" aca="1" ref="U72" ca="1">INDEX(E$33:E$62,MATCH($S72,$C$33:$C$62,0)+MOD($T72-1,3))</f>
        <v>#NAME?</v>
      </c>
      <c r="V72" t="e">
        <f t="shared" ca="1" si="38"/>
        <v>#NAME?</v>
      </c>
      <c r="W72" t="e">
        <f t="shared" ca="1" si="39"/>
        <v>#NAME?</v>
      </c>
      <c r="X72" t="e">
        <f t="shared" ca="1" si="40"/>
        <v>#NAME?</v>
      </c>
      <c r="Y72" t="e">
        <f t="shared" ca="1" si="41"/>
        <v>#NAME?</v>
      </c>
      <c r="Z72" t="e">
        <f t="shared" ca="1" si="42"/>
        <v>#NAME?</v>
      </c>
      <c r="AA72" t="e">
        <f t="shared" ca="1" si="43"/>
        <v>#NAME?</v>
      </c>
      <c r="AB72" t="b">
        <f t="shared" ca="1" si="11"/>
        <v>0</v>
      </c>
      <c r="AC72" t="str">
        <f t="shared" ca="1" si="12"/>
        <v/>
      </c>
      <c r="AD72" t="str">
        <f t="shared" ca="1" si="48"/>
        <v/>
      </c>
      <c r="AE72" t="str">
        <f t="shared" ca="1" si="44"/>
        <v/>
      </c>
      <c r="AF72" t="e" cm="1">
        <f t="array" aca="1" ref="AF72" ca="1">_xlfn.LET(
    _xlpm.new_weapon,AC72,
    _xlpm.old_weapon,AD72,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2" t="str">
        <f t="shared" ca="1" si="45"/>
        <v/>
      </c>
      <c r="AH72" s="134" t="e">
        <f t="shared" ca="1" si="46"/>
        <v>#NAME?</v>
      </c>
      <c r="AI72" s="134" t="e">
        <f t="shared" ca="1" si="47"/>
        <v>#NAME?</v>
      </c>
      <c r="AJ72" s="134" t="e">
        <f t="shared" ca="1" si="14"/>
        <v>#NAME?</v>
      </c>
      <c r="AK72" s="134" t="e">
        <f t="shared" ca="1" si="19"/>
        <v>#NAME?</v>
      </c>
    </row>
    <row r="73" spans="1:37">
      <c r="A73">
        <v>9</v>
      </c>
      <c r="B73" s="129">
        <v>5010.5104446411133</v>
      </c>
      <c r="O73">
        <v>41</v>
      </c>
      <c r="P73" s="133" t="e">
        <f t="shared" ca="1" si="15"/>
        <v>#NAME?</v>
      </c>
      <c r="Q73" s="133" t="e">
        <f t="shared" ca="1" si="16"/>
        <v>#NAME?</v>
      </c>
      <c r="R73" s="133" t="e">
        <f t="shared" ca="1" si="17"/>
        <v>#NAME?</v>
      </c>
      <c r="S73" t="e">
        <f t="shared" ca="1" si="18"/>
        <v>#NAME?</v>
      </c>
      <c r="T73">
        <f ca="1">COUNTIF($S$33:S73,S73)</f>
        <v>41</v>
      </c>
      <c r="U73" t="e" cm="1">
        <f t="array" aca="1" ref="U73" ca="1">INDEX(E$33:E$62,MATCH($S73,$C$33:$C$62,0)+MOD($T73-1,3))</f>
        <v>#NAME?</v>
      </c>
      <c r="V73" t="e">
        <f t="shared" ca="1" si="38"/>
        <v>#NAME?</v>
      </c>
      <c r="W73" t="e">
        <f t="shared" ca="1" si="39"/>
        <v>#NAME?</v>
      </c>
      <c r="X73" t="e">
        <f t="shared" ca="1" si="40"/>
        <v>#NAME?</v>
      </c>
      <c r="Y73" t="e">
        <f t="shared" ca="1" si="41"/>
        <v>#NAME?</v>
      </c>
      <c r="Z73" t="e">
        <f t="shared" ca="1" si="42"/>
        <v>#NAME?</v>
      </c>
      <c r="AA73" t="e">
        <f t="shared" ca="1" si="43"/>
        <v>#NAME?</v>
      </c>
      <c r="AB73" t="b">
        <f t="shared" ca="1" si="11"/>
        <v>0</v>
      </c>
      <c r="AC73" t="str">
        <f t="shared" ca="1" si="12"/>
        <v/>
      </c>
      <c r="AD73" t="str">
        <f t="shared" ca="1" si="48"/>
        <v/>
      </c>
      <c r="AE73" t="str">
        <f t="shared" ca="1" si="44"/>
        <v/>
      </c>
      <c r="AF73" t="e" cm="1">
        <f t="array" aca="1" ref="AF73" ca="1">_xlfn.LET(
    _xlpm.new_weapon,AC73,
    _xlpm.old_weapon,AD73,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3" t="str">
        <f t="shared" ca="1" si="45"/>
        <v/>
      </c>
      <c r="AH73" s="134" t="e">
        <f t="shared" ca="1" si="46"/>
        <v>#NAME?</v>
      </c>
      <c r="AI73" s="134" t="e">
        <f t="shared" ca="1" si="47"/>
        <v>#NAME?</v>
      </c>
      <c r="AJ73" s="134" t="e">
        <f t="shared" ca="1" si="14"/>
        <v>#NAME?</v>
      </c>
      <c r="AK73" s="134" t="e">
        <f t="shared" ca="1" si="19"/>
        <v>#NAME?</v>
      </c>
    </row>
    <row r="74" spans="1:37">
      <c r="A74">
        <v>10</v>
      </c>
      <c r="B74" s="129">
        <v>6036.8242502212524</v>
      </c>
      <c r="O74">
        <v>42</v>
      </c>
      <c r="P74" s="133" t="e">
        <f t="shared" ca="1" si="15"/>
        <v>#NAME?</v>
      </c>
      <c r="Q74" s="133" t="e">
        <f t="shared" ca="1" si="16"/>
        <v>#NAME?</v>
      </c>
      <c r="R74" s="133" t="e">
        <f t="shared" ca="1" si="17"/>
        <v>#NAME?</v>
      </c>
      <c r="S74" t="e">
        <f t="shared" ca="1" si="18"/>
        <v>#NAME?</v>
      </c>
      <c r="T74">
        <f ca="1">COUNTIF($S$33:S74,S74)</f>
        <v>42</v>
      </c>
      <c r="U74" t="e" cm="1">
        <f t="array" aca="1" ref="U74" ca="1">INDEX(E$33:E$62,MATCH($S74,$C$33:$C$62,0)+MOD($T74-1,3))</f>
        <v>#NAME?</v>
      </c>
      <c r="V74" t="e">
        <f t="shared" ca="1" si="38"/>
        <v>#NAME?</v>
      </c>
      <c r="W74" t="e">
        <f t="shared" ca="1" si="39"/>
        <v>#NAME?</v>
      </c>
      <c r="X74" t="e">
        <f t="shared" ca="1" si="40"/>
        <v>#NAME?</v>
      </c>
      <c r="Y74" t="e">
        <f t="shared" ca="1" si="41"/>
        <v>#NAME?</v>
      </c>
      <c r="Z74" t="e">
        <f t="shared" ca="1" si="42"/>
        <v>#NAME?</v>
      </c>
      <c r="AA74" t="e">
        <f t="shared" ca="1" si="43"/>
        <v>#NAME?</v>
      </c>
      <c r="AB74" t="b">
        <f t="shared" ca="1" si="11"/>
        <v>0</v>
      </c>
      <c r="AC74" t="str">
        <f t="shared" ca="1" si="12"/>
        <v/>
      </c>
      <c r="AD74" t="str">
        <f t="shared" ca="1" si="48"/>
        <v/>
      </c>
      <c r="AE74" t="str">
        <f t="shared" ca="1" si="44"/>
        <v/>
      </c>
      <c r="AF74" t="e" cm="1">
        <f t="array" aca="1" ref="AF74" ca="1">_xlfn.LET(
    _xlpm.new_weapon,AC74,
    _xlpm.old_weapon,AD74,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4" t="str">
        <f t="shared" ca="1" si="45"/>
        <v/>
      </c>
      <c r="AH74" s="134" t="e">
        <f t="shared" ca="1" si="46"/>
        <v>#NAME?</v>
      </c>
      <c r="AI74" s="134" t="e">
        <f t="shared" ca="1" si="47"/>
        <v>#NAME?</v>
      </c>
      <c r="AJ74" s="134" t="e">
        <f t="shared" ca="1" si="14"/>
        <v>#NAME?</v>
      </c>
      <c r="AK74" s="134" t="e">
        <f t="shared" ca="1" si="19"/>
        <v>#NAME?</v>
      </c>
    </row>
    <row r="75" spans="1:37">
      <c r="A75">
        <v>11</v>
      </c>
      <c r="B75" s="129">
        <v>7191.427281498909</v>
      </c>
      <c r="O75">
        <v>43</v>
      </c>
      <c r="P75" s="133" t="e">
        <f t="shared" ca="1" si="15"/>
        <v>#NAME?</v>
      </c>
      <c r="Q75" s="133" t="e">
        <f t="shared" ca="1" si="16"/>
        <v>#NAME?</v>
      </c>
      <c r="R75" s="133" t="e">
        <f t="shared" ca="1" si="17"/>
        <v>#NAME?</v>
      </c>
      <c r="S75" t="e">
        <f t="shared" ca="1" si="18"/>
        <v>#NAME?</v>
      </c>
      <c r="T75">
        <f ca="1">COUNTIF($S$33:S75,S75)</f>
        <v>43</v>
      </c>
      <c r="U75" t="e" cm="1">
        <f t="array" aca="1" ref="U75" ca="1">INDEX(E$33:E$62,MATCH($S75,$C$33:$C$62,0)+MOD($T75-1,3))</f>
        <v>#NAME?</v>
      </c>
      <c r="V75" t="e">
        <f t="shared" ca="1" si="38"/>
        <v>#NAME?</v>
      </c>
      <c r="W75" t="e">
        <f t="shared" ca="1" si="39"/>
        <v>#NAME?</v>
      </c>
      <c r="X75" t="e">
        <f t="shared" ca="1" si="40"/>
        <v>#NAME?</v>
      </c>
      <c r="Y75" t="e">
        <f t="shared" ca="1" si="41"/>
        <v>#NAME?</v>
      </c>
      <c r="Z75" t="e">
        <f t="shared" ca="1" si="42"/>
        <v>#NAME?</v>
      </c>
      <c r="AA75" t="e">
        <f t="shared" ca="1" si="43"/>
        <v>#NAME?</v>
      </c>
      <c r="AB75" t="b">
        <f t="shared" ca="1" si="11"/>
        <v>0</v>
      </c>
      <c r="AC75" t="str">
        <f t="shared" ca="1" si="12"/>
        <v/>
      </c>
      <c r="AD75" t="str">
        <f t="shared" ca="1" si="48"/>
        <v/>
      </c>
      <c r="AE75" t="str">
        <f t="shared" ca="1" si="44"/>
        <v/>
      </c>
      <c r="AF75" t="e" cm="1">
        <f t="array" aca="1" ref="AF75" ca="1">_xlfn.LET(
    _xlpm.new_weapon,AC75,
    _xlpm.old_weapon,AD75,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5" t="str">
        <f t="shared" ca="1" si="45"/>
        <v/>
      </c>
      <c r="AH75" s="134" t="e">
        <f t="shared" ca="1" si="46"/>
        <v>#NAME?</v>
      </c>
      <c r="AI75" s="134" t="e">
        <f t="shared" ca="1" si="47"/>
        <v>#NAME?</v>
      </c>
      <c r="AJ75" s="134" t="e">
        <f t="shared" ca="1" si="14"/>
        <v>#NAME?</v>
      </c>
      <c r="AK75" s="134" t="e">
        <f t="shared" ca="1" si="19"/>
        <v>#NAME?</v>
      </c>
    </row>
    <row r="76" spans="1:37">
      <c r="A76">
        <v>12</v>
      </c>
      <c r="B76" s="129">
        <v>8490.3556916862726</v>
      </c>
      <c r="O76">
        <v>44</v>
      </c>
      <c r="P76" s="133" t="e">
        <f t="shared" ca="1" si="15"/>
        <v>#NAME?</v>
      </c>
      <c r="Q76" s="133" t="e">
        <f t="shared" ca="1" si="16"/>
        <v>#NAME?</v>
      </c>
      <c r="R76" s="133" t="e">
        <f t="shared" ca="1" si="17"/>
        <v>#NAME?</v>
      </c>
      <c r="S76" t="e">
        <f t="shared" ca="1" si="18"/>
        <v>#NAME?</v>
      </c>
      <c r="T76">
        <f ca="1">COUNTIF($S$33:S76,S76)</f>
        <v>44</v>
      </c>
      <c r="U76" t="e" cm="1">
        <f t="array" aca="1" ref="U76" ca="1">INDEX(E$33:E$62,MATCH($S76,$C$33:$C$62,0)+MOD($T76-1,3))</f>
        <v>#NAME?</v>
      </c>
      <c r="V76" t="e">
        <f t="shared" ca="1" si="38"/>
        <v>#NAME?</v>
      </c>
      <c r="W76" t="e">
        <f t="shared" ca="1" si="39"/>
        <v>#NAME?</v>
      </c>
      <c r="X76" t="e">
        <f t="shared" ca="1" si="40"/>
        <v>#NAME?</v>
      </c>
      <c r="Y76" t="e">
        <f t="shared" ca="1" si="41"/>
        <v>#NAME?</v>
      </c>
      <c r="Z76" t="e">
        <f t="shared" ca="1" si="42"/>
        <v>#NAME?</v>
      </c>
      <c r="AA76" t="e">
        <f t="shared" ca="1" si="43"/>
        <v>#NAME?</v>
      </c>
      <c r="AB76" t="b">
        <f t="shared" ca="1" si="11"/>
        <v>0</v>
      </c>
      <c r="AC76" t="str">
        <f t="shared" ca="1" si="12"/>
        <v/>
      </c>
      <c r="AD76" t="str">
        <f t="shared" ca="1" si="48"/>
        <v/>
      </c>
      <c r="AE76" t="str">
        <f t="shared" ca="1" si="44"/>
        <v/>
      </c>
      <c r="AF76" t="e" cm="1">
        <f t="array" aca="1" ref="AF76" ca="1">_xlfn.LET(
    _xlpm.new_weapon,AC76,
    _xlpm.old_weapon,AD76,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6" t="str">
        <f t="shared" ca="1" si="45"/>
        <v/>
      </c>
      <c r="AH76" s="134" t="e">
        <f t="shared" ca="1" si="46"/>
        <v>#NAME?</v>
      </c>
      <c r="AI76" s="134" t="e">
        <f t="shared" ca="1" si="47"/>
        <v>#NAME?</v>
      </c>
      <c r="AJ76" s="134" t="e">
        <f t="shared" ca="1" si="14"/>
        <v>#NAME?</v>
      </c>
      <c r="AK76" s="134" t="e">
        <f t="shared" ca="1" si="19"/>
        <v>#NAME?</v>
      </c>
    </row>
    <row r="77" spans="1:37">
      <c r="A77">
        <v>13</v>
      </c>
      <c r="B77" s="129">
        <v>9951.6501531470567</v>
      </c>
      <c r="O77">
        <v>45</v>
      </c>
      <c r="P77" s="133" t="e">
        <f t="shared" ca="1" si="15"/>
        <v>#NAME?</v>
      </c>
      <c r="Q77" s="133" t="e">
        <f t="shared" ca="1" si="16"/>
        <v>#NAME?</v>
      </c>
      <c r="R77" s="133" t="e">
        <f t="shared" ca="1" si="17"/>
        <v>#NAME?</v>
      </c>
      <c r="S77" t="e">
        <f t="shared" ca="1" si="18"/>
        <v>#NAME?</v>
      </c>
      <c r="T77">
        <f ca="1">COUNTIF($S$33:S77,S77)</f>
        <v>45</v>
      </c>
      <c r="U77" t="e" cm="1">
        <f t="array" aca="1" ref="U77" ca="1">INDEX(E$33:E$62,MATCH($S77,$C$33:$C$62,0)+MOD($T77-1,3))</f>
        <v>#NAME?</v>
      </c>
      <c r="V77" t="e">
        <f t="shared" ca="1" si="38"/>
        <v>#NAME?</v>
      </c>
      <c r="W77" t="e">
        <f t="shared" ca="1" si="39"/>
        <v>#NAME?</v>
      </c>
      <c r="X77" t="e">
        <f t="shared" ca="1" si="40"/>
        <v>#NAME?</v>
      </c>
      <c r="Y77" t="e">
        <f t="shared" ca="1" si="41"/>
        <v>#NAME?</v>
      </c>
      <c r="Z77" t="e">
        <f t="shared" ca="1" si="42"/>
        <v>#NAME?</v>
      </c>
      <c r="AA77" t="e">
        <f t="shared" ca="1" si="43"/>
        <v>#NAME?</v>
      </c>
      <c r="AB77" t="b">
        <f t="shared" ca="1" si="11"/>
        <v>0</v>
      </c>
      <c r="AC77" t="str">
        <f t="shared" ca="1" si="12"/>
        <v/>
      </c>
      <c r="AD77" t="str">
        <f t="shared" ca="1" si="48"/>
        <v/>
      </c>
      <c r="AE77" t="str">
        <f t="shared" ca="1" si="44"/>
        <v/>
      </c>
      <c r="AF77" t="e" cm="1">
        <f t="array" aca="1" ref="AF77" ca="1">_xlfn.LET(
    _xlpm.new_weapon,AC77,
    _xlpm.old_weapon,AD77,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7" t="str">
        <f t="shared" ca="1" si="45"/>
        <v/>
      </c>
      <c r="AH77" s="134" t="e">
        <f t="shared" ca="1" si="46"/>
        <v>#NAME?</v>
      </c>
      <c r="AI77" s="134" t="e">
        <f t="shared" ca="1" si="47"/>
        <v>#NAME?</v>
      </c>
      <c r="AJ77" s="134" t="e">
        <f t="shared" ca="1" si="14"/>
        <v>#NAME?</v>
      </c>
      <c r="AK77" s="134" t="e">
        <f t="shared" ca="1" si="19"/>
        <v>#NAME?</v>
      </c>
    </row>
    <row r="78" spans="1:37">
      <c r="A78">
        <v>14</v>
      </c>
      <c r="B78" s="129">
        <v>11595.606422290439</v>
      </c>
      <c r="O78">
        <v>46</v>
      </c>
      <c r="P78" s="133" t="e">
        <f t="shared" ca="1" si="15"/>
        <v>#NAME?</v>
      </c>
      <c r="Q78" s="133" t="e">
        <f t="shared" ca="1" si="16"/>
        <v>#NAME?</v>
      </c>
      <c r="R78" s="133" t="e">
        <f t="shared" ca="1" si="17"/>
        <v>#NAME?</v>
      </c>
      <c r="S78" t="e">
        <f t="shared" ca="1" si="18"/>
        <v>#NAME?</v>
      </c>
      <c r="T78">
        <f ca="1">COUNTIF($S$33:S78,S78)</f>
        <v>46</v>
      </c>
      <c r="U78" t="e" cm="1">
        <f t="array" aca="1" ref="U78" ca="1">INDEX(E$33:E$62,MATCH($S78,$C$33:$C$62,0)+MOD($T78-1,3))</f>
        <v>#NAME?</v>
      </c>
      <c r="V78" t="e">
        <f t="shared" ca="1" si="38"/>
        <v>#NAME?</v>
      </c>
      <c r="W78" t="e">
        <f t="shared" ca="1" si="39"/>
        <v>#NAME?</v>
      </c>
      <c r="X78" t="e">
        <f t="shared" ca="1" si="40"/>
        <v>#NAME?</v>
      </c>
      <c r="Y78" t="e">
        <f t="shared" ca="1" si="41"/>
        <v>#NAME?</v>
      </c>
      <c r="Z78" t="e">
        <f t="shared" ca="1" si="42"/>
        <v>#NAME?</v>
      </c>
      <c r="AA78" t="e">
        <f t="shared" ca="1" si="43"/>
        <v>#NAME?</v>
      </c>
      <c r="AB78" t="b">
        <f t="shared" ca="1" si="11"/>
        <v>0</v>
      </c>
      <c r="AC78" t="str">
        <f t="shared" ca="1" si="12"/>
        <v/>
      </c>
      <c r="AD78" t="str">
        <f t="shared" ca="1" si="48"/>
        <v/>
      </c>
      <c r="AE78" t="str">
        <f t="shared" ca="1" si="44"/>
        <v/>
      </c>
      <c r="AF78" t="e" cm="1">
        <f t="array" aca="1" ref="AF78" ca="1">_xlfn.LET(
    _xlpm.new_weapon,AC78,
    _xlpm.old_weapon,AD78,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8" t="str">
        <f t="shared" ca="1" si="45"/>
        <v/>
      </c>
      <c r="AH78" s="134" t="e">
        <f t="shared" ca="1" si="46"/>
        <v>#NAME?</v>
      </c>
      <c r="AI78" s="134" t="e">
        <f t="shared" ca="1" si="47"/>
        <v>#NAME?</v>
      </c>
      <c r="AJ78" s="134" t="e">
        <f t="shared" ca="1" si="14"/>
        <v>#NAME?</v>
      </c>
      <c r="AK78" s="134" t="e">
        <f t="shared" ca="1" si="19"/>
        <v>#NAME?</v>
      </c>
    </row>
    <row r="79" spans="1:37">
      <c r="A79">
        <v>15</v>
      </c>
      <c r="B79" s="129">
        <v>13445.057225076744</v>
      </c>
      <c r="O79">
        <v>47</v>
      </c>
      <c r="P79" s="133" t="e">
        <f t="shared" ca="1" si="15"/>
        <v>#NAME?</v>
      </c>
      <c r="Q79" s="133" t="e">
        <f t="shared" ca="1" si="16"/>
        <v>#NAME?</v>
      </c>
      <c r="R79" s="133" t="e">
        <f t="shared" ca="1" si="17"/>
        <v>#NAME?</v>
      </c>
      <c r="S79" t="e">
        <f t="shared" ca="1" si="18"/>
        <v>#NAME?</v>
      </c>
      <c r="T79">
        <f ca="1">COUNTIF($S$33:S79,S79)</f>
        <v>47</v>
      </c>
      <c r="U79" t="e" cm="1">
        <f t="array" aca="1" ref="U79" ca="1">INDEX(E$33:E$62,MATCH($S79,$C$33:$C$62,0)+MOD($T79-1,3))</f>
        <v>#NAME?</v>
      </c>
      <c r="V79" t="e">
        <f t="shared" ca="1" si="38"/>
        <v>#NAME?</v>
      </c>
      <c r="W79" t="e">
        <f t="shared" ca="1" si="39"/>
        <v>#NAME?</v>
      </c>
      <c r="X79" t="e">
        <f t="shared" ca="1" si="40"/>
        <v>#NAME?</v>
      </c>
      <c r="Y79" t="e">
        <f t="shared" ca="1" si="41"/>
        <v>#NAME?</v>
      </c>
      <c r="Z79" t="e">
        <f t="shared" ca="1" si="42"/>
        <v>#NAME?</v>
      </c>
      <c r="AA79" t="e">
        <f t="shared" ca="1" si="43"/>
        <v>#NAME?</v>
      </c>
      <c r="AB79" t="b">
        <f t="shared" ca="1" si="11"/>
        <v>0</v>
      </c>
      <c r="AC79" t="str">
        <f t="shared" ca="1" si="12"/>
        <v/>
      </c>
      <c r="AD79" t="str">
        <f t="shared" ca="1" si="48"/>
        <v/>
      </c>
      <c r="AE79" t="str">
        <f t="shared" ca="1" si="44"/>
        <v/>
      </c>
      <c r="AF79" t="e" cm="1">
        <f t="array" aca="1" ref="AF79" ca="1">_xlfn.LET(
    _xlpm.new_weapon,AC79,
    _xlpm.old_weapon,AD79,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79" t="str">
        <f t="shared" ca="1" si="45"/>
        <v/>
      </c>
      <c r="AH79" s="134" t="e">
        <f t="shared" ca="1" si="46"/>
        <v>#NAME?</v>
      </c>
      <c r="AI79" s="134" t="e">
        <f t="shared" ca="1" si="47"/>
        <v>#NAME?</v>
      </c>
      <c r="AJ79" s="134" t="e">
        <f t="shared" ca="1" si="14"/>
        <v>#NAME?</v>
      </c>
      <c r="AK79" s="134" t="e">
        <f t="shared" ca="1" si="19"/>
        <v>#NAME?</v>
      </c>
    </row>
    <row r="80" spans="1:37">
      <c r="A80">
        <v>16</v>
      </c>
      <c r="B80" s="129">
        <v>15525.689378211337</v>
      </c>
      <c r="O80">
        <v>48</v>
      </c>
      <c r="P80" s="133" t="e">
        <f t="shared" ca="1" si="15"/>
        <v>#NAME?</v>
      </c>
      <c r="Q80" s="133" t="e">
        <f t="shared" ca="1" si="16"/>
        <v>#NAME?</v>
      </c>
      <c r="R80" s="133" t="e">
        <f t="shared" ca="1" si="17"/>
        <v>#NAME?</v>
      </c>
      <c r="S80" t="e">
        <f t="shared" ca="1" si="18"/>
        <v>#NAME?</v>
      </c>
      <c r="T80">
        <f ca="1">COUNTIF($S$33:S80,S80)</f>
        <v>48</v>
      </c>
      <c r="U80" t="e" cm="1">
        <f t="array" aca="1" ref="U80" ca="1">INDEX(E$33:E$62,MATCH($S80,$C$33:$C$62,0)+MOD($T80-1,3))</f>
        <v>#NAME?</v>
      </c>
      <c r="V80" t="e">
        <f t="shared" ca="1" si="38"/>
        <v>#NAME?</v>
      </c>
      <c r="W80" t="e">
        <f t="shared" ca="1" si="39"/>
        <v>#NAME?</v>
      </c>
      <c r="X80" t="e">
        <f t="shared" ca="1" si="40"/>
        <v>#NAME?</v>
      </c>
      <c r="Y80" t="e">
        <f t="shared" ca="1" si="41"/>
        <v>#NAME?</v>
      </c>
      <c r="Z80" t="e">
        <f t="shared" ca="1" si="42"/>
        <v>#NAME?</v>
      </c>
      <c r="AA80" t="e">
        <f t="shared" ca="1" si="43"/>
        <v>#NAME?</v>
      </c>
      <c r="AB80" t="b">
        <f t="shared" ca="1" si="11"/>
        <v>0</v>
      </c>
      <c r="AC80" t="str">
        <f t="shared" ca="1" si="12"/>
        <v/>
      </c>
      <c r="AD80" t="str">
        <f t="shared" ca="1" si="48"/>
        <v/>
      </c>
      <c r="AE80" t="str">
        <f t="shared" ca="1" si="44"/>
        <v/>
      </c>
      <c r="AF80" t="e" cm="1">
        <f t="array" aca="1" ref="AF80" ca="1">_xlfn.LET(
    _xlpm.new_weapon,AC80,
    _xlpm.old_weapon,AD80,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0" t="str">
        <f t="shared" ca="1" si="45"/>
        <v/>
      </c>
      <c r="AH80" s="134" t="e">
        <f t="shared" ca="1" si="46"/>
        <v>#NAME?</v>
      </c>
      <c r="AI80" s="134" t="e">
        <f t="shared" ca="1" si="47"/>
        <v>#NAME?</v>
      </c>
      <c r="AJ80" s="134" t="e">
        <f t="shared" ca="1" si="14"/>
        <v>#NAME?</v>
      </c>
      <c r="AK80" s="134" t="e">
        <f t="shared" ca="1" si="19"/>
        <v>#NAME?</v>
      </c>
    </row>
    <row r="81" spans="1:37">
      <c r="A81">
        <v>17</v>
      </c>
      <c r="B81" s="129">
        <v>17866.400550487753</v>
      </c>
      <c r="O81">
        <v>49</v>
      </c>
      <c r="P81" s="133" t="e">
        <f t="shared" ca="1" si="15"/>
        <v>#NAME?</v>
      </c>
      <c r="Q81" s="133" t="e">
        <f t="shared" ca="1" si="16"/>
        <v>#NAME?</v>
      </c>
      <c r="R81" s="133" t="e">
        <f t="shared" ca="1" si="17"/>
        <v>#NAME?</v>
      </c>
      <c r="S81" t="e">
        <f t="shared" ca="1" si="18"/>
        <v>#NAME?</v>
      </c>
      <c r="T81">
        <f ca="1">COUNTIF($S$33:S81,S81)</f>
        <v>49</v>
      </c>
      <c r="U81" t="e" cm="1">
        <f t="array" aca="1" ref="U81" ca="1">INDEX(E$33:E$62,MATCH($S81,$C$33:$C$62,0)+MOD($T81-1,3))</f>
        <v>#NAME?</v>
      </c>
      <c r="V81" t="e">
        <f t="shared" ca="1" si="38"/>
        <v>#NAME?</v>
      </c>
      <c r="W81" t="e">
        <f t="shared" ca="1" si="39"/>
        <v>#NAME?</v>
      </c>
      <c r="X81" t="e">
        <f t="shared" ca="1" si="40"/>
        <v>#NAME?</v>
      </c>
      <c r="Y81" t="e">
        <f t="shared" ca="1" si="41"/>
        <v>#NAME?</v>
      </c>
      <c r="Z81" t="e">
        <f t="shared" ca="1" si="42"/>
        <v>#NAME?</v>
      </c>
      <c r="AA81" t="e">
        <f t="shared" ca="1" si="43"/>
        <v>#NAME?</v>
      </c>
      <c r="AB81" t="b">
        <f t="shared" ca="1" si="11"/>
        <v>0</v>
      </c>
      <c r="AC81" t="str">
        <f t="shared" ca="1" si="12"/>
        <v/>
      </c>
      <c r="AD81" t="str">
        <f t="shared" ca="1" si="48"/>
        <v/>
      </c>
      <c r="AE81" t="str">
        <f t="shared" ca="1" si="44"/>
        <v/>
      </c>
      <c r="AF81" t="e" cm="1">
        <f t="array" aca="1" ref="AF81" ca="1">_xlfn.LET(
    _xlpm.new_weapon,AC81,
    _xlpm.old_weapon,AD81,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1" t="str">
        <f t="shared" ca="1" si="45"/>
        <v/>
      </c>
      <c r="AH81" s="134" t="e">
        <f t="shared" ca="1" si="46"/>
        <v>#NAME?</v>
      </c>
      <c r="AI81" s="134" t="e">
        <f t="shared" ca="1" si="47"/>
        <v>#NAME?</v>
      </c>
      <c r="AJ81" s="134" t="e">
        <f t="shared" ca="1" si="14"/>
        <v>#NAME?</v>
      </c>
      <c r="AK81" s="134" t="e">
        <f t="shared" ca="1" si="19"/>
        <v>#NAME?</v>
      </c>
    </row>
    <row r="82" spans="1:37">
      <c r="A82">
        <v>18</v>
      </c>
      <c r="B82" s="129">
        <v>20499.700619298721</v>
      </c>
      <c r="O82">
        <v>50</v>
      </c>
      <c r="P82" s="133" t="e">
        <f t="shared" ca="1" si="15"/>
        <v>#NAME?</v>
      </c>
      <c r="Q82" s="133" t="e">
        <f t="shared" ca="1" si="16"/>
        <v>#NAME?</v>
      </c>
      <c r="R82" s="133" t="e">
        <f t="shared" ca="1" si="17"/>
        <v>#NAME?</v>
      </c>
      <c r="S82" t="e">
        <f t="shared" ca="1" si="18"/>
        <v>#NAME?</v>
      </c>
      <c r="T82">
        <f ca="1">COUNTIF($S$33:S82,S82)</f>
        <v>50</v>
      </c>
      <c r="U82" t="e" cm="1">
        <f t="array" aca="1" ref="U82" ca="1">INDEX(E$33:E$62,MATCH($S82,$C$33:$C$62,0)+MOD($T82-1,3))</f>
        <v>#NAME?</v>
      </c>
      <c r="V82" t="e">
        <f t="shared" ca="1" si="38"/>
        <v>#NAME?</v>
      </c>
      <c r="W82" t="e">
        <f t="shared" ca="1" si="39"/>
        <v>#NAME?</v>
      </c>
      <c r="X82" t="e">
        <f t="shared" ca="1" si="40"/>
        <v>#NAME?</v>
      </c>
      <c r="Y82" t="e">
        <f t="shared" ca="1" si="41"/>
        <v>#NAME?</v>
      </c>
      <c r="Z82" t="e">
        <f t="shared" ca="1" si="42"/>
        <v>#NAME?</v>
      </c>
      <c r="AA82" t="e">
        <f t="shared" ca="1" si="43"/>
        <v>#NAME?</v>
      </c>
      <c r="AB82" t="b">
        <f t="shared" ca="1" si="11"/>
        <v>0</v>
      </c>
      <c r="AC82" t="str">
        <f t="shared" ca="1" si="12"/>
        <v/>
      </c>
      <c r="AD82" t="str">
        <f t="shared" ca="1" si="48"/>
        <v/>
      </c>
      <c r="AE82" t="str">
        <f t="shared" ca="1" si="44"/>
        <v/>
      </c>
      <c r="AF82" t="e" cm="1">
        <f t="array" aca="1" ref="AF82" ca="1">_xlfn.LET(
    _xlpm.new_weapon,AC82,
    _xlpm.old_weapon,AD82,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2" t="str">
        <f t="shared" ca="1" si="45"/>
        <v/>
      </c>
      <c r="AH82" s="134" t="e">
        <f t="shared" ca="1" si="46"/>
        <v>#NAME?</v>
      </c>
      <c r="AI82" s="134" t="e">
        <f t="shared" ca="1" si="47"/>
        <v>#NAME?</v>
      </c>
      <c r="AJ82" s="134" t="e">
        <f t="shared" ca="1" si="14"/>
        <v>#NAME?</v>
      </c>
      <c r="AK82" s="134" t="e">
        <f t="shared" ca="1" si="19"/>
        <v>#NAME?</v>
      </c>
    </row>
    <row r="83" spans="1:37">
      <c r="A83">
        <v>19</v>
      </c>
      <c r="B83" s="129">
        <v>23462.163196711062</v>
      </c>
      <c r="O83">
        <v>51</v>
      </c>
      <c r="P83" s="133" t="e">
        <f t="shared" ca="1" si="15"/>
        <v>#NAME?</v>
      </c>
      <c r="Q83" s="133" t="e">
        <f t="shared" ca="1" si="16"/>
        <v>#NAME?</v>
      </c>
      <c r="R83" s="133" t="e">
        <f t="shared" ca="1" si="17"/>
        <v>#NAME?</v>
      </c>
      <c r="S83" t="e">
        <f t="shared" ca="1" si="18"/>
        <v>#NAME?</v>
      </c>
      <c r="T83">
        <f ca="1">COUNTIF($S$33:S83,S83)</f>
        <v>51</v>
      </c>
      <c r="U83" t="e" cm="1">
        <f t="array" aca="1" ref="U83" ca="1">INDEX(E$33:E$62,MATCH($S83,$C$33:$C$62,0)+MOD($T83-1,3))</f>
        <v>#NAME?</v>
      </c>
      <c r="V83" t="e">
        <f t="shared" ca="1" si="38"/>
        <v>#NAME?</v>
      </c>
      <c r="W83" t="e">
        <f t="shared" ca="1" si="39"/>
        <v>#NAME?</v>
      </c>
      <c r="X83" t="e">
        <f t="shared" ca="1" si="40"/>
        <v>#NAME?</v>
      </c>
      <c r="Y83" t="e">
        <f t="shared" ca="1" si="41"/>
        <v>#NAME?</v>
      </c>
      <c r="Z83" t="e">
        <f t="shared" ca="1" si="42"/>
        <v>#NAME?</v>
      </c>
      <c r="AA83" t="e">
        <f t="shared" ca="1" si="43"/>
        <v>#NAME?</v>
      </c>
      <c r="AB83" t="b">
        <f t="shared" ca="1" si="11"/>
        <v>0</v>
      </c>
      <c r="AC83" t="str">
        <f t="shared" ca="1" si="12"/>
        <v/>
      </c>
      <c r="AD83" t="str">
        <f t="shared" ca="1" si="48"/>
        <v/>
      </c>
      <c r="AE83" t="str">
        <f t="shared" ca="1" si="44"/>
        <v/>
      </c>
      <c r="AF83" t="e" cm="1">
        <f t="array" aca="1" ref="AF83" ca="1">_xlfn.LET(
    _xlpm.new_weapon,AC83,
    _xlpm.old_weapon,AD83,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3" t="str">
        <f t="shared" ca="1" si="45"/>
        <v/>
      </c>
      <c r="AH83" s="134" t="e">
        <f t="shared" ca="1" si="46"/>
        <v>#NAME?</v>
      </c>
      <c r="AI83" s="134" t="e">
        <f t="shared" ca="1" si="47"/>
        <v>#NAME?</v>
      </c>
      <c r="AJ83" s="134" t="e">
        <f t="shared" ca="1" si="14"/>
        <v>#NAME?</v>
      </c>
      <c r="AK83" s="134" t="e">
        <f t="shared" ca="1" si="19"/>
        <v>#NAME?</v>
      </c>
    </row>
    <row r="84" spans="1:37">
      <c r="A84">
        <v>20</v>
      </c>
      <c r="B84" s="129">
        <v>26794.933596299947</v>
      </c>
      <c r="O84">
        <v>52</v>
      </c>
      <c r="P84" s="133" t="e">
        <f t="shared" ca="1" si="15"/>
        <v>#NAME?</v>
      </c>
      <c r="Q84" s="133" t="e">
        <f t="shared" ca="1" si="16"/>
        <v>#NAME?</v>
      </c>
      <c r="R84" s="133" t="e">
        <f t="shared" ca="1" si="17"/>
        <v>#NAME?</v>
      </c>
      <c r="S84" t="e">
        <f t="shared" ca="1" si="18"/>
        <v>#NAME?</v>
      </c>
      <c r="T84">
        <f ca="1">COUNTIF($S$33:S84,S84)</f>
        <v>52</v>
      </c>
      <c r="U84" t="e" cm="1">
        <f t="array" aca="1" ref="U84" ca="1">INDEX(E$33:E$62,MATCH($S84,$C$33:$C$62,0)+MOD($T84-1,3))</f>
        <v>#NAME?</v>
      </c>
      <c r="V84" t="e">
        <f t="shared" ca="1" si="38"/>
        <v>#NAME?</v>
      </c>
      <c r="W84" t="e">
        <f t="shared" ca="1" si="39"/>
        <v>#NAME?</v>
      </c>
      <c r="X84" t="e">
        <f t="shared" ca="1" si="40"/>
        <v>#NAME?</v>
      </c>
      <c r="Y84" t="e">
        <f t="shared" ca="1" si="41"/>
        <v>#NAME?</v>
      </c>
      <c r="Z84" t="e">
        <f t="shared" ca="1" si="42"/>
        <v>#NAME?</v>
      </c>
      <c r="AA84" t="e">
        <f t="shared" ca="1" si="43"/>
        <v>#NAME?</v>
      </c>
      <c r="AB84" t="b">
        <f t="shared" ca="1" si="11"/>
        <v>0</v>
      </c>
      <c r="AC84" t="str">
        <f t="shared" ca="1" si="12"/>
        <v/>
      </c>
      <c r="AD84" t="str">
        <f t="shared" ca="1" si="48"/>
        <v/>
      </c>
      <c r="AE84" t="str">
        <f t="shared" ca="1" si="44"/>
        <v/>
      </c>
      <c r="AF84" t="e" cm="1">
        <f t="array" aca="1" ref="AF84" ca="1">_xlfn.LET(
    _xlpm.new_weapon,AC84,
    _xlpm.old_weapon,AD84,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4" t="str">
        <f t="shared" ca="1" si="45"/>
        <v/>
      </c>
      <c r="AH84" s="134" t="e">
        <f t="shared" ca="1" si="46"/>
        <v>#NAME?</v>
      </c>
      <c r="AI84" s="134" t="e">
        <f t="shared" ca="1" si="47"/>
        <v>#NAME?</v>
      </c>
      <c r="AJ84" s="134" t="e">
        <f t="shared" ca="1" si="14"/>
        <v>#NAME?</v>
      </c>
      <c r="AK84" s="134" t="e">
        <f t="shared" ca="1" si="19"/>
        <v>#NAME?</v>
      </c>
    </row>
    <row r="85" spans="1:37">
      <c r="A85">
        <v>21</v>
      </c>
      <c r="B85" s="129">
        <v>30544.300295837442</v>
      </c>
      <c r="O85">
        <v>53</v>
      </c>
      <c r="P85" s="133" t="e">
        <f t="shared" ca="1" si="15"/>
        <v>#NAME?</v>
      </c>
      <c r="Q85" s="133" t="e">
        <f t="shared" ca="1" si="16"/>
        <v>#NAME?</v>
      </c>
      <c r="R85" s="133" t="e">
        <f t="shared" ca="1" si="17"/>
        <v>#NAME?</v>
      </c>
      <c r="S85" t="e">
        <f t="shared" ca="1" si="18"/>
        <v>#NAME?</v>
      </c>
      <c r="T85">
        <f ca="1">COUNTIF($S$33:S85,S85)</f>
        <v>53</v>
      </c>
      <c r="U85" t="e" cm="1">
        <f t="array" aca="1" ref="U85" ca="1">INDEX(E$33:E$62,MATCH($S85,$C$33:$C$62,0)+MOD($T85-1,3))</f>
        <v>#NAME?</v>
      </c>
      <c r="V85" t="e">
        <f t="shared" ca="1" si="38"/>
        <v>#NAME?</v>
      </c>
      <c r="W85" t="e">
        <f t="shared" ca="1" si="39"/>
        <v>#NAME?</v>
      </c>
      <c r="X85" t="e">
        <f t="shared" ca="1" si="40"/>
        <v>#NAME?</v>
      </c>
      <c r="Y85" t="e">
        <f t="shared" ca="1" si="41"/>
        <v>#NAME?</v>
      </c>
      <c r="Z85" t="e">
        <f t="shared" ca="1" si="42"/>
        <v>#NAME?</v>
      </c>
      <c r="AA85" t="e">
        <f t="shared" ca="1" si="43"/>
        <v>#NAME?</v>
      </c>
      <c r="AB85" t="b">
        <f t="shared" ca="1" si="11"/>
        <v>0</v>
      </c>
      <c r="AC85" t="str">
        <f t="shared" ca="1" si="12"/>
        <v/>
      </c>
      <c r="AD85" t="str">
        <f t="shared" ca="1" si="48"/>
        <v/>
      </c>
      <c r="AE85" t="str">
        <f t="shared" ca="1" si="44"/>
        <v/>
      </c>
      <c r="AF85" t="e" cm="1">
        <f t="array" aca="1" ref="AF85" ca="1">_xlfn.LET(
    _xlpm.new_weapon,AC85,
    _xlpm.old_weapon,AD85,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5" t="str">
        <f t="shared" ca="1" si="45"/>
        <v/>
      </c>
      <c r="AH85" s="134" t="e">
        <f t="shared" ca="1" si="46"/>
        <v>#NAME?</v>
      </c>
      <c r="AI85" s="134" t="e">
        <f t="shared" ca="1" si="47"/>
        <v>#NAME?</v>
      </c>
      <c r="AJ85" s="134" t="e">
        <f t="shared" ca="1" si="14"/>
        <v>#NAME?</v>
      </c>
      <c r="AK85" s="134" t="e">
        <f t="shared" ca="1" si="19"/>
        <v>#NAME?</v>
      </c>
    </row>
    <row r="86" spans="1:37">
      <c r="A86">
        <v>22</v>
      </c>
      <c r="B86" s="129">
        <v>34762.337832817124</v>
      </c>
      <c r="O86">
        <v>54</v>
      </c>
      <c r="P86" s="133" t="e">
        <f t="shared" ca="1" si="15"/>
        <v>#NAME?</v>
      </c>
      <c r="Q86" s="133" t="e">
        <f t="shared" ca="1" si="16"/>
        <v>#NAME?</v>
      </c>
      <c r="R86" s="133" t="e">
        <f t="shared" ca="1" si="17"/>
        <v>#NAME?</v>
      </c>
      <c r="S86" t="e">
        <f t="shared" ca="1" si="18"/>
        <v>#NAME?</v>
      </c>
      <c r="T86">
        <f ca="1">COUNTIF($S$33:S86,S86)</f>
        <v>54</v>
      </c>
      <c r="U86" t="e" cm="1">
        <f t="array" aca="1" ref="U86" ca="1">INDEX(E$33:E$62,MATCH($S86,$C$33:$C$62,0)+MOD($T86-1,3))</f>
        <v>#NAME?</v>
      </c>
      <c r="V86" t="e">
        <f t="shared" ca="1" si="38"/>
        <v>#NAME?</v>
      </c>
      <c r="W86" t="e">
        <f t="shared" ca="1" si="39"/>
        <v>#NAME?</v>
      </c>
      <c r="X86" t="e">
        <f t="shared" ca="1" si="40"/>
        <v>#NAME?</v>
      </c>
      <c r="Y86" t="e">
        <f t="shared" ca="1" si="41"/>
        <v>#NAME?</v>
      </c>
      <c r="Z86" t="e">
        <f t="shared" ca="1" si="42"/>
        <v>#NAME?</v>
      </c>
      <c r="AA86" t="e">
        <f t="shared" ca="1" si="43"/>
        <v>#NAME?</v>
      </c>
      <c r="AB86" t="b">
        <f t="shared" ca="1" si="11"/>
        <v>0</v>
      </c>
      <c r="AC86" t="str">
        <f t="shared" ca="1" si="12"/>
        <v/>
      </c>
      <c r="AD86" t="str">
        <f t="shared" ca="1" si="48"/>
        <v/>
      </c>
      <c r="AE86" t="str">
        <f t="shared" ca="1" si="44"/>
        <v/>
      </c>
      <c r="AF86" t="e" cm="1">
        <f t="array" aca="1" ref="AF86" ca="1">_xlfn.LET(
    _xlpm.new_weapon,AC86,
    _xlpm.old_weapon,AD86,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6" t="str">
        <f t="shared" ca="1" si="45"/>
        <v/>
      </c>
      <c r="AH86" s="134" t="e">
        <f t="shared" ca="1" si="46"/>
        <v>#NAME?</v>
      </c>
      <c r="AI86" s="134" t="e">
        <f t="shared" ca="1" si="47"/>
        <v>#NAME?</v>
      </c>
      <c r="AJ86" s="134" t="e">
        <f t="shared" ca="1" si="14"/>
        <v>#NAME?</v>
      </c>
      <c r="AK86" s="134" t="e">
        <f t="shared" ca="1" si="19"/>
        <v>#NAME?</v>
      </c>
    </row>
    <row r="87" spans="1:37">
      <c r="A87">
        <v>23</v>
      </c>
      <c r="B87" s="129">
        <v>39507.630061919263</v>
      </c>
      <c r="O87">
        <v>55</v>
      </c>
      <c r="P87" s="133" t="e">
        <f t="shared" ca="1" si="15"/>
        <v>#NAME?</v>
      </c>
      <c r="Q87" s="133" t="e">
        <f t="shared" ca="1" si="16"/>
        <v>#NAME?</v>
      </c>
      <c r="R87" s="133" t="e">
        <f t="shared" ca="1" si="17"/>
        <v>#NAME?</v>
      </c>
      <c r="S87" t="e">
        <f t="shared" ca="1" si="18"/>
        <v>#NAME?</v>
      </c>
      <c r="T87">
        <f ca="1">COUNTIF($S$33:S87,S87)</f>
        <v>55</v>
      </c>
      <c r="U87" t="e" cm="1">
        <f t="array" aca="1" ref="U87" ca="1">INDEX(E$33:E$62,MATCH($S87,$C$33:$C$62,0)+MOD($T87-1,3))</f>
        <v>#NAME?</v>
      </c>
      <c r="V87" t="e">
        <f t="shared" ca="1" si="38"/>
        <v>#NAME?</v>
      </c>
      <c r="W87" t="e">
        <f t="shared" ca="1" si="39"/>
        <v>#NAME?</v>
      </c>
      <c r="X87" t="e">
        <f t="shared" ca="1" si="40"/>
        <v>#NAME?</v>
      </c>
      <c r="Y87" t="e">
        <f t="shared" ca="1" si="41"/>
        <v>#NAME?</v>
      </c>
      <c r="Z87" t="e">
        <f t="shared" ca="1" si="42"/>
        <v>#NAME?</v>
      </c>
      <c r="AA87" t="e">
        <f t="shared" ca="1" si="43"/>
        <v>#NAME?</v>
      </c>
      <c r="AB87" t="b">
        <f t="shared" ca="1" si="11"/>
        <v>0</v>
      </c>
      <c r="AC87" t="str">
        <f t="shared" ca="1" si="12"/>
        <v/>
      </c>
      <c r="AD87" t="str">
        <f t="shared" ca="1" si="48"/>
        <v/>
      </c>
      <c r="AE87" t="str">
        <f t="shared" ca="1" si="44"/>
        <v/>
      </c>
      <c r="AF87" t="e" cm="1">
        <f t="array" aca="1" ref="AF87" ca="1">_xlfn.LET(
    _xlpm.new_weapon,AC87,
    _xlpm.old_weapon,AD87,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7" t="str">
        <f t="shared" ca="1" si="45"/>
        <v/>
      </c>
      <c r="AH87" s="134" t="e">
        <f t="shared" ca="1" si="46"/>
        <v>#NAME?</v>
      </c>
      <c r="AI87" s="134" t="e">
        <f t="shared" ca="1" si="47"/>
        <v>#NAME?</v>
      </c>
      <c r="AJ87" s="134" t="e">
        <f t="shared" ca="1" si="14"/>
        <v>#NAME?</v>
      </c>
      <c r="AK87" s="134" t="e">
        <f t="shared" ca="1" si="19"/>
        <v>#NAME?</v>
      </c>
    </row>
    <row r="88" spans="1:37">
      <c r="A88">
        <v>24</v>
      </c>
      <c r="B88" s="129">
        <v>44846.083819659172</v>
      </c>
      <c r="O88">
        <v>56</v>
      </c>
      <c r="P88" s="133" t="e">
        <f t="shared" ca="1" si="15"/>
        <v>#NAME?</v>
      </c>
      <c r="Q88" s="133" t="e">
        <f t="shared" ca="1" si="16"/>
        <v>#NAME?</v>
      </c>
      <c r="R88" s="133" t="e">
        <f t="shared" ca="1" si="17"/>
        <v>#NAME?</v>
      </c>
      <c r="S88" t="e">
        <f t="shared" ca="1" si="18"/>
        <v>#NAME?</v>
      </c>
      <c r="T88">
        <f ca="1">COUNTIF($S$33:S88,S88)</f>
        <v>56</v>
      </c>
      <c r="U88" t="e" cm="1">
        <f t="array" aca="1" ref="U88" ca="1">INDEX(E$33:E$62,MATCH($S88,$C$33:$C$62,0)+MOD($T88-1,3))</f>
        <v>#NAME?</v>
      </c>
      <c r="V88" t="e">
        <f t="shared" ca="1" si="38"/>
        <v>#NAME?</v>
      </c>
      <c r="W88" t="e">
        <f t="shared" ca="1" si="39"/>
        <v>#NAME?</v>
      </c>
      <c r="X88" t="e">
        <f t="shared" ca="1" si="40"/>
        <v>#NAME?</v>
      </c>
      <c r="Y88" t="e">
        <f t="shared" ca="1" si="41"/>
        <v>#NAME?</v>
      </c>
      <c r="Z88" t="e">
        <f t="shared" ca="1" si="42"/>
        <v>#NAME?</v>
      </c>
      <c r="AA88" t="e">
        <f t="shared" ca="1" si="43"/>
        <v>#NAME?</v>
      </c>
      <c r="AB88" t="b">
        <f t="shared" ca="1" si="11"/>
        <v>0</v>
      </c>
      <c r="AC88" t="str">
        <f t="shared" ca="1" si="12"/>
        <v/>
      </c>
      <c r="AD88" t="str">
        <f t="shared" ca="1" si="48"/>
        <v/>
      </c>
      <c r="AE88" t="str">
        <f t="shared" ca="1" si="44"/>
        <v/>
      </c>
      <c r="AF88" t="e" cm="1">
        <f t="array" aca="1" ref="AF88" ca="1">_xlfn.LET(
    _xlpm.new_weapon,AC88,
    _xlpm.old_weapon,AD88,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8" t="str">
        <f t="shared" ca="1" si="45"/>
        <v/>
      </c>
      <c r="AH88" s="134" t="e">
        <f t="shared" ca="1" si="46"/>
        <v>#NAME?</v>
      </c>
      <c r="AI88" s="134" t="e">
        <f t="shared" ca="1" si="47"/>
        <v>#NAME?</v>
      </c>
      <c r="AJ88" s="134" t="e">
        <f t="shared" ca="1" si="14"/>
        <v>#NAME?</v>
      </c>
      <c r="AK88" s="134" t="e">
        <f t="shared" ca="1" si="19"/>
        <v>#NAME?</v>
      </c>
    </row>
    <row r="89" spans="1:37">
      <c r="A89">
        <v>25</v>
      </c>
      <c r="B89" s="129">
        <v>50851.844297116571</v>
      </c>
      <c r="O89">
        <v>57</v>
      </c>
      <c r="P89" s="133" t="e">
        <f t="shared" ca="1" si="15"/>
        <v>#NAME?</v>
      </c>
      <c r="Q89" s="133" t="e">
        <f t="shared" ca="1" si="16"/>
        <v>#NAME?</v>
      </c>
      <c r="R89" s="133" t="e">
        <f t="shared" ca="1" si="17"/>
        <v>#NAME?</v>
      </c>
      <c r="S89" t="e">
        <f t="shared" ca="1" si="18"/>
        <v>#NAME?</v>
      </c>
      <c r="T89">
        <f ca="1">COUNTIF($S$33:S89,S89)</f>
        <v>57</v>
      </c>
      <c r="U89" t="e" cm="1">
        <f t="array" aca="1" ref="U89" ca="1">INDEX(E$33:E$62,MATCH($S89,$C$33:$C$62,0)+MOD($T89-1,3))</f>
        <v>#NAME?</v>
      </c>
      <c r="V89" t="e">
        <f t="shared" ca="1" si="38"/>
        <v>#NAME?</v>
      </c>
      <c r="W89" t="e">
        <f t="shared" ca="1" si="39"/>
        <v>#NAME?</v>
      </c>
      <c r="X89" t="e">
        <f t="shared" ca="1" si="40"/>
        <v>#NAME?</v>
      </c>
      <c r="Y89" t="e">
        <f t="shared" ca="1" si="41"/>
        <v>#NAME?</v>
      </c>
      <c r="Z89" t="e">
        <f t="shared" ca="1" si="42"/>
        <v>#NAME?</v>
      </c>
      <c r="AA89" t="e">
        <f t="shared" ca="1" si="43"/>
        <v>#NAME?</v>
      </c>
      <c r="AB89" t="b">
        <f t="shared" ca="1" si="11"/>
        <v>0</v>
      </c>
      <c r="AC89" t="str">
        <f t="shared" ca="1" si="12"/>
        <v/>
      </c>
      <c r="AD89" t="str">
        <f t="shared" ca="1" si="48"/>
        <v/>
      </c>
      <c r="AE89" t="str">
        <f t="shared" ca="1" si="44"/>
        <v/>
      </c>
      <c r="AF89" t="e" cm="1">
        <f t="array" aca="1" ref="AF89" ca="1">_xlfn.LET(
    _xlpm.new_weapon,AC89,
    _xlpm.old_weapon,AD89,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89" t="str">
        <f t="shared" ca="1" si="45"/>
        <v/>
      </c>
      <c r="AH89" s="134" t="e">
        <f t="shared" ca="1" si="46"/>
        <v>#NAME?</v>
      </c>
      <c r="AI89" s="134" t="e">
        <f t="shared" ca="1" si="47"/>
        <v>#NAME?</v>
      </c>
      <c r="AJ89" s="134" t="e">
        <f t="shared" ca="1" si="14"/>
        <v>#NAME?</v>
      </c>
      <c r="AK89" s="134" t="e">
        <f t="shared" ca="1" si="19"/>
        <v>#NAME?</v>
      </c>
    </row>
    <row r="90" spans="1:37">
      <c r="A90">
        <v>26</v>
      </c>
      <c r="B90" s="129">
        <v>57608.324834256142</v>
      </c>
      <c r="O90">
        <v>58</v>
      </c>
      <c r="P90" s="133" t="e">
        <f t="shared" ca="1" si="15"/>
        <v>#NAME?</v>
      </c>
      <c r="Q90" s="133" t="e">
        <f t="shared" ca="1" si="16"/>
        <v>#NAME?</v>
      </c>
      <c r="R90" s="133" t="e">
        <f t="shared" ca="1" si="17"/>
        <v>#NAME?</v>
      </c>
      <c r="S90" t="e">
        <f t="shared" ca="1" si="18"/>
        <v>#NAME?</v>
      </c>
      <c r="T90">
        <f ca="1">COUNTIF($S$33:S90,S90)</f>
        <v>58</v>
      </c>
      <c r="U90" t="e" cm="1">
        <f t="array" aca="1" ref="U90" ca="1">INDEX(E$33:E$62,MATCH($S90,$C$33:$C$62,0)+MOD($T90-1,3))</f>
        <v>#NAME?</v>
      </c>
      <c r="V90" t="e">
        <f t="shared" ca="1" si="38"/>
        <v>#NAME?</v>
      </c>
      <c r="W90" t="e">
        <f t="shared" ca="1" si="39"/>
        <v>#NAME?</v>
      </c>
      <c r="X90" t="e">
        <f t="shared" ca="1" si="40"/>
        <v>#NAME?</v>
      </c>
      <c r="Y90" t="e">
        <f t="shared" ca="1" si="41"/>
        <v>#NAME?</v>
      </c>
      <c r="Z90" t="e">
        <f t="shared" ca="1" si="42"/>
        <v>#NAME?</v>
      </c>
      <c r="AA90" t="e">
        <f t="shared" ca="1" si="43"/>
        <v>#NAME?</v>
      </c>
      <c r="AB90" t="b">
        <f t="shared" ca="1" si="11"/>
        <v>0</v>
      </c>
      <c r="AC90" t="str">
        <f t="shared" ca="1" si="12"/>
        <v/>
      </c>
      <c r="AD90" t="str">
        <f t="shared" ca="1" si="48"/>
        <v/>
      </c>
      <c r="AE90" t="str">
        <f t="shared" ca="1" si="44"/>
        <v/>
      </c>
      <c r="AF90" t="e" cm="1">
        <f t="array" aca="1" ref="AF90" ca="1">_xlfn.LET(
    _xlpm.new_weapon,AC90,
    _xlpm.old_weapon,AD90,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90" t="str">
        <f t="shared" ca="1" si="45"/>
        <v/>
      </c>
      <c r="AH90" s="134" t="e">
        <f t="shared" ca="1" si="46"/>
        <v>#NAME?</v>
      </c>
      <c r="AI90" s="134" t="e">
        <f t="shared" ca="1" si="47"/>
        <v>#NAME?</v>
      </c>
      <c r="AJ90" s="134" t="e">
        <f t="shared" ca="1" si="14"/>
        <v>#NAME?</v>
      </c>
      <c r="AK90" s="134" t="e">
        <f t="shared" ca="1" si="19"/>
        <v>#NAME?</v>
      </c>
    </row>
    <row r="91" spans="1:37">
      <c r="A91">
        <v>27</v>
      </c>
      <c r="B91" s="129">
        <v>65209.36543853816</v>
      </c>
      <c r="O91">
        <v>59</v>
      </c>
      <c r="P91" s="133" t="e">
        <f t="shared" ca="1" si="15"/>
        <v>#NAME?</v>
      </c>
      <c r="Q91" s="133" t="e">
        <f t="shared" ca="1" si="16"/>
        <v>#NAME?</v>
      </c>
      <c r="R91" s="133" t="e">
        <f t="shared" ca="1" si="17"/>
        <v>#NAME?</v>
      </c>
      <c r="S91" t="e">
        <f t="shared" ca="1" si="18"/>
        <v>#NAME?</v>
      </c>
      <c r="T91">
        <f ca="1">COUNTIF($S$33:S91,S91)</f>
        <v>59</v>
      </c>
      <c r="U91" t="e" cm="1">
        <f t="array" aca="1" ref="U91" ca="1">INDEX(E$33:E$62,MATCH($S91,$C$33:$C$62,0)+MOD($T91-1,3))</f>
        <v>#NAME?</v>
      </c>
      <c r="V91" t="e">
        <f t="shared" ca="1" si="38"/>
        <v>#NAME?</v>
      </c>
      <c r="W91" t="e">
        <f t="shared" ca="1" si="39"/>
        <v>#NAME?</v>
      </c>
      <c r="X91" t="e">
        <f t="shared" ca="1" si="40"/>
        <v>#NAME?</v>
      </c>
      <c r="Y91" t="e">
        <f t="shared" ca="1" si="41"/>
        <v>#NAME?</v>
      </c>
      <c r="Z91" t="e">
        <f t="shared" ca="1" si="42"/>
        <v>#NAME?</v>
      </c>
      <c r="AA91" t="e">
        <f t="shared" ca="1" si="43"/>
        <v>#NAME?</v>
      </c>
      <c r="AB91" t="b">
        <f t="shared" ca="1" si="11"/>
        <v>0</v>
      </c>
      <c r="AC91" t="str">
        <f t="shared" ca="1" si="12"/>
        <v/>
      </c>
      <c r="AD91" t="str">
        <f t="shared" ca="1" si="48"/>
        <v/>
      </c>
      <c r="AE91" t="str">
        <f t="shared" ca="1" si="44"/>
        <v/>
      </c>
      <c r="AF91" t="e" cm="1">
        <f t="array" aca="1" ref="AF91" ca="1">_xlfn.LET(
    _xlpm.new_weapon,AC91,
    _xlpm.old_weapon,AD91,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91" t="str">
        <f t="shared" ca="1" si="45"/>
        <v/>
      </c>
      <c r="AH91" s="134" t="e">
        <f t="shared" ca="1" si="46"/>
        <v>#NAME?</v>
      </c>
      <c r="AI91" s="134" t="e">
        <f t="shared" ca="1" si="47"/>
        <v>#NAME?</v>
      </c>
      <c r="AJ91" s="134" t="e">
        <f t="shared" ca="1" si="14"/>
        <v>#NAME?</v>
      </c>
      <c r="AK91" s="134" t="e">
        <f t="shared" ca="1" si="19"/>
        <v>#NAME?</v>
      </c>
    </row>
    <row r="92" spans="1:37">
      <c r="A92">
        <v>28</v>
      </c>
      <c r="B92" s="129">
        <v>73760.536118355434</v>
      </c>
      <c r="O92">
        <v>60</v>
      </c>
      <c r="P92" s="133" t="e">
        <f t="shared" ca="1" si="15"/>
        <v>#NAME?</v>
      </c>
      <c r="Q92" s="133" t="e">
        <f t="shared" ca="1" si="16"/>
        <v>#NAME?</v>
      </c>
      <c r="R92" s="133" t="e">
        <f t="shared" ca="1" si="17"/>
        <v>#NAME?</v>
      </c>
      <c r="S92" t="e">
        <f t="shared" ca="1" si="18"/>
        <v>#NAME?</v>
      </c>
      <c r="T92">
        <f ca="1">COUNTIF($S$33:S92,S92)</f>
        <v>60</v>
      </c>
      <c r="U92" t="e" cm="1">
        <f t="array" aca="1" ref="U92" ca="1">INDEX(E$33:E$62,MATCH($S92,$C$33:$C$62,0)+MOD($T92-1,3))</f>
        <v>#NAME?</v>
      </c>
      <c r="V92" t="e">
        <f t="shared" ca="1" si="38"/>
        <v>#NAME?</v>
      </c>
      <c r="W92" t="e">
        <f t="shared" ca="1" si="39"/>
        <v>#NAME?</v>
      </c>
      <c r="X92" t="e">
        <f t="shared" ca="1" si="40"/>
        <v>#NAME?</v>
      </c>
      <c r="Y92" t="e">
        <f t="shared" ca="1" si="41"/>
        <v>#NAME?</v>
      </c>
      <c r="Z92" t="e">
        <f t="shared" ca="1" si="42"/>
        <v>#NAME?</v>
      </c>
      <c r="AA92" t="e">
        <f t="shared" ca="1" si="43"/>
        <v>#NAME?</v>
      </c>
      <c r="AB92" t="b">
        <f t="shared" ca="1" si="11"/>
        <v>0</v>
      </c>
      <c r="AC92" t="str">
        <f t="shared" ca="1" si="12"/>
        <v/>
      </c>
      <c r="AD92" t="str">
        <f t="shared" ca="1" si="48"/>
        <v/>
      </c>
      <c r="AE92" t="str">
        <f t="shared" ca="1" si="44"/>
        <v/>
      </c>
      <c r="AF92" t="e" cm="1">
        <f t="array" aca="1" ref="AF92" ca="1">_xlfn.LET(
    _xlpm.new_weapon,AC92,
    _xlpm.old_weapon,AD92,
    _xlpm.weapon_rng,$G$33:$G$62,
    _xlpm.stats_rng,$J$33:$J$62,
    _xlpm.new_weapon_stats,INDEX(_xlpm.stats_rng,MATCH(_xlpm.new_weapon,_xlpm.weapon_rng,0)),
    _xlpm.old_weapon_stats,INDEX(_xlpm.stats_rng,MATCH(_xlpm.old_weapon,_xlpm.weapon_rng,0)),
    IF(
        _xlpm.new_weapon="",
        FALSE,
        IF(
            _xlpm.old_weapon="",
            TRUE,
            _xlpm.new_weapon_stats&gt;_xlpm.old_weapon_stats
        )
    )
)</f>
        <v>#NAME?</v>
      </c>
      <c r="AG92" t="str">
        <f t="shared" ca="1" si="45"/>
        <v/>
      </c>
      <c r="AH92" s="134" t="e">
        <f t="shared" ca="1" si="46"/>
        <v>#NAME?</v>
      </c>
      <c r="AI92" s="134" t="e">
        <f t="shared" ca="1" si="47"/>
        <v>#NAME?</v>
      </c>
      <c r="AJ92" s="134" t="e">
        <f t="shared" ca="1" si="14"/>
        <v>#NAME?</v>
      </c>
      <c r="AK92" s="134" t="e">
        <f t="shared" ca="1" si="19"/>
        <v>#NAME?</v>
      </c>
    </row>
    <row r="93" spans="1:37">
      <c r="A93">
        <v>29</v>
      </c>
      <c r="B93" s="129">
        <v>83380.603133149867</v>
      </c>
    </row>
    <row r="94" spans="1:37">
      <c r="A94">
        <v>30</v>
      </c>
      <c r="B94" s="129">
        <v>94203.178524793606</v>
      </c>
    </row>
    <row r="95" spans="1:37">
      <c r="A95">
        <v>31</v>
      </c>
      <c r="B95" s="129">
        <v>106378.5758403928</v>
      </c>
    </row>
    <row r="96" spans="1:37">
      <c r="A96">
        <v>32</v>
      </c>
      <c r="B96" s="129">
        <v>120075.89782044191</v>
      </c>
    </row>
    <row r="97" spans="1:2">
      <c r="A97">
        <v>33</v>
      </c>
      <c r="B97" s="129">
        <v>135485.38504799714</v>
      </c>
    </row>
    <row r="98" spans="1:2">
      <c r="A98">
        <v>34</v>
      </c>
      <c r="B98" s="129">
        <v>152821.05817899678</v>
      </c>
    </row>
    <row r="99" spans="1:2">
      <c r="A99">
        <v>35</v>
      </c>
      <c r="B99" s="129">
        <v>172323.69045137137</v>
      </c>
    </row>
    <row r="100" spans="1:2">
      <c r="A100">
        <v>36</v>
      </c>
      <c r="B100" s="129">
        <v>194264.1517577928</v>
      </c>
    </row>
    <row r="101" spans="1:2">
      <c r="A101">
        <v>37</v>
      </c>
      <c r="B101" s="129">
        <v>218947.1707275169</v>
      </c>
    </row>
    <row r="102" spans="1:2">
      <c r="A102">
        <v>38</v>
      </c>
      <c r="B102" s="129">
        <v>246715.56706845653</v>
      </c>
    </row>
    <row r="103" spans="1:2">
      <c r="A103">
        <v>39</v>
      </c>
      <c r="B103" s="129">
        <v>277955.01295201358</v>
      </c>
    </row>
    <row r="104" spans="1:2">
      <c r="A104">
        <v>40</v>
      </c>
      <c r="B104" s="129">
        <v>313099.38957101526</v>
      </c>
    </row>
    <row r="105" spans="1:2">
      <c r="A105">
        <v>41</v>
      </c>
      <c r="B105" s="129">
        <v>352636.81326739216</v>
      </c>
    </row>
    <row r="106" spans="1:2">
      <c r="A106">
        <v>42</v>
      </c>
      <c r="B106" s="129">
        <v>397116.41492581618</v>
      </c>
    </row>
    <row r="107" spans="1:2">
      <c r="A107">
        <v>43</v>
      </c>
      <c r="B107" s="129">
        <v>447155.96679154318</v>
      </c>
    </row>
    <row r="108" spans="1:2">
      <c r="A108">
        <v>44</v>
      </c>
      <c r="B108" s="129">
        <v>503450.46264048608</v>
      </c>
    </row>
    <row r="109" spans="1:2">
      <c r="A109">
        <v>45</v>
      </c>
      <c r="B109" s="129">
        <v>566781.77047054679</v>
      </c>
    </row>
    <row r="110" spans="1:2">
      <c r="A110">
        <v>46</v>
      </c>
      <c r="B110" s="129">
        <v>638029.49177936511</v>
      </c>
    </row>
    <row r="111" spans="1:2">
      <c r="A111">
        <v>47</v>
      </c>
      <c r="B111" s="129">
        <v>718183.17825178569</v>
      </c>
    </row>
    <row r="112" spans="1:2">
      <c r="A112">
        <v>48</v>
      </c>
      <c r="B112" s="129">
        <v>808356.07553325896</v>
      </c>
    </row>
    <row r="113" spans="1:5">
      <c r="A113">
        <v>49</v>
      </c>
      <c r="B113" s="129">
        <v>909800.5849749163</v>
      </c>
    </row>
    <row r="114" spans="1:5">
      <c r="A114">
        <v>50</v>
      </c>
      <c r="B114" s="129">
        <v>1023925.6580967809</v>
      </c>
    </row>
    <row r="115" spans="1:5">
      <c r="A115">
        <v>51</v>
      </c>
      <c r="B115" s="129">
        <v>1152316.3653588784</v>
      </c>
    </row>
    <row r="116" spans="1:5">
      <c r="A116">
        <v>52</v>
      </c>
      <c r="B116" s="129">
        <v>1296755.9110287381</v>
      </c>
    </row>
    <row r="117" spans="1:5">
      <c r="A117">
        <v>53</v>
      </c>
      <c r="B117" s="129">
        <v>1459250.3999073305</v>
      </c>
    </row>
    <row r="118" spans="1:5">
      <c r="A118">
        <v>54</v>
      </c>
      <c r="B118" s="129">
        <v>1642056.6998957468</v>
      </c>
    </row>
    <row r="119" spans="1:5">
      <c r="A119">
        <v>55</v>
      </c>
      <c r="B119" s="129">
        <v>1847713.7873827151</v>
      </c>
    </row>
    <row r="120" spans="1:5">
      <c r="A120">
        <v>56</v>
      </c>
      <c r="B120" s="129">
        <v>2079078.0108055545</v>
      </c>
    </row>
    <row r="121" spans="1:5">
      <c r="A121">
        <v>57</v>
      </c>
      <c r="B121" s="129">
        <v>2339362.7621562486</v>
      </c>
    </row>
    <row r="122" spans="1:5">
      <c r="A122">
        <v>58</v>
      </c>
      <c r="B122" s="129">
        <v>2632183.1074257796</v>
      </c>
    </row>
    <row r="123" spans="1:5">
      <c r="A123">
        <v>59</v>
      </c>
      <c r="B123" s="129">
        <v>2961605.995854002</v>
      </c>
    </row>
    <row r="124" spans="1:5">
      <c r="A124">
        <v>60</v>
      </c>
      <c r="B124" s="129">
        <v>3332206.7453357521</v>
      </c>
      <c r="E124" s="131"/>
    </row>
    <row r="125" spans="1:5">
      <c r="A125">
        <v>61</v>
      </c>
      <c r="B125" s="129">
        <v>3749132.5885027209</v>
      </c>
      <c r="E125" s="131"/>
    </row>
    <row r="126" spans="1:5">
      <c r="A126">
        <v>62</v>
      </c>
      <c r="B126" s="129">
        <v>4218174.1620655609</v>
      </c>
    </row>
    <row r="127" spans="1:5">
      <c r="A127">
        <v>63</v>
      </c>
      <c r="B127" s="129">
        <v>4745845.9323237557</v>
      </c>
    </row>
    <row r="128" spans="1:5">
      <c r="A128">
        <v>64</v>
      </c>
      <c r="B128" s="129">
        <v>5339476.6738642249</v>
      </c>
    </row>
    <row r="129" spans="1:2">
      <c r="A129">
        <v>65</v>
      </c>
      <c r="B129" s="129">
        <v>6007311.2580972528</v>
      </c>
    </row>
    <row r="130" spans="1:2">
      <c r="A130">
        <v>66</v>
      </c>
      <c r="B130" s="129">
        <v>6758625.1653594095</v>
      </c>
    </row>
    <row r="131" spans="1:2">
      <c r="A131">
        <v>67</v>
      </c>
      <c r="B131" s="129">
        <v>7603853.3110293355</v>
      </c>
    </row>
    <row r="132" spans="1:2">
      <c r="A132">
        <v>68</v>
      </c>
      <c r="B132" s="129">
        <v>8554734.9749080017</v>
      </c>
    </row>
    <row r="133" spans="1:2">
      <c r="A133">
        <v>69</v>
      </c>
      <c r="B133" s="129">
        <v>9624476.846771501</v>
      </c>
    </row>
    <row r="134" spans="1:2">
      <c r="A134">
        <v>70</v>
      </c>
      <c r="B134" s="129">
        <v>10827936.45261794</v>
      </c>
    </row>
    <row r="135" spans="1:2">
      <c r="A135">
        <v>71</v>
      </c>
      <c r="B135" s="129">
        <v>12181828.509195182</v>
      </c>
    </row>
    <row r="136" spans="1:2">
      <c r="A136">
        <v>72</v>
      </c>
      <c r="B136" s="129">
        <v>13704957.07284458</v>
      </c>
    </row>
    <row r="137" spans="1:2">
      <c r="A137">
        <v>73</v>
      </c>
      <c r="B137" s="129">
        <v>15418476.706950152</v>
      </c>
    </row>
    <row r="138" spans="1:2">
      <c r="A138">
        <v>74</v>
      </c>
      <c r="B138" s="129">
        <v>17346186.29531892</v>
      </c>
    </row>
    <row r="139" spans="1:2">
      <c r="A139">
        <v>75</v>
      </c>
      <c r="B139" s="129">
        <v>19514859.582233787</v>
      </c>
    </row>
    <row r="140" spans="1:2">
      <c r="A140">
        <v>76</v>
      </c>
      <c r="B140" s="129">
        <v>21954617.03001301</v>
      </c>
    </row>
    <row r="141" spans="1:2">
      <c r="A141">
        <v>77</v>
      </c>
      <c r="B141" s="129">
        <v>24699344.158764638</v>
      </c>
    </row>
    <row r="142" spans="1:2">
      <c r="A142">
        <v>78</v>
      </c>
      <c r="B142" s="129">
        <v>27787162.178610217</v>
      </c>
    </row>
    <row r="143" spans="1:2">
      <c r="A143">
        <v>79</v>
      </c>
      <c r="B143" s="129">
        <v>31260957.450936493</v>
      </c>
    </row>
    <row r="144" spans="1:2">
      <c r="A144">
        <v>80</v>
      </c>
      <c r="B144" s="129">
        <v>35168977.132303551</v>
      </c>
    </row>
    <row r="145" spans="1:2">
      <c r="A145">
        <v>81</v>
      </c>
      <c r="B145" s="129">
        <v>39565499.273841493</v>
      </c>
    </row>
    <row r="146" spans="1:2">
      <c r="A146">
        <v>82</v>
      </c>
      <c r="B146" s="129">
        <v>44511586.68307168</v>
      </c>
    </row>
    <row r="147" spans="1:2">
      <c r="A147">
        <v>83</v>
      </c>
      <c r="B147" s="129">
        <v>50075935.018455639</v>
      </c>
    </row>
    <row r="148" spans="1:2">
      <c r="A148">
        <v>84</v>
      </c>
      <c r="B148" s="129">
        <v>56335826.895762593</v>
      </c>
    </row>
    <row r="149" spans="1:2">
      <c r="A149">
        <v>85</v>
      </c>
      <c r="B149" s="129">
        <v>63378205.257732913</v>
      </c>
    </row>
    <row r="150" spans="1:2">
      <c r="A150">
        <v>86</v>
      </c>
      <c r="B150" s="129">
        <v>71300880.914949521</v>
      </c>
    </row>
    <row r="151" spans="1:2">
      <c r="A151">
        <v>87</v>
      </c>
      <c r="B151" s="129">
        <v>80213891.029318213</v>
      </c>
    </row>
    <row r="152" spans="1:2">
      <c r="A152">
        <v>88</v>
      </c>
      <c r="B152" s="129">
        <v>90241027.40798299</v>
      </c>
    </row>
    <row r="153" spans="1:2">
      <c r="A153">
        <v>89</v>
      </c>
      <c r="B153" s="129">
        <v>101521555.83398086</v>
      </c>
    </row>
    <row r="154" spans="1:2">
      <c r="A154">
        <v>90</v>
      </c>
      <c r="B154" s="129">
        <v>114212150.31322846</v>
      </c>
    </row>
    <row r="155" spans="1:2">
      <c r="A155">
        <v>91</v>
      </c>
      <c r="B155" s="129">
        <v>128489069.10238202</v>
      </c>
    </row>
    <row r="156" spans="1:2">
      <c r="A156">
        <v>92</v>
      </c>
      <c r="B156" s="129">
        <v>144550602.74017978</v>
      </c>
    </row>
    <row r="157" spans="1:2">
      <c r="A157">
        <v>93</v>
      </c>
      <c r="B157" s="129">
        <v>162619828.08270225</v>
      </c>
    </row>
    <row r="158" spans="1:2">
      <c r="A158">
        <v>94</v>
      </c>
      <c r="B158" s="129">
        <v>182947706.59304002</v>
      </c>
    </row>
    <row r="159" spans="1:2">
      <c r="A159">
        <v>95</v>
      </c>
      <c r="B159" s="129">
        <v>205816569.91717002</v>
      </c>
    </row>
    <row r="160" spans="1:2">
      <c r="A160">
        <v>96</v>
      </c>
      <c r="B160" s="129">
        <v>231544041.15681627</v>
      </c>
    </row>
    <row r="161" spans="1:2">
      <c r="A161">
        <v>97</v>
      </c>
      <c r="B161" s="129">
        <v>260487446.3014183</v>
      </c>
    </row>
    <row r="162" spans="1:2">
      <c r="A162">
        <v>98</v>
      </c>
      <c r="B162" s="129">
        <v>293048777.08909559</v>
      </c>
    </row>
    <row r="163" spans="1:2">
      <c r="A163">
        <v>99</v>
      </c>
      <c r="B163" s="129">
        <v>329680274.22523254</v>
      </c>
    </row>
    <row r="164" spans="1:2">
      <c r="A164">
        <v>100</v>
      </c>
      <c r="B164" s="129">
        <v>370890708.50338662</v>
      </c>
    </row>
  </sheetData>
  <conditionalFormatting sqref="AB33:AC92">
    <cfRule type="cellIs" dxfId="7" priority="2" operator="equal">
      <formula>TRUE</formula>
    </cfRule>
  </conditionalFormatting>
  <conditionalFormatting sqref="AF33:AG92">
    <cfRule type="cellIs" dxfId="6" priority="1" operator="equal">
      <formula>TRUE</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EAB73-2737-48F4-BC0F-E778DAA87DD0}">
  <sheetPr>
    <tabColor theme="5" tint="0.79998168889431442"/>
  </sheetPr>
  <dimension ref="A1:T232"/>
  <sheetViews>
    <sheetView workbookViewId="0"/>
  </sheetViews>
  <sheetFormatPr defaultRowHeight="15"/>
  <cols>
    <col min="1" max="1" width="14.7109375" bestFit="1" customWidth="1"/>
    <col min="2" max="2" width="15.28515625" bestFit="1" customWidth="1"/>
    <col min="4" max="4" width="19.42578125" bestFit="1" customWidth="1"/>
    <col min="5" max="5" width="13.85546875" bestFit="1" customWidth="1"/>
    <col min="6" max="6" width="11.5703125" bestFit="1" customWidth="1"/>
    <col min="7" max="7" width="10.5703125" bestFit="1" customWidth="1"/>
    <col min="8" max="8" width="13.42578125" bestFit="1" customWidth="1"/>
    <col min="9" max="9" width="18.85546875" bestFit="1" customWidth="1"/>
  </cols>
  <sheetData>
    <row r="1" spans="1:20" ht="15.75" thickBot="1">
      <c r="M1" t="s">
        <v>348</v>
      </c>
    </row>
    <row r="2" spans="1:20" ht="15.75" thickBot="1">
      <c r="A2" s="42" t="s">
        <v>1056</v>
      </c>
      <c r="B2" s="42" t="s">
        <v>13</v>
      </c>
      <c r="C2" s="42" t="s">
        <v>14</v>
      </c>
      <c r="D2" s="42" t="s">
        <v>1074</v>
      </c>
      <c r="E2" s="42" t="s">
        <v>135</v>
      </c>
      <c r="F2" s="1" t="s">
        <v>223</v>
      </c>
      <c r="G2" s="1" t="s">
        <v>299</v>
      </c>
      <c r="H2" s="1" t="s">
        <v>300</v>
      </c>
      <c r="I2" s="1" t="s">
        <v>301</v>
      </c>
      <c r="J2" s="1" t="s">
        <v>302</v>
      </c>
      <c r="K2" t="s">
        <v>365</v>
      </c>
      <c r="L2" t="s">
        <v>409</v>
      </c>
      <c r="M2" s="138" t="s">
        <v>1097</v>
      </c>
      <c r="N2" s="138" t="s">
        <v>365</v>
      </c>
      <c r="O2" s="138" t="s">
        <v>300</v>
      </c>
      <c r="P2" s="138" t="s">
        <v>409</v>
      </c>
      <c r="S2" t="s">
        <v>54</v>
      </c>
    </row>
    <row r="3" spans="1:20">
      <c r="A3" s="132" t="s">
        <v>66</v>
      </c>
      <c r="B3" t="str">
        <f>INDEX(Case!$F$246:$F$267,MATCH(A3,Case!$E$246:$E$267,0))</f>
        <v>Orc</v>
      </c>
      <c r="C3" t="str">
        <f>INDEX(Case!$G$246:$G$267,MATCH(A3,Case!$E$246:$E$267,0))</f>
        <v>Warlock</v>
      </c>
      <c r="D3" s="122" t="e">
        <f>INDEX('L5 Calc'!$U$3:$U$23,MATCH('L6 Calc'!$A3,'L5 Calc'!$N$3:$N$23,0))</f>
        <v>#N/A</v>
      </c>
      <c r="E3" t="e">
        <f>INDEX('L5 Calc'!$S$3:$S$23,MATCH('L6 Calc'!$A3,'L5 Calc'!$N$3:$N$23,0))</f>
        <v>#N/A</v>
      </c>
      <c r="F3" t="str">
        <f>INDEX(Case!$K$332:$O$339,MATCH('L6 Calc'!$C3,Case!$J$332:$J$339,0),MATCH('L6 Calc'!F$2,Case!$K$331:$O$331,0))</f>
        <v>Intellect</v>
      </c>
      <c r="G3" t="str">
        <f>INDEX(Case!$K$332:$O$339,MATCH('L6 Calc'!$C3,Case!$J$332:$J$339,0),MATCH('L6 Calc'!G$2,Case!$K$331:$O$331,0))</f>
        <v>Damage</v>
      </c>
      <c r="H3" t="str">
        <f>INDEX(Case!$K$332:$O$339,MATCH('L6 Calc'!$C3,Case!$J$332:$J$339,0),MATCH('L6 Calc'!H$2,Case!$K$331:$O$331,0))</f>
        <v>DPS</v>
      </c>
      <c r="I3">
        <f>INDEX(Case!$K$332:$O$339,MATCH('L6 Calc'!$C3,Case!$J$332:$J$339,0),MATCH('L6 Calc'!I$2,Case!$K$331:$O$331,0))</f>
        <v>2.5</v>
      </c>
      <c r="J3" s="137">
        <f>INDEX(Case!$K$332:$O$339,MATCH('L6 Calc'!$C3,Case!$J$332:$J$339,0),MATCH('L6 Calc'!J$2,Case!$K$331:$O$331,0))</f>
        <v>0.8</v>
      </c>
      <c r="K3" t="e">
        <f>E3*50*J3</f>
        <v>#N/A</v>
      </c>
      <c r="L3" t="e">
        <f>D3*I3</f>
        <v>#N/A</v>
      </c>
      <c r="M3" s="138">
        <v>1</v>
      </c>
      <c r="N3" s="138" t="e">
        <f>INDEX($K$3:$K$23,MATCH(M3,$A$3:$A$23,0))</f>
        <v>#N/A</v>
      </c>
      <c r="O3" s="138" t="str">
        <f>INDEX($H$3:$H$23,MATCH(M3,$A$3:$A$23,0))</f>
        <v>DPS</v>
      </c>
      <c r="P3" s="138" t="e">
        <f>INDEX($L$3:$L$23,MATCH(M3,$A$3:$A$23,0))</f>
        <v>#N/A</v>
      </c>
      <c r="S3" t="s">
        <v>1111</v>
      </c>
    </row>
    <row r="4" spans="1:20">
      <c r="A4" s="132">
        <v>1</v>
      </c>
      <c r="B4" t="str">
        <f>INDEX(Case!$F$246:$F$267,MATCH(A4,Case!$E$246:$E$267,0))</f>
        <v>Orc</v>
      </c>
      <c r="C4" t="str">
        <f>INDEX(Case!$G$246:$G$267,MATCH(A4,Case!$E$246:$E$267,0))</f>
        <v>Warrior</v>
      </c>
      <c r="D4" s="122" t="e">
        <f>INDEX('L5 Calc'!$U$3:$U$23,MATCH('L6 Calc'!$A4,'L5 Calc'!$N$3:$N$23,0))</f>
        <v>#N/A</v>
      </c>
      <c r="E4" t="e">
        <f>INDEX('L5 Calc'!$S$3:$S$23,MATCH('L6 Calc'!$A4,'L5 Calc'!$N$3:$N$23,0))</f>
        <v>#N/A</v>
      </c>
      <c r="F4" t="str">
        <f>INDEX(Case!$K$332:$O$339,MATCH('L6 Calc'!$C4,Case!$J$332:$J$339,0),MATCH('L6 Calc'!F$2,Case!$K$331:$O$331,0))</f>
        <v>Armor</v>
      </c>
      <c r="G4" t="str">
        <f>INDEX(Case!$K$332:$O$339,MATCH('L6 Calc'!$C4,Case!$J$332:$J$339,0),MATCH('L6 Calc'!G$2,Case!$K$331:$O$331,0))</f>
        <v>Damage</v>
      </c>
      <c r="H4" t="str">
        <f>INDEX(Case!$K$332:$O$339,MATCH('L6 Calc'!$C4,Case!$J$332:$J$339,0),MATCH('L6 Calc'!H$2,Case!$K$331:$O$331,0))</f>
        <v>DPS</v>
      </c>
      <c r="I4">
        <f>INDEX(Case!$K$332:$O$339,MATCH('L6 Calc'!$C4,Case!$J$332:$J$339,0),MATCH('L6 Calc'!I$2,Case!$K$331:$O$331,0))</f>
        <v>1</v>
      </c>
      <c r="J4" s="137">
        <f>INDEX(Case!$K$332:$O$339,MATCH('L6 Calc'!$C4,Case!$J$332:$J$339,0),MATCH('L6 Calc'!J$2,Case!$K$331:$O$331,0))</f>
        <v>1.1499999999999999</v>
      </c>
      <c r="K4" t="e">
        <f t="shared" ref="K4:K23" si="0">E4*50*J4</f>
        <v>#N/A</v>
      </c>
      <c r="L4" t="e">
        <f t="shared" ref="L4:L23" si="1">D4*I4</f>
        <v>#N/A</v>
      </c>
      <c r="M4" s="138">
        <v>2</v>
      </c>
      <c r="N4" s="138" t="e">
        <f t="shared" ref="N4:N23" si="2">INDEX($K$3:$K$23,MATCH(M4,$A$3:$A$23,0))</f>
        <v>#N/A</v>
      </c>
      <c r="O4" s="138" t="str">
        <f t="shared" ref="O4:O23" si="3">INDEX($H$3:$H$23,MATCH(M4,$A$3:$A$23,0))</f>
        <v>HPS</v>
      </c>
      <c r="P4" s="138" t="e">
        <f t="shared" ref="P4:P23" si="4">INDEX($L$3:$L$23,MATCH(M4,$A$3:$A$23,0))</f>
        <v>#N/A</v>
      </c>
      <c r="T4" t="s">
        <v>1112</v>
      </c>
    </row>
    <row r="5" spans="1:20">
      <c r="A5" s="132">
        <v>2</v>
      </c>
      <c r="B5" t="str">
        <f>INDEX(Case!$F$246:$F$267,MATCH(A5,Case!$E$246:$E$267,0))</f>
        <v>Troll</v>
      </c>
      <c r="C5" t="str">
        <f>INDEX(Case!$G$246:$G$267,MATCH(A5,Case!$E$246:$E$267,0))</f>
        <v>Priest</v>
      </c>
      <c r="D5" s="122" t="e">
        <f>INDEX('L5 Calc'!$U$3:$U$23,MATCH('L6 Calc'!$A5,'L5 Calc'!$N$3:$N$23,0))</f>
        <v>#N/A</v>
      </c>
      <c r="E5" t="e">
        <f>INDEX('L5 Calc'!$S$3:$S$23,MATCH('L6 Calc'!$A5,'L5 Calc'!$N$3:$N$23,0))</f>
        <v>#N/A</v>
      </c>
      <c r="F5" t="str">
        <f>INDEX(Case!$K$332:$O$339,MATCH('L6 Calc'!$C5,Case!$J$332:$J$339,0),MATCH('L6 Calc'!F$2,Case!$K$331:$O$331,0))</f>
        <v>Intellect</v>
      </c>
      <c r="G5" t="str">
        <f>INDEX(Case!$K$332:$O$339,MATCH('L6 Calc'!$C5,Case!$J$332:$J$339,0),MATCH('L6 Calc'!G$2,Case!$K$331:$O$331,0))</f>
        <v>Healer</v>
      </c>
      <c r="H5" t="str">
        <f>INDEX(Case!$K$332:$O$339,MATCH('L6 Calc'!$C5,Case!$J$332:$J$339,0),MATCH('L6 Calc'!H$2,Case!$K$331:$O$331,0))</f>
        <v>HPS</v>
      </c>
      <c r="I5">
        <f>INDEX(Case!$K$332:$O$339,MATCH('L6 Calc'!$C5,Case!$J$332:$J$339,0),MATCH('L6 Calc'!I$2,Case!$K$331:$O$331,0))</f>
        <v>1.5</v>
      </c>
      <c r="J5" s="137">
        <f>INDEX(Case!$K$332:$O$339,MATCH('L6 Calc'!$C5,Case!$J$332:$J$339,0),MATCH('L6 Calc'!J$2,Case!$K$331:$O$331,0))</f>
        <v>0.8</v>
      </c>
      <c r="K5" t="e">
        <f t="shared" si="0"/>
        <v>#N/A</v>
      </c>
      <c r="L5" t="e">
        <f t="shared" si="1"/>
        <v>#N/A</v>
      </c>
      <c r="M5" s="138">
        <v>20</v>
      </c>
      <c r="N5" s="138" t="e">
        <f t="shared" si="2"/>
        <v>#N/A</v>
      </c>
      <c r="O5" s="138" t="str">
        <f t="shared" si="3"/>
        <v>DPS</v>
      </c>
      <c r="P5" s="138" t="e">
        <f t="shared" si="4"/>
        <v>#N/A</v>
      </c>
      <c r="S5" t="s">
        <v>1113</v>
      </c>
    </row>
    <row r="6" spans="1:20">
      <c r="A6" s="132">
        <v>3</v>
      </c>
      <c r="B6" t="str">
        <f>INDEX(Case!$F$246:$F$267,MATCH(A6,Case!$E$246:$E$267,0))</f>
        <v>Undead</v>
      </c>
      <c r="C6" t="str">
        <f>INDEX(Case!$G$246:$G$267,MATCH(A6,Case!$E$246:$E$267,0))</f>
        <v>Warlock</v>
      </c>
      <c r="D6" s="122" t="e">
        <f>INDEX('L5 Calc'!$U$3:$U$23,MATCH('L6 Calc'!$A6,'L5 Calc'!$N$3:$N$23,0))</f>
        <v>#N/A</v>
      </c>
      <c r="E6" t="e">
        <f>INDEX('L5 Calc'!$S$3:$S$23,MATCH('L6 Calc'!$A6,'L5 Calc'!$N$3:$N$23,0))</f>
        <v>#N/A</v>
      </c>
      <c r="F6" t="str">
        <f>INDEX(Case!$K$332:$O$339,MATCH('L6 Calc'!$C6,Case!$J$332:$J$339,0),MATCH('L6 Calc'!F$2,Case!$K$331:$O$331,0))</f>
        <v>Intellect</v>
      </c>
      <c r="G6" t="str">
        <f>INDEX(Case!$K$332:$O$339,MATCH('L6 Calc'!$C6,Case!$J$332:$J$339,0),MATCH('L6 Calc'!G$2,Case!$K$331:$O$331,0))</f>
        <v>Damage</v>
      </c>
      <c r="H6" t="str">
        <f>INDEX(Case!$K$332:$O$339,MATCH('L6 Calc'!$C6,Case!$J$332:$J$339,0),MATCH('L6 Calc'!H$2,Case!$K$331:$O$331,0))</f>
        <v>DPS</v>
      </c>
      <c r="I6">
        <f>INDEX(Case!$K$332:$O$339,MATCH('L6 Calc'!$C6,Case!$J$332:$J$339,0),MATCH('L6 Calc'!I$2,Case!$K$331:$O$331,0))</f>
        <v>2.5</v>
      </c>
      <c r="J6" s="137">
        <f>INDEX(Case!$K$332:$O$339,MATCH('L6 Calc'!$C6,Case!$J$332:$J$339,0),MATCH('L6 Calc'!J$2,Case!$K$331:$O$331,0))</f>
        <v>0.8</v>
      </c>
      <c r="K6" t="e">
        <f t="shared" si="0"/>
        <v>#N/A</v>
      </c>
      <c r="L6" t="e">
        <f t="shared" si="1"/>
        <v>#N/A</v>
      </c>
      <c r="M6" s="138">
        <v>1</v>
      </c>
      <c r="N6" s="138" t="e">
        <f t="shared" si="2"/>
        <v>#N/A</v>
      </c>
      <c r="O6" s="138" t="str">
        <f t="shared" si="3"/>
        <v>DPS</v>
      </c>
      <c r="P6" s="138" t="e">
        <f t="shared" si="4"/>
        <v>#N/A</v>
      </c>
      <c r="T6" t="s">
        <v>1114</v>
      </c>
    </row>
    <row r="7" spans="1:20">
      <c r="A7" s="132">
        <v>4</v>
      </c>
      <c r="B7" t="str">
        <f>INDEX(Case!$F$246:$F$267,MATCH(A7,Case!$E$246:$E$267,0))</f>
        <v>Tauren</v>
      </c>
      <c r="C7" t="str">
        <f>INDEX(Case!$G$246:$G$267,MATCH(A7,Case!$E$246:$E$267,0))</f>
        <v>Warrior</v>
      </c>
      <c r="D7" s="122" t="e">
        <f>INDEX('L5 Calc'!$U$3:$U$23,MATCH('L6 Calc'!$A7,'L5 Calc'!$N$3:$N$23,0))</f>
        <v>#N/A</v>
      </c>
      <c r="E7" t="e">
        <f>INDEX('L5 Calc'!$S$3:$S$23,MATCH('L6 Calc'!$A7,'L5 Calc'!$N$3:$N$23,0))</f>
        <v>#N/A</v>
      </c>
      <c r="F7" t="str">
        <f>INDEX(Case!$K$332:$O$339,MATCH('L6 Calc'!$C7,Case!$J$332:$J$339,0),MATCH('L6 Calc'!F$2,Case!$K$331:$O$331,0))</f>
        <v>Armor</v>
      </c>
      <c r="G7" t="str">
        <f>INDEX(Case!$K$332:$O$339,MATCH('L6 Calc'!$C7,Case!$J$332:$J$339,0),MATCH('L6 Calc'!G$2,Case!$K$331:$O$331,0))</f>
        <v>Damage</v>
      </c>
      <c r="H7" t="str">
        <f>INDEX(Case!$K$332:$O$339,MATCH('L6 Calc'!$C7,Case!$J$332:$J$339,0),MATCH('L6 Calc'!H$2,Case!$K$331:$O$331,0))</f>
        <v>DPS</v>
      </c>
      <c r="I7">
        <f>INDEX(Case!$K$332:$O$339,MATCH('L6 Calc'!$C7,Case!$J$332:$J$339,0),MATCH('L6 Calc'!I$2,Case!$K$331:$O$331,0))</f>
        <v>1</v>
      </c>
      <c r="J7" s="137">
        <f>INDEX(Case!$K$332:$O$339,MATCH('L6 Calc'!$C7,Case!$J$332:$J$339,0),MATCH('L6 Calc'!J$2,Case!$K$331:$O$331,0))</f>
        <v>1.1499999999999999</v>
      </c>
      <c r="K7" t="e">
        <f t="shared" si="0"/>
        <v>#N/A</v>
      </c>
      <c r="L7" t="e">
        <f t="shared" si="1"/>
        <v>#N/A</v>
      </c>
      <c r="M7" s="138">
        <v>13</v>
      </c>
      <c r="N7" s="138" t="e">
        <f t="shared" si="2"/>
        <v>#N/A</v>
      </c>
      <c r="O7" s="138" t="str">
        <f t="shared" si="3"/>
        <v>DPS</v>
      </c>
      <c r="P7" s="138" t="e">
        <f t="shared" si="4"/>
        <v>#N/A</v>
      </c>
      <c r="T7" t="s">
        <v>1115</v>
      </c>
    </row>
    <row r="8" spans="1:20">
      <c r="A8" s="132">
        <v>5</v>
      </c>
      <c r="B8" t="str">
        <f>INDEX(Case!$F$246:$F$267,MATCH(A8,Case!$E$246:$E$267,0))</f>
        <v>Tauren</v>
      </c>
      <c r="C8" t="str">
        <f>INDEX(Case!$G$246:$G$267,MATCH(A8,Case!$E$246:$E$267,0))</f>
        <v>Hunter</v>
      </c>
      <c r="D8" s="122" t="e">
        <f>INDEX('L5 Calc'!$U$3:$U$23,MATCH('L6 Calc'!$A8,'L5 Calc'!$N$3:$N$23,0))</f>
        <v>#N/A</v>
      </c>
      <c r="E8" t="e">
        <f>INDEX('L5 Calc'!$S$3:$S$23,MATCH('L6 Calc'!$A8,'L5 Calc'!$N$3:$N$23,0))</f>
        <v>#N/A</v>
      </c>
      <c r="F8" t="str">
        <f>INDEX(Case!$K$332:$O$339,MATCH('L6 Calc'!$C8,Case!$J$332:$J$339,0),MATCH('L6 Calc'!F$2,Case!$K$331:$O$331,0))</f>
        <v>Agility</v>
      </c>
      <c r="G8" t="str">
        <f>INDEX(Case!$K$332:$O$339,MATCH('L6 Calc'!$C8,Case!$J$332:$J$339,0),MATCH('L6 Calc'!G$2,Case!$K$331:$O$331,0))</f>
        <v>Damage</v>
      </c>
      <c r="H8" t="str">
        <f>INDEX(Case!$K$332:$O$339,MATCH('L6 Calc'!$C8,Case!$J$332:$J$339,0),MATCH('L6 Calc'!H$2,Case!$K$331:$O$331,0))</f>
        <v>DPS</v>
      </c>
      <c r="I8">
        <f>INDEX(Case!$K$332:$O$339,MATCH('L6 Calc'!$C8,Case!$J$332:$J$339,0),MATCH('L6 Calc'!I$2,Case!$K$331:$O$331,0))</f>
        <v>2.5</v>
      </c>
      <c r="J8" s="137">
        <f>INDEX(Case!$K$332:$O$339,MATCH('L6 Calc'!$C8,Case!$J$332:$J$339,0),MATCH('L6 Calc'!J$2,Case!$K$331:$O$331,0))</f>
        <v>1</v>
      </c>
      <c r="K8" t="e">
        <f t="shared" si="0"/>
        <v>#N/A</v>
      </c>
      <c r="L8" t="e">
        <f t="shared" si="1"/>
        <v>#N/A</v>
      </c>
      <c r="M8" s="138">
        <v>11</v>
      </c>
      <c r="N8" s="138" t="e">
        <f t="shared" si="2"/>
        <v>#N/A</v>
      </c>
      <c r="O8" s="138" t="str">
        <f t="shared" si="3"/>
        <v>DPS</v>
      </c>
      <c r="P8" s="138" t="e">
        <f t="shared" si="4"/>
        <v>#N/A</v>
      </c>
      <c r="T8" t="s">
        <v>1116</v>
      </c>
    </row>
    <row r="9" spans="1:20">
      <c r="A9" s="132">
        <v>6</v>
      </c>
      <c r="B9" t="str">
        <f>INDEX(Case!$F$246:$F$267,MATCH(A9,Case!$E$246:$E$267,0))</f>
        <v>Undead</v>
      </c>
      <c r="C9" t="str">
        <f>INDEX(Case!$G$246:$G$267,MATCH(A9,Case!$E$246:$E$267,0))</f>
        <v>Priest</v>
      </c>
      <c r="D9" s="122" t="e">
        <f>INDEX('L5 Calc'!$U$3:$U$23,MATCH('L6 Calc'!$A9,'L5 Calc'!$N$3:$N$23,0))</f>
        <v>#N/A</v>
      </c>
      <c r="E9" t="e">
        <f>INDEX('L5 Calc'!$S$3:$S$23,MATCH('L6 Calc'!$A9,'L5 Calc'!$N$3:$N$23,0))</f>
        <v>#N/A</v>
      </c>
      <c r="F9" t="str">
        <f>INDEX(Case!$K$332:$O$339,MATCH('L6 Calc'!$C9,Case!$J$332:$J$339,0),MATCH('L6 Calc'!F$2,Case!$K$331:$O$331,0))</f>
        <v>Intellect</v>
      </c>
      <c r="G9" t="str">
        <f>INDEX(Case!$K$332:$O$339,MATCH('L6 Calc'!$C9,Case!$J$332:$J$339,0),MATCH('L6 Calc'!G$2,Case!$K$331:$O$331,0))</f>
        <v>Healer</v>
      </c>
      <c r="H9" t="str">
        <f>INDEX(Case!$K$332:$O$339,MATCH('L6 Calc'!$C9,Case!$J$332:$J$339,0),MATCH('L6 Calc'!H$2,Case!$K$331:$O$331,0))</f>
        <v>HPS</v>
      </c>
      <c r="I9">
        <f>INDEX(Case!$K$332:$O$339,MATCH('L6 Calc'!$C9,Case!$J$332:$J$339,0),MATCH('L6 Calc'!I$2,Case!$K$331:$O$331,0))</f>
        <v>1.5</v>
      </c>
      <c r="J9" s="137">
        <f>INDEX(Case!$K$332:$O$339,MATCH('L6 Calc'!$C9,Case!$J$332:$J$339,0),MATCH('L6 Calc'!J$2,Case!$K$331:$O$331,0))</f>
        <v>0.8</v>
      </c>
      <c r="K9" t="e">
        <f t="shared" si="0"/>
        <v>#N/A</v>
      </c>
      <c r="L9" t="e">
        <f t="shared" si="1"/>
        <v>#N/A</v>
      </c>
      <c r="M9" s="138">
        <v>4</v>
      </c>
      <c r="N9" s="138" t="e">
        <f t="shared" si="2"/>
        <v>#N/A</v>
      </c>
      <c r="O9" s="138" t="str">
        <f t="shared" si="3"/>
        <v>DPS</v>
      </c>
      <c r="P9" s="138" t="e">
        <f t="shared" si="4"/>
        <v>#N/A</v>
      </c>
      <c r="T9" t="s">
        <v>1117</v>
      </c>
    </row>
    <row r="10" spans="1:20">
      <c r="A10" s="132">
        <v>7</v>
      </c>
      <c r="B10" t="str">
        <f>INDEX(Case!$F$246:$F$267,MATCH(A10,Case!$E$246:$E$267,0))</f>
        <v>Troll</v>
      </c>
      <c r="C10" t="str">
        <f>INDEX(Case!$G$246:$G$267,MATCH(A10,Case!$E$246:$E$267,0))</f>
        <v>Hunter</v>
      </c>
      <c r="D10" s="122" t="e">
        <f>INDEX('L5 Calc'!$U$3:$U$23,MATCH('L6 Calc'!$A10,'L5 Calc'!$N$3:$N$23,0))</f>
        <v>#N/A</v>
      </c>
      <c r="E10" t="e">
        <f>INDEX('L5 Calc'!$S$3:$S$23,MATCH('L6 Calc'!$A10,'L5 Calc'!$N$3:$N$23,0))</f>
        <v>#N/A</v>
      </c>
      <c r="F10" t="str">
        <f>INDEX(Case!$K$332:$O$339,MATCH('L6 Calc'!$C10,Case!$J$332:$J$339,0),MATCH('L6 Calc'!F$2,Case!$K$331:$O$331,0))</f>
        <v>Agility</v>
      </c>
      <c r="G10" t="str">
        <f>INDEX(Case!$K$332:$O$339,MATCH('L6 Calc'!$C10,Case!$J$332:$J$339,0),MATCH('L6 Calc'!G$2,Case!$K$331:$O$331,0))</f>
        <v>Damage</v>
      </c>
      <c r="H10" t="str">
        <f>INDEX(Case!$K$332:$O$339,MATCH('L6 Calc'!$C10,Case!$J$332:$J$339,0),MATCH('L6 Calc'!H$2,Case!$K$331:$O$331,0))</f>
        <v>DPS</v>
      </c>
      <c r="I10">
        <f>INDEX(Case!$K$332:$O$339,MATCH('L6 Calc'!$C10,Case!$J$332:$J$339,0),MATCH('L6 Calc'!I$2,Case!$K$331:$O$331,0))</f>
        <v>2.5</v>
      </c>
      <c r="J10" s="137">
        <f>INDEX(Case!$K$332:$O$339,MATCH('L6 Calc'!$C10,Case!$J$332:$J$339,0),MATCH('L6 Calc'!J$2,Case!$K$331:$O$331,0))</f>
        <v>1</v>
      </c>
      <c r="K10" t="e">
        <f t="shared" si="0"/>
        <v>#N/A</v>
      </c>
      <c r="L10" t="e">
        <f t="shared" si="1"/>
        <v>#N/A</v>
      </c>
      <c r="M10" s="138">
        <v>10</v>
      </c>
      <c r="N10" s="138" t="e">
        <f t="shared" si="2"/>
        <v>#N/A</v>
      </c>
      <c r="O10" s="138" t="str">
        <f t="shared" si="3"/>
        <v>DPS</v>
      </c>
      <c r="P10" s="138" t="e">
        <f t="shared" si="4"/>
        <v>#N/A</v>
      </c>
    </row>
    <row r="11" spans="1:20">
      <c r="A11" s="132">
        <v>8</v>
      </c>
      <c r="B11" t="str">
        <f>INDEX(Case!$F$246:$F$267,MATCH(A11,Case!$E$246:$E$267,0))</f>
        <v>Orc</v>
      </c>
      <c r="C11" t="str">
        <f>INDEX(Case!$G$246:$G$267,MATCH(A11,Case!$E$246:$E$267,0))</f>
        <v>Rogue</v>
      </c>
      <c r="D11" s="122" t="e">
        <f>INDEX('L5 Calc'!$U$3:$U$23,MATCH('L6 Calc'!$A11,'L5 Calc'!$N$3:$N$23,0))</f>
        <v>#N/A</v>
      </c>
      <c r="E11" t="e">
        <f>INDEX('L5 Calc'!$S$3:$S$23,MATCH('L6 Calc'!$A11,'L5 Calc'!$N$3:$N$23,0))</f>
        <v>#N/A</v>
      </c>
      <c r="F11" t="str">
        <f>INDEX(Case!$K$332:$O$339,MATCH('L6 Calc'!$C11,Case!$J$332:$J$339,0),MATCH('L6 Calc'!F$2,Case!$K$331:$O$331,0))</f>
        <v>Agility</v>
      </c>
      <c r="G11" t="str">
        <f>INDEX(Case!$K$332:$O$339,MATCH('L6 Calc'!$C11,Case!$J$332:$J$339,0),MATCH('L6 Calc'!G$2,Case!$K$331:$O$331,0))</f>
        <v>Damage</v>
      </c>
      <c r="H11" t="str">
        <f>INDEX(Case!$K$332:$O$339,MATCH('L6 Calc'!$C11,Case!$J$332:$J$339,0),MATCH('L6 Calc'!H$2,Case!$K$331:$O$331,0))</f>
        <v>DPS</v>
      </c>
      <c r="I11">
        <f>INDEX(Case!$K$332:$O$339,MATCH('L6 Calc'!$C11,Case!$J$332:$J$339,0),MATCH('L6 Calc'!I$2,Case!$K$331:$O$331,0))</f>
        <v>2.5</v>
      </c>
      <c r="J11" s="137">
        <f>INDEX(Case!$K$332:$O$339,MATCH('L6 Calc'!$C11,Case!$J$332:$J$339,0),MATCH('L6 Calc'!J$2,Case!$K$331:$O$331,0))</f>
        <v>1</v>
      </c>
      <c r="K11" t="e">
        <f t="shared" si="0"/>
        <v>#N/A</v>
      </c>
      <c r="L11" t="e">
        <f t="shared" si="1"/>
        <v>#N/A</v>
      </c>
      <c r="M11" s="138">
        <v>10</v>
      </c>
      <c r="N11" s="138" t="e">
        <f t="shared" si="2"/>
        <v>#N/A</v>
      </c>
      <c r="O11" s="138" t="str">
        <f t="shared" si="3"/>
        <v>DPS</v>
      </c>
      <c r="P11" s="138" t="e">
        <f t="shared" si="4"/>
        <v>#N/A</v>
      </c>
    </row>
    <row r="12" spans="1:20">
      <c r="A12" s="132">
        <v>9</v>
      </c>
      <c r="B12" t="str">
        <f>INDEX(Case!$F$246:$F$267,MATCH(A12,Case!$E$246:$E$267,0))</f>
        <v>Orc</v>
      </c>
      <c r="C12" t="str">
        <f>INDEX(Case!$G$246:$G$267,MATCH(A12,Case!$E$246:$E$267,0))</f>
        <v>Shaman</v>
      </c>
      <c r="D12" s="122" t="e">
        <f>INDEX('L5 Calc'!$U$3:$U$23,MATCH('L6 Calc'!$A12,'L5 Calc'!$N$3:$N$23,0))</f>
        <v>#N/A</v>
      </c>
      <c r="E12" t="e">
        <f>INDEX('L5 Calc'!$S$3:$S$23,MATCH('L6 Calc'!$A12,'L5 Calc'!$N$3:$N$23,0))</f>
        <v>#N/A</v>
      </c>
      <c r="F12" t="str">
        <f>INDEX(Case!$K$332:$O$339,MATCH('L6 Calc'!$C12,Case!$J$332:$J$339,0),MATCH('L6 Calc'!F$2,Case!$K$331:$O$331,0))</f>
        <v>Strength</v>
      </c>
      <c r="G12" t="str">
        <f>INDEX(Case!$K$332:$O$339,MATCH('L6 Calc'!$C12,Case!$J$332:$J$339,0),MATCH('L6 Calc'!G$2,Case!$K$331:$O$331,0))</f>
        <v>Healer</v>
      </c>
      <c r="H12" t="str">
        <f>INDEX(Case!$K$332:$O$339,MATCH('L6 Calc'!$C12,Case!$J$332:$J$339,0),MATCH('L6 Calc'!H$2,Case!$K$331:$O$331,0))</f>
        <v>HPS</v>
      </c>
      <c r="I12">
        <f>INDEX(Case!$K$332:$O$339,MATCH('L6 Calc'!$C12,Case!$J$332:$J$339,0),MATCH('L6 Calc'!I$2,Case!$K$331:$O$331,0))</f>
        <v>2</v>
      </c>
      <c r="J12" s="137">
        <f>INDEX(Case!$K$332:$O$339,MATCH('L6 Calc'!$C12,Case!$J$332:$J$339,0),MATCH('L6 Calc'!J$2,Case!$K$331:$O$331,0))</f>
        <v>1</v>
      </c>
      <c r="K12" t="e">
        <f t="shared" si="0"/>
        <v>#N/A</v>
      </c>
      <c r="L12" t="e">
        <f t="shared" si="1"/>
        <v>#N/A</v>
      </c>
      <c r="M12" s="138">
        <v>20</v>
      </c>
      <c r="N12" s="138" t="e">
        <f t="shared" si="2"/>
        <v>#N/A</v>
      </c>
      <c r="O12" s="138" t="str">
        <f t="shared" si="3"/>
        <v>DPS</v>
      </c>
      <c r="P12" s="138" t="e">
        <f t="shared" si="4"/>
        <v>#N/A</v>
      </c>
    </row>
    <row r="13" spans="1:20">
      <c r="A13" s="132">
        <v>10</v>
      </c>
      <c r="B13" t="str">
        <f>INDEX(Case!$F$246:$F$267,MATCH(A13,Case!$E$246:$E$267,0))</f>
        <v>Undead</v>
      </c>
      <c r="C13" t="str">
        <f>INDEX(Case!$G$246:$G$267,MATCH(A13,Case!$E$246:$E$267,0))</f>
        <v>Mage</v>
      </c>
      <c r="D13" s="122" t="e">
        <f>INDEX('L5 Calc'!$U$3:$U$23,MATCH('L6 Calc'!$A13,'L5 Calc'!$N$3:$N$23,0))</f>
        <v>#N/A</v>
      </c>
      <c r="E13" t="e">
        <f>INDEX('L5 Calc'!$S$3:$S$23,MATCH('L6 Calc'!$A13,'L5 Calc'!$N$3:$N$23,0))</f>
        <v>#N/A</v>
      </c>
      <c r="F13" t="str">
        <f>INDEX(Case!$K$332:$O$339,MATCH('L6 Calc'!$C13,Case!$J$332:$J$339,0),MATCH('L6 Calc'!F$2,Case!$K$331:$O$331,0))</f>
        <v>Intellect</v>
      </c>
      <c r="G13" t="str">
        <f>INDEX(Case!$K$332:$O$339,MATCH('L6 Calc'!$C13,Case!$J$332:$J$339,0),MATCH('L6 Calc'!G$2,Case!$K$331:$O$331,0))</f>
        <v>Damage</v>
      </c>
      <c r="H13" t="str">
        <f>INDEX(Case!$K$332:$O$339,MATCH('L6 Calc'!$C13,Case!$J$332:$J$339,0),MATCH('L6 Calc'!H$2,Case!$K$331:$O$331,0))</f>
        <v>DPS</v>
      </c>
      <c r="I13">
        <f>INDEX(Case!$K$332:$O$339,MATCH('L6 Calc'!$C13,Case!$J$332:$J$339,0),MATCH('L6 Calc'!I$2,Case!$K$331:$O$331,0))</f>
        <v>2.5</v>
      </c>
      <c r="J13" s="137">
        <f>INDEX(Case!$K$332:$O$339,MATCH('L6 Calc'!$C13,Case!$J$332:$J$339,0),MATCH('L6 Calc'!J$2,Case!$K$331:$O$331,0))</f>
        <v>0.8</v>
      </c>
      <c r="K13" t="e">
        <f t="shared" si="0"/>
        <v>#N/A</v>
      </c>
      <c r="L13" t="e">
        <f t="shared" si="1"/>
        <v>#N/A</v>
      </c>
      <c r="M13" s="138">
        <v>20</v>
      </c>
      <c r="N13" s="138" t="e">
        <f t="shared" si="2"/>
        <v>#N/A</v>
      </c>
      <c r="O13" s="138" t="str">
        <f t="shared" si="3"/>
        <v>DPS</v>
      </c>
      <c r="P13" s="138" t="e">
        <f t="shared" si="4"/>
        <v>#N/A</v>
      </c>
    </row>
    <row r="14" spans="1:20">
      <c r="A14" s="132">
        <v>11</v>
      </c>
      <c r="B14" t="str">
        <f>INDEX(Case!$F$246:$F$267,MATCH(A14,Case!$E$246:$E$267,0))</f>
        <v>Orc</v>
      </c>
      <c r="C14" t="str">
        <f>INDEX(Case!$G$246:$G$267,MATCH(A14,Case!$E$246:$E$267,0))</f>
        <v>Warlock</v>
      </c>
      <c r="D14" s="122" t="e">
        <f>INDEX('L5 Calc'!$U$3:$U$23,MATCH('L6 Calc'!$A14,'L5 Calc'!$N$3:$N$23,0))</f>
        <v>#N/A</v>
      </c>
      <c r="E14" t="e">
        <f>INDEX('L5 Calc'!$S$3:$S$23,MATCH('L6 Calc'!$A14,'L5 Calc'!$N$3:$N$23,0))</f>
        <v>#N/A</v>
      </c>
      <c r="F14" t="str">
        <f>INDEX(Case!$K$332:$O$339,MATCH('L6 Calc'!$C14,Case!$J$332:$J$339,0),MATCH('L6 Calc'!F$2,Case!$K$331:$O$331,0))</f>
        <v>Intellect</v>
      </c>
      <c r="G14" t="str">
        <f>INDEX(Case!$K$332:$O$339,MATCH('L6 Calc'!$C14,Case!$J$332:$J$339,0),MATCH('L6 Calc'!G$2,Case!$K$331:$O$331,0))</f>
        <v>Damage</v>
      </c>
      <c r="H14" t="str">
        <f>INDEX(Case!$K$332:$O$339,MATCH('L6 Calc'!$C14,Case!$J$332:$J$339,0),MATCH('L6 Calc'!H$2,Case!$K$331:$O$331,0))</f>
        <v>DPS</v>
      </c>
      <c r="I14">
        <f>INDEX(Case!$K$332:$O$339,MATCH('L6 Calc'!$C14,Case!$J$332:$J$339,0),MATCH('L6 Calc'!I$2,Case!$K$331:$O$331,0))</f>
        <v>2.5</v>
      </c>
      <c r="J14" s="137">
        <f>INDEX(Case!$K$332:$O$339,MATCH('L6 Calc'!$C14,Case!$J$332:$J$339,0),MATCH('L6 Calc'!J$2,Case!$K$331:$O$331,0))</f>
        <v>0.8</v>
      </c>
      <c r="K14" t="e">
        <f t="shared" si="0"/>
        <v>#N/A</v>
      </c>
      <c r="L14" t="e">
        <f t="shared" si="1"/>
        <v>#N/A</v>
      </c>
      <c r="M14" s="138">
        <v>3</v>
      </c>
      <c r="N14" s="138" t="e">
        <f t="shared" si="2"/>
        <v>#N/A</v>
      </c>
      <c r="O14" s="138" t="str">
        <f t="shared" si="3"/>
        <v>DPS</v>
      </c>
      <c r="P14" s="138" t="e">
        <f t="shared" si="4"/>
        <v>#N/A</v>
      </c>
    </row>
    <row r="15" spans="1:20">
      <c r="A15" s="132">
        <v>12</v>
      </c>
      <c r="B15" t="str">
        <f>INDEX(Case!$F$246:$F$267,MATCH(A15,Case!$E$246:$E$267,0))</f>
        <v>Troll</v>
      </c>
      <c r="C15" t="str">
        <f>INDEX(Case!$G$246:$G$267,MATCH(A15,Case!$E$246:$E$267,0))</f>
        <v>Warrior</v>
      </c>
      <c r="D15" s="122" t="e">
        <f>INDEX('L5 Calc'!$U$3:$U$23,MATCH('L6 Calc'!$A15,'L5 Calc'!$N$3:$N$23,0))</f>
        <v>#N/A</v>
      </c>
      <c r="E15" t="e">
        <f>INDEX('L5 Calc'!$S$3:$S$23,MATCH('L6 Calc'!$A15,'L5 Calc'!$N$3:$N$23,0))</f>
        <v>#N/A</v>
      </c>
      <c r="F15" t="str">
        <f>INDEX(Case!$K$332:$O$339,MATCH('L6 Calc'!$C15,Case!$J$332:$J$339,0),MATCH('L6 Calc'!F$2,Case!$K$331:$O$331,0))</f>
        <v>Armor</v>
      </c>
      <c r="G15" t="str">
        <f>INDEX(Case!$K$332:$O$339,MATCH('L6 Calc'!$C15,Case!$J$332:$J$339,0),MATCH('L6 Calc'!G$2,Case!$K$331:$O$331,0))</f>
        <v>Damage</v>
      </c>
      <c r="H15" t="str">
        <f>INDEX(Case!$K$332:$O$339,MATCH('L6 Calc'!$C15,Case!$J$332:$J$339,0),MATCH('L6 Calc'!H$2,Case!$K$331:$O$331,0))</f>
        <v>DPS</v>
      </c>
      <c r="I15">
        <f>INDEX(Case!$K$332:$O$339,MATCH('L6 Calc'!$C15,Case!$J$332:$J$339,0),MATCH('L6 Calc'!I$2,Case!$K$331:$O$331,0))</f>
        <v>1</v>
      </c>
      <c r="J15" s="137">
        <f>INDEX(Case!$K$332:$O$339,MATCH('L6 Calc'!$C15,Case!$J$332:$J$339,0),MATCH('L6 Calc'!J$2,Case!$K$331:$O$331,0))</f>
        <v>1.1499999999999999</v>
      </c>
      <c r="K15" t="e">
        <f t="shared" si="0"/>
        <v>#N/A</v>
      </c>
      <c r="L15" t="e">
        <f t="shared" si="1"/>
        <v>#N/A</v>
      </c>
      <c r="M15" s="138">
        <v>3</v>
      </c>
      <c r="N15" s="138" t="e">
        <f t="shared" si="2"/>
        <v>#N/A</v>
      </c>
      <c r="O15" s="138" t="str">
        <f t="shared" si="3"/>
        <v>DPS</v>
      </c>
      <c r="P15" s="138" t="e">
        <f t="shared" si="4"/>
        <v>#N/A</v>
      </c>
    </row>
    <row r="16" spans="1:20">
      <c r="A16" s="132">
        <v>13</v>
      </c>
      <c r="B16" t="str">
        <f>INDEX(Case!$F$246:$F$267,MATCH(A16,Case!$E$246:$E$267,0))</f>
        <v>Undead</v>
      </c>
      <c r="C16" t="str">
        <f>INDEX(Case!$G$246:$G$267,MATCH(A16,Case!$E$246:$E$267,0))</f>
        <v>Rogue</v>
      </c>
      <c r="D16" s="122" t="e">
        <f>INDEX('L5 Calc'!$U$3:$U$23,MATCH('L6 Calc'!$A16,'L5 Calc'!$N$3:$N$23,0))</f>
        <v>#N/A</v>
      </c>
      <c r="E16" t="e">
        <f>INDEX('L5 Calc'!$S$3:$S$23,MATCH('L6 Calc'!$A16,'L5 Calc'!$N$3:$N$23,0))</f>
        <v>#N/A</v>
      </c>
      <c r="F16" t="str">
        <f>INDEX(Case!$K$332:$O$339,MATCH('L6 Calc'!$C16,Case!$J$332:$J$339,0),MATCH('L6 Calc'!F$2,Case!$K$331:$O$331,0))</f>
        <v>Agility</v>
      </c>
      <c r="G16" t="str">
        <f>INDEX(Case!$K$332:$O$339,MATCH('L6 Calc'!$C16,Case!$J$332:$J$339,0),MATCH('L6 Calc'!G$2,Case!$K$331:$O$331,0))</f>
        <v>Damage</v>
      </c>
      <c r="H16" t="str">
        <f>INDEX(Case!$K$332:$O$339,MATCH('L6 Calc'!$C16,Case!$J$332:$J$339,0),MATCH('L6 Calc'!H$2,Case!$K$331:$O$331,0))</f>
        <v>DPS</v>
      </c>
      <c r="I16">
        <f>INDEX(Case!$K$332:$O$339,MATCH('L6 Calc'!$C16,Case!$J$332:$J$339,0),MATCH('L6 Calc'!I$2,Case!$K$331:$O$331,0))</f>
        <v>2.5</v>
      </c>
      <c r="J16" s="137">
        <f>INDEX(Case!$K$332:$O$339,MATCH('L6 Calc'!$C16,Case!$J$332:$J$339,0),MATCH('L6 Calc'!J$2,Case!$K$331:$O$331,0))</f>
        <v>1</v>
      </c>
      <c r="K16" t="e">
        <f t="shared" si="0"/>
        <v>#N/A</v>
      </c>
      <c r="L16" t="e">
        <f t="shared" si="1"/>
        <v>#N/A</v>
      </c>
      <c r="M16" s="138">
        <v>4</v>
      </c>
      <c r="N16" s="138" t="e">
        <f t="shared" si="2"/>
        <v>#N/A</v>
      </c>
      <c r="O16" s="138" t="str">
        <f t="shared" si="3"/>
        <v>DPS</v>
      </c>
      <c r="P16" s="138" t="e">
        <f t="shared" si="4"/>
        <v>#N/A</v>
      </c>
    </row>
    <row r="17" spans="1:17">
      <c r="A17" s="132">
        <v>14</v>
      </c>
      <c r="B17" t="str">
        <f>INDEX(Case!$F$246:$F$267,MATCH(A17,Case!$E$246:$E$267,0))</f>
        <v>Troll</v>
      </c>
      <c r="C17" t="str">
        <f>INDEX(Case!$G$246:$G$267,MATCH(A17,Case!$E$246:$E$267,0))</f>
        <v>Mage</v>
      </c>
      <c r="D17" s="122" t="e">
        <f>INDEX('L5 Calc'!$U$3:$U$23,MATCH('L6 Calc'!$A17,'L5 Calc'!$N$3:$N$23,0))</f>
        <v>#N/A</v>
      </c>
      <c r="E17" t="e">
        <f>INDEX('L5 Calc'!$S$3:$S$23,MATCH('L6 Calc'!$A17,'L5 Calc'!$N$3:$N$23,0))</f>
        <v>#N/A</v>
      </c>
      <c r="F17" t="str">
        <f>INDEX(Case!$K$332:$O$339,MATCH('L6 Calc'!$C17,Case!$J$332:$J$339,0),MATCH('L6 Calc'!F$2,Case!$K$331:$O$331,0))</f>
        <v>Intellect</v>
      </c>
      <c r="G17" t="str">
        <f>INDEX(Case!$K$332:$O$339,MATCH('L6 Calc'!$C17,Case!$J$332:$J$339,0),MATCH('L6 Calc'!G$2,Case!$K$331:$O$331,0))</f>
        <v>Damage</v>
      </c>
      <c r="H17" t="str">
        <f>INDEX(Case!$K$332:$O$339,MATCH('L6 Calc'!$C17,Case!$J$332:$J$339,0),MATCH('L6 Calc'!H$2,Case!$K$331:$O$331,0))</f>
        <v>DPS</v>
      </c>
      <c r="I17">
        <f>INDEX(Case!$K$332:$O$339,MATCH('L6 Calc'!$C17,Case!$J$332:$J$339,0),MATCH('L6 Calc'!I$2,Case!$K$331:$O$331,0))</f>
        <v>2.5</v>
      </c>
      <c r="J17" s="137">
        <f>INDEX(Case!$K$332:$O$339,MATCH('L6 Calc'!$C17,Case!$J$332:$J$339,0),MATCH('L6 Calc'!J$2,Case!$K$331:$O$331,0))</f>
        <v>0.8</v>
      </c>
      <c r="K17" t="e">
        <f t="shared" si="0"/>
        <v>#N/A</v>
      </c>
      <c r="L17" t="e">
        <f t="shared" si="1"/>
        <v>#N/A</v>
      </c>
      <c r="M17" s="138">
        <v>16</v>
      </c>
      <c r="N17" s="138" t="e">
        <f t="shared" si="2"/>
        <v>#N/A</v>
      </c>
      <c r="O17" s="138" t="str">
        <f t="shared" si="3"/>
        <v>HPS</v>
      </c>
      <c r="P17" s="138" t="e">
        <f t="shared" si="4"/>
        <v>#N/A</v>
      </c>
    </row>
    <row r="18" spans="1:17">
      <c r="A18" s="132">
        <v>15</v>
      </c>
      <c r="B18" t="str">
        <f>INDEX(Case!$F$246:$F$267,MATCH(A18,Case!$E$246:$E$267,0))</f>
        <v>Tauren</v>
      </c>
      <c r="C18" t="str">
        <f>INDEX(Case!$G$246:$G$267,MATCH(A18,Case!$E$246:$E$267,0))</f>
        <v>Shaman</v>
      </c>
      <c r="D18" s="122" t="e">
        <f>INDEX('L5 Calc'!$U$3:$U$23,MATCH('L6 Calc'!$A18,'L5 Calc'!$N$3:$N$23,0))</f>
        <v>#N/A</v>
      </c>
      <c r="E18" t="e">
        <f>INDEX('L5 Calc'!$S$3:$S$23,MATCH('L6 Calc'!$A18,'L5 Calc'!$N$3:$N$23,0))</f>
        <v>#N/A</v>
      </c>
      <c r="F18" t="str">
        <f>INDEX(Case!$K$332:$O$339,MATCH('L6 Calc'!$C18,Case!$J$332:$J$339,0),MATCH('L6 Calc'!F$2,Case!$K$331:$O$331,0))</f>
        <v>Strength</v>
      </c>
      <c r="G18" t="str">
        <f>INDEX(Case!$K$332:$O$339,MATCH('L6 Calc'!$C18,Case!$J$332:$J$339,0),MATCH('L6 Calc'!G$2,Case!$K$331:$O$331,0))</f>
        <v>Healer</v>
      </c>
      <c r="H18" t="str">
        <f>INDEX(Case!$K$332:$O$339,MATCH('L6 Calc'!$C18,Case!$J$332:$J$339,0),MATCH('L6 Calc'!H$2,Case!$K$331:$O$331,0))</f>
        <v>HPS</v>
      </c>
      <c r="I18">
        <f>INDEX(Case!$K$332:$O$339,MATCH('L6 Calc'!$C18,Case!$J$332:$J$339,0),MATCH('L6 Calc'!I$2,Case!$K$331:$O$331,0))</f>
        <v>2</v>
      </c>
      <c r="J18" s="137">
        <f>INDEX(Case!$K$332:$O$339,MATCH('L6 Calc'!$C18,Case!$J$332:$J$339,0),MATCH('L6 Calc'!J$2,Case!$K$331:$O$331,0))</f>
        <v>1</v>
      </c>
      <c r="K18" t="e">
        <f t="shared" si="0"/>
        <v>#N/A</v>
      </c>
      <c r="L18" t="e">
        <f t="shared" si="1"/>
        <v>#N/A</v>
      </c>
      <c r="M18" s="138">
        <v>1</v>
      </c>
      <c r="N18" s="138" t="e">
        <f t="shared" si="2"/>
        <v>#N/A</v>
      </c>
      <c r="O18" s="138" t="str">
        <f t="shared" si="3"/>
        <v>DPS</v>
      </c>
      <c r="P18" s="138" t="e">
        <f t="shared" si="4"/>
        <v>#N/A</v>
      </c>
    </row>
    <row r="19" spans="1:17">
      <c r="A19" s="132">
        <v>16</v>
      </c>
      <c r="B19" t="str">
        <f>INDEX(Case!$F$246:$F$267,MATCH(A19,Case!$E$246:$E$267,0))</f>
        <v>Troll</v>
      </c>
      <c r="C19" t="str">
        <f>INDEX(Case!$G$246:$G$267,MATCH(A19,Case!$E$246:$E$267,0))</f>
        <v>Shaman</v>
      </c>
      <c r="D19" s="122" t="e">
        <f>INDEX('L5 Calc'!$U$3:$U$23,MATCH('L6 Calc'!$A19,'L5 Calc'!$N$3:$N$23,0))</f>
        <v>#N/A</v>
      </c>
      <c r="E19" t="e">
        <f>INDEX('L5 Calc'!$S$3:$S$23,MATCH('L6 Calc'!$A19,'L5 Calc'!$N$3:$N$23,0))</f>
        <v>#N/A</v>
      </c>
      <c r="F19" t="str">
        <f>INDEX(Case!$K$332:$O$339,MATCH('L6 Calc'!$C19,Case!$J$332:$J$339,0),MATCH('L6 Calc'!F$2,Case!$K$331:$O$331,0))</f>
        <v>Strength</v>
      </c>
      <c r="G19" t="str">
        <f>INDEX(Case!$K$332:$O$339,MATCH('L6 Calc'!$C19,Case!$J$332:$J$339,0),MATCH('L6 Calc'!G$2,Case!$K$331:$O$331,0))</f>
        <v>Healer</v>
      </c>
      <c r="H19" t="str">
        <f>INDEX(Case!$K$332:$O$339,MATCH('L6 Calc'!$C19,Case!$J$332:$J$339,0),MATCH('L6 Calc'!H$2,Case!$K$331:$O$331,0))</f>
        <v>HPS</v>
      </c>
      <c r="I19">
        <f>INDEX(Case!$K$332:$O$339,MATCH('L6 Calc'!$C19,Case!$J$332:$J$339,0),MATCH('L6 Calc'!I$2,Case!$K$331:$O$331,0))</f>
        <v>2</v>
      </c>
      <c r="J19" s="137">
        <f>INDEX(Case!$K$332:$O$339,MATCH('L6 Calc'!$C19,Case!$J$332:$J$339,0),MATCH('L6 Calc'!J$2,Case!$K$331:$O$331,0))</f>
        <v>1</v>
      </c>
      <c r="K19" t="e">
        <f t="shared" si="0"/>
        <v>#N/A</v>
      </c>
      <c r="L19" t="e">
        <f t="shared" si="1"/>
        <v>#N/A</v>
      </c>
      <c r="M19" s="138">
        <v>1</v>
      </c>
      <c r="N19" s="138" t="e">
        <f t="shared" si="2"/>
        <v>#N/A</v>
      </c>
      <c r="O19" s="138" t="str">
        <f t="shared" si="3"/>
        <v>DPS</v>
      </c>
      <c r="P19" s="138" t="e">
        <f t="shared" si="4"/>
        <v>#N/A</v>
      </c>
    </row>
    <row r="20" spans="1:17">
      <c r="A20" s="132">
        <v>17</v>
      </c>
      <c r="B20" t="str">
        <f>INDEX(Case!$F$246:$F$267,MATCH(A20,Case!$E$246:$E$267,0))</f>
        <v>Undead</v>
      </c>
      <c r="C20" t="str">
        <f>INDEX(Case!$G$246:$G$267,MATCH(A20,Case!$E$246:$E$267,0))</f>
        <v>Rogue</v>
      </c>
      <c r="D20" s="122" t="e">
        <f>INDEX('L5 Calc'!$U$3:$U$23,MATCH('L6 Calc'!$A20,'L5 Calc'!$N$3:$N$23,0))</f>
        <v>#N/A</v>
      </c>
      <c r="E20" t="e">
        <f>INDEX('L5 Calc'!$S$3:$S$23,MATCH('L6 Calc'!$A20,'L5 Calc'!$N$3:$N$23,0))</f>
        <v>#N/A</v>
      </c>
      <c r="F20" t="str">
        <f>INDEX(Case!$K$332:$O$339,MATCH('L6 Calc'!$C20,Case!$J$332:$J$339,0),MATCH('L6 Calc'!F$2,Case!$K$331:$O$331,0))</f>
        <v>Agility</v>
      </c>
      <c r="G20" t="str">
        <f>INDEX(Case!$K$332:$O$339,MATCH('L6 Calc'!$C20,Case!$J$332:$J$339,0),MATCH('L6 Calc'!G$2,Case!$K$331:$O$331,0))</f>
        <v>Damage</v>
      </c>
      <c r="H20" t="str">
        <f>INDEX(Case!$K$332:$O$339,MATCH('L6 Calc'!$C20,Case!$J$332:$J$339,0),MATCH('L6 Calc'!H$2,Case!$K$331:$O$331,0))</f>
        <v>DPS</v>
      </c>
      <c r="I20">
        <f>INDEX(Case!$K$332:$O$339,MATCH('L6 Calc'!$C20,Case!$J$332:$J$339,0),MATCH('L6 Calc'!I$2,Case!$K$331:$O$331,0))</f>
        <v>2.5</v>
      </c>
      <c r="J20" s="137">
        <f>INDEX(Case!$K$332:$O$339,MATCH('L6 Calc'!$C20,Case!$J$332:$J$339,0),MATCH('L6 Calc'!J$2,Case!$K$331:$O$331,0))</f>
        <v>1</v>
      </c>
      <c r="K20" t="e">
        <f t="shared" si="0"/>
        <v>#N/A</v>
      </c>
      <c r="L20" t="e">
        <f t="shared" si="1"/>
        <v>#N/A</v>
      </c>
      <c r="M20" s="138">
        <v>10</v>
      </c>
      <c r="N20" s="138" t="e">
        <f t="shared" si="2"/>
        <v>#N/A</v>
      </c>
      <c r="O20" s="138" t="str">
        <f t="shared" si="3"/>
        <v>DPS</v>
      </c>
      <c r="P20" s="138" t="e">
        <f t="shared" si="4"/>
        <v>#N/A</v>
      </c>
    </row>
    <row r="21" spans="1:17">
      <c r="A21" s="132">
        <v>18</v>
      </c>
      <c r="B21" t="str">
        <f>INDEX(Case!$F$246:$F$267,MATCH(A21,Case!$E$246:$E$267,0))</f>
        <v>Troll</v>
      </c>
      <c r="C21" t="str">
        <f>INDEX(Case!$G$246:$G$267,MATCH(A21,Case!$E$246:$E$267,0))</f>
        <v>Priest</v>
      </c>
      <c r="D21" s="122" t="e">
        <f>INDEX('L5 Calc'!$U$3:$U$23,MATCH('L6 Calc'!$A21,'L5 Calc'!$N$3:$N$23,0))</f>
        <v>#N/A</v>
      </c>
      <c r="E21" t="e">
        <f>INDEX('L5 Calc'!$S$3:$S$23,MATCH('L6 Calc'!$A21,'L5 Calc'!$N$3:$N$23,0))</f>
        <v>#N/A</v>
      </c>
      <c r="F21" t="str">
        <f>INDEX(Case!$K$332:$O$339,MATCH('L6 Calc'!$C21,Case!$J$332:$J$339,0),MATCH('L6 Calc'!F$2,Case!$K$331:$O$331,0))</f>
        <v>Intellect</v>
      </c>
      <c r="G21" t="str">
        <f>INDEX(Case!$K$332:$O$339,MATCH('L6 Calc'!$C21,Case!$J$332:$J$339,0),MATCH('L6 Calc'!G$2,Case!$K$331:$O$331,0))</f>
        <v>Healer</v>
      </c>
      <c r="H21" t="str">
        <f>INDEX(Case!$K$332:$O$339,MATCH('L6 Calc'!$C21,Case!$J$332:$J$339,0),MATCH('L6 Calc'!H$2,Case!$K$331:$O$331,0))</f>
        <v>HPS</v>
      </c>
      <c r="I21">
        <f>INDEX(Case!$K$332:$O$339,MATCH('L6 Calc'!$C21,Case!$J$332:$J$339,0),MATCH('L6 Calc'!I$2,Case!$K$331:$O$331,0))</f>
        <v>1.5</v>
      </c>
      <c r="J21" s="137">
        <f>INDEX(Case!$K$332:$O$339,MATCH('L6 Calc'!$C21,Case!$J$332:$J$339,0),MATCH('L6 Calc'!J$2,Case!$K$331:$O$331,0))</f>
        <v>0.8</v>
      </c>
      <c r="K21" t="e">
        <f t="shared" si="0"/>
        <v>#N/A</v>
      </c>
      <c r="L21" t="e">
        <f t="shared" si="1"/>
        <v>#N/A</v>
      </c>
      <c r="M21" s="138">
        <v>5</v>
      </c>
      <c r="N21" s="138" t="e">
        <f t="shared" si="2"/>
        <v>#N/A</v>
      </c>
      <c r="O21" s="138" t="str">
        <f t="shared" si="3"/>
        <v>DPS</v>
      </c>
      <c r="P21" s="138" t="e">
        <f t="shared" si="4"/>
        <v>#N/A</v>
      </c>
    </row>
    <row r="22" spans="1:17">
      <c r="A22" s="132">
        <v>19</v>
      </c>
      <c r="B22" t="str">
        <f>INDEX(Case!$F$246:$F$267,MATCH(A22,Case!$E$246:$E$267,0))</f>
        <v>Troll</v>
      </c>
      <c r="C22" t="str">
        <f>INDEX(Case!$G$246:$G$267,MATCH(A22,Case!$E$246:$E$267,0))</f>
        <v>Priest</v>
      </c>
      <c r="D22" s="122" t="e">
        <f>INDEX('L5 Calc'!$U$3:$U$23,MATCH('L6 Calc'!$A22,'L5 Calc'!$N$3:$N$23,0))</f>
        <v>#N/A</v>
      </c>
      <c r="E22" t="e">
        <f>INDEX('L5 Calc'!$S$3:$S$23,MATCH('L6 Calc'!$A22,'L5 Calc'!$N$3:$N$23,0))</f>
        <v>#N/A</v>
      </c>
      <c r="F22" t="str">
        <f>INDEX(Case!$K$332:$O$339,MATCH('L6 Calc'!$C22,Case!$J$332:$J$339,0),MATCH('L6 Calc'!F$2,Case!$K$331:$O$331,0))</f>
        <v>Intellect</v>
      </c>
      <c r="G22" t="str">
        <f>INDEX(Case!$K$332:$O$339,MATCH('L6 Calc'!$C22,Case!$J$332:$J$339,0),MATCH('L6 Calc'!G$2,Case!$K$331:$O$331,0))</f>
        <v>Healer</v>
      </c>
      <c r="H22" t="str">
        <f>INDEX(Case!$K$332:$O$339,MATCH('L6 Calc'!$C22,Case!$J$332:$J$339,0),MATCH('L6 Calc'!H$2,Case!$K$331:$O$331,0))</f>
        <v>HPS</v>
      </c>
      <c r="I22">
        <f>INDEX(Case!$K$332:$O$339,MATCH('L6 Calc'!$C22,Case!$J$332:$J$339,0),MATCH('L6 Calc'!I$2,Case!$K$331:$O$331,0))</f>
        <v>1.5</v>
      </c>
      <c r="J22" s="137">
        <f>INDEX(Case!$K$332:$O$339,MATCH('L6 Calc'!$C22,Case!$J$332:$J$339,0),MATCH('L6 Calc'!J$2,Case!$K$331:$O$331,0))</f>
        <v>0.8</v>
      </c>
      <c r="K22" t="e">
        <f t="shared" si="0"/>
        <v>#N/A</v>
      </c>
      <c r="L22" t="e">
        <f t="shared" si="1"/>
        <v>#N/A</v>
      </c>
      <c r="M22" s="138">
        <v>17</v>
      </c>
      <c r="N22" s="138" t="e">
        <f t="shared" si="2"/>
        <v>#N/A</v>
      </c>
      <c r="O22" s="138" t="str">
        <f t="shared" si="3"/>
        <v>DPS</v>
      </c>
      <c r="P22" s="138" t="e">
        <f t="shared" si="4"/>
        <v>#N/A</v>
      </c>
    </row>
    <row r="23" spans="1:17">
      <c r="A23" s="132">
        <v>20</v>
      </c>
      <c r="B23" t="str">
        <f>INDEX(Case!$F$246:$F$267,MATCH(A23,Case!$E$246:$E$267,0))</f>
        <v>Tauren</v>
      </c>
      <c r="C23" t="str">
        <f>INDEX(Case!$G$246:$G$267,MATCH(A23,Case!$E$246:$E$267,0))</f>
        <v>Druid</v>
      </c>
      <c r="D23" s="122" t="e">
        <f>INDEX('L5 Calc'!$U$3:$U$23,MATCH('L6 Calc'!$A23,'L5 Calc'!$N$3:$N$23,0))</f>
        <v>#N/A</v>
      </c>
      <c r="E23" t="e">
        <f>INDEX('L5 Calc'!$S$3:$S$23,MATCH('L6 Calc'!$A23,'L5 Calc'!$N$3:$N$23,0))</f>
        <v>#N/A</v>
      </c>
      <c r="F23" t="str">
        <f>INDEX(Case!$K$332:$O$339,MATCH('L6 Calc'!$C23,Case!$J$332:$J$339,0),MATCH('L6 Calc'!F$2,Case!$K$331:$O$331,0))</f>
        <v>Agility</v>
      </c>
      <c r="G23" t="str">
        <f>INDEX(Case!$K$332:$O$339,MATCH('L6 Calc'!$C23,Case!$J$332:$J$339,0),MATCH('L6 Calc'!G$2,Case!$K$331:$O$331,0))</f>
        <v>Damage</v>
      </c>
      <c r="H23" t="str">
        <f>INDEX(Case!$K$332:$O$339,MATCH('L6 Calc'!$C23,Case!$J$332:$J$339,0),MATCH('L6 Calc'!H$2,Case!$K$331:$O$331,0))</f>
        <v>DPS</v>
      </c>
      <c r="I23">
        <f>INDEX(Case!$K$332:$O$339,MATCH('L6 Calc'!$C23,Case!$J$332:$J$339,0),MATCH('L6 Calc'!I$2,Case!$K$331:$O$331,0))</f>
        <v>2</v>
      </c>
      <c r="J23" s="137">
        <f>INDEX(Case!$K$332:$O$339,MATCH('L6 Calc'!$C23,Case!$J$332:$J$339,0),MATCH('L6 Calc'!J$2,Case!$K$331:$O$331,0))</f>
        <v>1</v>
      </c>
      <c r="K23" t="e">
        <f t="shared" si="0"/>
        <v>#N/A</v>
      </c>
      <c r="L23" t="e">
        <f t="shared" si="1"/>
        <v>#N/A</v>
      </c>
      <c r="M23" s="138">
        <v>3</v>
      </c>
      <c r="N23" s="138" t="e">
        <f t="shared" si="2"/>
        <v>#N/A</v>
      </c>
      <c r="O23" s="138" t="str">
        <f t="shared" si="3"/>
        <v>DPS</v>
      </c>
      <c r="P23" s="138" t="e">
        <f t="shared" si="4"/>
        <v>#N/A</v>
      </c>
    </row>
    <row r="27" spans="1:17">
      <c r="A27" t="s">
        <v>1097</v>
      </c>
      <c r="B27" s="132" t="s">
        <v>66</v>
      </c>
    </row>
    <row r="30" spans="1:17">
      <c r="B30" t="s">
        <v>1118</v>
      </c>
      <c r="H30" t="s">
        <v>1119</v>
      </c>
    </row>
    <row r="31" spans="1:17">
      <c r="B31" s="139" t="s">
        <v>1056</v>
      </c>
      <c r="C31" s="139"/>
      <c r="D31" s="139"/>
      <c r="E31" s="138" t="s">
        <v>348</v>
      </c>
      <c r="F31" s="138"/>
      <c r="G31" s="138"/>
      <c r="H31" s="139" t="s">
        <v>1056</v>
      </c>
      <c r="I31" s="138" t="s">
        <v>348</v>
      </c>
      <c r="Q31" t="s">
        <v>1120</v>
      </c>
    </row>
    <row r="32" spans="1:17">
      <c r="A32" t="s">
        <v>1121</v>
      </c>
      <c r="B32" s="139" t="s">
        <v>365</v>
      </c>
      <c r="C32" s="139" t="s">
        <v>300</v>
      </c>
      <c r="D32" s="139" t="s">
        <v>409</v>
      </c>
      <c r="E32" s="138" t="s">
        <v>365</v>
      </c>
      <c r="F32" s="138" t="s">
        <v>300</v>
      </c>
      <c r="G32" s="138" t="s">
        <v>409</v>
      </c>
      <c r="H32" s="139" t="s">
        <v>365</v>
      </c>
      <c r="I32" s="138" t="s">
        <v>365</v>
      </c>
      <c r="J32" t="s">
        <v>1122</v>
      </c>
      <c r="L32" t="s">
        <v>1120</v>
      </c>
      <c r="Q32" t="e">
        <f>L33</f>
        <v>#N/A</v>
      </c>
    </row>
    <row r="33" spans="1:17">
      <c r="A33">
        <v>1</v>
      </c>
      <c r="B33" t="e">
        <f>INDEX($K$3:$K$23,MATCH($B$27,$A$3:$A$23,0))</f>
        <v>#N/A</v>
      </c>
      <c r="C33" t="str">
        <f>INDEX($H$3:$H$23,MATCH($B$27,$A$3:$A$23,0))</f>
        <v>DPS</v>
      </c>
      <c r="D33" t="e">
        <f>INDEX($L$3:$L$23,MATCH($B$27,$A$3:$A$23,0))</f>
        <v>#N/A</v>
      </c>
      <c r="E33" t="e">
        <f>INDEX($N$3:$N$23,MATCH($B$27,$A$3:$A$23,0))</f>
        <v>#N/A</v>
      </c>
      <c r="F33" t="str">
        <f>INDEX($O$3:$O$23,MATCH($B$27,$A$3:$A$23,0))</f>
        <v>DPS</v>
      </c>
      <c r="G33" t="e">
        <f>INDEX($P$3:$P$23,MATCH($B$27,$A$3:$A$23,0))</f>
        <v>#N/A</v>
      </c>
      <c r="H33" t="e">
        <f>B33+IF(C33="HPS",D33,0)-IF(F33="DPS",G33,0)</f>
        <v>#N/A</v>
      </c>
      <c r="I33" t="e">
        <f>E33+IF(F33="HPS",G33,0)-IF(C33="DPS",D33,0)</f>
        <v>#N/A</v>
      </c>
      <c r="J33" t="e">
        <f>MIN(H33:I33)&lt;=0</f>
        <v>#N/A</v>
      </c>
      <c r="L33" t="e">
        <f>MATCH(TRUE,$J$33:$J$239,0)</f>
        <v>#N/A</v>
      </c>
      <c r="P33" s="132" t="s">
        <v>66</v>
      </c>
      <c r="Q33" t="e">
        <f t="dataTable" ref="Q33:Q53" dt2D="0" dtr="0" r1="B27"/>
        <v>#N/A</v>
      </c>
    </row>
    <row r="34" spans="1:17">
      <c r="A34">
        <v>2</v>
      </c>
      <c r="B34" t="e">
        <f>H33</f>
        <v>#N/A</v>
      </c>
      <c r="C34" t="str">
        <f>INDEX($H$3:$H$23,MATCH($B$27,$A$3:$A$23,0))</f>
        <v>DPS</v>
      </c>
      <c r="D34" t="e">
        <f>INDEX($L$3:$L$23,MATCH($B$27,$A$3:$A$23,0))</f>
        <v>#N/A</v>
      </c>
      <c r="E34" t="e">
        <f>I33</f>
        <v>#N/A</v>
      </c>
      <c r="F34" t="str">
        <f>INDEX($O$3:$O$23,MATCH($B$27,$A$3:$A$23,0))</f>
        <v>DPS</v>
      </c>
      <c r="G34" t="e">
        <f>INDEX($P$3:$P$23,MATCH($B$27,$A$3:$A$23,0))</f>
        <v>#N/A</v>
      </c>
      <c r="H34" t="e">
        <f>B34+IF(C34="HPS",D34,0)-IF(F34="DPS",G34,0)</f>
        <v>#N/A</v>
      </c>
      <c r="I34" t="e">
        <f>E34+IF(F34="HPS",G34,0)-IF(C34="DPS",D34,0)</f>
        <v>#N/A</v>
      </c>
      <c r="J34" t="e">
        <f>MIN(H34:I34)&lt;=0</f>
        <v>#N/A</v>
      </c>
      <c r="P34" s="132">
        <v>1</v>
      </c>
      <c r="Q34" t="e">
        <v>#N/A</v>
      </c>
    </row>
    <row r="35" spans="1:17">
      <c r="A35">
        <v>3</v>
      </c>
      <c r="B35" t="e">
        <f t="shared" ref="B35:B38" si="5">H34</f>
        <v>#N/A</v>
      </c>
      <c r="C35" t="str">
        <f t="shared" ref="C35:C98" si="6">INDEX($H$3:$H$23,MATCH($B$27,$A$3:$A$23,0))</f>
        <v>DPS</v>
      </c>
      <c r="D35" t="e">
        <f t="shared" ref="D35:D98" si="7">INDEX($L$3:$L$23,MATCH($B$27,$A$3:$A$23,0))</f>
        <v>#N/A</v>
      </c>
      <c r="E35" t="e">
        <f t="shared" ref="E35:E38" si="8">I34</f>
        <v>#N/A</v>
      </c>
      <c r="F35" t="str">
        <f t="shared" ref="F35:F98" si="9">INDEX($O$3:$O$23,MATCH($B$27,$A$3:$A$23,0))</f>
        <v>DPS</v>
      </c>
      <c r="G35" t="e">
        <f t="shared" ref="G35:G98" si="10">INDEX($P$3:$P$23,MATCH($B$27,$A$3:$A$23,0))</f>
        <v>#N/A</v>
      </c>
      <c r="H35" t="e">
        <f t="shared" ref="H35:H38" si="11">B35+IF(C35="HPS",D35,0)-IF(F35="DPS",G35,0)</f>
        <v>#N/A</v>
      </c>
      <c r="I35" t="e">
        <f t="shared" ref="I35:I38" si="12">E35+IF(F35="HPS",G35,0)-IF(C35="DPS",D35,0)</f>
        <v>#N/A</v>
      </c>
      <c r="J35" t="e">
        <f t="shared" ref="J35:J38" si="13">MIN(H35:I35)&lt;=0</f>
        <v>#N/A</v>
      </c>
      <c r="P35" s="132">
        <v>2</v>
      </c>
      <c r="Q35" t="e">
        <v>#N/A</v>
      </c>
    </row>
    <row r="36" spans="1:17">
      <c r="A36">
        <v>4</v>
      </c>
      <c r="B36" t="e">
        <f t="shared" si="5"/>
        <v>#N/A</v>
      </c>
      <c r="C36" t="str">
        <f t="shared" si="6"/>
        <v>DPS</v>
      </c>
      <c r="D36" t="e">
        <f t="shared" si="7"/>
        <v>#N/A</v>
      </c>
      <c r="E36" t="e">
        <f t="shared" si="8"/>
        <v>#N/A</v>
      </c>
      <c r="F36" t="str">
        <f t="shared" si="9"/>
        <v>DPS</v>
      </c>
      <c r="G36" t="e">
        <f t="shared" si="10"/>
        <v>#N/A</v>
      </c>
      <c r="H36" t="e">
        <f t="shared" si="11"/>
        <v>#N/A</v>
      </c>
      <c r="I36" t="e">
        <f t="shared" si="12"/>
        <v>#N/A</v>
      </c>
      <c r="J36" t="e">
        <f t="shared" si="13"/>
        <v>#N/A</v>
      </c>
      <c r="P36" s="132">
        <v>3</v>
      </c>
      <c r="Q36" t="e">
        <v>#N/A</v>
      </c>
    </row>
    <row r="37" spans="1:17">
      <c r="A37">
        <v>5</v>
      </c>
      <c r="B37" t="e">
        <f t="shared" si="5"/>
        <v>#N/A</v>
      </c>
      <c r="C37" t="str">
        <f t="shared" si="6"/>
        <v>DPS</v>
      </c>
      <c r="D37" t="e">
        <f t="shared" si="7"/>
        <v>#N/A</v>
      </c>
      <c r="E37" t="e">
        <f t="shared" si="8"/>
        <v>#N/A</v>
      </c>
      <c r="F37" t="str">
        <f t="shared" si="9"/>
        <v>DPS</v>
      </c>
      <c r="G37" t="e">
        <f t="shared" si="10"/>
        <v>#N/A</v>
      </c>
      <c r="H37" t="e">
        <f t="shared" si="11"/>
        <v>#N/A</v>
      </c>
      <c r="I37" t="e">
        <f t="shared" si="12"/>
        <v>#N/A</v>
      </c>
      <c r="J37" t="e">
        <f t="shared" si="13"/>
        <v>#N/A</v>
      </c>
      <c r="P37" s="132">
        <v>4</v>
      </c>
      <c r="Q37" t="e">
        <v>#N/A</v>
      </c>
    </row>
    <row r="38" spans="1:17">
      <c r="A38">
        <v>6</v>
      </c>
      <c r="B38" t="e">
        <f t="shared" si="5"/>
        <v>#N/A</v>
      </c>
      <c r="C38" t="str">
        <f t="shared" si="6"/>
        <v>DPS</v>
      </c>
      <c r="D38" t="e">
        <f t="shared" si="7"/>
        <v>#N/A</v>
      </c>
      <c r="E38" t="e">
        <f t="shared" si="8"/>
        <v>#N/A</v>
      </c>
      <c r="F38" t="str">
        <f t="shared" si="9"/>
        <v>DPS</v>
      </c>
      <c r="G38" t="e">
        <f t="shared" si="10"/>
        <v>#N/A</v>
      </c>
      <c r="H38" t="e">
        <f t="shared" si="11"/>
        <v>#N/A</v>
      </c>
      <c r="I38" t="e">
        <f t="shared" si="12"/>
        <v>#N/A</v>
      </c>
      <c r="J38" t="e">
        <f t="shared" si="13"/>
        <v>#N/A</v>
      </c>
      <c r="P38" s="132">
        <v>5</v>
      </c>
      <c r="Q38" t="e">
        <v>#N/A</v>
      </c>
    </row>
    <row r="39" spans="1:17">
      <c r="A39">
        <v>7</v>
      </c>
      <c r="B39" t="e">
        <f t="shared" ref="B39:B62" si="14">H38</f>
        <v>#N/A</v>
      </c>
      <c r="C39" t="str">
        <f t="shared" si="6"/>
        <v>DPS</v>
      </c>
      <c r="D39" t="e">
        <f t="shared" si="7"/>
        <v>#N/A</v>
      </c>
      <c r="E39" t="e">
        <f t="shared" ref="E39:E62" si="15">I38</f>
        <v>#N/A</v>
      </c>
      <c r="F39" t="str">
        <f t="shared" si="9"/>
        <v>DPS</v>
      </c>
      <c r="G39" t="e">
        <f t="shared" si="10"/>
        <v>#N/A</v>
      </c>
      <c r="H39" t="e">
        <f t="shared" ref="H39:H62" si="16">B39+IF(C39="HPS",D39,0)-IF(F39="DPS",G39,0)</f>
        <v>#N/A</v>
      </c>
      <c r="I39" t="e">
        <f t="shared" ref="I39:I62" si="17">E39+IF(F39="HPS",G39,0)-IF(C39="DPS",D39,0)</f>
        <v>#N/A</v>
      </c>
      <c r="J39" t="e">
        <f t="shared" ref="J39:J62" si="18">MIN(H39:I39)&lt;=0</f>
        <v>#N/A</v>
      </c>
      <c r="P39" s="132">
        <v>6</v>
      </c>
      <c r="Q39" t="e">
        <v>#N/A</v>
      </c>
    </row>
    <row r="40" spans="1:17">
      <c r="A40">
        <v>8</v>
      </c>
      <c r="B40" t="e">
        <f t="shared" si="14"/>
        <v>#N/A</v>
      </c>
      <c r="C40" t="str">
        <f t="shared" si="6"/>
        <v>DPS</v>
      </c>
      <c r="D40" t="e">
        <f t="shared" si="7"/>
        <v>#N/A</v>
      </c>
      <c r="E40" t="e">
        <f t="shared" si="15"/>
        <v>#N/A</v>
      </c>
      <c r="F40" t="str">
        <f t="shared" si="9"/>
        <v>DPS</v>
      </c>
      <c r="G40" t="e">
        <f t="shared" si="10"/>
        <v>#N/A</v>
      </c>
      <c r="H40" t="e">
        <f t="shared" si="16"/>
        <v>#N/A</v>
      </c>
      <c r="I40" t="e">
        <f t="shared" si="17"/>
        <v>#N/A</v>
      </c>
      <c r="J40" t="e">
        <f t="shared" si="18"/>
        <v>#N/A</v>
      </c>
      <c r="P40" s="132">
        <v>7</v>
      </c>
      <c r="Q40" t="e">
        <v>#N/A</v>
      </c>
    </row>
    <row r="41" spans="1:17">
      <c r="A41">
        <v>9</v>
      </c>
      <c r="B41" t="e">
        <f t="shared" si="14"/>
        <v>#N/A</v>
      </c>
      <c r="C41" t="str">
        <f t="shared" si="6"/>
        <v>DPS</v>
      </c>
      <c r="D41" t="e">
        <f t="shared" si="7"/>
        <v>#N/A</v>
      </c>
      <c r="E41" t="e">
        <f t="shared" si="15"/>
        <v>#N/A</v>
      </c>
      <c r="F41" t="str">
        <f t="shared" si="9"/>
        <v>DPS</v>
      </c>
      <c r="G41" t="e">
        <f t="shared" si="10"/>
        <v>#N/A</v>
      </c>
      <c r="H41" t="e">
        <f t="shared" si="16"/>
        <v>#N/A</v>
      </c>
      <c r="I41" t="e">
        <f t="shared" si="17"/>
        <v>#N/A</v>
      </c>
      <c r="J41" t="e">
        <f t="shared" si="18"/>
        <v>#N/A</v>
      </c>
      <c r="P41" s="132">
        <v>8</v>
      </c>
      <c r="Q41" t="e">
        <v>#N/A</v>
      </c>
    </row>
    <row r="42" spans="1:17">
      <c r="A42">
        <v>10</v>
      </c>
      <c r="B42" t="e">
        <f t="shared" si="14"/>
        <v>#N/A</v>
      </c>
      <c r="C42" t="str">
        <f t="shared" si="6"/>
        <v>DPS</v>
      </c>
      <c r="D42" t="e">
        <f t="shared" si="7"/>
        <v>#N/A</v>
      </c>
      <c r="E42" t="e">
        <f t="shared" si="15"/>
        <v>#N/A</v>
      </c>
      <c r="F42" t="str">
        <f t="shared" si="9"/>
        <v>DPS</v>
      </c>
      <c r="G42" t="e">
        <f t="shared" si="10"/>
        <v>#N/A</v>
      </c>
      <c r="H42" t="e">
        <f t="shared" si="16"/>
        <v>#N/A</v>
      </c>
      <c r="I42" t="e">
        <f t="shared" si="17"/>
        <v>#N/A</v>
      </c>
      <c r="J42" t="e">
        <f t="shared" si="18"/>
        <v>#N/A</v>
      </c>
      <c r="P42" s="132">
        <v>9</v>
      </c>
      <c r="Q42" t="e">
        <v>#N/A</v>
      </c>
    </row>
    <row r="43" spans="1:17">
      <c r="A43">
        <v>11</v>
      </c>
      <c r="B43" t="e">
        <f t="shared" si="14"/>
        <v>#N/A</v>
      </c>
      <c r="C43" t="str">
        <f t="shared" si="6"/>
        <v>DPS</v>
      </c>
      <c r="D43" t="e">
        <f t="shared" si="7"/>
        <v>#N/A</v>
      </c>
      <c r="E43" t="e">
        <f t="shared" si="15"/>
        <v>#N/A</v>
      </c>
      <c r="F43" t="str">
        <f t="shared" si="9"/>
        <v>DPS</v>
      </c>
      <c r="G43" t="e">
        <f t="shared" si="10"/>
        <v>#N/A</v>
      </c>
      <c r="H43" t="e">
        <f t="shared" si="16"/>
        <v>#N/A</v>
      </c>
      <c r="I43" t="e">
        <f t="shared" si="17"/>
        <v>#N/A</v>
      </c>
      <c r="J43" t="e">
        <f t="shared" si="18"/>
        <v>#N/A</v>
      </c>
      <c r="P43" s="132">
        <v>10</v>
      </c>
      <c r="Q43" t="e">
        <v>#N/A</v>
      </c>
    </row>
    <row r="44" spans="1:17">
      <c r="A44">
        <v>12</v>
      </c>
      <c r="B44" t="e">
        <f t="shared" si="14"/>
        <v>#N/A</v>
      </c>
      <c r="C44" t="str">
        <f t="shared" si="6"/>
        <v>DPS</v>
      </c>
      <c r="D44" t="e">
        <f t="shared" si="7"/>
        <v>#N/A</v>
      </c>
      <c r="E44" t="e">
        <f t="shared" si="15"/>
        <v>#N/A</v>
      </c>
      <c r="F44" t="str">
        <f t="shared" si="9"/>
        <v>DPS</v>
      </c>
      <c r="G44" t="e">
        <f t="shared" si="10"/>
        <v>#N/A</v>
      </c>
      <c r="H44" t="e">
        <f t="shared" si="16"/>
        <v>#N/A</v>
      </c>
      <c r="I44" t="e">
        <f t="shared" si="17"/>
        <v>#N/A</v>
      </c>
      <c r="J44" t="e">
        <f t="shared" si="18"/>
        <v>#N/A</v>
      </c>
      <c r="P44" s="132">
        <v>11</v>
      </c>
      <c r="Q44" t="e">
        <v>#N/A</v>
      </c>
    </row>
    <row r="45" spans="1:17">
      <c r="A45">
        <v>13</v>
      </c>
      <c r="B45" t="e">
        <f t="shared" si="14"/>
        <v>#N/A</v>
      </c>
      <c r="C45" t="str">
        <f t="shared" si="6"/>
        <v>DPS</v>
      </c>
      <c r="D45" t="e">
        <f t="shared" si="7"/>
        <v>#N/A</v>
      </c>
      <c r="E45" t="e">
        <f t="shared" si="15"/>
        <v>#N/A</v>
      </c>
      <c r="F45" t="str">
        <f t="shared" si="9"/>
        <v>DPS</v>
      </c>
      <c r="G45" t="e">
        <f t="shared" si="10"/>
        <v>#N/A</v>
      </c>
      <c r="H45" t="e">
        <f t="shared" si="16"/>
        <v>#N/A</v>
      </c>
      <c r="I45" t="e">
        <f t="shared" si="17"/>
        <v>#N/A</v>
      </c>
      <c r="J45" t="e">
        <f t="shared" si="18"/>
        <v>#N/A</v>
      </c>
      <c r="P45" s="132">
        <v>12</v>
      </c>
      <c r="Q45" t="e">
        <v>#N/A</v>
      </c>
    </row>
    <row r="46" spans="1:17">
      <c r="A46">
        <v>14</v>
      </c>
      <c r="B46" t="e">
        <f t="shared" si="14"/>
        <v>#N/A</v>
      </c>
      <c r="C46" t="str">
        <f t="shared" si="6"/>
        <v>DPS</v>
      </c>
      <c r="D46" t="e">
        <f t="shared" si="7"/>
        <v>#N/A</v>
      </c>
      <c r="E46" t="e">
        <f t="shared" si="15"/>
        <v>#N/A</v>
      </c>
      <c r="F46" t="str">
        <f t="shared" si="9"/>
        <v>DPS</v>
      </c>
      <c r="G46" t="e">
        <f t="shared" si="10"/>
        <v>#N/A</v>
      </c>
      <c r="H46" t="e">
        <f t="shared" si="16"/>
        <v>#N/A</v>
      </c>
      <c r="I46" t="e">
        <f t="shared" si="17"/>
        <v>#N/A</v>
      </c>
      <c r="J46" t="e">
        <f t="shared" si="18"/>
        <v>#N/A</v>
      </c>
      <c r="P46" s="132">
        <v>13</v>
      </c>
      <c r="Q46" t="e">
        <v>#N/A</v>
      </c>
    </row>
    <row r="47" spans="1:17">
      <c r="A47">
        <v>15</v>
      </c>
      <c r="B47" t="e">
        <f t="shared" si="14"/>
        <v>#N/A</v>
      </c>
      <c r="C47" t="str">
        <f t="shared" si="6"/>
        <v>DPS</v>
      </c>
      <c r="D47" t="e">
        <f t="shared" si="7"/>
        <v>#N/A</v>
      </c>
      <c r="E47" t="e">
        <f t="shared" si="15"/>
        <v>#N/A</v>
      </c>
      <c r="F47" t="str">
        <f t="shared" si="9"/>
        <v>DPS</v>
      </c>
      <c r="G47" t="e">
        <f t="shared" si="10"/>
        <v>#N/A</v>
      </c>
      <c r="H47" t="e">
        <f t="shared" si="16"/>
        <v>#N/A</v>
      </c>
      <c r="I47" t="e">
        <f t="shared" si="17"/>
        <v>#N/A</v>
      </c>
      <c r="J47" t="e">
        <f t="shared" si="18"/>
        <v>#N/A</v>
      </c>
      <c r="P47" s="132">
        <v>14</v>
      </c>
      <c r="Q47" t="e">
        <v>#N/A</v>
      </c>
    </row>
    <row r="48" spans="1:17">
      <c r="A48">
        <v>16</v>
      </c>
      <c r="B48" t="e">
        <f t="shared" si="14"/>
        <v>#N/A</v>
      </c>
      <c r="C48" t="str">
        <f t="shared" si="6"/>
        <v>DPS</v>
      </c>
      <c r="D48" t="e">
        <f t="shared" si="7"/>
        <v>#N/A</v>
      </c>
      <c r="E48" t="e">
        <f t="shared" si="15"/>
        <v>#N/A</v>
      </c>
      <c r="F48" t="str">
        <f t="shared" si="9"/>
        <v>DPS</v>
      </c>
      <c r="G48" t="e">
        <f t="shared" si="10"/>
        <v>#N/A</v>
      </c>
      <c r="H48" t="e">
        <f t="shared" si="16"/>
        <v>#N/A</v>
      </c>
      <c r="I48" t="e">
        <f t="shared" si="17"/>
        <v>#N/A</v>
      </c>
      <c r="J48" t="e">
        <f t="shared" si="18"/>
        <v>#N/A</v>
      </c>
      <c r="P48" s="132">
        <v>15</v>
      </c>
      <c r="Q48" t="e">
        <v>#N/A</v>
      </c>
    </row>
    <row r="49" spans="1:17">
      <c r="A49">
        <v>17</v>
      </c>
      <c r="B49" t="e">
        <f t="shared" si="14"/>
        <v>#N/A</v>
      </c>
      <c r="C49" t="str">
        <f t="shared" si="6"/>
        <v>DPS</v>
      </c>
      <c r="D49" t="e">
        <f t="shared" si="7"/>
        <v>#N/A</v>
      </c>
      <c r="E49" t="e">
        <f t="shared" si="15"/>
        <v>#N/A</v>
      </c>
      <c r="F49" t="str">
        <f t="shared" si="9"/>
        <v>DPS</v>
      </c>
      <c r="G49" t="e">
        <f t="shared" si="10"/>
        <v>#N/A</v>
      </c>
      <c r="H49" t="e">
        <f t="shared" si="16"/>
        <v>#N/A</v>
      </c>
      <c r="I49" t="e">
        <f t="shared" si="17"/>
        <v>#N/A</v>
      </c>
      <c r="J49" t="e">
        <f t="shared" si="18"/>
        <v>#N/A</v>
      </c>
      <c r="P49" s="132">
        <v>16</v>
      </c>
      <c r="Q49" t="e">
        <v>#N/A</v>
      </c>
    </row>
    <row r="50" spans="1:17">
      <c r="A50">
        <v>18</v>
      </c>
      <c r="B50" t="e">
        <f t="shared" si="14"/>
        <v>#N/A</v>
      </c>
      <c r="C50" t="str">
        <f t="shared" si="6"/>
        <v>DPS</v>
      </c>
      <c r="D50" t="e">
        <f t="shared" si="7"/>
        <v>#N/A</v>
      </c>
      <c r="E50" t="e">
        <f t="shared" si="15"/>
        <v>#N/A</v>
      </c>
      <c r="F50" t="str">
        <f t="shared" si="9"/>
        <v>DPS</v>
      </c>
      <c r="G50" t="e">
        <f t="shared" si="10"/>
        <v>#N/A</v>
      </c>
      <c r="H50" t="e">
        <f t="shared" si="16"/>
        <v>#N/A</v>
      </c>
      <c r="I50" t="e">
        <f t="shared" si="17"/>
        <v>#N/A</v>
      </c>
      <c r="J50" t="e">
        <f t="shared" si="18"/>
        <v>#N/A</v>
      </c>
      <c r="P50" s="132">
        <v>17</v>
      </c>
      <c r="Q50" t="e">
        <v>#N/A</v>
      </c>
    </row>
    <row r="51" spans="1:17">
      <c r="A51">
        <v>19</v>
      </c>
      <c r="B51" t="e">
        <f t="shared" si="14"/>
        <v>#N/A</v>
      </c>
      <c r="C51" t="str">
        <f t="shared" si="6"/>
        <v>DPS</v>
      </c>
      <c r="D51" t="e">
        <f t="shared" si="7"/>
        <v>#N/A</v>
      </c>
      <c r="E51" t="e">
        <f t="shared" si="15"/>
        <v>#N/A</v>
      </c>
      <c r="F51" t="str">
        <f t="shared" si="9"/>
        <v>DPS</v>
      </c>
      <c r="G51" t="e">
        <f t="shared" si="10"/>
        <v>#N/A</v>
      </c>
      <c r="H51" t="e">
        <f t="shared" si="16"/>
        <v>#N/A</v>
      </c>
      <c r="I51" t="e">
        <f t="shared" si="17"/>
        <v>#N/A</v>
      </c>
      <c r="J51" t="e">
        <f t="shared" si="18"/>
        <v>#N/A</v>
      </c>
      <c r="P51" s="132">
        <v>18</v>
      </c>
      <c r="Q51" t="e">
        <v>#N/A</v>
      </c>
    </row>
    <row r="52" spans="1:17">
      <c r="A52">
        <v>20</v>
      </c>
      <c r="B52" t="e">
        <f t="shared" si="14"/>
        <v>#N/A</v>
      </c>
      <c r="C52" t="str">
        <f t="shared" si="6"/>
        <v>DPS</v>
      </c>
      <c r="D52" t="e">
        <f t="shared" si="7"/>
        <v>#N/A</v>
      </c>
      <c r="E52" t="e">
        <f t="shared" si="15"/>
        <v>#N/A</v>
      </c>
      <c r="F52" t="str">
        <f t="shared" si="9"/>
        <v>DPS</v>
      </c>
      <c r="G52" t="e">
        <f t="shared" si="10"/>
        <v>#N/A</v>
      </c>
      <c r="H52" t="e">
        <f t="shared" si="16"/>
        <v>#N/A</v>
      </c>
      <c r="I52" t="e">
        <f t="shared" si="17"/>
        <v>#N/A</v>
      </c>
      <c r="J52" t="e">
        <f t="shared" si="18"/>
        <v>#N/A</v>
      </c>
      <c r="P52" s="132">
        <v>19</v>
      </c>
      <c r="Q52" t="e">
        <v>#N/A</v>
      </c>
    </row>
    <row r="53" spans="1:17">
      <c r="A53">
        <v>21</v>
      </c>
      <c r="B53" t="e">
        <f t="shared" si="14"/>
        <v>#N/A</v>
      </c>
      <c r="C53" t="str">
        <f t="shared" si="6"/>
        <v>DPS</v>
      </c>
      <c r="D53" t="e">
        <f t="shared" si="7"/>
        <v>#N/A</v>
      </c>
      <c r="E53" t="e">
        <f t="shared" si="15"/>
        <v>#N/A</v>
      </c>
      <c r="F53" t="str">
        <f t="shared" si="9"/>
        <v>DPS</v>
      </c>
      <c r="G53" t="e">
        <f t="shared" si="10"/>
        <v>#N/A</v>
      </c>
      <c r="H53" t="e">
        <f t="shared" si="16"/>
        <v>#N/A</v>
      </c>
      <c r="I53" t="e">
        <f t="shared" si="17"/>
        <v>#N/A</v>
      </c>
      <c r="J53" t="e">
        <f t="shared" si="18"/>
        <v>#N/A</v>
      </c>
      <c r="P53" s="132">
        <v>20</v>
      </c>
      <c r="Q53" t="e">
        <v>#N/A</v>
      </c>
    </row>
    <row r="54" spans="1:17">
      <c r="A54">
        <v>22</v>
      </c>
      <c r="B54" t="e">
        <f t="shared" si="14"/>
        <v>#N/A</v>
      </c>
      <c r="C54" t="str">
        <f t="shared" si="6"/>
        <v>DPS</v>
      </c>
      <c r="D54" t="e">
        <f t="shared" si="7"/>
        <v>#N/A</v>
      </c>
      <c r="E54" t="e">
        <f t="shared" si="15"/>
        <v>#N/A</v>
      </c>
      <c r="F54" t="str">
        <f t="shared" si="9"/>
        <v>DPS</v>
      </c>
      <c r="G54" t="e">
        <f t="shared" si="10"/>
        <v>#N/A</v>
      </c>
      <c r="H54" t="e">
        <f t="shared" si="16"/>
        <v>#N/A</v>
      </c>
      <c r="I54" t="e">
        <f t="shared" si="17"/>
        <v>#N/A</v>
      </c>
      <c r="J54" t="e">
        <f t="shared" si="18"/>
        <v>#N/A</v>
      </c>
    </row>
    <row r="55" spans="1:17">
      <c r="A55">
        <v>23</v>
      </c>
      <c r="B55" t="e">
        <f t="shared" si="14"/>
        <v>#N/A</v>
      </c>
      <c r="C55" t="str">
        <f t="shared" si="6"/>
        <v>DPS</v>
      </c>
      <c r="D55" t="e">
        <f t="shared" si="7"/>
        <v>#N/A</v>
      </c>
      <c r="E55" t="e">
        <f t="shared" si="15"/>
        <v>#N/A</v>
      </c>
      <c r="F55" t="str">
        <f t="shared" si="9"/>
        <v>DPS</v>
      </c>
      <c r="G55" t="e">
        <f t="shared" si="10"/>
        <v>#N/A</v>
      </c>
      <c r="H55" t="e">
        <f t="shared" si="16"/>
        <v>#N/A</v>
      </c>
      <c r="I55" t="e">
        <f t="shared" si="17"/>
        <v>#N/A</v>
      </c>
      <c r="J55" t="e">
        <f t="shared" si="18"/>
        <v>#N/A</v>
      </c>
    </row>
    <row r="56" spans="1:17">
      <c r="A56">
        <v>24</v>
      </c>
      <c r="B56" t="e">
        <f t="shared" si="14"/>
        <v>#N/A</v>
      </c>
      <c r="C56" t="str">
        <f t="shared" si="6"/>
        <v>DPS</v>
      </c>
      <c r="D56" t="e">
        <f t="shared" si="7"/>
        <v>#N/A</v>
      </c>
      <c r="E56" t="e">
        <f t="shared" si="15"/>
        <v>#N/A</v>
      </c>
      <c r="F56" t="str">
        <f t="shared" si="9"/>
        <v>DPS</v>
      </c>
      <c r="G56" t="e">
        <f t="shared" si="10"/>
        <v>#N/A</v>
      </c>
      <c r="H56" t="e">
        <f t="shared" si="16"/>
        <v>#N/A</v>
      </c>
      <c r="I56" t="e">
        <f t="shared" si="17"/>
        <v>#N/A</v>
      </c>
      <c r="J56" t="e">
        <f t="shared" si="18"/>
        <v>#N/A</v>
      </c>
    </row>
    <row r="57" spans="1:17">
      <c r="A57">
        <v>25</v>
      </c>
      <c r="B57" t="e">
        <f t="shared" si="14"/>
        <v>#N/A</v>
      </c>
      <c r="C57" t="str">
        <f t="shared" si="6"/>
        <v>DPS</v>
      </c>
      <c r="D57" t="e">
        <f t="shared" si="7"/>
        <v>#N/A</v>
      </c>
      <c r="E57" t="e">
        <f t="shared" si="15"/>
        <v>#N/A</v>
      </c>
      <c r="F57" t="str">
        <f t="shared" si="9"/>
        <v>DPS</v>
      </c>
      <c r="G57" t="e">
        <f t="shared" si="10"/>
        <v>#N/A</v>
      </c>
      <c r="H57" t="e">
        <f t="shared" si="16"/>
        <v>#N/A</v>
      </c>
      <c r="I57" t="e">
        <f t="shared" si="17"/>
        <v>#N/A</v>
      </c>
      <c r="J57" t="e">
        <f t="shared" si="18"/>
        <v>#N/A</v>
      </c>
    </row>
    <row r="58" spans="1:17">
      <c r="A58">
        <v>26</v>
      </c>
      <c r="B58" t="e">
        <f t="shared" si="14"/>
        <v>#N/A</v>
      </c>
      <c r="C58" t="str">
        <f t="shared" si="6"/>
        <v>DPS</v>
      </c>
      <c r="D58" t="e">
        <f t="shared" si="7"/>
        <v>#N/A</v>
      </c>
      <c r="E58" t="e">
        <f t="shared" si="15"/>
        <v>#N/A</v>
      </c>
      <c r="F58" t="str">
        <f t="shared" si="9"/>
        <v>DPS</v>
      </c>
      <c r="G58" t="e">
        <f t="shared" si="10"/>
        <v>#N/A</v>
      </c>
      <c r="H58" t="e">
        <f t="shared" si="16"/>
        <v>#N/A</v>
      </c>
      <c r="I58" t="e">
        <f t="shared" si="17"/>
        <v>#N/A</v>
      </c>
      <c r="J58" t="e">
        <f t="shared" si="18"/>
        <v>#N/A</v>
      </c>
    </row>
    <row r="59" spans="1:17">
      <c r="A59">
        <v>27</v>
      </c>
      <c r="B59" t="e">
        <f t="shared" si="14"/>
        <v>#N/A</v>
      </c>
      <c r="C59" t="str">
        <f t="shared" si="6"/>
        <v>DPS</v>
      </c>
      <c r="D59" t="e">
        <f t="shared" si="7"/>
        <v>#N/A</v>
      </c>
      <c r="E59" t="e">
        <f t="shared" si="15"/>
        <v>#N/A</v>
      </c>
      <c r="F59" t="str">
        <f t="shared" si="9"/>
        <v>DPS</v>
      </c>
      <c r="G59" t="e">
        <f t="shared" si="10"/>
        <v>#N/A</v>
      </c>
      <c r="H59" t="e">
        <f t="shared" si="16"/>
        <v>#N/A</v>
      </c>
      <c r="I59" t="e">
        <f t="shared" si="17"/>
        <v>#N/A</v>
      </c>
      <c r="J59" t="e">
        <f t="shared" si="18"/>
        <v>#N/A</v>
      </c>
    </row>
    <row r="60" spans="1:17">
      <c r="A60">
        <v>28</v>
      </c>
      <c r="B60" t="e">
        <f t="shared" si="14"/>
        <v>#N/A</v>
      </c>
      <c r="C60" t="str">
        <f t="shared" si="6"/>
        <v>DPS</v>
      </c>
      <c r="D60" t="e">
        <f t="shared" si="7"/>
        <v>#N/A</v>
      </c>
      <c r="E60" t="e">
        <f t="shared" si="15"/>
        <v>#N/A</v>
      </c>
      <c r="F60" t="str">
        <f t="shared" si="9"/>
        <v>DPS</v>
      </c>
      <c r="G60" t="e">
        <f t="shared" si="10"/>
        <v>#N/A</v>
      </c>
      <c r="H60" t="e">
        <f t="shared" si="16"/>
        <v>#N/A</v>
      </c>
      <c r="I60" t="e">
        <f t="shared" si="17"/>
        <v>#N/A</v>
      </c>
      <c r="J60" t="e">
        <f t="shared" si="18"/>
        <v>#N/A</v>
      </c>
    </row>
    <row r="61" spans="1:17">
      <c r="A61">
        <v>29</v>
      </c>
      <c r="B61" t="e">
        <f t="shared" si="14"/>
        <v>#N/A</v>
      </c>
      <c r="C61" t="str">
        <f t="shared" si="6"/>
        <v>DPS</v>
      </c>
      <c r="D61" t="e">
        <f t="shared" si="7"/>
        <v>#N/A</v>
      </c>
      <c r="E61" t="e">
        <f t="shared" si="15"/>
        <v>#N/A</v>
      </c>
      <c r="F61" t="str">
        <f t="shared" si="9"/>
        <v>DPS</v>
      </c>
      <c r="G61" t="e">
        <f t="shared" si="10"/>
        <v>#N/A</v>
      </c>
      <c r="H61" t="e">
        <f t="shared" si="16"/>
        <v>#N/A</v>
      </c>
      <c r="I61" t="e">
        <f t="shared" si="17"/>
        <v>#N/A</v>
      </c>
      <c r="J61" t="e">
        <f t="shared" si="18"/>
        <v>#N/A</v>
      </c>
    </row>
    <row r="62" spans="1:17">
      <c r="A62">
        <v>30</v>
      </c>
      <c r="B62" t="e">
        <f t="shared" si="14"/>
        <v>#N/A</v>
      </c>
      <c r="C62" t="str">
        <f t="shared" si="6"/>
        <v>DPS</v>
      </c>
      <c r="D62" t="e">
        <f t="shared" si="7"/>
        <v>#N/A</v>
      </c>
      <c r="E62" t="e">
        <f t="shared" si="15"/>
        <v>#N/A</v>
      </c>
      <c r="F62" t="str">
        <f t="shared" si="9"/>
        <v>DPS</v>
      </c>
      <c r="G62" t="e">
        <f t="shared" si="10"/>
        <v>#N/A</v>
      </c>
      <c r="H62" t="e">
        <f t="shared" si="16"/>
        <v>#N/A</v>
      </c>
      <c r="I62" t="e">
        <f t="shared" si="17"/>
        <v>#N/A</v>
      </c>
      <c r="J62" t="e">
        <f t="shared" si="18"/>
        <v>#N/A</v>
      </c>
    </row>
    <row r="63" spans="1:17">
      <c r="A63">
        <v>31</v>
      </c>
      <c r="B63" t="e">
        <f t="shared" ref="B63:B82" si="19">H62</f>
        <v>#N/A</v>
      </c>
      <c r="C63" t="str">
        <f t="shared" si="6"/>
        <v>DPS</v>
      </c>
      <c r="D63" t="e">
        <f t="shared" si="7"/>
        <v>#N/A</v>
      </c>
      <c r="E63" t="e">
        <f t="shared" ref="E63:E82" si="20">I62</f>
        <v>#N/A</v>
      </c>
      <c r="F63" t="str">
        <f t="shared" si="9"/>
        <v>DPS</v>
      </c>
      <c r="G63" t="e">
        <f t="shared" si="10"/>
        <v>#N/A</v>
      </c>
      <c r="H63" t="e">
        <f t="shared" ref="H63:H82" si="21">B63+IF(C63="HPS",D63,0)-IF(F63="DPS",G63,0)</f>
        <v>#N/A</v>
      </c>
      <c r="I63" t="e">
        <f t="shared" ref="I63:I82" si="22">E63+IF(F63="HPS",G63,0)-IF(C63="DPS",D63,0)</f>
        <v>#N/A</v>
      </c>
      <c r="J63" t="e">
        <f t="shared" ref="J63:J82" si="23">MIN(H63:I63)&lt;=0</f>
        <v>#N/A</v>
      </c>
    </row>
    <row r="64" spans="1:17">
      <c r="A64">
        <v>32</v>
      </c>
      <c r="B64" t="e">
        <f t="shared" si="19"/>
        <v>#N/A</v>
      </c>
      <c r="C64" t="str">
        <f t="shared" si="6"/>
        <v>DPS</v>
      </c>
      <c r="D64" t="e">
        <f t="shared" si="7"/>
        <v>#N/A</v>
      </c>
      <c r="E64" t="e">
        <f t="shared" si="20"/>
        <v>#N/A</v>
      </c>
      <c r="F64" t="str">
        <f t="shared" si="9"/>
        <v>DPS</v>
      </c>
      <c r="G64" t="e">
        <f t="shared" si="10"/>
        <v>#N/A</v>
      </c>
      <c r="H64" t="e">
        <f t="shared" si="21"/>
        <v>#N/A</v>
      </c>
      <c r="I64" t="e">
        <f t="shared" si="22"/>
        <v>#N/A</v>
      </c>
      <c r="J64" t="e">
        <f t="shared" si="23"/>
        <v>#N/A</v>
      </c>
    </row>
    <row r="65" spans="1:10">
      <c r="A65">
        <v>33</v>
      </c>
      <c r="B65" t="e">
        <f t="shared" si="19"/>
        <v>#N/A</v>
      </c>
      <c r="C65" t="str">
        <f t="shared" si="6"/>
        <v>DPS</v>
      </c>
      <c r="D65" t="e">
        <f t="shared" si="7"/>
        <v>#N/A</v>
      </c>
      <c r="E65" t="e">
        <f t="shared" si="20"/>
        <v>#N/A</v>
      </c>
      <c r="F65" t="str">
        <f t="shared" si="9"/>
        <v>DPS</v>
      </c>
      <c r="G65" t="e">
        <f t="shared" si="10"/>
        <v>#N/A</v>
      </c>
      <c r="H65" t="e">
        <f t="shared" si="21"/>
        <v>#N/A</v>
      </c>
      <c r="I65" t="e">
        <f t="shared" si="22"/>
        <v>#N/A</v>
      </c>
      <c r="J65" t="e">
        <f t="shared" si="23"/>
        <v>#N/A</v>
      </c>
    </row>
    <row r="66" spans="1:10">
      <c r="A66">
        <v>34</v>
      </c>
      <c r="B66" t="e">
        <f t="shared" si="19"/>
        <v>#N/A</v>
      </c>
      <c r="C66" t="str">
        <f t="shared" si="6"/>
        <v>DPS</v>
      </c>
      <c r="D66" t="e">
        <f t="shared" si="7"/>
        <v>#N/A</v>
      </c>
      <c r="E66" t="e">
        <f t="shared" si="20"/>
        <v>#N/A</v>
      </c>
      <c r="F66" t="str">
        <f t="shared" si="9"/>
        <v>DPS</v>
      </c>
      <c r="G66" t="e">
        <f t="shared" si="10"/>
        <v>#N/A</v>
      </c>
      <c r="H66" t="e">
        <f t="shared" si="21"/>
        <v>#N/A</v>
      </c>
      <c r="I66" t="e">
        <f t="shared" si="22"/>
        <v>#N/A</v>
      </c>
      <c r="J66" t="e">
        <f t="shared" si="23"/>
        <v>#N/A</v>
      </c>
    </row>
    <row r="67" spans="1:10">
      <c r="A67">
        <v>35</v>
      </c>
      <c r="B67" t="e">
        <f t="shared" si="19"/>
        <v>#N/A</v>
      </c>
      <c r="C67" t="str">
        <f t="shared" si="6"/>
        <v>DPS</v>
      </c>
      <c r="D67" t="e">
        <f t="shared" si="7"/>
        <v>#N/A</v>
      </c>
      <c r="E67" t="e">
        <f t="shared" si="20"/>
        <v>#N/A</v>
      </c>
      <c r="F67" t="str">
        <f t="shared" si="9"/>
        <v>DPS</v>
      </c>
      <c r="G67" t="e">
        <f t="shared" si="10"/>
        <v>#N/A</v>
      </c>
      <c r="H67" t="e">
        <f t="shared" si="21"/>
        <v>#N/A</v>
      </c>
      <c r="I67" t="e">
        <f t="shared" si="22"/>
        <v>#N/A</v>
      </c>
      <c r="J67" t="e">
        <f t="shared" si="23"/>
        <v>#N/A</v>
      </c>
    </row>
    <row r="68" spans="1:10">
      <c r="A68">
        <v>36</v>
      </c>
      <c r="B68" t="e">
        <f t="shared" si="19"/>
        <v>#N/A</v>
      </c>
      <c r="C68" t="str">
        <f t="shared" si="6"/>
        <v>DPS</v>
      </c>
      <c r="D68" t="e">
        <f t="shared" si="7"/>
        <v>#N/A</v>
      </c>
      <c r="E68" t="e">
        <f t="shared" si="20"/>
        <v>#N/A</v>
      </c>
      <c r="F68" t="str">
        <f t="shared" si="9"/>
        <v>DPS</v>
      </c>
      <c r="G68" t="e">
        <f t="shared" si="10"/>
        <v>#N/A</v>
      </c>
      <c r="H68" t="e">
        <f t="shared" si="21"/>
        <v>#N/A</v>
      </c>
      <c r="I68" t="e">
        <f t="shared" si="22"/>
        <v>#N/A</v>
      </c>
      <c r="J68" t="e">
        <f t="shared" si="23"/>
        <v>#N/A</v>
      </c>
    </row>
    <row r="69" spans="1:10">
      <c r="A69">
        <v>37</v>
      </c>
      <c r="B69" t="e">
        <f t="shared" si="19"/>
        <v>#N/A</v>
      </c>
      <c r="C69" t="str">
        <f t="shared" si="6"/>
        <v>DPS</v>
      </c>
      <c r="D69" t="e">
        <f t="shared" si="7"/>
        <v>#N/A</v>
      </c>
      <c r="E69" t="e">
        <f t="shared" si="20"/>
        <v>#N/A</v>
      </c>
      <c r="F69" t="str">
        <f t="shared" si="9"/>
        <v>DPS</v>
      </c>
      <c r="G69" t="e">
        <f t="shared" si="10"/>
        <v>#N/A</v>
      </c>
      <c r="H69" t="e">
        <f t="shared" si="21"/>
        <v>#N/A</v>
      </c>
      <c r="I69" t="e">
        <f t="shared" si="22"/>
        <v>#N/A</v>
      </c>
      <c r="J69" t="e">
        <f t="shared" si="23"/>
        <v>#N/A</v>
      </c>
    </row>
    <row r="70" spans="1:10">
      <c r="A70">
        <v>38</v>
      </c>
      <c r="B70" t="e">
        <f t="shared" si="19"/>
        <v>#N/A</v>
      </c>
      <c r="C70" t="str">
        <f t="shared" si="6"/>
        <v>DPS</v>
      </c>
      <c r="D70" t="e">
        <f t="shared" si="7"/>
        <v>#N/A</v>
      </c>
      <c r="E70" t="e">
        <f t="shared" si="20"/>
        <v>#N/A</v>
      </c>
      <c r="F70" t="str">
        <f t="shared" si="9"/>
        <v>DPS</v>
      </c>
      <c r="G70" t="e">
        <f t="shared" si="10"/>
        <v>#N/A</v>
      </c>
      <c r="H70" t="e">
        <f t="shared" si="21"/>
        <v>#N/A</v>
      </c>
      <c r="I70" t="e">
        <f t="shared" si="22"/>
        <v>#N/A</v>
      </c>
      <c r="J70" t="e">
        <f t="shared" si="23"/>
        <v>#N/A</v>
      </c>
    </row>
    <row r="71" spans="1:10">
      <c r="A71">
        <v>39</v>
      </c>
      <c r="B71" t="e">
        <f t="shared" si="19"/>
        <v>#N/A</v>
      </c>
      <c r="C71" t="str">
        <f t="shared" si="6"/>
        <v>DPS</v>
      </c>
      <c r="D71" t="e">
        <f t="shared" si="7"/>
        <v>#N/A</v>
      </c>
      <c r="E71" t="e">
        <f t="shared" si="20"/>
        <v>#N/A</v>
      </c>
      <c r="F71" t="str">
        <f t="shared" si="9"/>
        <v>DPS</v>
      </c>
      <c r="G71" t="e">
        <f t="shared" si="10"/>
        <v>#N/A</v>
      </c>
      <c r="H71" t="e">
        <f t="shared" si="21"/>
        <v>#N/A</v>
      </c>
      <c r="I71" t="e">
        <f t="shared" si="22"/>
        <v>#N/A</v>
      </c>
      <c r="J71" t="e">
        <f t="shared" si="23"/>
        <v>#N/A</v>
      </c>
    </row>
    <row r="72" spans="1:10">
      <c r="A72">
        <v>40</v>
      </c>
      <c r="B72" t="e">
        <f t="shared" si="19"/>
        <v>#N/A</v>
      </c>
      <c r="C72" t="str">
        <f t="shared" si="6"/>
        <v>DPS</v>
      </c>
      <c r="D72" t="e">
        <f t="shared" si="7"/>
        <v>#N/A</v>
      </c>
      <c r="E72" t="e">
        <f t="shared" si="20"/>
        <v>#N/A</v>
      </c>
      <c r="F72" t="str">
        <f t="shared" si="9"/>
        <v>DPS</v>
      </c>
      <c r="G72" t="e">
        <f t="shared" si="10"/>
        <v>#N/A</v>
      </c>
      <c r="H72" t="e">
        <f t="shared" si="21"/>
        <v>#N/A</v>
      </c>
      <c r="I72" t="e">
        <f t="shared" si="22"/>
        <v>#N/A</v>
      </c>
      <c r="J72" t="e">
        <f t="shared" si="23"/>
        <v>#N/A</v>
      </c>
    </row>
    <row r="73" spans="1:10">
      <c r="A73">
        <v>41</v>
      </c>
      <c r="B73" t="e">
        <f t="shared" si="19"/>
        <v>#N/A</v>
      </c>
      <c r="C73" t="str">
        <f t="shared" si="6"/>
        <v>DPS</v>
      </c>
      <c r="D73" t="e">
        <f t="shared" si="7"/>
        <v>#N/A</v>
      </c>
      <c r="E73" t="e">
        <f t="shared" si="20"/>
        <v>#N/A</v>
      </c>
      <c r="F73" t="str">
        <f t="shared" si="9"/>
        <v>DPS</v>
      </c>
      <c r="G73" t="e">
        <f t="shared" si="10"/>
        <v>#N/A</v>
      </c>
      <c r="H73" t="e">
        <f t="shared" si="21"/>
        <v>#N/A</v>
      </c>
      <c r="I73" t="e">
        <f t="shared" si="22"/>
        <v>#N/A</v>
      </c>
      <c r="J73" t="e">
        <f t="shared" si="23"/>
        <v>#N/A</v>
      </c>
    </row>
    <row r="74" spans="1:10">
      <c r="A74">
        <v>42</v>
      </c>
      <c r="B74" t="e">
        <f t="shared" si="19"/>
        <v>#N/A</v>
      </c>
      <c r="C74" t="str">
        <f t="shared" si="6"/>
        <v>DPS</v>
      </c>
      <c r="D74" t="e">
        <f t="shared" si="7"/>
        <v>#N/A</v>
      </c>
      <c r="E74" t="e">
        <f t="shared" si="20"/>
        <v>#N/A</v>
      </c>
      <c r="F74" t="str">
        <f t="shared" si="9"/>
        <v>DPS</v>
      </c>
      <c r="G74" t="e">
        <f t="shared" si="10"/>
        <v>#N/A</v>
      </c>
      <c r="H74" t="e">
        <f t="shared" si="21"/>
        <v>#N/A</v>
      </c>
      <c r="I74" t="e">
        <f t="shared" si="22"/>
        <v>#N/A</v>
      </c>
      <c r="J74" t="e">
        <f t="shared" si="23"/>
        <v>#N/A</v>
      </c>
    </row>
    <row r="75" spans="1:10">
      <c r="A75">
        <v>43</v>
      </c>
      <c r="B75" t="e">
        <f t="shared" si="19"/>
        <v>#N/A</v>
      </c>
      <c r="C75" t="str">
        <f t="shared" si="6"/>
        <v>DPS</v>
      </c>
      <c r="D75" t="e">
        <f t="shared" si="7"/>
        <v>#N/A</v>
      </c>
      <c r="E75" t="e">
        <f t="shared" si="20"/>
        <v>#N/A</v>
      </c>
      <c r="F75" t="str">
        <f t="shared" si="9"/>
        <v>DPS</v>
      </c>
      <c r="G75" t="e">
        <f t="shared" si="10"/>
        <v>#N/A</v>
      </c>
      <c r="H75" t="e">
        <f t="shared" si="21"/>
        <v>#N/A</v>
      </c>
      <c r="I75" t="e">
        <f t="shared" si="22"/>
        <v>#N/A</v>
      </c>
      <c r="J75" t="e">
        <f t="shared" si="23"/>
        <v>#N/A</v>
      </c>
    </row>
    <row r="76" spans="1:10">
      <c r="A76">
        <v>44</v>
      </c>
      <c r="B76" t="e">
        <f t="shared" si="19"/>
        <v>#N/A</v>
      </c>
      <c r="C76" t="str">
        <f t="shared" si="6"/>
        <v>DPS</v>
      </c>
      <c r="D76" t="e">
        <f t="shared" si="7"/>
        <v>#N/A</v>
      </c>
      <c r="E76" t="e">
        <f t="shared" si="20"/>
        <v>#N/A</v>
      </c>
      <c r="F76" t="str">
        <f t="shared" si="9"/>
        <v>DPS</v>
      </c>
      <c r="G76" t="e">
        <f t="shared" si="10"/>
        <v>#N/A</v>
      </c>
      <c r="H76" t="e">
        <f t="shared" si="21"/>
        <v>#N/A</v>
      </c>
      <c r="I76" t="e">
        <f t="shared" si="22"/>
        <v>#N/A</v>
      </c>
      <c r="J76" t="e">
        <f t="shared" si="23"/>
        <v>#N/A</v>
      </c>
    </row>
    <row r="77" spans="1:10">
      <c r="A77">
        <v>45</v>
      </c>
      <c r="B77" t="e">
        <f t="shared" si="19"/>
        <v>#N/A</v>
      </c>
      <c r="C77" t="str">
        <f t="shared" si="6"/>
        <v>DPS</v>
      </c>
      <c r="D77" t="e">
        <f t="shared" si="7"/>
        <v>#N/A</v>
      </c>
      <c r="E77" t="e">
        <f t="shared" si="20"/>
        <v>#N/A</v>
      </c>
      <c r="F77" t="str">
        <f t="shared" si="9"/>
        <v>DPS</v>
      </c>
      <c r="G77" t="e">
        <f t="shared" si="10"/>
        <v>#N/A</v>
      </c>
      <c r="H77" t="e">
        <f t="shared" si="21"/>
        <v>#N/A</v>
      </c>
      <c r="I77" t="e">
        <f t="shared" si="22"/>
        <v>#N/A</v>
      </c>
      <c r="J77" t="e">
        <f t="shared" si="23"/>
        <v>#N/A</v>
      </c>
    </row>
    <row r="78" spans="1:10">
      <c r="A78">
        <v>46</v>
      </c>
      <c r="B78" t="e">
        <f t="shared" si="19"/>
        <v>#N/A</v>
      </c>
      <c r="C78" t="str">
        <f t="shared" si="6"/>
        <v>DPS</v>
      </c>
      <c r="D78" t="e">
        <f t="shared" si="7"/>
        <v>#N/A</v>
      </c>
      <c r="E78" t="e">
        <f t="shared" si="20"/>
        <v>#N/A</v>
      </c>
      <c r="F78" t="str">
        <f t="shared" si="9"/>
        <v>DPS</v>
      </c>
      <c r="G78" t="e">
        <f t="shared" si="10"/>
        <v>#N/A</v>
      </c>
      <c r="H78" t="e">
        <f t="shared" si="21"/>
        <v>#N/A</v>
      </c>
      <c r="I78" t="e">
        <f t="shared" si="22"/>
        <v>#N/A</v>
      </c>
      <c r="J78" t="e">
        <f t="shared" si="23"/>
        <v>#N/A</v>
      </c>
    </row>
    <row r="79" spans="1:10">
      <c r="A79">
        <v>47</v>
      </c>
      <c r="B79" t="e">
        <f t="shared" si="19"/>
        <v>#N/A</v>
      </c>
      <c r="C79" t="str">
        <f t="shared" si="6"/>
        <v>DPS</v>
      </c>
      <c r="D79" t="e">
        <f t="shared" si="7"/>
        <v>#N/A</v>
      </c>
      <c r="E79" t="e">
        <f t="shared" si="20"/>
        <v>#N/A</v>
      </c>
      <c r="F79" t="str">
        <f t="shared" si="9"/>
        <v>DPS</v>
      </c>
      <c r="G79" t="e">
        <f t="shared" si="10"/>
        <v>#N/A</v>
      </c>
      <c r="H79" t="e">
        <f t="shared" si="21"/>
        <v>#N/A</v>
      </c>
      <c r="I79" t="e">
        <f t="shared" si="22"/>
        <v>#N/A</v>
      </c>
      <c r="J79" t="e">
        <f t="shared" si="23"/>
        <v>#N/A</v>
      </c>
    </row>
    <row r="80" spans="1:10">
      <c r="A80">
        <v>48</v>
      </c>
      <c r="B80" t="e">
        <f t="shared" si="19"/>
        <v>#N/A</v>
      </c>
      <c r="C80" t="str">
        <f t="shared" si="6"/>
        <v>DPS</v>
      </c>
      <c r="D80" t="e">
        <f t="shared" si="7"/>
        <v>#N/A</v>
      </c>
      <c r="E80" t="e">
        <f t="shared" si="20"/>
        <v>#N/A</v>
      </c>
      <c r="F80" t="str">
        <f t="shared" si="9"/>
        <v>DPS</v>
      </c>
      <c r="G80" t="e">
        <f t="shared" si="10"/>
        <v>#N/A</v>
      </c>
      <c r="H80" t="e">
        <f t="shared" si="21"/>
        <v>#N/A</v>
      </c>
      <c r="I80" t="e">
        <f t="shared" si="22"/>
        <v>#N/A</v>
      </c>
      <c r="J80" t="e">
        <f t="shared" si="23"/>
        <v>#N/A</v>
      </c>
    </row>
    <row r="81" spans="1:10">
      <c r="A81">
        <v>49</v>
      </c>
      <c r="B81" t="e">
        <f t="shared" si="19"/>
        <v>#N/A</v>
      </c>
      <c r="C81" t="str">
        <f t="shared" si="6"/>
        <v>DPS</v>
      </c>
      <c r="D81" t="e">
        <f t="shared" si="7"/>
        <v>#N/A</v>
      </c>
      <c r="E81" t="e">
        <f t="shared" si="20"/>
        <v>#N/A</v>
      </c>
      <c r="F81" t="str">
        <f t="shared" si="9"/>
        <v>DPS</v>
      </c>
      <c r="G81" t="e">
        <f t="shared" si="10"/>
        <v>#N/A</v>
      </c>
      <c r="H81" t="e">
        <f t="shared" si="21"/>
        <v>#N/A</v>
      </c>
      <c r="I81" t="e">
        <f t="shared" si="22"/>
        <v>#N/A</v>
      </c>
      <c r="J81" t="e">
        <f t="shared" si="23"/>
        <v>#N/A</v>
      </c>
    </row>
    <row r="82" spans="1:10">
      <c r="A82">
        <v>50</v>
      </c>
      <c r="B82" t="e">
        <f t="shared" si="19"/>
        <v>#N/A</v>
      </c>
      <c r="C82" t="str">
        <f t="shared" si="6"/>
        <v>DPS</v>
      </c>
      <c r="D82" t="e">
        <f t="shared" si="7"/>
        <v>#N/A</v>
      </c>
      <c r="E82" t="e">
        <f t="shared" si="20"/>
        <v>#N/A</v>
      </c>
      <c r="F82" t="str">
        <f t="shared" si="9"/>
        <v>DPS</v>
      </c>
      <c r="G82" t="e">
        <f t="shared" si="10"/>
        <v>#N/A</v>
      </c>
      <c r="H82" t="e">
        <f t="shared" si="21"/>
        <v>#N/A</v>
      </c>
      <c r="I82" t="e">
        <f t="shared" si="22"/>
        <v>#N/A</v>
      </c>
      <c r="J82" t="e">
        <f t="shared" si="23"/>
        <v>#N/A</v>
      </c>
    </row>
    <row r="83" spans="1:10">
      <c r="A83">
        <v>51</v>
      </c>
      <c r="B83" t="e">
        <f t="shared" ref="B83:B132" si="24">H82</f>
        <v>#N/A</v>
      </c>
      <c r="C83" t="str">
        <f t="shared" si="6"/>
        <v>DPS</v>
      </c>
      <c r="D83" t="e">
        <f t="shared" si="7"/>
        <v>#N/A</v>
      </c>
      <c r="E83" t="e">
        <f t="shared" ref="E83:E132" si="25">I82</f>
        <v>#N/A</v>
      </c>
      <c r="F83" t="str">
        <f t="shared" si="9"/>
        <v>DPS</v>
      </c>
      <c r="G83" t="e">
        <f t="shared" si="10"/>
        <v>#N/A</v>
      </c>
      <c r="H83" t="e">
        <f t="shared" ref="H83:H132" si="26">B83+IF(C83="HPS",D83,0)-IF(F83="DPS",G83,0)</f>
        <v>#N/A</v>
      </c>
      <c r="I83" t="e">
        <f t="shared" ref="I83:I132" si="27">E83+IF(F83="HPS",G83,0)-IF(C83="DPS",D83,0)</f>
        <v>#N/A</v>
      </c>
      <c r="J83" t="e">
        <f t="shared" ref="J83:J132" si="28">MIN(H83:I83)&lt;=0</f>
        <v>#N/A</v>
      </c>
    </row>
    <row r="84" spans="1:10">
      <c r="A84">
        <v>52</v>
      </c>
      <c r="B84" t="e">
        <f t="shared" si="24"/>
        <v>#N/A</v>
      </c>
      <c r="C84" t="str">
        <f t="shared" si="6"/>
        <v>DPS</v>
      </c>
      <c r="D84" t="e">
        <f t="shared" si="7"/>
        <v>#N/A</v>
      </c>
      <c r="E84" t="e">
        <f t="shared" si="25"/>
        <v>#N/A</v>
      </c>
      <c r="F84" t="str">
        <f t="shared" si="9"/>
        <v>DPS</v>
      </c>
      <c r="G84" t="e">
        <f t="shared" si="10"/>
        <v>#N/A</v>
      </c>
      <c r="H84" t="e">
        <f t="shared" si="26"/>
        <v>#N/A</v>
      </c>
      <c r="I84" t="e">
        <f t="shared" si="27"/>
        <v>#N/A</v>
      </c>
      <c r="J84" t="e">
        <f t="shared" si="28"/>
        <v>#N/A</v>
      </c>
    </row>
    <row r="85" spans="1:10">
      <c r="A85">
        <v>53</v>
      </c>
      <c r="B85" t="e">
        <f t="shared" si="24"/>
        <v>#N/A</v>
      </c>
      <c r="C85" t="str">
        <f t="shared" si="6"/>
        <v>DPS</v>
      </c>
      <c r="D85" t="e">
        <f t="shared" si="7"/>
        <v>#N/A</v>
      </c>
      <c r="E85" t="e">
        <f t="shared" si="25"/>
        <v>#N/A</v>
      </c>
      <c r="F85" t="str">
        <f t="shared" si="9"/>
        <v>DPS</v>
      </c>
      <c r="G85" t="e">
        <f t="shared" si="10"/>
        <v>#N/A</v>
      </c>
      <c r="H85" t="e">
        <f t="shared" si="26"/>
        <v>#N/A</v>
      </c>
      <c r="I85" t="e">
        <f t="shared" si="27"/>
        <v>#N/A</v>
      </c>
      <c r="J85" t="e">
        <f t="shared" si="28"/>
        <v>#N/A</v>
      </c>
    </row>
    <row r="86" spans="1:10">
      <c r="A86">
        <v>54</v>
      </c>
      <c r="B86" t="e">
        <f t="shared" si="24"/>
        <v>#N/A</v>
      </c>
      <c r="C86" t="str">
        <f t="shared" si="6"/>
        <v>DPS</v>
      </c>
      <c r="D86" t="e">
        <f t="shared" si="7"/>
        <v>#N/A</v>
      </c>
      <c r="E86" t="e">
        <f t="shared" si="25"/>
        <v>#N/A</v>
      </c>
      <c r="F86" t="str">
        <f t="shared" si="9"/>
        <v>DPS</v>
      </c>
      <c r="G86" t="e">
        <f t="shared" si="10"/>
        <v>#N/A</v>
      </c>
      <c r="H86" t="e">
        <f t="shared" si="26"/>
        <v>#N/A</v>
      </c>
      <c r="I86" t="e">
        <f t="shared" si="27"/>
        <v>#N/A</v>
      </c>
      <c r="J86" t="e">
        <f t="shared" si="28"/>
        <v>#N/A</v>
      </c>
    </row>
    <row r="87" spans="1:10">
      <c r="A87">
        <v>55</v>
      </c>
      <c r="B87" t="e">
        <f t="shared" si="24"/>
        <v>#N/A</v>
      </c>
      <c r="C87" t="str">
        <f t="shared" si="6"/>
        <v>DPS</v>
      </c>
      <c r="D87" t="e">
        <f t="shared" si="7"/>
        <v>#N/A</v>
      </c>
      <c r="E87" t="e">
        <f t="shared" si="25"/>
        <v>#N/A</v>
      </c>
      <c r="F87" t="str">
        <f t="shared" si="9"/>
        <v>DPS</v>
      </c>
      <c r="G87" t="e">
        <f t="shared" si="10"/>
        <v>#N/A</v>
      </c>
      <c r="H87" t="e">
        <f t="shared" si="26"/>
        <v>#N/A</v>
      </c>
      <c r="I87" t="e">
        <f t="shared" si="27"/>
        <v>#N/A</v>
      </c>
      <c r="J87" t="e">
        <f t="shared" si="28"/>
        <v>#N/A</v>
      </c>
    </row>
    <row r="88" spans="1:10">
      <c r="A88">
        <v>56</v>
      </c>
      <c r="B88" t="e">
        <f t="shared" si="24"/>
        <v>#N/A</v>
      </c>
      <c r="C88" t="str">
        <f t="shared" si="6"/>
        <v>DPS</v>
      </c>
      <c r="D88" t="e">
        <f t="shared" si="7"/>
        <v>#N/A</v>
      </c>
      <c r="E88" t="e">
        <f t="shared" si="25"/>
        <v>#N/A</v>
      </c>
      <c r="F88" t="str">
        <f t="shared" si="9"/>
        <v>DPS</v>
      </c>
      <c r="G88" t="e">
        <f t="shared" si="10"/>
        <v>#N/A</v>
      </c>
      <c r="H88" t="e">
        <f t="shared" si="26"/>
        <v>#N/A</v>
      </c>
      <c r="I88" t="e">
        <f t="shared" si="27"/>
        <v>#N/A</v>
      </c>
      <c r="J88" t="e">
        <f t="shared" si="28"/>
        <v>#N/A</v>
      </c>
    </row>
    <row r="89" spans="1:10">
      <c r="A89">
        <v>57</v>
      </c>
      <c r="B89" t="e">
        <f t="shared" si="24"/>
        <v>#N/A</v>
      </c>
      <c r="C89" t="str">
        <f t="shared" si="6"/>
        <v>DPS</v>
      </c>
      <c r="D89" t="e">
        <f t="shared" si="7"/>
        <v>#N/A</v>
      </c>
      <c r="E89" t="e">
        <f t="shared" si="25"/>
        <v>#N/A</v>
      </c>
      <c r="F89" t="str">
        <f t="shared" si="9"/>
        <v>DPS</v>
      </c>
      <c r="G89" t="e">
        <f t="shared" si="10"/>
        <v>#N/A</v>
      </c>
      <c r="H89" t="e">
        <f t="shared" si="26"/>
        <v>#N/A</v>
      </c>
      <c r="I89" t="e">
        <f t="shared" si="27"/>
        <v>#N/A</v>
      </c>
      <c r="J89" t="e">
        <f t="shared" si="28"/>
        <v>#N/A</v>
      </c>
    </row>
    <row r="90" spans="1:10">
      <c r="A90">
        <v>58</v>
      </c>
      <c r="B90" t="e">
        <f t="shared" si="24"/>
        <v>#N/A</v>
      </c>
      <c r="C90" t="str">
        <f t="shared" si="6"/>
        <v>DPS</v>
      </c>
      <c r="D90" t="e">
        <f t="shared" si="7"/>
        <v>#N/A</v>
      </c>
      <c r="E90" t="e">
        <f t="shared" si="25"/>
        <v>#N/A</v>
      </c>
      <c r="F90" t="str">
        <f t="shared" si="9"/>
        <v>DPS</v>
      </c>
      <c r="G90" t="e">
        <f t="shared" si="10"/>
        <v>#N/A</v>
      </c>
      <c r="H90" t="e">
        <f t="shared" si="26"/>
        <v>#N/A</v>
      </c>
      <c r="I90" t="e">
        <f t="shared" si="27"/>
        <v>#N/A</v>
      </c>
      <c r="J90" t="e">
        <f t="shared" si="28"/>
        <v>#N/A</v>
      </c>
    </row>
    <row r="91" spans="1:10">
      <c r="A91">
        <v>59</v>
      </c>
      <c r="B91" t="e">
        <f t="shared" si="24"/>
        <v>#N/A</v>
      </c>
      <c r="C91" t="str">
        <f t="shared" si="6"/>
        <v>DPS</v>
      </c>
      <c r="D91" t="e">
        <f t="shared" si="7"/>
        <v>#N/A</v>
      </c>
      <c r="E91" t="e">
        <f t="shared" si="25"/>
        <v>#N/A</v>
      </c>
      <c r="F91" t="str">
        <f t="shared" si="9"/>
        <v>DPS</v>
      </c>
      <c r="G91" t="e">
        <f t="shared" si="10"/>
        <v>#N/A</v>
      </c>
      <c r="H91" t="e">
        <f t="shared" si="26"/>
        <v>#N/A</v>
      </c>
      <c r="I91" t="e">
        <f t="shared" si="27"/>
        <v>#N/A</v>
      </c>
      <c r="J91" t="e">
        <f t="shared" si="28"/>
        <v>#N/A</v>
      </c>
    </row>
    <row r="92" spans="1:10">
      <c r="A92">
        <v>60</v>
      </c>
      <c r="B92" t="e">
        <f t="shared" si="24"/>
        <v>#N/A</v>
      </c>
      <c r="C92" t="str">
        <f t="shared" si="6"/>
        <v>DPS</v>
      </c>
      <c r="D92" t="e">
        <f t="shared" si="7"/>
        <v>#N/A</v>
      </c>
      <c r="E92" t="e">
        <f t="shared" si="25"/>
        <v>#N/A</v>
      </c>
      <c r="F92" t="str">
        <f t="shared" si="9"/>
        <v>DPS</v>
      </c>
      <c r="G92" t="e">
        <f t="shared" si="10"/>
        <v>#N/A</v>
      </c>
      <c r="H92" t="e">
        <f t="shared" si="26"/>
        <v>#N/A</v>
      </c>
      <c r="I92" t="e">
        <f t="shared" si="27"/>
        <v>#N/A</v>
      </c>
      <c r="J92" t="e">
        <f t="shared" si="28"/>
        <v>#N/A</v>
      </c>
    </row>
    <row r="93" spans="1:10">
      <c r="A93">
        <v>61</v>
      </c>
      <c r="B93" t="e">
        <f t="shared" si="24"/>
        <v>#N/A</v>
      </c>
      <c r="C93" t="str">
        <f t="shared" si="6"/>
        <v>DPS</v>
      </c>
      <c r="D93" t="e">
        <f t="shared" si="7"/>
        <v>#N/A</v>
      </c>
      <c r="E93" t="e">
        <f t="shared" si="25"/>
        <v>#N/A</v>
      </c>
      <c r="F93" t="str">
        <f t="shared" si="9"/>
        <v>DPS</v>
      </c>
      <c r="G93" t="e">
        <f t="shared" si="10"/>
        <v>#N/A</v>
      </c>
      <c r="H93" t="e">
        <f t="shared" si="26"/>
        <v>#N/A</v>
      </c>
      <c r="I93" t="e">
        <f t="shared" si="27"/>
        <v>#N/A</v>
      </c>
      <c r="J93" t="e">
        <f t="shared" si="28"/>
        <v>#N/A</v>
      </c>
    </row>
    <row r="94" spans="1:10">
      <c r="A94">
        <v>62</v>
      </c>
      <c r="B94" t="e">
        <f t="shared" si="24"/>
        <v>#N/A</v>
      </c>
      <c r="C94" t="str">
        <f t="shared" si="6"/>
        <v>DPS</v>
      </c>
      <c r="D94" t="e">
        <f t="shared" si="7"/>
        <v>#N/A</v>
      </c>
      <c r="E94" t="e">
        <f t="shared" si="25"/>
        <v>#N/A</v>
      </c>
      <c r="F94" t="str">
        <f t="shared" si="9"/>
        <v>DPS</v>
      </c>
      <c r="G94" t="e">
        <f t="shared" si="10"/>
        <v>#N/A</v>
      </c>
      <c r="H94" t="e">
        <f t="shared" si="26"/>
        <v>#N/A</v>
      </c>
      <c r="I94" t="e">
        <f t="shared" si="27"/>
        <v>#N/A</v>
      </c>
      <c r="J94" t="e">
        <f t="shared" si="28"/>
        <v>#N/A</v>
      </c>
    </row>
    <row r="95" spans="1:10">
      <c r="A95">
        <v>63</v>
      </c>
      <c r="B95" t="e">
        <f t="shared" si="24"/>
        <v>#N/A</v>
      </c>
      <c r="C95" t="str">
        <f t="shared" si="6"/>
        <v>DPS</v>
      </c>
      <c r="D95" t="e">
        <f t="shared" si="7"/>
        <v>#N/A</v>
      </c>
      <c r="E95" t="e">
        <f t="shared" si="25"/>
        <v>#N/A</v>
      </c>
      <c r="F95" t="str">
        <f t="shared" si="9"/>
        <v>DPS</v>
      </c>
      <c r="G95" t="e">
        <f t="shared" si="10"/>
        <v>#N/A</v>
      </c>
      <c r="H95" t="e">
        <f t="shared" si="26"/>
        <v>#N/A</v>
      </c>
      <c r="I95" t="e">
        <f t="shared" si="27"/>
        <v>#N/A</v>
      </c>
      <c r="J95" t="e">
        <f t="shared" si="28"/>
        <v>#N/A</v>
      </c>
    </row>
    <row r="96" spans="1:10">
      <c r="A96">
        <v>64</v>
      </c>
      <c r="B96" t="e">
        <f t="shared" si="24"/>
        <v>#N/A</v>
      </c>
      <c r="C96" t="str">
        <f t="shared" si="6"/>
        <v>DPS</v>
      </c>
      <c r="D96" t="e">
        <f t="shared" si="7"/>
        <v>#N/A</v>
      </c>
      <c r="E96" t="e">
        <f t="shared" si="25"/>
        <v>#N/A</v>
      </c>
      <c r="F96" t="str">
        <f t="shared" si="9"/>
        <v>DPS</v>
      </c>
      <c r="G96" t="e">
        <f t="shared" si="10"/>
        <v>#N/A</v>
      </c>
      <c r="H96" t="e">
        <f t="shared" si="26"/>
        <v>#N/A</v>
      </c>
      <c r="I96" t="e">
        <f t="shared" si="27"/>
        <v>#N/A</v>
      </c>
      <c r="J96" t="e">
        <f t="shared" si="28"/>
        <v>#N/A</v>
      </c>
    </row>
    <row r="97" spans="1:10">
      <c r="A97">
        <v>65</v>
      </c>
      <c r="B97" t="e">
        <f t="shared" si="24"/>
        <v>#N/A</v>
      </c>
      <c r="C97" t="str">
        <f t="shared" si="6"/>
        <v>DPS</v>
      </c>
      <c r="D97" t="e">
        <f t="shared" si="7"/>
        <v>#N/A</v>
      </c>
      <c r="E97" t="e">
        <f t="shared" si="25"/>
        <v>#N/A</v>
      </c>
      <c r="F97" t="str">
        <f t="shared" si="9"/>
        <v>DPS</v>
      </c>
      <c r="G97" t="e">
        <f t="shared" si="10"/>
        <v>#N/A</v>
      </c>
      <c r="H97" t="e">
        <f t="shared" si="26"/>
        <v>#N/A</v>
      </c>
      <c r="I97" t="e">
        <f t="shared" si="27"/>
        <v>#N/A</v>
      </c>
      <c r="J97" t="e">
        <f t="shared" si="28"/>
        <v>#N/A</v>
      </c>
    </row>
    <row r="98" spans="1:10">
      <c r="A98">
        <v>66</v>
      </c>
      <c r="B98" t="e">
        <f t="shared" si="24"/>
        <v>#N/A</v>
      </c>
      <c r="C98" t="str">
        <f t="shared" si="6"/>
        <v>DPS</v>
      </c>
      <c r="D98" t="e">
        <f t="shared" si="7"/>
        <v>#N/A</v>
      </c>
      <c r="E98" t="e">
        <f t="shared" si="25"/>
        <v>#N/A</v>
      </c>
      <c r="F98" t="str">
        <f t="shared" si="9"/>
        <v>DPS</v>
      </c>
      <c r="G98" t="e">
        <f t="shared" si="10"/>
        <v>#N/A</v>
      </c>
      <c r="H98" t="e">
        <f t="shared" si="26"/>
        <v>#N/A</v>
      </c>
      <c r="I98" t="e">
        <f t="shared" si="27"/>
        <v>#N/A</v>
      </c>
      <c r="J98" t="e">
        <f t="shared" si="28"/>
        <v>#N/A</v>
      </c>
    </row>
    <row r="99" spans="1:10">
      <c r="A99">
        <v>67</v>
      </c>
      <c r="B99" t="e">
        <f t="shared" si="24"/>
        <v>#N/A</v>
      </c>
      <c r="C99" t="str">
        <f t="shared" ref="C99:C162" si="29">INDEX($H$3:$H$23,MATCH($B$27,$A$3:$A$23,0))</f>
        <v>DPS</v>
      </c>
      <c r="D99" t="e">
        <f t="shared" ref="D99:D162" si="30">INDEX($L$3:$L$23,MATCH($B$27,$A$3:$A$23,0))</f>
        <v>#N/A</v>
      </c>
      <c r="E99" t="e">
        <f t="shared" si="25"/>
        <v>#N/A</v>
      </c>
      <c r="F99" t="str">
        <f t="shared" ref="F99:F162" si="31">INDEX($O$3:$O$23,MATCH($B$27,$A$3:$A$23,0))</f>
        <v>DPS</v>
      </c>
      <c r="G99" t="e">
        <f t="shared" ref="G99:G162" si="32">INDEX($P$3:$P$23,MATCH($B$27,$A$3:$A$23,0))</f>
        <v>#N/A</v>
      </c>
      <c r="H99" t="e">
        <f t="shared" si="26"/>
        <v>#N/A</v>
      </c>
      <c r="I99" t="e">
        <f t="shared" si="27"/>
        <v>#N/A</v>
      </c>
      <c r="J99" t="e">
        <f t="shared" si="28"/>
        <v>#N/A</v>
      </c>
    </row>
    <row r="100" spans="1:10">
      <c r="A100">
        <v>68</v>
      </c>
      <c r="B100" t="e">
        <f t="shared" si="24"/>
        <v>#N/A</v>
      </c>
      <c r="C100" t="str">
        <f t="shared" si="29"/>
        <v>DPS</v>
      </c>
      <c r="D100" t="e">
        <f t="shared" si="30"/>
        <v>#N/A</v>
      </c>
      <c r="E100" t="e">
        <f t="shared" si="25"/>
        <v>#N/A</v>
      </c>
      <c r="F100" t="str">
        <f t="shared" si="31"/>
        <v>DPS</v>
      </c>
      <c r="G100" t="e">
        <f t="shared" si="32"/>
        <v>#N/A</v>
      </c>
      <c r="H100" t="e">
        <f t="shared" si="26"/>
        <v>#N/A</v>
      </c>
      <c r="I100" t="e">
        <f t="shared" si="27"/>
        <v>#N/A</v>
      </c>
      <c r="J100" t="e">
        <f t="shared" si="28"/>
        <v>#N/A</v>
      </c>
    </row>
    <row r="101" spans="1:10">
      <c r="A101">
        <v>69</v>
      </c>
      <c r="B101" t="e">
        <f t="shared" si="24"/>
        <v>#N/A</v>
      </c>
      <c r="C101" t="str">
        <f t="shared" si="29"/>
        <v>DPS</v>
      </c>
      <c r="D101" t="e">
        <f t="shared" si="30"/>
        <v>#N/A</v>
      </c>
      <c r="E101" t="e">
        <f t="shared" si="25"/>
        <v>#N/A</v>
      </c>
      <c r="F101" t="str">
        <f t="shared" si="31"/>
        <v>DPS</v>
      </c>
      <c r="G101" t="e">
        <f t="shared" si="32"/>
        <v>#N/A</v>
      </c>
      <c r="H101" t="e">
        <f t="shared" si="26"/>
        <v>#N/A</v>
      </c>
      <c r="I101" t="e">
        <f t="shared" si="27"/>
        <v>#N/A</v>
      </c>
      <c r="J101" t="e">
        <f t="shared" si="28"/>
        <v>#N/A</v>
      </c>
    </row>
    <row r="102" spans="1:10">
      <c r="A102">
        <v>70</v>
      </c>
      <c r="B102" t="e">
        <f t="shared" si="24"/>
        <v>#N/A</v>
      </c>
      <c r="C102" t="str">
        <f t="shared" si="29"/>
        <v>DPS</v>
      </c>
      <c r="D102" t="e">
        <f t="shared" si="30"/>
        <v>#N/A</v>
      </c>
      <c r="E102" t="e">
        <f t="shared" si="25"/>
        <v>#N/A</v>
      </c>
      <c r="F102" t="str">
        <f t="shared" si="31"/>
        <v>DPS</v>
      </c>
      <c r="G102" t="e">
        <f t="shared" si="32"/>
        <v>#N/A</v>
      </c>
      <c r="H102" t="e">
        <f t="shared" si="26"/>
        <v>#N/A</v>
      </c>
      <c r="I102" t="e">
        <f t="shared" si="27"/>
        <v>#N/A</v>
      </c>
      <c r="J102" t="e">
        <f t="shared" si="28"/>
        <v>#N/A</v>
      </c>
    </row>
    <row r="103" spans="1:10">
      <c r="A103">
        <v>71</v>
      </c>
      <c r="B103" t="e">
        <f t="shared" si="24"/>
        <v>#N/A</v>
      </c>
      <c r="C103" t="str">
        <f t="shared" si="29"/>
        <v>DPS</v>
      </c>
      <c r="D103" t="e">
        <f t="shared" si="30"/>
        <v>#N/A</v>
      </c>
      <c r="E103" t="e">
        <f t="shared" si="25"/>
        <v>#N/A</v>
      </c>
      <c r="F103" t="str">
        <f t="shared" si="31"/>
        <v>DPS</v>
      </c>
      <c r="G103" t="e">
        <f t="shared" si="32"/>
        <v>#N/A</v>
      </c>
      <c r="H103" t="e">
        <f t="shared" si="26"/>
        <v>#N/A</v>
      </c>
      <c r="I103" t="e">
        <f t="shared" si="27"/>
        <v>#N/A</v>
      </c>
      <c r="J103" t="e">
        <f t="shared" si="28"/>
        <v>#N/A</v>
      </c>
    </row>
    <row r="104" spans="1:10">
      <c r="A104">
        <v>72</v>
      </c>
      <c r="B104" t="e">
        <f t="shared" si="24"/>
        <v>#N/A</v>
      </c>
      <c r="C104" t="str">
        <f t="shared" si="29"/>
        <v>DPS</v>
      </c>
      <c r="D104" t="e">
        <f t="shared" si="30"/>
        <v>#N/A</v>
      </c>
      <c r="E104" t="e">
        <f t="shared" si="25"/>
        <v>#N/A</v>
      </c>
      <c r="F104" t="str">
        <f t="shared" si="31"/>
        <v>DPS</v>
      </c>
      <c r="G104" t="e">
        <f t="shared" si="32"/>
        <v>#N/A</v>
      </c>
      <c r="H104" t="e">
        <f t="shared" si="26"/>
        <v>#N/A</v>
      </c>
      <c r="I104" t="e">
        <f t="shared" si="27"/>
        <v>#N/A</v>
      </c>
      <c r="J104" t="e">
        <f t="shared" si="28"/>
        <v>#N/A</v>
      </c>
    </row>
    <row r="105" spans="1:10">
      <c r="A105">
        <v>73</v>
      </c>
      <c r="B105" t="e">
        <f t="shared" si="24"/>
        <v>#N/A</v>
      </c>
      <c r="C105" t="str">
        <f t="shared" si="29"/>
        <v>DPS</v>
      </c>
      <c r="D105" t="e">
        <f t="shared" si="30"/>
        <v>#N/A</v>
      </c>
      <c r="E105" t="e">
        <f t="shared" si="25"/>
        <v>#N/A</v>
      </c>
      <c r="F105" t="str">
        <f t="shared" si="31"/>
        <v>DPS</v>
      </c>
      <c r="G105" t="e">
        <f t="shared" si="32"/>
        <v>#N/A</v>
      </c>
      <c r="H105" t="e">
        <f t="shared" si="26"/>
        <v>#N/A</v>
      </c>
      <c r="I105" t="e">
        <f t="shared" si="27"/>
        <v>#N/A</v>
      </c>
      <c r="J105" t="e">
        <f t="shared" si="28"/>
        <v>#N/A</v>
      </c>
    </row>
    <row r="106" spans="1:10">
      <c r="A106">
        <v>74</v>
      </c>
      <c r="B106" t="e">
        <f t="shared" si="24"/>
        <v>#N/A</v>
      </c>
      <c r="C106" t="str">
        <f t="shared" si="29"/>
        <v>DPS</v>
      </c>
      <c r="D106" t="e">
        <f t="shared" si="30"/>
        <v>#N/A</v>
      </c>
      <c r="E106" t="e">
        <f t="shared" si="25"/>
        <v>#N/A</v>
      </c>
      <c r="F106" t="str">
        <f t="shared" si="31"/>
        <v>DPS</v>
      </c>
      <c r="G106" t="e">
        <f t="shared" si="32"/>
        <v>#N/A</v>
      </c>
      <c r="H106" t="e">
        <f t="shared" si="26"/>
        <v>#N/A</v>
      </c>
      <c r="I106" t="e">
        <f t="shared" si="27"/>
        <v>#N/A</v>
      </c>
      <c r="J106" t="e">
        <f t="shared" si="28"/>
        <v>#N/A</v>
      </c>
    </row>
    <row r="107" spans="1:10">
      <c r="A107">
        <v>75</v>
      </c>
      <c r="B107" t="e">
        <f t="shared" si="24"/>
        <v>#N/A</v>
      </c>
      <c r="C107" t="str">
        <f t="shared" si="29"/>
        <v>DPS</v>
      </c>
      <c r="D107" t="e">
        <f t="shared" si="30"/>
        <v>#N/A</v>
      </c>
      <c r="E107" t="e">
        <f t="shared" si="25"/>
        <v>#N/A</v>
      </c>
      <c r="F107" t="str">
        <f t="shared" si="31"/>
        <v>DPS</v>
      </c>
      <c r="G107" t="e">
        <f t="shared" si="32"/>
        <v>#N/A</v>
      </c>
      <c r="H107" t="e">
        <f t="shared" si="26"/>
        <v>#N/A</v>
      </c>
      <c r="I107" t="e">
        <f t="shared" si="27"/>
        <v>#N/A</v>
      </c>
      <c r="J107" t="e">
        <f t="shared" si="28"/>
        <v>#N/A</v>
      </c>
    </row>
    <row r="108" spans="1:10">
      <c r="A108">
        <v>76</v>
      </c>
      <c r="B108" t="e">
        <f t="shared" si="24"/>
        <v>#N/A</v>
      </c>
      <c r="C108" t="str">
        <f t="shared" si="29"/>
        <v>DPS</v>
      </c>
      <c r="D108" t="e">
        <f t="shared" si="30"/>
        <v>#N/A</v>
      </c>
      <c r="E108" t="e">
        <f t="shared" si="25"/>
        <v>#N/A</v>
      </c>
      <c r="F108" t="str">
        <f t="shared" si="31"/>
        <v>DPS</v>
      </c>
      <c r="G108" t="e">
        <f t="shared" si="32"/>
        <v>#N/A</v>
      </c>
      <c r="H108" t="e">
        <f t="shared" si="26"/>
        <v>#N/A</v>
      </c>
      <c r="I108" t="e">
        <f t="shared" si="27"/>
        <v>#N/A</v>
      </c>
      <c r="J108" t="e">
        <f t="shared" si="28"/>
        <v>#N/A</v>
      </c>
    </row>
    <row r="109" spans="1:10">
      <c r="A109">
        <v>77</v>
      </c>
      <c r="B109" t="e">
        <f t="shared" si="24"/>
        <v>#N/A</v>
      </c>
      <c r="C109" t="str">
        <f t="shared" si="29"/>
        <v>DPS</v>
      </c>
      <c r="D109" t="e">
        <f t="shared" si="30"/>
        <v>#N/A</v>
      </c>
      <c r="E109" t="e">
        <f t="shared" si="25"/>
        <v>#N/A</v>
      </c>
      <c r="F109" t="str">
        <f t="shared" si="31"/>
        <v>DPS</v>
      </c>
      <c r="G109" t="e">
        <f t="shared" si="32"/>
        <v>#N/A</v>
      </c>
      <c r="H109" t="e">
        <f t="shared" si="26"/>
        <v>#N/A</v>
      </c>
      <c r="I109" t="e">
        <f t="shared" si="27"/>
        <v>#N/A</v>
      </c>
      <c r="J109" t="e">
        <f t="shared" si="28"/>
        <v>#N/A</v>
      </c>
    </row>
    <row r="110" spans="1:10">
      <c r="A110">
        <v>78</v>
      </c>
      <c r="B110" t="e">
        <f t="shared" si="24"/>
        <v>#N/A</v>
      </c>
      <c r="C110" t="str">
        <f t="shared" si="29"/>
        <v>DPS</v>
      </c>
      <c r="D110" t="e">
        <f t="shared" si="30"/>
        <v>#N/A</v>
      </c>
      <c r="E110" t="e">
        <f t="shared" si="25"/>
        <v>#N/A</v>
      </c>
      <c r="F110" t="str">
        <f t="shared" si="31"/>
        <v>DPS</v>
      </c>
      <c r="G110" t="e">
        <f t="shared" si="32"/>
        <v>#N/A</v>
      </c>
      <c r="H110" t="e">
        <f t="shared" si="26"/>
        <v>#N/A</v>
      </c>
      <c r="I110" t="e">
        <f t="shared" si="27"/>
        <v>#N/A</v>
      </c>
      <c r="J110" t="e">
        <f t="shared" si="28"/>
        <v>#N/A</v>
      </c>
    </row>
    <row r="111" spans="1:10">
      <c r="A111">
        <v>79</v>
      </c>
      <c r="B111" t="e">
        <f t="shared" si="24"/>
        <v>#N/A</v>
      </c>
      <c r="C111" t="str">
        <f t="shared" si="29"/>
        <v>DPS</v>
      </c>
      <c r="D111" t="e">
        <f t="shared" si="30"/>
        <v>#N/A</v>
      </c>
      <c r="E111" t="e">
        <f t="shared" si="25"/>
        <v>#N/A</v>
      </c>
      <c r="F111" t="str">
        <f t="shared" si="31"/>
        <v>DPS</v>
      </c>
      <c r="G111" t="e">
        <f t="shared" si="32"/>
        <v>#N/A</v>
      </c>
      <c r="H111" t="e">
        <f t="shared" si="26"/>
        <v>#N/A</v>
      </c>
      <c r="I111" t="e">
        <f t="shared" si="27"/>
        <v>#N/A</v>
      </c>
      <c r="J111" t="e">
        <f t="shared" si="28"/>
        <v>#N/A</v>
      </c>
    </row>
    <row r="112" spans="1:10">
      <c r="A112">
        <v>80</v>
      </c>
      <c r="B112" t="e">
        <f t="shared" si="24"/>
        <v>#N/A</v>
      </c>
      <c r="C112" t="str">
        <f t="shared" si="29"/>
        <v>DPS</v>
      </c>
      <c r="D112" t="e">
        <f t="shared" si="30"/>
        <v>#N/A</v>
      </c>
      <c r="E112" t="e">
        <f t="shared" si="25"/>
        <v>#N/A</v>
      </c>
      <c r="F112" t="str">
        <f t="shared" si="31"/>
        <v>DPS</v>
      </c>
      <c r="G112" t="e">
        <f t="shared" si="32"/>
        <v>#N/A</v>
      </c>
      <c r="H112" t="e">
        <f t="shared" si="26"/>
        <v>#N/A</v>
      </c>
      <c r="I112" t="e">
        <f t="shared" si="27"/>
        <v>#N/A</v>
      </c>
      <c r="J112" t="e">
        <f t="shared" si="28"/>
        <v>#N/A</v>
      </c>
    </row>
    <row r="113" spans="1:10">
      <c r="A113">
        <v>81</v>
      </c>
      <c r="B113" t="e">
        <f t="shared" si="24"/>
        <v>#N/A</v>
      </c>
      <c r="C113" t="str">
        <f t="shared" si="29"/>
        <v>DPS</v>
      </c>
      <c r="D113" t="e">
        <f t="shared" si="30"/>
        <v>#N/A</v>
      </c>
      <c r="E113" t="e">
        <f t="shared" si="25"/>
        <v>#N/A</v>
      </c>
      <c r="F113" t="str">
        <f t="shared" si="31"/>
        <v>DPS</v>
      </c>
      <c r="G113" t="e">
        <f t="shared" si="32"/>
        <v>#N/A</v>
      </c>
      <c r="H113" t="e">
        <f t="shared" si="26"/>
        <v>#N/A</v>
      </c>
      <c r="I113" t="e">
        <f t="shared" si="27"/>
        <v>#N/A</v>
      </c>
      <c r="J113" t="e">
        <f t="shared" si="28"/>
        <v>#N/A</v>
      </c>
    </row>
    <row r="114" spans="1:10">
      <c r="A114">
        <v>82</v>
      </c>
      <c r="B114" t="e">
        <f t="shared" si="24"/>
        <v>#N/A</v>
      </c>
      <c r="C114" t="str">
        <f t="shared" si="29"/>
        <v>DPS</v>
      </c>
      <c r="D114" t="e">
        <f t="shared" si="30"/>
        <v>#N/A</v>
      </c>
      <c r="E114" t="e">
        <f t="shared" si="25"/>
        <v>#N/A</v>
      </c>
      <c r="F114" t="str">
        <f t="shared" si="31"/>
        <v>DPS</v>
      </c>
      <c r="G114" t="e">
        <f t="shared" si="32"/>
        <v>#N/A</v>
      </c>
      <c r="H114" t="e">
        <f t="shared" si="26"/>
        <v>#N/A</v>
      </c>
      <c r="I114" t="e">
        <f t="shared" si="27"/>
        <v>#N/A</v>
      </c>
      <c r="J114" t="e">
        <f t="shared" si="28"/>
        <v>#N/A</v>
      </c>
    </row>
    <row r="115" spans="1:10">
      <c r="A115">
        <v>83</v>
      </c>
      <c r="B115" t="e">
        <f t="shared" si="24"/>
        <v>#N/A</v>
      </c>
      <c r="C115" t="str">
        <f t="shared" si="29"/>
        <v>DPS</v>
      </c>
      <c r="D115" t="e">
        <f t="shared" si="30"/>
        <v>#N/A</v>
      </c>
      <c r="E115" t="e">
        <f t="shared" si="25"/>
        <v>#N/A</v>
      </c>
      <c r="F115" t="str">
        <f t="shared" si="31"/>
        <v>DPS</v>
      </c>
      <c r="G115" t="e">
        <f t="shared" si="32"/>
        <v>#N/A</v>
      </c>
      <c r="H115" t="e">
        <f t="shared" si="26"/>
        <v>#N/A</v>
      </c>
      <c r="I115" t="e">
        <f t="shared" si="27"/>
        <v>#N/A</v>
      </c>
      <c r="J115" t="e">
        <f t="shared" si="28"/>
        <v>#N/A</v>
      </c>
    </row>
    <row r="116" spans="1:10">
      <c r="A116">
        <v>84</v>
      </c>
      <c r="B116" t="e">
        <f t="shared" si="24"/>
        <v>#N/A</v>
      </c>
      <c r="C116" t="str">
        <f t="shared" si="29"/>
        <v>DPS</v>
      </c>
      <c r="D116" t="e">
        <f t="shared" si="30"/>
        <v>#N/A</v>
      </c>
      <c r="E116" t="e">
        <f t="shared" si="25"/>
        <v>#N/A</v>
      </c>
      <c r="F116" t="str">
        <f t="shared" si="31"/>
        <v>DPS</v>
      </c>
      <c r="G116" t="e">
        <f t="shared" si="32"/>
        <v>#N/A</v>
      </c>
      <c r="H116" t="e">
        <f t="shared" si="26"/>
        <v>#N/A</v>
      </c>
      <c r="I116" t="e">
        <f t="shared" si="27"/>
        <v>#N/A</v>
      </c>
      <c r="J116" t="e">
        <f t="shared" si="28"/>
        <v>#N/A</v>
      </c>
    </row>
    <row r="117" spans="1:10">
      <c r="A117">
        <v>85</v>
      </c>
      <c r="B117" t="e">
        <f t="shared" si="24"/>
        <v>#N/A</v>
      </c>
      <c r="C117" t="str">
        <f t="shared" si="29"/>
        <v>DPS</v>
      </c>
      <c r="D117" t="e">
        <f t="shared" si="30"/>
        <v>#N/A</v>
      </c>
      <c r="E117" t="e">
        <f t="shared" si="25"/>
        <v>#N/A</v>
      </c>
      <c r="F117" t="str">
        <f t="shared" si="31"/>
        <v>DPS</v>
      </c>
      <c r="G117" t="e">
        <f t="shared" si="32"/>
        <v>#N/A</v>
      </c>
      <c r="H117" t="e">
        <f t="shared" si="26"/>
        <v>#N/A</v>
      </c>
      <c r="I117" t="e">
        <f t="shared" si="27"/>
        <v>#N/A</v>
      </c>
      <c r="J117" t="e">
        <f t="shared" si="28"/>
        <v>#N/A</v>
      </c>
    </row>
    <row r="118" spans="1:10">
      <c r="A118">
        <v>86</v>
      </c>
      <c r="B118" t="e">
        <f t="shared" si="24"/>
        <v>#N/A</v>
      </c>
      <c r="C118" t="str">
        <f t="shared" si="29"/>
        <v>DPS</v>
      </c>
      <c r="D118" t="e">
        <f t="shared" si="30"/>
        <v>#N/A</v>
      </c>
      <c r="E118" t="e">
        <f t="shared" si="25"/>
        <v>#N/A</v>
      </c>
      <c r="F118" t="str">
        <f t="shared" si="31"/>
        <v>DPS</v>
      </c>
      <c r="G118" t="e">
        <f t="shared" si="32"/>
        <v>#N/A</v>
      </c>
      <c r="H118" t="e">
        <f t="shared" si="26"/>
        <v>#N/A</v>
      </c>
      <c r="I118" t="e">
        <f t="shared" si="27"/>
        <v>#N/A</v>
      </c>
      <c r="J118" t="e">
        <f t="shared" si="28"/>
        <v>#N/A</v>
      </c>
    </row>
    <row r="119" spans="1:10">
      <c r="A119">
        <v>87</v>
      </c>
      <c r="B119" t="e">
        <f t="shared" si="24"/>
        <v>#N/A</v>
      </c>
      <c r="C119" t="str">
        <f t="shared" si="29"/>
        <v>DPS</v>
      </c>
      <c r="D119" t="e">
        <f t="shared" si="30"/>
        <v>#N/A</v>
      </c>
      <c r="E119" t="e">
        <f t="shared" si="25"/>
        <v>#N/A</v>
      </c>
      <c r="F119" t="str">
        <f t="shared" si="31"/>
        <v>DPS</v>
      </c>
      <c r="G119" t="e">
        <f t="shared" si="32"/>
        <v>#N/A</v>
      </c>
      <c r="H119" t="e">
        <f t="shared" si="26"/>
        <v>#N/A</v>
      </c>
      <c r="I119" t="e">
        <f t="shared" si="27"/>
        <v>#N/A</v>
      </c>
      <c r="J119" t="e">
        <f t="shared" si="28"/>
        <v>#N/A</v>
      </c>
    </row>
    <row r="120" spans="1:10">
      <c r="A120">
        <v>88</v>
      </c>
      <c r="B120" t="e">
        <f t="shared" si="24"/>
        <v>#N/A</v>
      </c>
      <c r="C120" t="str">
        <f t="shared" si="29"/>
        <v>DPS</v>
      </c>
      <c r="D120" t="e">
        <f t="shared" si="30"/>
        <v>#N/A</v>
      </c>
      <c r="E120" t="e">
        <f t="shared" si="25"/>
        <v>#N/A</v>
      </c>
      <c r="F120" t="str">
        <f t="shared" si="31"/>
        <v>DPS</v>
      </c>
      <c r="G120" t="e">
        <f t="shared" si="32"/>
        <v>#N/A</v>
      </c>
      <c r="H120" t="e">
        <f t="shared" si="26"/>
        <v>#N/A</v>
      </c>
      <c r="I120" t="e">
        <f t="shared" si="27"/>
        <v>#N/A</v>
      </c>
      <c r="J120" t="e">
        <f t="shared" si="28"/>
        <v>#N/A</v>
      </c>
    </row>
    <row r="121" spans="1:10">
      <c r="A121">
        <v>89</v>
      </c>
      <c r="B121" t="e">
        <f t="shared" si="24"/>
        <v>#N/A</v>
      </c>
      <c r="C121" t="str">
        <f t="shared" si="29"/>
        <v>DPS</v>
      </c>
      <c r="D121" t="e">
        <f t="shared" si="30"/>
        <v>#N/A</v>
      </c>
      <c r="E121" t="e">
        <f t="shared" si="25"/>
        <v>#N/A</v>
      </c>
      <c r="F121" t="str">
        <f t="shared" si="31"/>
        <v>DPS</v>
      </c>
      <c r="G121" t="e">
        <f t="shared" si="32"/>
        <v>#N/A</v>
      </c>
      <c r="H121" t="e">
        <f t="shared" si="26"/>
        <v>#N/A</v>
      </c>
      <c r="I121" t="e">
        <f t="shared" si="27"/>
        <v>#N/A</v>
      </c>
      <c r="J121" t="e">
        <f t="shared" si="28"/>
        <v>#N/A</v>
      </c>
    </row>
    <row r="122" spans="1:10">
      <c r="A122">
        <v>90</v>
      </c>
      <c r="B122" t="e">
        <f t="shared" si="24"/>
        <v>#N/A</v>
      </c>
      <c r="C122" t="str">
        <f t="shared" si="29"/>
        <v>DPS</v>
      </c>
      <c r="D122" t="e">
        <f t="shared" si="30"/>
        <v>#N/A</v>
      </c>
      <c r="E122" t="e">
        <f t="shared" si="25"/>
        <v>#N/A</v>
      </c>
      <c r="F122" t="str">
        <f t="shared" si="31"/>
        <v>DPS</v>
      </c>
      <c r="G122" t="e">
        <f t="shared" si="32"/>
        <v>#N/A</v>
      </c>
      <c r="H122" t="e">
        <f t="shared" si="26"/>
        <v>#N/A</v>
      </c>
      <c r="I122" t="e">
        <f t="shared" si="27"/>
        <v>#N/A</v>
      </c>
      <c r="J122" t="e">
        <f t="shared" si="28"/>
        <v>#N/A</v>
      </c>
    </row>
    <row r="123" spans="1:10">
      <c r="A123">
        <v>91</v>
      </c>
      <c r="B123" t="e">
        <f t="shared" si="24"/>
        <v>#N/A</v>
      </c>
      <c r="C123" t="str">
        <f t="shared" si="29"/>
        <v>DPS</v>
      </c>
      <c r="D123" t="e">
        <f t="shared" si="30"/>
        <v>#N/A</v>
      </c>
      <c r="E123" t="e">
        <f t="shared" si="25"/>
        <v>#N/A</v>
      </c>
      <c r="F123" t="str">
        <f t="shared" si="31"/>
        <v>DPS</v>
      </c>
      <c r="G123" t="e">
        <f t="shared" si="32"/>
        <v>#N/A</v>
      </c>
      <c r="H123" t="e">
        <f t="shared" si="26"/>
        <v>#N/A</v>
      </c>
      <c r="I123" t="e">
        <f t="shared" si="27"/>
        <v>#N/A</v>
      </c>
      <c r="J123" t="e">
        <f t="shared" si="28"/>
        <v>#N/A</v>
      </c>
    </row>
    <row r="124" spans="1:10">
      <c r="A124">
        <v>92</v>
      </c>
      <c r="B124" t="e">
        <f t="shared" si="24"/>
        <v>#N/A</v>
      </c>
      <c r="C124" t="str">
        <f t="shared" si="29"/>
        <v>DPS</v>
      </c>
      <c r="D124" t="e">
        <f t="shared" si="30"/>
        <v>#N/A</v>
      </c>
      <c r="E124" t="e">
        <f t="shared" si="25"/>
        <v>#N/A</v>
      </c>
      <c r="F124" t="str">
        <f t="shared" si="31"/>
        <v>DPS</v>
      </c>
      <c r="G124" t="e">
        <f t="shared" si="32"/>
        <v>#N/A</v>
      </c>
      <c r="H124" t="e">
        <f t="shared" si="26"/>
        <v>#N/A</v>
      </c>
      <c r="I124" t="e">
        <f t="shared" si="27"/>
        <v>#N/A</v>
      </c>
      <c r="J124" t="e">
        <f t="shared" si="28"/>
        <v>#N/A</v>
      </c>
    </row>
    <row r="125" spans="1:10">
      <c r="A125">
        <v>93</v>
      </c>
      <c r="B125" t="e">
        <f t="shared" si="24"/>
        <v>#N/A</v>
      </c>
      <c r="C125" t="str">
        <f t="shared" si="29"/>
        <v>DPS</v>
      </c>
      <c r="D125" t="e">
        <f t="shared" si="30"/>
        <v>#N/A</v>
      </c>
      <c r="E125" t="e">
        <f t="shared" si="25"/>
        <v>#N/A</v>
      </c>
      <c r="F125" t="str">
        <f t="shared" si="31"/>
        <v>DPS</v>
      </c>
      <c r="G125" t="e">
        <f t="shared" si="32"/>
        <v>#N/A</v>
      </c>
      <c r="H125" t="e">
        <f t="shared" si="26"/>
        <v>#N/A</v>
      </c>
      <c r="I125" t="e">
        <f t="shared" si="27"/>
        <v>#N/A</v>
      </c>
      <c r="J125" t="e">
        <f t="shared" si="28"/>
        <v>#N/A</v>
      </c>
    </row>
    <row r="126" spans="1:10">
      <c r="A126">
        <v>94</v>
      </c>
      <c r="B126" t="e">
        <f t="shared" si="24"/>
        <v>#N/A</v>
      </c>
      <c r="C126" t="str">
        <f t="shared" si="29"/>
        <v>DPS</v>
      </c>
      <c r="D126" t="e">
        <f t="shared" si="30"/>
        <v>#N/A</v>
      </c>
      <c r="E126" t="e">
        <f t="shared" si="25"/>
        <v>#N/A</v>
      </c>
      <c r="F126" t="str">
        <f t="shared" si="31"/>
        <v>DPS</v>
      </c>
      <c r="G126" t="e">
        <f t="shared" si="32"/>
        <v>#N/A</v>
      </c>
      <c r="H126" t="e">
        <f t="shared" si="26"/>
        <v>#N/A</v>
      </c>
      <c r="I126" t="e">
        <f t="shared" si="27"/>
        <v>#N/A</v>
      </c>
      <c r="J126" t="e">
        <f t="shared" si="28"/>
        <v>#N/A</v>
      </c>
    </row>
    <row r="127" spans="1:10">
      <c r="A127">
        <v>95</v>
      </c>
      <c r="B127" t="e">
        <f t="shared" si="24"/>
        <v>#N/A</v>
      </c>
      <c r="C127" t="str">
        <f t="shared" si="29"/>
        <v>DPS</v>
      </c>
      <c r="D127" t="e">
        <f t="shared" si="30"/>
        <v>#N/A</v>
      </c>
      <c r="E127" t="e">
        <f t="shared" si="25"/>
        <v>#N/A</v>
      </c>
      <c r="F127" t="str">
        <f t="shared" si="31"/>
        <v>DPS</v>
      </c>
      <c r="G127" t="e">
        <f t="shared" si="32"/>
        <v>#N/A</v>
      </c>
      <c r="H127" t="e">
        <f t="shared" si="26"/>
        <v>#N/A</v>
      </c>
      <c r="I127" t="e">
        <f t="shared" si="27"/>
        <v>#N/A</v>
      </c>
      <c r="J127" t="e">
        <f t="shared" si="28"/>
        <v>#N/A</v>
      </c>
    </row>
    <row r="128" spans="1:10">
      <c r="A128">
        <v>96</v>
      </c>
      <c r="B128" t="e">
        <f t="shared" si="24"/>
        <v>#N/A</v>
      </c>
      <c r="C128" t="str">
        <f t="shared" si="29"/>
        <v>DPS</v>
      </c>
      <c r="D128" t="e">
        <f t="shared" si="30"/>
        <v>#N/A</v>
      </c>
      <c r="E128" t="e">
        <f t="shared" si="25"/>
        <v>#N/A</v>
      </c>
      <c r="F128" t="str">
        <f t="shared" si="31"/>
        <v>DPS</v>
      </c>
      <c r="G128" t="e">
        <f t="shared" si="32"/>
        <v>#N/A</v>
      </c>
      <c r="H128" t="e">
        <f t="shared" si="26"/>
        <v>#N/A</v>
      </c>
      <c r="I128" t="e">
        <f t="shared" si="27"/>
        <v>#N/A</v>
      </c>
      <c r="J128" t="e">
        <f t="shared" si="28"/>
        <v>#N/A</v>
      </c>
    </row>
    <row r="129" spans="1:10">
      <c r="A129">
        <v>97</v>
      </c>
      <c r="B129" t="e">
        <f t="shared" si="24"/>
        <v>#N/A</v>
      </c>
      <c r="C129" t="str">
        <f t="shared" si="29"/>
        <v>DPS</v>
      </c>
      <c r="D129" t="e">
        <f t="shared" si="30"/>
        <v>#N/A</v>
      </c>
      <c r="E129" t="e">
        <f t="shared" si="25"/>
        <v>#N/A</v>
      </c>
      <c r="F129" t="str">
        <f t="shared" si="31"/>
        <v>DPS</v>
      </c>
      <c r="G129" t="e">
        <f t="shared" si="32"/>
        <v>#N/A</v>
      </c>
      <c r="H129" t="e">
        <f t="shared" si="26"/>
        <v>#N/A</v>
      </c>
      <c r="I129" t="e">
        <f t="shared" si="27"/>
        <v>#N/A</v>
      </c>
      <c r="J129" t="e">
        <f t="shared" si="28"/>
        <v>#N/A</v>
      </c>
    </row>
    <row r="130" spans="1:10">
      <c r="A130">
        <v>98</v>
      </c>
      <c r="B130" t="e">
        <f t="shared" si="24"/>
        <v>#N/A</v>
      </c>
      <c r="C130" t="str">
        <f t="shared" si="29"/>
        <v>DPS</v>
      </c>
      <c r="D130" t="e">
        <f t="shared" si="30"/>
        <v>#N/A</v>
      </c>
      <c r="E130" t="e">
        <f t="shared" si="25"/>
        <v>#N/A</v>
      </c>
      <c r="F130" t="str">
        <f t="shared" si="31"/>
        <v>DPS</v>
      </c>
      <c r="G130" t="e">
        <f t="shared" si="32"/>
        <v>#N/A</v>
      </c>
      <c r="H130" t="e">
        <f t="shared" si="26"/>
        <v>#N/A</v>
      </c>
      <c r="I130" t="e">
        <f t="shared" si="27"/>
        <v>#N/A</v>
      </c>
      <c r="J130" t="e">
        <f t="shared" si="28"/>
        <v>#N/A</v>
      </c>
    </row>
    <row r="131" spans="1:10">
      <c r="A131">
        <v>99</v>
      </c>
      <c r="B131" t="e">
        <f t="shared" si="24"/>
        <v>#N/A</v>
      </c>
      <c r="C131" t="str">
        <f t="shared" si="29"/>
        <v>DPS</v>
      </c>
      <c r="D131" t="e">
        <f t="shared" si="30"/>
        <v>#N/A</v>
      </c>
      <c r="E131" t="e">
        <f t="shared" si="25"/>
        <v>#N/A</v>
      </c>
      <c r="F131" t="str">
        <f t="shared" si="31"/>
        <v>DPS</v>
      </c>
      <c r="G131" t="e">
        <f t="shared" si="32"/>
        <v>#N/A</v>
      </c>
      <c r="H131" t="e">
        <f t="shared" si="26"/>
        <v>#N/A</v>
      </c>
      <c r="I131" t="e">
        <f t="shared" si="27"/>
        <v>#N/A</v>
      </c>
      <c r="J131" t="e">
        <f t="shared" si="28"/>
        <v>#N/A</v>
      </c>
    </row>
    <row r="132" spans="1:10">
      <c r="A132">
        <v>100</v>
      </c>
      <c r="B132" t="e">
        <f t="shared" si="24"/>
        <v>#N/A</v>
      </c>
      <c r="C132" t="str">
        <f t="shared" si="29"/>
        <v>DPS</v>
      </c>
      <c r="D132" t="e">
        <f t="shared" si="30"/>
        <v>#N/A</v>
      </c>
      <c r="E132" t="e">
        <f t="shared" si="25"/>
        <v>#N/A</v>
      </c>
      <c r="F132" t="str">
        <f t="shared" si="31"/>
        <v>DPS</v>
      </c>
      <c r="G132" t="e">
        <f t="shared" si="32"/>
        <v>#N/A</v>
      </c>
      <c r="H132" t="e">
        <f t="shared" si="26"/>
        <v>#N/A</v>
      </c>
      <c r="I132" t="e">
        <f t="shared" si="27"/>
        <v>#N/A</v>
      </c>
      <c r="J132" t="e">
        <f t="shared" si="28"/>
        <v>#N/A</v>
      </c>
    </row>
    <row r="133" spans="1:10">
      <c r="A133">
        <v>101</v>
      </c>
      <c r="B133" t="e">
        <f t="shared" ref="B133:B196" si="33">H132</f>
        <v>#N/A</v>
      </c>
      <c r="C133" t="str">
        <f t="shared" si="29"/>
        <v>DPS</v>
      </c>
      <c r="D133" t="e">
        <f t="shared" si="30"/>
        <v>#N/A</v>
      </c>
      <c r="E133" t="e">
        <f t="shared" ref="E133:E196" si="34">I132</f>
        <v>#N/A</v>
      </c>
      <c r="F133" t="str">
        <f t="shared" si="31"/>
        <v>DPS</v>
      </c>
      <c r="G133" t="e">
        <f t="shared" si="32"/>
        <v>#N/A</v>
      </c>
      <c r="H133" t="e">
        <f t="shared" ref="H133:H196" si="35">B133+IF(C133="HPS",D133,0)-IF(F133="DPS",G133,0)</f>
        <v>#N/A</v>
      </c>
      <c r="I133" t="e">
        <f t="shared" ref="I133:I196" si="36">E133+IF(F133="HPS",G133,0)-IF(C133="DPS",D133,0)</f>
        <v>#N/A</v>
      </c>
      <c r="J133" t="e">
        <f t="shared" ref="J133:J196" si="37">MIN(H133:I133)&lt;=0</f>
        <v>#N/A</v>
      </c>
    </row>
    <row r="134" spans="1:10">
      <c r="A134">
        <v>102</v>
      </c>
      <c r="B134" t="e">
        <f t="shared" si="33"/>
        <v>#N/A</v>
      </c>
      <c r="C134" t="str">
        <f t="shared" si="29"/>
        <v>DPS</v>
      </c>
      <c r="D134" t="e">
        <f t="shared" si="30"/>
        <v>#N/A</v>
      </c>
      <c r="E134" t="e">
        <f t="shared" si="34"/>
        <v>#N/A</v>
      </c>
      <c r="F134" t="str">
        <f t="shared" si="31"/>
        <v>DPS</v>
      </c>
      <c r="G134" t="e">
        <f t="shared" si="32"/>
        <v>#N/A</v>
      </c>
      <c r="H134" t="e">
        <f t="shared" si="35"/>
        <v>#N/A</v>
      </c>
      <c r="I134" t="e">
        <f t="shared" si="36"/>
        <v>#N/A</v>
      </c>
      <c r="J134" t="e">
        <f t="shared" si="37"/>
        <v>#N/A</v>
      </c>
    </row>
    <row r="135" spans="1:10">
      <c r="A135">
        <v>103</v>
      </c>
      <c r="B135" t="e">
        <f t="shared" si="33"/>
        <v>#N/A</v>
      </c>
      <c r="C135" t="str">
        <f t="shared" si="29"/>
        <v>DPS</v>
      </c>
      <c r="D135" t="e">
        <f t="shared" si="30"/>
        <v>#N/A</v>
      </c>
      <c r="E135" t="e">
        <f t="shared" si="34"/>
        <v>#N/A</v>
      </c>
      <c r="F135" t="str">
        <f t="shared" si="31"/>
        <v>DPS</v>
      </c>
      <c r="G135" t="e">
        <f t="shared" si="32"/>
        <v>#N/A</v>
      </c>
      <c r="H135" t="e">
        <f t="shared" si="35"/>
        <v>#N/A</v>
      </c>
      <c r="I135" t="e">
        <f t="shared" si="36"/>
        <v>#N/A</v>
      </c>
      <c r="J135" t="e">
        <f t="shared" si="37"/>
        <v>#N/A</v>
      </c>
    </row>
    <row r="136" spans="1:10">
      <c r="A136">
        <v>104</v>
      </c>
      <c r="B136" t="e">
        <f t="shared" si="33"/>
        <v>#N/A</v>
      </c>
      <c r="C136" t="str">
        <f t="shared" si="29"/>
        <v>DPS</v>
      </c>
      <c r="D136" t="e">
        <f t="shared" si="30"/>
        <v>#N/A</v>
      </c>
      <c r="E136" t="e">
        <f t="shared" si="34"/>
        <v>#N/A</v>
      </c>
      <c r="F136" t="str">
        <f t="shared" si="31"/>
        <v>DPS</v>
      </c>
      <c r="G136" t="e">
        <f t="shared" si="32"/>
        <v>#N/A</v>
      </c>
      <c r="H136" t="e">
        <f t="shared" si="35"/>
        <v>#N/A</v>
      </c>
      <c r="I136" t="e">
        <f t="shared" si="36"/>
        <v>#N/A</v>
      </c>
      <c r="J136" t="e">
        <f t="shared" si="37"/>
        <v>#N/A</v>
      </c>
    </row>
    <row r="137" spans="1:10">
      <c r="A137">
        <v>105</v>
      </c>
      <c r="B137" t="e">
        <f t="shared" si="33"/>
        <v>#N/A</v>
      </c>
      <c r="C137" t="str">
        <f t="shared" si="29"/>
        <v>DPS</v>
      </c>
      <c r="D137" t="e">
        <f t="shared" si="30"/>
        <v>#N/A</v>
      </c>
      <c r="E137" t="e">
        <f t="shared" si="34"/>
        <v>#N/A</v>
      </c>
      <c r="F137" t="str">
        <f t="shared" si="31"/>
        <v>DPS</v>
      </c>
      <c r="G137" t="e">
        <f t="shared" si="32"/>
        <v>#N/A</v>
      </c>
      <c r="H137" t="e">
        <f t="shared" si="35"/>
        <v>#N/A</v>
      </c>
      <c r="I137" t="e">
        <f t="shared" si="36"/>
        <v>#N/A</v>
      </c>
      <c r="J137" t="e">
        <f t="shared" si="37"/>
        <v>#N/A</v>
      </c>
    </row>
    <row r="138" spans="1:10">
      <c r="A138">
        <v>106</v>
      </c>
      <c r="B138" t="e">
        <f t="shared" si="33"/>
        <v>#N/A</v>
      </c>
      <c r="C138" t="str">
        <f t="shared" si="29"/>
        <v>DPS</v>
      </c>
      <c r="D138" t="e">
        <f t="shared" si="30"/>
        <v>#N/A</v>
      </c>
      <c r="E138" t="e">
        <f t="shared" si="34"/>
        <v>#N/A</v>
      </c>
      <c r="F138" t="str">
        <f t="shared" si="31"/>
        <v>DPS</v>
      </c>
      <c r="G138" t="e">
        <f t="shared" si="32"/>
        <v>#N/A</v>
      </c>
      <c r="H138" t="e">
        <f t="shared" si="35"/>
        <v>#N/A</v>
      </c>
      <c r="I138" t="e">
        <f t="shared" si="36"/>
        <v>#N/A</v>
      </c>
      <c r="J138" t="e">
        <f t="shared" si="37"/>
        <v>#N/A</v>
      </c>
    </row>
    <row r="139" spans="1:10">
      <c r="A139">
        <v>107</v>
      </c>
      <c r="B139" t="e">
        <f t="shared" si="33"/>
        <v>#N/A</v>
      </c>
      <c r="C139" t="str">
        <f t="shared" si="29"/>
        <v>DPS</v>
      </c>
      <c r="D139" t="e">
        <f t="shared" si="30"/>
        <v>#N/A</v>
      </c>
      <c r="E139" t="e">
        <f t="shared" si="34"/>
        <v>#N/A</v>
      </c>
      <c r="F139" t="str">
        <f t="shared" si="31"/>
        <v>DPS</v>
      </c>
      <c r="G139" t="e">
        <f t="shared" si="32"/>
        <v>#N/A</v>
      </c>
      <c r="H139" t="e">
        <f t="shared" si="35"/>
        <v>#N/A</v>
      </c>
      <c r="I139" t="e">
        <f t="shared" si="36"/>
        <v>#N/A</v>
      </c>
      <c r="J139" t="e">
        <f t="shared" si="37"/>
        <v>#N/A</v>
      </c>
    </row>
    <row r="140" spans="1:10">
      <c r="A140">
        <v>108</v>
      </c>
      <c r="B140" t="e">
        <f t="shared" si="33"/>
        <v>#N/A</v>
      </c>
      <c r="C140" t="str">
        <f t="shared" si="29"/>
        <v>DPS</v>
      </c>
      <c r="D140" t="e">
        <f t="shared" si="30"/>
        <v>#N/A</v>
      </c>
      <c r="E140" t="e">
        <f t="shared" si="34"/>
        <v>#N/A</v>
      </c>
      <c r="F140" t="str">
        <f t="shared" si="31"/>
        <v>DPS</v>
      </c>
      <c r="G140" t="e">
        <f t="shared" si="32"/>
        <v>#N/A</v>
      </c>
      <c r="H140" t="e">
        <f t="shared" si="35"/>
        <v>#N/A</v>
      </c>
      <c r="I140" t="e">
        <f t="shared" si="36"/>
        <v>#N/A</v>
      </c>
      <c r="J140" t="e">
        <f t="shared" si="37"/>
        <v>#N/A</v>
      </c>
    </row>
    <row r="141" spans="1:10">
      <c r="A141">
        <v>109</v>
      </c>
      <c r="B141" t="e">
        <f t="shared" si="33"/>
        <v>#N/A</v>
      </c>
      <c r="C141" t="str">
        <f t="shared" si="29"/>
        <v>DPS</v>
      </c>
      <c r="D141" t="e">
        <f t="shared" si="30"/>
        <v>#N/A</v>
      </c>
      <c r="E141" t="e">
        <f t="shared" si="34"/>
        <v>#N/A</v>
      </c>
      <c r="F141" t="str">
        <f t="shared" si="31"/>
        <v>DPS</v>
      </c>
      <c r="G141" t="e">
        <f t="shared" si="32"/>
        <v>#N/A</v>
      </c>
      <c r="H141" t="e">
        <f t="shared" si="35"/>
        <v>#N/A</v>
      </c>
      <c r="I141" t="e">
        <f t="shared" si="36"/>
        <v>#N/A</v>
      </c>
      <c r="J141" t="e">
        <f t="shared" si="37"/>
        <v>#N/A</v>
      </c>
    </row>
    <row r="142" spans="1:10">
      <c r="A142">
        <v>110</v>
      </c>
      <c r="B142" t="e">
        <f t="shared" si="33"/>
        <v>#N/A</v>
      </c>
      <c r="C142" t="str">
        <f t="shared" si="29"/>
        <v>DPS</v>
      </c>
      <c r="D142" t="e">
        <f t="shared" si="30"/>
        <v>#N/A</v>
      </c>
      <c r="E142" t="e">
        <f t="shared" si="34"/>
        <v>#N/A</v>
      </c>
      <c r="F142" t="str">
        <f t="shared" si="31"/>
        <v>DPS</v>
      </c>
      <c r="G142" t="e">
        <f t="shared" si="32"/>
        <v>#N/A</v>
      </c>
      <c r="H142" t="e">
        <f t="shared" si="35"/>
        <v>#N/A</v>
      </c>
      <c r="I142" t="e">
        <f t="shared" si="36"/>
        <v>#N/A</v>
      </c>
      <c r="J142" t="e">
        <f t="shared" si="37"/>
        <v>#N/A</v>
      </c>
    </row>
    <row r="143" spans="1:10">
      <c r="A143">
        <v>111</v>
      </c>
      <c r="B143" t="e">
        <f t="shared" si="33"/>
        <v>#N/A</v>
      </c>
      <c r="C143" t="str">
        <f t="shared" si="29"/>
        <v>DPS</v>
      </c>
      <c r="D143" t="e">
        <f t="shared" si="30"/>
        <v>#N/A</v>
      </c>
      <c r="E143" t="e">
        <f t="shared" si="34"/>
        <v>#N/A</v>
      </c>
      <c r="F143" t="str">
        <f t="shared" si="31"/>
        <v>DPS</v>
      </c>
      <c r="G143" t="e">
        <f t="shared" si="32"/>
        <v>#N/A</v>
      </c>
      <c r="H143" t="e">
        <f t="shared" si="35"/>
        <v>#N/A</v>
      </c>
      <c r="I143" t="e">
        <f t="shared" si="36"/>
        <v>#N/A</v>
      </c>
      <c r="J143" t="e">
        <f t="shared" si="37"/>
        <v>#N/A</v>
      </c>
    </row>
    <row r="144" spans="1:10">
      <c r="A144">
        <v>112</v>
      </c>
      <c r="B144" t="e">
        <f t="shared" si="33"/>
        <v>#N/A</v>
      </c>
      <c r="C144" t="str">
        <f t="shared" si="29"/>
        <v>DPS</v>
      </c>
      <c r="D144" t="e">
        <f t="shared" si="30"/>
        <v>#N/A</v>
      </c>
      <c r="E144" t="e">
        <f t="shared" si="34"/>
        <v>#N/A</v>
      </c>
      <c r="F144" t="str">
        <f t="shared" si="31"/>
        <v>DPS</v>
      </c>
      <c r="G144" t="e">
        <f t="shared" si="32"/>
        <v>#N/A</v>
      </c>
      <c r="H144" t="e">
        <f t="shared" si="35"/>
        <v>#N/A</v>
      </c>
      <c r="I144" t="e">
        <f t="shared" si="36"/>
        <v>#N/A</v>
      </c>
      <c r="J144" t="e">
        <f t="shared" si="37"/>
        <v>#N/A</v>
      </c>
    </row>
    <row r="145" spans="1:10">
      <c r="A145">
        <v>113</v>
      </c>
      <c r="B145" t="e">
        <f t="shared" si="33"/>
        <v>#N/A</v>
      </c>
      <c r="C145" t="str">
        <f t="shared" si="29"/>
        <v>DPS</v>
      </c>
      <c r="D145" t="e">
        <f t="shared" si="30"/>
        <v>#N/A</v>
      </c>
      <c r="E145" t="e">
        <f t="shared" si="34"/>
        <v>#N/A</v>
      </c>
      <c r="F145" t="str">
        <f t="shared" si="31"/>
        <v>DPS</v>
      </c>
      <c r="G145" t="e">
        <f t="shared" si="32"/>
        <v>#N/A</v>
      </c>
      <c r="H145" t="e">
        <f t="shared" si="35"/>
        <v>#N/A</v>
      </c>
      <c r="I145" t="e">
        <f t="shared" si="36"/>
        <v>#N/A</v>
      </c>
      <c r="J145" t="e">
        <f t="shared" si="37"/>
        <v>#N/A</v>
      </c>
    </row>
    <row r="146" spans="1:10">
      <c r="A146">
        <v>114</v>
      </c>
      <c r="B146" t="e">
        <f t="shared" si="33"/>
        <v>#N/A</v>
      </c>
      <c r="C146" t="str">
        <f t="shared" si="29"/>
        <v>DPS</v>
      </c>
      <c r="D146" t="e">
        <f t="shared" si="30"/>
        <v>#N/A</v>
      </c>
      <c r="E146" t="e">
        <f t="shared" si="34"/>
        <v>#N/A</v>
      </c>
      <c r="F146" t="str">
        <f t="shared" si="31"/>
        <v>DPS</v>
      </c>
      <c r="G146" t="e">
        <f t="shared" si="32"/>
        <v>#N/A</v>
      </c>
      <c r="H146" t="e">
        <f t="shared" si="35"/>
        <v>#N/A</v>
      </c>
      <c r="I146" t="e">
        <f t="shared" si="36"/>
        <v>#N/A</v>
      </c>
      <c r="J146" t="e">
        <f t="shared" si="37"/>
        <v>#N/A</v>
      </c>
    </row>
    <row r="147" spans="1:10">
      <c r="A147">
        <v>115</v>
      </c>
      <c r="B147" t="e">
        <f t="shared" si="33"/>
        <v>#N/A</v>
      </c>
      <c r="C147" t="str">
        <f t="shared" si="29"/>
        <v>DPS</v>
      </c>
      <c r="D147" t="e">
        <f t="shared" si="30"/>
        <v>#N/A</v>
      </c>
      <c r="E147" t="e">
        <f t="shared" si="34"/>
        <v>#N/A</v>
      </c>
      <c r="F147" t="str">
        <f t="shared" si="31"/>
        <v>DPS</v>
      </c>
      <c r="G147" t="e">
        <f t="shared" si="32"/>
        <v>#N/A</v>
      </c>
      <c r="H147" t="e">
        <f t="shared" si="35"/>
        <v>#N/A</v>
      </c>
      <c r="I147" t="e">
        <f t="shared" si="36"/>
        <v>#N/A</v>
      </c>
      <c r="J147" t="e">
        <f t="shared" si="37"/>
        <v>#N/A</v>
      </c>
    </row>
    <row r="148" spans="1:10">
      <c r="A148">
        <v>116</v>
      </c>
      <c r="B148" t="e">
        <f t="shared" si="33"/>
        <v>#N/A</v>
      </c>
      <c r="C148" t="str">
        <f t="shared" si="29"/>
        <v>DPS</v>
      </c>
      <c r="D148" t="e">
        <f t="shared" si="30"/>
        <v>#N/A</v>
      </c>
      <c r="E148" t="e">
        <f t="shared" si="34"/>
        <v>#N/A</v>
      </c>
      <c r="F148" t="str">
        <f t="shared" si="31"/>
        <v>DPS</v>
      </c>
      <c r="G148" t="e">
        <f t="shared" si="32"/>
        <v>#N/A</v>
      </c>
      <c r="H148" t="e">
        <f t="shared" si="35"/>
        <v>#N/A</v>
      </c>
      <c r="I148" t="e">
        <f t="shared" si="36"/>
        <v>#N/A</v>
      </c>
      <c r="J148" t="e">
        <f t="shared" si="37"/>
        <v>#N/A</v>
      </c>
    </row>
    <row r="149" spans="1:10">
      <c r="A149">
        <v>117</v>
      </c>
      <c r="B149" t="e">
        <f t="shared" si="33"/>
        <v>#N/A</v>
      </c>
      <c r="C149" t="str">
        <f t="shared" si="29"/>
        <v>DPS</v>
      </c>
      <c r="D149" t="e">
        <f t="shared" si="30"/>
        <v>#N/A</v>
      </c>
      <c r="E149" t="e">
        <f t="shared" si="34"/>
        <v>#N/A</v>
      </c>
      <c r="F149" t="str">
        <f t="shared" si="31"/>
        <v>DPS</v>
      </c>
      <c r="G149" t="e">
        <f t="shared" si="32"/>
        <v>#N/A</v>
      </c>
      <c r="H149" t="e">
        <f t="shared" si="35"/>
        <v>#N/A</v>
      </c>
      <c r="I149" t="e">
        <f t="shared" si="36"/>
        <v>#N/A</v>
      </c>
      <c r="J149" t="e">
        <f t="shared" si="37"/>
        <v>#N/A</v>
      </c>
    </row>
    <row r="150" spans="1:10">
      <c r="A150">
        <v>118</v>
      </c>
      <c r="B150" t="e">
        <f t="shared" si="33"/>
        <v>#N/A</v>
      </c>
      <c r="C150" t="str">
        <f t="shared" si="29"/>
        <v>DPS</v>
      </c>
      <c r="D150" t="e">
        <f t="shared" si="30"/>
        <v>#N/A</v>
      </c>
      <c r="E150" t="e">
        <f t="shared" si="34"/>
        <v>#N/A</v>
      </c>
      <c r="F150" t="str">
        <f t="shared" si="31"/>
        <v>DPS</v>
      </c>
      <c r="G150" t="e">
        <f t="shared" si="32"/>
        <v>#N/A</v>
      </c>
      <c r="H150" t="e">
        <f t="shared" si="35"/>
        <v>#N/A</v>
      </c>
      <c r="I150" t="e">
        <f t="shared" si="36"/>
        <v>#N/A</v>
      </c>
      <c r="J150" t="e">
        <f t="shared" si="37"/>
        <v>#N/A</v>
      </c>
    </row>
    <row r="151" spans="1:10">
      <c r="A151">
        <v>119</v>
      </c>
      <c r="B151" t="e">
        <f t="shared" si="33"/>
        <v>#N/A</v>
      </c>
      <c r="C151" t="str">
        <f t="shared" si="29"/>
        <v>DPS</v>
      </c>
      <c r="D151" t="e">
        <f t="shared" si="30"/>
        <v>#N/A</v>
      </c>
      <c r="E151" t="e">
        <f t="shared" si="34"/>
        <v>#N/A</v>
      </c>
      <c r="F151" t="str">
        <f t="shared" si="31"/>
        <v>DPS</v>
      </c>
      <c r="G151" t="e">
        <f t="shared" si="32"/>
        <v>#N/A</v>
      </c>
      <c r="H151" t="e">
        <f t="shared" si="35"/>
        <v>#N/A</v>
      </c>
      <c r="I151" t="e">
        <f t="shared" si="36"/>
        <v>#N/A</v>
      </c>
      <c r="J151" t="e">
        <f t="shared" si="37"/>
        <v>#N/A</v>
      </c>
    </row>
    <row r="152" spans="1:10">
      <c r="A152">
        <v>120</v>
      </c>
      <c r="B152" t="e">
        <f t="shared" si="33"/>
        <v>#N/A</v>
      </c>
      <c r="C152" t="str">
        <f t="shared" si="29"/>
        <v>DPS</v>
      </c>
      <c r="D152" t="e">
        <f t="shared" si="30"/>
        <v>#N/A</v>
      </c>
      <c r="E152" t="e">
        <f t="shared" si="34"/>
        <v>#N/A</v>
      </c>
      <c r="F152" t="str">
        <f t="shared" si="31"/>
        <v>DPS</v>
      </c>
      <c r="G152" t="e">
        <f t="shared" si="32"/>
        <v>#N/A</v>
      </c>
      <c r="H152" t="e">
        <f t="shared" si="35"/>
        <v>#N/A</v>
      </c>
      <c r="I152" t="e">
        <f t="shared" si="36"/>
        <v>#N/A</v>
      </c>
      <c r="J152" t="e">
        <f t="shared" si="37"/>
        <v>#N/A</v>
      </c>
    </row>
    <row r="153" spans="1:10">
      <c r="A153">
        <v>121</v>
      </c>
      <c r="B153" t="e">
        <f t="shared" si="33"/>
        <v>#N/A</v>
      </c>
      <c r="C153" t="str">
        <f t="shared" si="29"/>
        <v>DPS</v>
      </c>
      <c r="D153" t="e">
        <f t="shared" si="30"/>
        <v>#N/A</v>
      </c>
      <c r="E153" t="e">
        <f t="shared" si="34"/>
        <v>#N/A</v>
      </c>
      <c r="F153" t="str">
        <f t="shared" si="31"/>
        <v>DPS</v>
      </c>
      <c r="G153" t="e">
        <f t="shared" si="32"/>
        <v>#N/A</v>
      </c>
      <c r="H153" t="e">
        <f t="shared" si="35"/>
        <v>#N/A</v>
      </c>
      <c r="I153" t="e">
        <f t="shared" si="36"/>
        <v>#N/A</v>
      </c>
      <c r="J153" t="e">
        <f t="shared" si="37"/>
        <v>#N/A</v>
      </c>
    </row>
    <row r="154" spans="1:10">
      <c r="A154">
        <v>122</v>
      </c>
      <c r="B154" t="e">
        <f t="shared" si="33"/>
        <v>#N/A</v>
      </c>
      <c r="C154" t="str">
        <f t="shared" si="29"/>
        <v>DPS</v>
      </c>
      <c r="D154" t="e">
        <f t="shared" si="30"/>
        <v>#N/A</v>
      </c>
      <c r="E154" t="e">
        <f t="shared" si="34"/>
        <v>#N/A</v>
      </c>
      <c r="F154" t="str">
        <f t="shared" si="31"/>
        <v>DPS</v>
      </c>
      <c r="G154" t="e">
        <f t="shared" si="32"/>
        <v>#N/A</v>
      </c>
      <c r="H154" t="e">
        <f t="shared" si="35"/>
        <v>#N/A</v>
      </c>
      <c r="I154" t="e">
        <f t="shared" si="36"/>
        <v>#N/A</v>
      </c>
      <c r="J154" t="e">
        <f t="shared" si="37"/>
        <v>#N/A</v>
      </c>
    </row>
    <row r="155" spans="1:10">
      <c r="A155">
        <v>123</v>
      </c>
      <c r="B155" t="e">
        <f t="shared" si="33"/>
        <v>#N/A</v>
      </c>
      <c r="C155" t="str">
        <f t="shared" si="29"/>
        <v>DPS</v>
      </c>
      <c r="D155" t="e">
        <f t="shared" si="30"/>
        <v>#N/A</v>
      </c>
      <c r="E155" t="e">
        <f t="shared" si="34"/>
        <v>#N/A</v>
      </c>
      <c r="F155" t="str">
        <f t="shared" si="31"/>
        <v>DPS</v>
      </c>
      <c r="G155" t="e">
        <f t="shared" si="32"/>
        <v>#N/A</v>
      </c>
      <c r="H155" t="e">
        <f t="shared" si="35"/>
        <v>#N/A</v>
      </c>
      <c r="I155" t="e">
        <f t="shared" si="36"/>
        <v>#N/A</v>
      </c>
      <c r="J155" t="e">
        <f t="shared" si="37"/>
        <v>#N/A</v>
      </c>
    </row>
    <row r="156" spans="1:10">
      <c r="A156">
        <v>124</v>
      </c>
      <c r="B156" t="e">
        <f t="shared" si="33"/>
        <v>#N/A</v>
      </c>
      <c r="C156" t="str">
        <f t="shared" si="29"/>
        <v>DPS</v>
      </c>
      <c r="D156" t="e">
        <f t="shared" si="30"/>
        <v>#N/A</v>
      </c>
      <c r="E156" t="e">
        <f t="shared" si="34"/>
        <v>#N/A</v>
      </c>
      <c r="F156" t="str">
        <f t="shared" si="31"/>
        <v>DPS</v>
      </c>
      <c r="G156" t="e">
        <f t="shared" si="32"/>
        <v>#N/A</v>
      </c>
      <c r="H156" t="e">
        <f t="shared" si="35"/>
        <v>#N/A</v>
      </c>
      <c r="I156" t="e">
        <f t="shared" si="36"/>
        <v>#N/A</v>
      </c>
      <c r="J156" t="e">
        <f t="shared" si="37"/>
        <v>#N/A</v>
      </c>
    </row>
    <row r="157" spans="1:10">
      <c r="A157">
        <v>125</v>
      </c>
      <c r="B157" t="e">
        <f t="shared" si="33"/>
        <v>#N/A</v>
      </c>
      <c r="C157" t="str">
        <f t="shared" si="29"/>
        <v>DPS</v>
      </c>
      <c r="D157" t="e">
        <f t="shared" si="30"/>
        <v>#N/A</v>
      </c>
      <c r="E157" t="e">
        <f t="shared" si="34"/>
        <v>#N/A</v>
      </c>
      <c r="F157" t="str">
        <f t="shared" si="31"/>
        <v>DPS</v>
      </c>
      <c r="G157" t="e">
        <f t="shared" si="32"/>
        <v>#N/A</v>
      </c>
      <c r="H157" t="e">
        <f t="shared" si="35"/>
        <v>#N/A</v>
      </c>
      <c r="I157" t="e">
        <f t="shared" si="36"/>
        <v>#N/A</v>
      </c>
      <c r="J157" t="e">
        <f t="shared" si="37"/>
        <v>#N/A</v>
      </c>
    </row>
    <row r="158" spans="1:10">
      <c r="A158">
        <v>126</v>
      </c>
      <c r="B158" t="e">
        <f t="shared" si="33"/>
        <v>#N/A</v>
      </c>
      <c r="C158" t="str">
        <f t="shared" si="29"/>
        <v>DPS</v>
      </c>
      <c r="D158" t="e">
        <f t="shared" si="30"/>
        <v>#N/A</v>
      </c>
      <c r="E158" t="e">
        <f t="shared" si="34"/>
        <v>#N/A</v>
      </c>
      <c r="F158" t="str">
        <f t="shared" si="31"/>
        <v>DPS</v>
      </c>
      <c r="G158" t="e">
        <f t="shared" si="32"/>
        <v>#N/A</v>
      </c>
      <c r="H158" t="e">
        <f t="shared" si="35"/>
        <v>#N/A</v>
      </c>
      <c r="I158" t="e">
        <f t="shared" si="36"/>
        <v>#N/A</v>
      </c>
      <c r="J158" t="e">
        <f t="shared" si="37"/>
        <v>#N/A</v>
      </c>
    </row>
    <row r="159" spans="1:10">
      <c r="A159">
        <v>127</v>
      </c>
      <c r="B159" t="e">
        <f t="shared" si="33"/>
        <v>#N/A</v>
      </c>
      <c r="C159" t="str">
        <f t="shared" si="29"/>
        <v>DPS</v>
      </c>
      <c r="D159" t="e">
        <f t="shared" si="30"/>
        <v>#N/A</v>
      </c>
      <c r="E159" t="e">
        <f t="shared" si="34"/>
        <v>#N/A</v>
      </c>
      <c r="F159" t="str">
        <f t="shared" si="31"/>
        <v>DPS</v>
      </c>
      <c r="G159" t="e">
        <f t="shared" si="32"/>
        <v>#N/A</v>
      </c>
      <c r="H159" t="e">
        <f t="shared" si="35"/>
        <v>#N/A</v>
      </c>
      <c r="I159" t="e">
        <f t="shared" si="36"/>
        <v>#N/A</v>
      </c>
      <c r="J159" t="e">
        <f t="shared" si="37"/>
        <v>#N/A</v>
      </c>
    </row>
    <row r="160" spans="1:10">
      <c r="A160">
        <v>128</v>
      </c>
      <c r="B160" t="e">
        <f t="shared" si="33"/>
        <v>#N/A</v>
      </c>
      <c r="C160" t="str">
        <f t="shared" si="29"/>
        <v>DPS</v>
      </c>
      <c r="D160" t="e">
        <f t="shared" si="30"/>
        <v>#N/A</v>
      </c>
      <c r="E160" t="e">
        <f t="shared" si="34"/>
        <v>#N/A</v>
      </c>
      <c r="F160" t="str">
        <f t="shared" si="31"/>
        <v>DPS</v>
      </c>
      <c r="G160" t="e">
        <f t="shared" si="32"/>
        <v>#N/A</v>
      </c>
      <c r="H160" t="e">
        <f t="shared" si="35"/>
        <v>#N/A</v>
      </c>
      <c r="I160" t="e">
        <f t="shared" si="36"/>
        <v>#N/A</v>
      </c>
      <c r="J160" t="e">
        <f t="shared" si="37"/>
        <v>#N/A</v>
      </c>
    </row>
    <row r="161" spans="1:10">
      <c r="A161">
        <v>129</v>
      </c>
      <c r="B161" t="e">
        <f t="shared" si="33"/>
        <v>#N/A</v>
      </c>
      <c r="C161" t="str">
        <f t="shared" si="29"/>
        <v>DPS</v>
      </c>
      <c r="D161" t="e">
        <f t="shared" si="30"/>
        <v>#N/A</v>
      </c>
      <c r="E161" t="e">
        <f t="shared" si="34"/>
        <v>#N/A</v>
      </c>
      <c r="F161" t="str">
        <f t="shared" si="31"/>
        <v>DPS</v>
      </c>
      <c r="G161" t="e">
        <f t="shared" si="32"/>
        <v>#N/A</v>
      </c>
      <c r="H161" t="e">
        <f t="shared" si="35"/>
        <v>#N/A</v>
      </c>
      <c r="I161" t="e">
        <f t="shared" si="36"/>
        <v>#N/A</v>
      </c>
      <c r="J161" t="e">
        <f t="shared" si="37"/>
        <v>#N/A</v>
      </c>
    </row>
    <row r="162" spans="1:10">
      <c r="A162">
        <v>130</v>
      </c>
      <c r="B162" t="e">
        <f t="shared" si="33"/>
        <v>#N/A</v>
      </c>
      <c r="C162" t="str">
        <f t="shared" si="29"/>
        <v>DPS</v>
      </c>
      <c r="D162" t="e">
        <f t="shared" si="30"/>
        <v>#N/A</v>
      </c>
      <c r="E162" t="e">
        <f t="shared" si="34"/>
        <v>#N/A</v>
      </c>
      <c r="F162" t="str">
        <f t="shared" si="31"/>
        <v>DPS</v>
      </c>
      <c r="G162" t="e">
        <f t="shared" si="32"/>
        <v>#N/A</v>
      </c>
      <c r="H162" t="e">
        <f t="shared" si="35"/>
        <v>#N/A</v>
      </c>
      <c r="I162" t="e">
        <f t="shared" si="36"/>
        <v>#N/A</v>
      </c>
      <c r="J162" t="e">
        <f t="shared" si="37"/>
        <v>#N/A</v>
      </c>
    </row>
    <row r="163" spans="1:10">
      <c r="A163">
        <v>131</v>
      </c>
      <c r="B163" t="e">
        <f t="shared" si="33"/>
        <v>#N/A</v>
      </c>
      <c r="C163" t="str">
        <f t="shared" ref="C163:C226" si="38">INDEX($H$3:$H$23,MATCH($B$27,$A$3:$A$23,0))</f>
        <v>DPS</v>
      </c>
      <c r="D163" t="e">
        <f t="shared" ref="D163:D226" si="39">INDEX($L$3:$L$23,MATCH($B$27,$A$3:$A$23,0))</f>
        <v>#N/A</v>
      </c>
      <c r="E163" t="e">
        <f t="shared" si="34"/>
        <v>#N/A</v>
      </c>
      <c r="F163" t="str">
        <f t="shared" ref="F163:F226" si="40">INDEX($O$3:$O$23,MATCH($B$27,$A$3:$A$23,0))</f>
        <v>DPS</v>
      </c>
      <c r="G163" t="e">
        <f t="shared" ref="G163:G226" si="41">INDEX($P$3:$P$23,MATCH($B$27,$A$3:$A$23,0))</f>
        <v>#N/A</v>
      </c>
      <c r="H163" t="e">
        <f t="shared" si="35"/>
        <v>#N/A</v>
      </c>
      <c r="I163" t="e">
        <f t="shared" si="36"/>
        <v>#N/A</v>
      </c>
      <c r="J163" t="e">
        <f t="shared" si="37"/>
        <v>#N/A</v>
      </c>
    </row>
    <row r="164" spans="1:10">
      <c r="A164">
        <v>132</v>
      </c>
      <c r="B164" t="e">
        <f t="shared" si="33"/>
        <v>#N/A</v>
      </c>
      <c r="C164" t="str">
        <f t="shared" si="38"/>
        <v>DPS</v>
      </c>
      <c r="D164" t="e">
        <f t="shared" si="39"/>
        <v>#N/A</v>
      </c>
      <c r="E164" t="e">
        <f t="shared" si="34"/>
        <v>#N/A</v>
      </c>
      <c r="F164" t="str">
        <f t="shared" si="40"/>
        <v>DPS</v>
      </c>
      <c r="G164" t="e">
        <f t="shared" si="41"/>
        <v>#N/A</v>
      </c>
      <c r="H164" t="e">
        <f t="shared" si="35"/>
        <v>#N/A</v>
      </c>
      <c r="I164" t="e">
        <f t="shared" si="36"/>
        <v>#N/A</v>
      </c>
      <c r="J164" t="e">
        <f t="shared" si="37"/>
        <v>#N/A</v>
      </c>
    </row>
    <row r="165" spans="1:10">
      <c r="A165">
        <v>133</v>
      </c>
      <c r="B165" t="e">
        <f t="shared" si="33"/>
        <v>#N/A</v>
      </c>
      <c r="C165" t="str">
        <f t="shared" si="38"/>
        <v>DPS</v>
      </c>
      <c r="D165" t="e">
        <f t="shared" si="39"/>
        <v>#N/A</v>
      </c>
      <c r="E165" t="e">
        <f t="shared" si="34"/>
        <v>#N/A</v>
      </c>
      <c r="F165" t="str">
        <f t="shared" si="40"/>
        <v>DPS</v>
      </c>
      <c r="G165" t="e">
        <f t="shared" si="41"/>
        <v>#N/A</v>
      </c>
      <c r="H165" t="e">
        <f t="shared" si="35"/>
        <v>#N/A</v>
      </c>
      <c r="I165" t="e">
        <f t="shared" si="36"/>
        <v>#N/A</v>
      </c>
      <c r="J165" t="e">
        <f t="shared" si="37"/>
        <v>#N/A</v>
      </c>
    </row>
    <row r="166" spans="1:10">
      <c r="A166">
        <v>134</v>
      </c>
      <c r="B166" t="e">
        <f t="shared" si="33"/>
        <v>#N/A</v>
      </c>
      <c r="C166" t="str">
        <f t="shared" si="38"/>
        <v>DPS</v>
      </c>
      <c r="D166" t="e">
        <f t="shared" si="39"/>
        <v>#N/A</v>
      </c>
      <c r="E166" t="e">
        <f t="shared" si="34"/>
        <v>#N/A</v>
      </c>
      <c r="F166" t="str">
        <f t="shared" si="40"/>
        <v>DPS</v>
      </c>
      <c r="G166" t="e">
        <f t="shared" si="41"/>
        <v>#N/A</v>
      </c>
      <c r="H166" t="e">
        <f t="shared" si="35"/>
        <v>#N/A</v>
      </c>
      <c r="I166" t="e">
        <f t="shared" si="36"/>
        <v>#N/A</v>
      </c>
      <c r="J166" t="e">
        <f t="shared" si="37"/>
        <v>#N/A</v>
      </c>
    </row>
    <row r="167" spans="1:10">
      <c r="A167">
        <v>135</v>
      </c>
      <c r="B167" t="e">
        <f t="shared" si="33"/>
        <v>#N/A</v>
      </c>
      <c r="C167" t="str">
        <f t="shared" si="38"/>
        <v>DPS</v>
      </c>
      <c r="D167" t="e">
        <f t="shared" si="39"/>
        <v>#N/A</v>
      </c>
      <c r="E167" t="e">
        <f t="shared" si="34"/>
        <v>#N/A</v>
      </c>
      <c r="F167" t="str">
        <f t="shared" si="40"/>
        <v>DPS</v>
      </c>
      <c r="G167" t="e">
        <f t="shared" si="41"/>
        <v>#N/A</v>
      </c>
      <c r="H167" t="e">
        <f t="shared" si="35"/>
        <v>#N/A</v>
      </c>
      <c r="I167" t="e">
        <f t="shared" si="36"/>
        <v>#N/A</v>
      </c>
      <c r="J167" t="e">
        <f t="shared" si="37"/>
        <v>#N/A</v>
      </c>
    </row>
    <row r="168" spans="1:10">
      <c r="A168">
        <v>136</v>
      </c>
      <c r="B168" t="e">
        <f t="shared" si="33"/>
        <v>#N/A</v>
      </c>
      <c r="C168" t="str">
        <f t="shared" si="38"/>
        <v>DPS</v>
      </c>
      <c r="D168" t="e">
        <f t="shared" si="39"/>
        <v>#N/A</v>
      </c>
      <c r="E168" t="e">
        <f t="shared" si="34"/>
        <v>#N/A</v>
      </c>
      <c r="F168" t="str">
        <f t="shared" si="40"/>
        <v>DPS</v>
      </c>
      <c r="G168" t="e">
        <f t="shared" si="41"/>
        <v>#N/A</v>
      </c>
      <c r="H168" t="e">
        <f t="shared" si="35"/>
        <v>#N/A</v>
      </c>
      <c r="I168" t="e">
        <f t="shared" si="36"/>
        <v>#N/A</v>
      </c>
      <c r="J168" t="e">
        <f t="shared" si="37"/>
        <v>#N/A</v>
      </c>
    </row>
    <row r="169" spans="1:10">
      <c r="A169">
        <v>137</v>
      </c>
      <c r="B169" t="e">
        <f t="shared" si="33"/>
        <v>#N/A</v>
      </c>
      <c r="C169" t="str">
        <f t="shared" si="38"/>
        <v>DPS</v>
      </c>
      <c r="D169" t="e">
        <f t="shared" si="39"/>
        <v>#N/A</v>
      </c>
      <c r="E169" t="e">
        <f t="shared" si="34"/>
        <v>#N/A</v>
      </c>
      <c r="F169" t="str">
        <f t="shared" si="40"/>
        <v>DPS</v>
      </c>
      <c r="G169" t="e">
        <f t="shared" si="41"/>
        <v>#N/A</v>
      </c>
      <c r="H169" t="e">
        <f t="shared" si="35"/>
        <v>#N/A</v>
      </c>
      <c r="I169" t="e">
        <f t="shared" si="36"/>
        <v>#N/A</v>
      </c>
      <c r="J169" t="e">
        <f t="shared" si="37"/>
        <v>#N/A</v>
      </c>
    </row>
    <row r="170" spans="1:10">
      <c r="A170">
        <v>138</v>
      </c>
      <c r="B170" t="e">
        <f t="shared" si="33"/>
        <v>#N/A</v>
      </c>
      <c r="C170" t="str">
        <f t="shared" si="38"/>
        <v>DPS</v>
      </c>
      <c r="D170" t="e">
        <f t="shared" si="39"/>
        <v>#N/A</v>
      </c>
      <c r="E170" t="e">
        <f t="shared" si="34"/>
        <v>#N/A</v>
      </c>
      <c r="F170" t="str">
        <f t="shared" si="40"/>
        <v>DPS</v>
      </c>
      <c r="G170" t="e">
        <f t="shared" si="41"/>
        <v>#N/A</v>
      </c>
      <c r="H170" t="e">
        <f t="shared" si="35"/>
        <v>#N/A</v>
      </c>
      <c r="I170" t="e">
        <f t="shared" si="36"/>
        <v>#N/A</v>
      </c>
      <c r="J170" t="e">
        <f t="shared" si="37"/>
        <v>#N/A</v>
      </c>
    </row>
    <row r="171" spans="1:10">
      <c r="A171">
        <v>139</v>
      </c>
      <c r="B171" t="e">
        <f t="shared" si="33"/>
        <v>#N/A</v>
      </c>
      <c r="C171" t="str">
        <f t="shared" si="38"/>
        <v>DPS</v>
      </c>
      <c r="D171" t="e">
        <f t="shared" si="39"/>
        <v>#N/A</v>
      </c>
      <c r="E171" t="e">
        <f t="shared" si="34"/>
        <v>#N/A</v>
      </c>
      <c r="F171" t="str">
        <f t="shared" si="40"/>
        <v>DPS</v>
      </c>
      <c r="G171" t="e">
        <f t="shared" si="41"/>
        <v>#N/A</v>
      </c>
      <c r="H171" t="e">
        <f t="shared" si="35"/>
        <v>#N/A</v>
      </c>
      <c r="I171" t="e">
        <f t="shared" si="36"/>
        <v>#N/A</v>
      </c>
      <c r="J171" t="e">
        <f t="shared" si="37"/>
        <v>#N/A</v>
      </c>
    </row>
    <row r="172" spans="1:10">
      <c r="A172">
        <v>140</v>
      </c>
      <c r="B172" t="e">
        <f t="shared" si="33"/>
        <v>#N/A</v>
      </c>
      <c r="C172" t="str">
        <f t="shared" si="38"/>
        <v>DPS</v>
      </c>
      <c r="D172" t="e">
        <f t="shared" si="39"/>
        <v>#N/A</v>
      </c>
      <c r="E172" t="e">
        <f t="shared" si="34"/>
        <v>#N/A</v>
      </c>
      <c r="F172" t="str">
        <f t="shared" si="40"/>
        <v>DPS</v>
      </c>
      <c r="G172" t="e">
        <f t="shared" si="41"/>
        <v>#N/A</v>
      </c>
      <c r="H172" t="e">
        <f t="shared" si="35"/>
        <v>#N/A</v>
      </c>
      <c r="I172" t="e">
        <f t="shared" si="36"/>
        <v>#N/A</v>
      </c>
      <c r="J172" t="e">
        <f t="shared" si="37"/>
        <v>#N/A</v>
      </c>
    </row>
    <row r="173" spans="1:10">
      <c r="A173">
        <v>141</v>
      </c>
      <c r="B173" t="e">
        <f t="shared" si="33"/>
        <v>#N/A</v>
      </c>
      <c r="C173" t="str">
        <f t="shared" si="38"/>
        <v>DPS</v>
      </c>
      <c r="D173" t="e">
        <f t="shared" si="39"/>
        <v>#N/A</v>
      </c>
      <c r="E173" t="e">
        <f t="shared" si="34"/>
        <v>#N/A</v>
      </c>
      <c r="F173" t="str">
        <f t="shared" si="40"/>
        <v>DPS</v>
      </c>
      <c r="G173" t="e">
        <f t="shared" si="41"/>
        <v>#N/A</v>
      </c>
      <c r="H173" t="e">
        <f t="shared" si="35"/>
        <v>#N/A</v>
      </c>
      <c r="I173" t="e">
        <f t="shared" si="36"/>
        <v>#N/A</v>
      </c>
      <c r="J173" t="e">
        <f t="shared" si="37"/>
        <v>#N/A</v>
      </c>
    </row>
    <row r="174" spans="1:10">
      <c r="A174">
        <v>142</v>
      </c>
      <c r="B174" t="e">
        <f t="shared" si="33"/>
        <v>#N/A</v>
      </c>
      <c r="C174" t="str">
        <f t="shared" si="38"/>
        <v>DPS</v>
      </c>
      <c r="D174" t="e">
        <f t="shared" si="39"/>
        <v>#N/A</v>
      </c>
      <c r="E174" t="e">
        <f t="shared" si="34"/>
        <v>#N/A</v>
      </c>
      <c r="F174" t="str">
        <f t="shared" si="40"/>
        <v>DPS</v>
      </c>
      <c r="G174" t="e">
        <f t="shared" si="41"/>
        <v>#N/A</v>
      </c>
      <c r="H174" t="e">
        <f t="shared" si="35"/>
        <v>#N/A</v>
      </c>
      <c r="I174" t="e">
        <f t="shared" si="36"/>
        <v>#N/A</v>
      </c>
      <c r="J174" t="e">
        <f t="shared" si="37"/>
        <v>#N/A</v>
      </c>
    </row>
    <row r="175" spans="1:10">
      <c r="A175">
        <v>143</v>
      </c>
      <c r="B175" t="e">
        <f t="shared" si="33"/>
        <v>#N/A</v>
      </c>
      <c r="C175" t="str">
        <f t="shared" si="38"/>
        <v>DPS</v>
      </c>
      <c r="D175" t="e">
        <f t="shared" si="39"/>
        <v>#N/A</v>
      </c>
      <c r="E175" t="e">
        <f t="shared" si="34"/>
        <v>#N/A</v>
      </c>
      <c r="F175" t="str">
        <f t="shared" si="40"/>
        <v>DPS</v>
      </c>
      <c r="G175" t="e">
        <f t="shared" si="41"/>
        <v>#N/A</v>
      </c>
      <c r="H175" t="e">
        <f t="shared" si="35"/>
        <v>#N/A</v>
      </c>
      <c r="I175" t="e">
        <f t="shared" si="36"/>
        <v>#N/A</v>
      </c>
      <c r="J175" t="e">
        <f t="shared" si="37"/>
        <v>#N/A</v>
      </c>
    </row>
    <row r="176" spans="1:10">
      <c r="A176">
        <v>144</v>
      </c>
      <c r="B176" t="e">
        <f t="shared" si="33"/>
        <v>#N/A</v>
      </c>
      <c r="C176" t="str">
        <f t="shared" si="38"/>
        <v>DPS</v>
      </c>
      <c r="D176" t="e">
        <f t="shared" si="39"/>
        <v>#N/A</v>
      </c>
      <c r="E176" t="e">
        <f t="shared" si="34"/>
        <v>#N/A</v>
      </c>
      <c r="F176" t="str">
        <f t="shared" si="40"/>
        <v>DPS</v>
      </c>
      <c r="G176" t="e">
        <f t="shared" si="41"/>
        <v>#N/A</v>
      </c>
      <c r="H176" t="e">
        <f t="shared" si="35"/>
        <v>#N/A</v>
      </c>
      <c r="I176" t="e">
        <f t="shared" si="36"/>
        <v>#N/A</v>
      </c>
      <c r="J176" t="e">
        <f t="shared" si="37"/>
        <v>#N/A</v>
      </c>
    </row>
    <row r="177" spans="1:10">
      <c r="A177">
        <v>145</v>
      </c>
      <c r="B177" t="e">
        <f t="shared" si="33"/>
        <v>#N/A</v>
      </c>
      <c r="C177" t="str">
        <f t="shared" si="38"/>
        <v>DPS</v>
      </c>
      <c r="D177" t="e">
        <f t="shared" si="39"/>
        <v>#N/A</v>
      </c>
      <c r="E177" t="e">
        <f t="shared" si="34"/>
        <v>#N/A</v>
      </c>
      <c r="F177" t="str">
        <f t="shared" si="40"/>
        <v>DPS</v>
      </c>
      <c r="G177" t="e">
        <f t="shared" si="41"/>
        <v>#N/A</v>
      </c>
      <c r="H177" t="e">
        <f t="shared" si="35"/>
        <v>#N/A</v>
      </c>
      <c r="I177" t="e">
        <f t="shared" si="36"/>
        <v>#N/A</v>
      </c>
      <c r="J177" t="e">
        <f t="shared" si="37"/>
        <v>#N/A</v>
      </c>
    </row>
    <row r="178" spans="1:10">
      <c r="A178">
        <v>146</v>
      </c>
      <c r="B178" t="e">
        <f t="shared" si="33"/>
        <v>#N/A</v>
      </c>
      <c r="C178" t="str">
        <f t="shared" si="38"/>
        <v>DPS</v>
      </c>
      <c r="D178" t="e">
        <f t="shared" si="39"/>
        <v>#N/A</v>
      </c>
      <c r="E178" t="e">
        <f t="shared" si="34"/>
        <v>#N/A</v>
      </c>
      <c r="F178" t="str">
        <f t="shared" si="40"/>
        <v>DPS</v>
      </c>
      <c r="G178" t="e">
        <f t="shared" si="41"/>
        <v>#N/A</v>
      </c>
      <c r="H178" t="e">
        <f t="shared" si="35"/>
        <v>#N/A</v>
      </c>
      <c r="I178" t="e">
        <f t="shared" si="36"/>
        <v>#N/A</v>
      </c>
      <c r="J178" t="e">
        <f t="shared" si="37"/>
        <v>#N/A</v>
      </c>
    </row>
    <row r="179" spans="1:10">
      <c r="A179">
        <v>147</v>
      </c>
      <c r="B179" t="e">
        <f t="shared" si="33"/>
        <v>#N/A</v>
      </c>
      <c r="C179" t="str">
        <f t="shared" si="38"/>
        <v>DPS</v>
      </c>
      <c r="D179" t="e">
        <f t="shared" si="39"/>
        <v>#N/A</v>
      </c>
      <c r="E179" t="e">
        <f t="shared" si="34"/>
        <v>#N/A</v>
      </c>
      <c r="F179" t="str">
        <f t="shared" si="40"/>
        <v>DPS</v>
      </c>
      <c r="G179" t="e">
        <f t="shared" si="41"/>
        <v>#N/A</v>
      </c>
      <c r="H179" t="e">
        <f t="shared" si="35"/>
        <v>#N/A</v>
      </c>
      <c r="I179" t="e">
        <f t="shared" si="36"/>
        <v>#N/A</v>
      </c>
      <c r="J179" t="e">
        <f t="shared" si="37"/>
        <v>#N/A</v>
      </c>
    </row>
    <row r="180" spans="1:10">
      <c r="A180">
        <v>148</v>
      </c>
      <c r="B180" t="e">
        <f t="shared" si="33"/>
        <v>#N/A</v>
      </c>
      <c r="C180" t="str">
        <f t="shared" si="38"/>
        <v>DPS</v>
      </c>
      <c r="D180" t="e">
        <f t="shared" si="39"/>
        <v>#N/A</v>
      </c>
      <c r="E180" t="e">
        <f t="shared" si="34"/>
        <v>#N/A</v>
      </c>
      <c r="F180" t="str">
        <f t="shared" si="40"/>
        <v>DPS</v>
      </c>
      <c r="G180" t="e">
        <f t="shared" si="41"/>
        <v>#N/A</v>
      </c>
      <c r="H180" t="e">
        <f t="shared" si="35"/>
        <v>#N/A</v>
      </c>
      <c r="I180" t="e">
        <f t="shared" si="36"/>
        <v>#N/A</v>
      </c>
      <c r="J180" t="e">
        <f t="shared" si="37"/>
        <v>#N/A</v>
      </c>
    </row>
    <row r="181" spans="1:10">
      <c r="A181">
        <v>149</v>
      </c>
      <c r="B181" t="e">
        <f t="shared" si="33"/>
        <v>#N/A</v>
      </c>
      <c r="C181" t="str">
        <f t="shared" si="38"/>
        <v>DPS</v>
      </c>
      <c r="D181" t="e">
        <f t="shared" si="39"/>
        <v>#N/A</v>
      </c>
      <c r="E181" t="e">
        <f t="shared" si="34"/>
        <v>#N/A</v>
      </c>
      <c r="F181" t="str">
        <f t="shared" si="40"/>
        <v>DPS</v>
      </c>
      <c r="G181" t="e">
        <f t="shared" si="41"/>
        <v>#N/A</v>
      </c>
      <c r="H181" t="e">
        <f t="shared" si="35"/>
        <v>#N/A</v>
      </c>
      <c r="I181" t="e">
        <f t="shared" si="36"/>
        <v>#N/A</v>
      </c>
      <c r="J181" t="e">
        <f t="shared" si="37"/>
        <v>#N/A</v>
      </c>
    </row>
    <row r="182" spans="1:10">
      <c r="A182">
        <v>150</v>
      </c>
      <c r="B182" t="e">
        <f t="shared" si="33"/>
        <v>#N/A</v>
      </c>
      <c r="C182" t="str">
        <f t="shared" si="38"/>
        <v>DPS</v>
      </c>
      <c r="D182" t="e">
        <f t="shared" si="39"/>
        <v>#N/A</v>
      </c>
      <c r="E182" t="e">
        <f t="shared" si="34"/>
        <v>#N/A</v>
      </c>
      <c r="F182" t="str">
        <f t="shared" si="40"/>
        <v>DPS</v>
      </c>
      <c r="G182" t="e">
        <f t="shared" si="41"/>
        <v>#N/A</v>
      </c>
      <c r="H182" t="e">
        <f t="shared" si="35"/>
        <v>#N/A</v>
      </c>
      <c r="I182" t="e">
        <f t="shared" si="36"/>
        <v>#N/A</v>
      </c>
      <c r="J182" t="e">
        <f t="shared" si="37"/>
        <v>#N/A</v>
      </c>
    </row>
    <row r="183" spans="1:10">
      <c r="A183">
        <v>151</v>
      </c>
      <c r="B183" t="e">
        <f t="shared" si="33"/>
        <v>#N/A</v>
      </c>
      <c r="C183" t="str">
        <f t="shared" si="38"/>
        <v>DPS</v>
      </c>
      <c r="D183" t="e">
        <f t="shared" si="39"/>
        <v>#N/A</v>
      </c>
      <c r="E183" t="e">
        <f t="shared" si="34"/>
        <v>#N/A</v>
      </c>
      <c r="F183" t="str">
        <f t="shared" si="40"/>
        <v>DPS</v>
      </c>
      <c r="G183" t="e">
        <f t="shared" si="41"/>
        <v>#N/A</v>
      </c>
      <c r="H183" t="e">
        <f t="shared" si="35"/>
        <v>#N/A</v>
      </c>
      <c r="I183" t="e">
        <f t="shared" si="36"/>
        <v>#N/A</v>
      </c>
      <c r="J183" t="e">
        <f t="shared" si="37"/>
        <v>#N/A</v>
      </c>
    </row>
    <row r="184" spans="1:10">
      <c r="A184">
        <v>152</v>
      </c>
      <c r="B184" t="e">
        <f t="shared" si="33"/>
        <v>#N/A</v>
      </c>
      <c r="C184" t="str">
        <f t="shared" si="38"/>
        <v>DPS</v>
      </c>
      <c r="D184" t="e">
        <f t="shared" si="39"/>
        <v>#N/A</v>
      </c>
      <c r="E184" t="e">
        <f t="shared" si="34"/>
        <v>#N/A</v>
      </c>
      <c r="F184" t="str">
        <f t="shared" si="40"/>
        <v>DPS</v>
      </c>
      <c r="G184" t="e">
        <f t="shared" si="41"/>
        <v>#N/A</v>
      </c>
      <c r="H184" t="e">
        <f t="shared" si="35"/>
        <v>#N/A</v>
      </c>
      <c r="I184" t="e">
        <f t="shared" si="36"/>
        <v>#N/A</v>
      </c>
      <c r="J184" t="e">
        <f t="shared" si="37"/>
        <v>#N/A</v>
      </c>
    </row>
    <row r="185" spans="1:10">
      <c r="A185">
        <v>153</v>
      </c>
      <c r="B185" t="e">
        <f t="shared" si="33"/>
        <v>#N/A</v>
      </c>
      <c r="C185" t="str">
        <f t="shared" si="38"/>
        <v>DPS</v>
      </c>
      <c r="D185" t="e">
        <f t="shared" si="39"/>
        <v>#N/A</v>
      </c>
      <c r="E185" t="e">
        <f t="shared" si="34"/>
        <v>#N/A</v>
      </c>
      <c r="F185" t="str">
        <f t="shared" si="40"/>
        <v>DPS</v>
      </c>
      <c r="G185" t="e">
        <f t="shared" si="41"/>
        <v>#N/A</v>
      </c>
      <c r="H185" t="e">
        <f t="shared" si="35"/>
        <v>#N/A</v>
      </c>
      <c r="I185" t="e">
        <f t="shared" si="36"/>
        <v>#N/A</v>
      </c>
      <c r="J185" t="e">
        <f t="shared" si="37"/>
        <v>#N/A</v>
      </c>
    </row>
    <row r="186" spans="1:10">
      <c r="A186">
        <v>154</v>
      </c>
      <c r="B186" t="e">
        <f t="shared" si="33"/>
        <v>#N/A</v>
      </c>
      <c r="C186" t="str">
        <f t="shared" si="38"/>
        <v>DPS</v>
      </c>
      <c r="D186" t="e">
        <f t="shared" si="39"/>
        <v>#N/A</v>
      </c>
      <c r="E186" t="e">
        <f t="shared" si="34"/>
        <v>#N/A</v>
      </c>
      <c r="F186" t="str">
        <f t="shared" si="40"/>
        <v>DPS</v>
      </c>
      <c r="G186" t="e">
        <f t="shared" si="41"/>
        <v>#N/A</v>
      </c>
      <c r="H186" t="e">
        <f t="shared" si="35"/>
        <v>#N/A</v>
      </c>
      <c r="I186" t="e">
        <f t="shared" si="36"/>
        <v>#N/A</v>
      </c>
      <c r="J186" t="e">
        <f t="shared" si="37"/>
        <v>#N/A</v>
      </c>
    </row>
    <row r="187" spans="1:10">
      <c r="A187">
        <v>155</v>
      </c>
      <c r="B187" t="e">
        <f t="shared" si="33"/>
        <v>#N/A</v>
      </c>
      <c r="C187" t="str">
        <f t="shared" si="38"/>
        <v>DPS</v>
      </c>
      <c r="D187" t="e">
        <f t="shared" si="39"/>
        <v>#N/A</v>
      </c>
      <c r="E187" t="e">
        <f t="shared" si="34"/>
        <v>#N/A</v>
      </c>
      <c r="F187" t="str">
        <f t="shared" si="40"/>
        <v>DPS</v>
      </c>
      <c r="G187" t="e">
        <f t="shared" si="41"/>
        <v>#N/A</v>
      </c>
      <c r="H187" t="e">
        <f t="shared" si="35"/>
        <v>#N/A</v>
      </c>
      <c r="I187" t="e">
        <f t="shared" si="36"/>
        <v>#N/A</v>
      </c>
      <c r="J187" t="e">
        <f t="shared" si="37"/>
        <v>#N/A</v>
      </c>
    </row>
    <row r="188" spans="1:10">
      <c r="A188">
        <v>156</v>
      </c>
      <c r="B188" t="e">
        <f t="shared" si="33"/>
        <v>#N/A</v>
      </c>
      <c r="C188" t="str">
        <f t="shared" si="38"/>
        <v>DPS</v>
      </c>
      <c r="D188" t="e">
        <f t="shared" si="39"/>
        <v>#N/A</v>
      </c>
      <c r="E188" t="e">
        <f t="shared" si="34"/>
        <v>#N/A</v>
      </c>
      <c r="F188" t="str">
        <f t="shared" si="40"/>
        <v>DPS</v>
      </c>
      <c r="G188" t="e">
        <f t="shared" si="41"/>
        <v>#N/A</v>
      </c>
      <c r="H188" t="e">
        <f t="shared" si="35"/>
        <v>#N/A</v>
      </c>
      <c r="I188" t="e">
        <f t="shared" si="36"/>
        <v>#N/A</v>
      </c>
      <c r="J188" t="e">
        <f t="shared" si="37"/>
        <v>#N/A</v>
      </c>
    </row>
    <row r="189" spans="1:10">
      <c r="A189">
        <v>157</v>
      </c>
      <c r="B189" t="e">
        <f t="shared" si="33"/>
        <v>#N/A</v>
      </c>
      <c r="C189" t="str">
        <f t="shared" si="38"/>
        <v>DPS</v>
      </c>
      <c r="D189" t="e">
        <f t="shared" si="39"/>
        <v>#N/A</v>
      </c>
      <c r="E189" t="e">
        <f t="shared" si="34"/>
        <v>#N/A</v>
      </c>
      <c r="F189" t="str">
        <f t="shared" si="40"/>
        <v>DPS</v>
      </c>
      <c r="G189" t="e">
        <f t="shared" si="41"/>
        <v>#N/A</v>
      </c>
      <c r="H189" t="e">
        <f t="shared" si="35"/>
        <v>#N/A</v>
      </c>
      <c r="I189" t="e">
        <f t="shared" si="36"/>
        <v>#N/A</v>
      </c>
      <c r="J189" t="e">
        <f t="shared" si="37"/>
        <v>#N/A</v>
      </c>
    </row>
    <row r="190" spans="1:10">
      <c r="A190">
        <v>158</v>
      </c>
      <c r="B190" t="e">
        <f t="shared" si="33"/>
        <v>#N/A</v>
      </c>
      <c r="C190" t="str">
        <f t="shared" si="38"/>
        <v>DPS</v>
      </c>
      <c r="D190" t="e">
        <f t="shared" si="39"/>
        <v>#N/A</v>
      </c>
      <c r="E190" t="e">
        <f t="shared" si="34"/>
        <v>#N/A</v>
      </c>
      <c r="F190" t="str">
        <f t="shared" si="40"/>
        <v>DPS</v>
      </c>
      <c r="G190" t="e">
        <f t="shared" si="41"/>
        <v>#N/A</v>
      </c>
      <c r="H190" t="e">
        <f t="shared" si="35"/>
        <v>#N/A</v>
      </c>
      <c r="I190" t="e">
        <f t="shared" si="36"/>
        <v>#N/A</v>
      </c>
      <c r="J190" t="e">
        <f t="shared" si="37"/>
        <v>#N/A</v>
      </c>
    </row>
    <row r="191" spans="1:10">
      <c r="A191">
        <v>159</v>
      </c>
      <c r="B191" t="e">
        <f t="shared" si="33"/>
        <v>#N/A</v>
      </c>
      <c r="C191" t="str">
        <f t="shared" si="38"/>
        <v>DPS</v>
      </c>
      <c r="D191" t="e">
        <f t="shared" si="39"/>
        <v>#N/A</v>
      </c>
      <c r="E191" t="e">
        <f t="shared" si="34"/>
        <v>#N/A</v>
      </c>
      <c r="F191" t="str">
        <f t="shared" si="40"/>
        <v>DPS</v>
      </c>
      <c r="G191" t="e">
        <f t="shared" si="41"/>
        <v>#N/A</v>
      </c>
      <c r="H191" t="e">
        <f t="shared" si="35"/>
        <v>#N/A</v>
      </c>
      <c r="I191" t="e">
        <f t="shared" si="36"/>
        <v>#N/A</v>
      </c>
      <c r="J191" t="e">
        <f t="shared" si="37"/>
        <v>#N/A</v>
      </c>
    </row>
    <row r="192" spans="1:10">
      <c r="A192">
        <v>160</v>
      </c>
      <c r="B192" t="e">
        <f t="shared" si="33"/>
        <v>#N/A</v>
      </c>
      <c r="C192" t="str">
        <f t="shared" si="38"/>
        <v>DPS</v>
      </c>
      <c r="D192" t="e">
        <f t="shared" si="39"/>
        <v>#N/A</v>
      </c>
      <c r="E192" t="e">
        <f t="shared" si="34"/>
        <v>#N/A</v>
      </c>
      <c r="F192" t="str">
        <f t="shared" si="40"/>
        <v>DPS</v>
      </c>
      <c r="G192" t="e">
        <f t="shared" si="41"/>
        <v>#N/A</v>
      </c>
      <c r="H192" t="e">
        <f t="shared" si="35"/>
        <v>#N/A</v>
      </c>
      <c r="I192" t="e">
        <f t="shared" si="36"/>
        <v>#N/A</v>
      </c>
      <c r="J192" t="e">
        <f t="shared" si="37"/>
        <v>#N/A</v>
      </c>
    </row>
    <row r="193" spans="1:10">
      <c r="A193">
        <v>161</v>
      </c>
      <c r="B193" t="e">
        <f t="shared" si="33"/>
        <v>#N/A</v>
      </c>
      <c r="C193" t="str">
        <f t="shared" si="38"/>
        <v>DPS</v>
      </c>
      <c r="D193" t="e">
        <f t="shared" si="39"/>
        <v>#N/A</v>
      </c>
      <c r="E193" t="e">
        <f t="shared" si="34"/>
        <v>#N/A</v>
      </c>
      <c r="F193" t="str">
        <f t="shared" si="40"/>
        <v>DPS</v>
      </c>
      <c r="G193" t="e">
        <f t="shared" si="41"/>
        <v>#N/A</v>
      </c>
      <c r="H193" t="e">
        <f t="shared" si="35"/>
        <v>#N/A</v>
      </c>
      <c r="I193" t="e">
        <f t="shared" si="36"/>
        <v>#N/A</v>
      </c>
      <c r="J193" t="e">
        <f t="shared" si="37"/>
        <v>#N/A</v>
      </c>
    </row>
    <row r="194" spans="1:10">
      <c r="A194">
        <v>162</v>
      </c>
      <c r="B194" t="e">
        <f t="shared" si="33"/>
        <v>#N/A</v>
      </c>
      <c r="C194" t="str">
        <f t="shared" si="38"/>
        <v>DPS</v>
      </c>
      <c r="D194" t="e">
        <f t="shared" si="39"/>
        <v>#N/A</v>
      </c>
      <c r="E194" t="e">
        <f t="shared" si="34"/>
        <v>#N/A</v>
      </c>
      <c r="F194" t="str">
        <f t="shared" si="40"/>
        <v>DPS</v>
      </c>
      <c r="G194" t="e">
        <f t="shared" si="41"/>
        <v>#N/A</v>
      </c>
      <c r="H194" t="e">
        <f t="shared" si="35"/>
        <v>#N/A</v>
      </c>
      <c r="I194" t="e">
        <f t="shared" si="36"/>
        <v>#N/A</v>
      </c>
      <c r="J194" t="e">
        <f t="shared" si="37"/>
        <v>#N/A</v>
      </c>
    </row>
    <row r="195" spans="1:10">
      <c r="A195">
        <v>163</v>
      </c>
      <c r="B195" t="e">
        <f t="shared" si="33"/>
        <v>#N/A</v>
      </c>
      <c r="C195" t="str">
        <f t="shared" si="38"/>
        <v>DPS</v>
      </c>
      <c r="D195" t="e">
        <f t="shared" si="39"/>
        <v>#N/A</v>
      </c>
      <c r="E195" t="e">
        <f t="shared" si="34"/>
        <v>#N/A</v>
      </c>
      <c r="F195" t="str">
        <f t="shared" si="40"/>
        <v>DPS</v>
      </c>
      <c r="G195" t="e">
        <f t="shared" si="41"/>
        <v>#N/A</v>
      </c>
      <c r="H195" t="e">
        <f t="shared" si="35"/>
        <v>#N/A</v>
      </c>
      <c r="I195" t="e">
        <f t="shared" si="36"/>
        <v>#N/A</v>
      </c>
      <c r="J195" t="e">
        <f t="shared" si="37"/>
        <v>#N/A</v>
      </c>
    </row>
    <row r="196" spans="1:10">
      <c r="A196">
        <v>164</v>
      </c>
      <c r="B196" t="e">
        <f t="shared" si="33"/>
        <v>#N/A</v>
      </c>
      <c r="C196" t="str">
        <f t="shared" si="38"/>
        <v>DPS</v>
      </c>
      <c r="D196" t="e">
        <f t="shared" si="39"/>
        <v>#N/A</v>
      </c>
      <c r="E196" t="e">
        <f t="shared" si="34"/>
        <v>#N/A</v>
      </c>
      <c r="F196" t="str">
        <f t="shared" si="40"/>
        <v>DPS</v>
      </c>
      <c r="G196" t="e">
        <f t="shared" si="41"/>
        <v>#N/A</v>
      </c>
      <c r="H196" t="e">
        <f t="shared" si="35"/>
        <v>#N/A</v>
      </c>
      <c r="I196" t="e">
        <f t="shared" si="36"/>
        <v>#N/A</v>
      </c>
      <c r="J196" t="e">
        <f t="shared" si="37"/>
        <v>#N/A</v>
      </c>
    </row>
    <row r="197" spans="1:10">
      <c r="A197">
        <v>165</v>
      </c>
      <c r="B197" t="e">
        <f t="shared" ref="B197:B232" si="42">H196</f>
        <v>#N/A</v>
      </c>
      <c r="C197" t="str">
        <f t="shared" si="38"/>
        <v>DPS</v>
      </c>
      <c r="D197" t="e">
        <f t="shared" si="39"/>
        <v>#N/A</v>
      </c>
      <c r="E197" t="e">
        <f t="shared" ref="E197:E232" si="43">I196</f>
        <v>#N/A</v>
      </c>
      <c r="F197" t="str">
        <f t="shared" si="40"/>
        <v>DPS</v>
      </c>
      <c r="G197" t="e">
        <f t="shared" si="41"/>
        <v>#N/A</v>
      </c>
      <c r="H197" t="e">
        <f t="shared" ref="H197:H232" si="44">B197+IF(C197="HPS",D197,0)-IF(F197="DPS",G197,0)</f>
        <v>#N/A</v>
      </c>
      <c r="I197" t="e">
        <f t="shared" ref="I197:I232" si="45">E197+IF(F197="HPS",G197,0)-IF(C197="DPS",D197,0)</f>
        <v>#N/A</v>
      </c>
      <c r="J197" t="e">
        <f t="shared" ref="J197:J232" si="46">MIN(H197:I197)&lt;=0</f>
        <v>#N/A</v>
      </c>
    </row>
    <row r="198" spans="1:10">
      <c r="A198">
        <v>166</v>
      </c>
      <c r="B198" t="e">
        <f t="shared" si="42"/>
        <v>#N/A</v>
      </c>
      <c r="C198" t="str">
        <f t="shared" si="38"/>
        <v>DPS</v>
      </c>
      <c r="D198" t="e">
        <f t="shared" si="39"/>
        <v>#N/A</v>
      </c>
      <c r="E198" t="e">
        <f t="shared" si="43"/>
        <v>#N/A</v>
      </c>
      <c r="F198" t="str">
        <f t="shared" si="40"/>
        <v>DPS</v>
      </c>
      <c r="G198" t="e">
        <f t="shared" si="41"/>
        <v>#N/A</v>
      </c>
      <c r="H198" t="e">
        <f t="shared" si="44"/>
        <v>#N/A</v>
      </c>
      <c r="I198" t="e">
        <f t="shared" si="45"/>
        <v>#N/A</v>
      </c>
      <c r="J198" t="e">
        <f t="shared" si="46"/>
        <v>#N/A</v>
      </c>
    </row>
    <row r="199" spans="1:10">
      <c r="A199">
        <v>167</v>
      </c>
      <c r="B199" t="e">
        <f t="shared" si="42"/>
        <v>#N/A</v>
      </c>
      <c r="C199" t="str">
        <f t="shared" si="38"/>
        <v>DPS</v>
      </c>
      <c r="D199" t="e">
        <f t="shared" si="39"/>
        <v>#N/A</v>
      </c>
      <c r="E199" t="e">
        <f t="shared" si="43"/>
        <v>#N/A</v>
      </c>
      <c r="F199" t="str">
        <f t="shared" si="40"/>
        <v>DPS</v>
      </c>
      <c r="G199" t="e">
        <f t="shared" si="41"/>
        <v>#N/A</v>
      </c>
      <c r="H199" t="e">
        <f t="shared" si="44"/>
        <v>#N/A</v>
      </c>
      <c r="I199" t="e">
        <f t="shared" si="45"/>
        <v>#N/A</v>
      </c>
      <c r="J199" t="e">
        <f t="shared" si="46"/>
        <v>#N/A</v>
      </c>
    </row>
    <row r="200" spans="1:10">
      <c r="A200">
        <v>168</v>
      </c>
      <c r="B200" t="e">
        <f t="shared" si="42"/>
        <v>#N/A</v>
      </c>
      <c r="C200" t="str">
        <f t="shared" si="38"/>
        <v>DPS</v>
      </c>
      <c r="D200" t="e">
        <f t="shared" si="39"/>
        <v>#N/A</v>
      </c>
      <c r="E200" t="e">
        <f t="shared" si="43"/>
        <v>#N/A</v>
      </c>
      <c r="F200" t="str">
        <f t="shared" si="40"/>
        <v>DPS</v>
      </c>
      <c r="G200" t="e">
        <f t="shared" si="41"/>
        <v>#N/A</v>
      </c>
      <c r="H200" t="e">
        <f t="shared" si="44"/>
        <v>#N/A</v>
      </c>
      <c r="I200" t="e">
        <f t="shared" si="45"/>
        <v>#N/A</v>
      </c>
      <c r="J200" t="e">
        <f t="shared" si="46"/>
        <v>#N/A</v>
      </c>
    </row>
    <row r="201" spans="1:10">
      <c r="A201">
        <v>169</v>
      </c>
      <c r="B201" t="e">
        <f t="shared" si="42"/>
        <v>#N/A</v>
      </c>
      <c r="C201" t="str">
        <f t="shared" si="38"/>
        <v>DPS</v>
      </c>
      <c r="D201" t="e">
        <f t="shared" si="39"/>
        <v>#N/A</v>
      </c>
      <c r="E201" t="e">
        <f t="shared" si="43"/>
        <v>#N/A</v>
      </c>
      <c r="F201" t="str">
        <f t="shared" si="40"/>
        <v>DPS</v>
      </c>
      <c r="G201" t="e">
        <f t="shared" si="41"/>
        <v>#N/A</v>
      </c>
      <c r="H201" t="e">
        <f t="shared" si="44"/>
        <v>#N/A</v>
      </c>
      <c r="I201" t="e">
        <f t="shared" si="45"/>
        <v>#N/A</v>
      </c>
      <c r="J201" t="e">
        <f t="shared" si="46"/>
        <v>#N/A</v>
      </c>
    </row>
    <row r="202" spans="1:10">
      <c r="A202">
        <v>170</v>
      </c>
      <c r="B202" t="e">
        <f t="shared" si="42"/>
        <v>#N/A</v>
      </c>
      <c r="C202" t="str">
        <f t="shared" si="38"/>
        <v>DPS</v>
      </c>
      <c r="D202" t="e">
        <f t="shared" si="39"/>
        <v>#N/A</v>
      </c>
      <c r="E202" t="e">
        <f t="shared" si="43"/>
        <v>#N/A</v>
      </c>
      <c r="F202" t="str">
        <f t="shared" si="40"/>
        <v>DPS</v>
      </c>
      <c r="G202" t="e">
        <f t="shared" si="41"/>
        <v>#N/A</v>
      </c>
      <c r="H202" t="e">
        <f t="shared" si="44"/>
        <v>#N/A</v>
      </c>
      <c r="I202" t="e">
        <f t="shared" si="45"/>
        <v>#N/A</v>
      </c>
      <c r="J202" t="e">
        <f t="shared" si="46"/>
        <v>#N/A</v>
      </c>
    </row>
    <row r="203" spans="1:10">
      <c r="A203">
        <v>171</v>
      </c>
      <c r="B203" t="e">
        <f t="shared" si="42"/>
        <v>#N/A</v>
      </c>
      <c r="C203" t="str">
        <f t="shared" si="38"/>
        <v>DPS</v>
      </c>
      <c r="D203" t="e">
        <f t="shared" si="39"/>
        <v>#N/A</v>
      </c>
      <c r="E203" t="e">
        <f t="shared" si="43"/>
        <v>#N/A</v>
      </c>
      <c r="F203" t="str">
        <f t="shared" si="40"/>
        <v>DPS</v>
      </c>
      <c r="G203" t="e">
        <f t="shared" si="41"/>
        <v>#N/A</v>
      </c>
      <c r="H203" t="e">
        <f t="shared" si="44"/>
        <v>#N/A</v>
      </c>
      <c r="I203" t="e">
        <f t="shared" si="45"/>
        <v>#N/A</v>
      </c>
      <c r="J203" t="e">
        <f t="shared" si="46"/>
        <v>#N/A</v>
      </c>
    </row>
    <row r="204" spans="1:10">
      <c r="A204">
        <v>172</v>
      </c>
      <c r="B204" t="e">
        <f t="shared" si="42"/>
        <v>#N/A</v>
      </c>
      <c r="C204" t="str">
        <f t="shared" si="38"/>
        <v>DPS</v>
      </c>
      <c r="D204" t="e">
        <f t="shared" si="39"/>
        <v>#N/A</v>
      </c>
      <c r="E204" t="e">
        <f t="shared" si="43"/>
        <v>#N/A</v>
      </c>
      <c r="F204" t="str">
        <f t="shared" si="40"/>
        <v>DPS</v>
      </c>
      <c r="G204" t="e">
        <f t="shared" si="41"/>
        <v>#N/A</v>
      </c>
      <c r="H204" t="e">
        <f t="shared" si="44"/>
        <v>#N/A</v>
      </c>
      <c r="I204" t="e">
        <f t="shared" si="45"/>
        <v>#N/A</v>
      </c>
      <c r="J204" t="e">
        <f t="shared" si="46"/>
        <v>#N/A</v>
      </c>
    </row>
    <row r="205" spans="1:10">
      <c r="A205">
        <v>173</v>
      </c>
      <c r="B205" t="e">
        <f t="shared" si="42"/>
        <v>#N/A</v>
      </c>
      <c r="C205" t="str">
        <f t="shared" si="38"/>
        <v>DPS</v>
      </c>
      <c r="D205" t="e">
        <f t="shared" si="39"/>
        <v>#N/A</v>
      </c>
      <c r="E205" t="e">
        <f t="shared" si="43"/>
        <v>#N/A</v>
      </c>
      <c r="F205" t="str">
        <f t="shared" si="40"/>
        <v>DPS</v>
      </c>
      <c r="G205" t="e">
        <f t="shared" si="41"/>
        <v>#N/A</v>
      </c>
      <c r="H205" t="e">
        <f t="shared" si="44"/>
        <v>#N/A</v>
      </c>
      <c r="I205" t="e">
        <f t="shared" si="45"/>
        <v>#N/A</v>
      </c>
      <c r="J205" t="e">
        <f t="shared" si="46"/>
        <v>#N/A</v>
      </c>
    </row>
    <row r="206" spans="1:10">
      <c r="A206">
        <v>174</v>
      </c>
      <c r="B206" t="e">
        <f t="shared" si="42"/>
        <v>#N/A</v>
      </c>
      <c r="C206" t="str">
        <f t="shared" si="38"/>
        <v>DPS</v>
      </c>
      <c r="D206" t="e">
        <f t="shared" si="39"/>
        <v>#N/A</v>
      </c>
      <c r="E206" t="e">
        <f t="shared" si="43"/>
        <v>#N/A</v>
      </c>
      <c r="F206" t="str">
        <f t="shared" si="40"/>
        <v>DPS</v>
      </c>
      <c r="G206" t="e">
        <f t="shared" si="41"/>
        <v>#N/A</v>
      </c>
      <c r="H206" t="e">
        <f t="shared" si="44"/>
        <v>#N/A</v>
      </c>
      <c r="I206" t="e">
        <f t="shared" si="45"/>
        <v>#N/A</v>
      </c>
      <c r="J206" t="e">
        <f t="shared" si="46"/>
        <v>#N/A</v>
      </c>
    </row>
    <row r="207" spans="1:10">
      <c r="A207">
        <v>175</v>
      </c>
      <c r="B207" t="e">
        <f t="shared" si="42"/>
        <v>#N/A</v>
      </c>
      <c r="C207" t="str">
        <f t="shared" si="38"/>
        <v>DPS</v>
      </c>
      <c r="D207" t="e">
        <f t="shared" si="39"/>
        <v>#N/A</v>
      </c>
      <c r="E207" t="e">
        <f t="shared" si="43"/>
        <v>#N/A</v>
      </c>
      <c r="F207" t="str">
        <f t="shared" si="40"/>
        <v>DPS</v>
      </c>
      <c r="G207" t="e">
        <f t="shared" si="41"/>
        <v>#N/A</v>
      </c>
      <c r="H207" t="e">
        <f t="shared" si="44"/>
        <v>#N/A</v>
      </c>
      <c r="I207" t="e">
        <f t="shared" si="45"/>
        <v>#N/A</v>
      </c>
      <c r="J207" t="e">
        <f t="shared" si="46"/>
        <v>#N/A</v>
      </c>
    </row>
    <row r="208" spans="1:10">
      <c r="A208">
        <v>176</v>
      </c>
      <c r="B208" t="e">
        <f t="shared" si="42"/>
        <v>#N/A</v>
      </c>
      <c r="C208" t="str">
        <f t="shared" si="38"/>
        <v>DPS</v>
      </c>
      <c r="D208" t="e">
        <f t="shared" si="39"/>
        <v>#N/A</v>
      </c>
      <c r="E208" t="e">
        <f t="shared" si="43"/>
        <v>#N/A</v>
      </c>
      <c r="F208" t="str">
        <f t="shared" si="40"/>
        <v>DPS</v>
      </c>
      <c r="G208" t="e">
        <f t="shared" si="41"/>
        <v>#N/A</v>
      </c>
      <c r="H208" t="e">
        <f t="shared" si="44"/>
        <v>#N/A</v>
      </c>
      <c r="I208" t="e">
        <f t="shared" si="45"/>
        <v>#N/A</v>
      </c>
      <c r="J208" t="e">
        <f t="shared" si="46"/>
        <v>#N/A</v>
      </c>
    </row>
    <row r="209" spans="1:10">
      <c r="A209">
        <v>177</v>
      </c>
      <c r="B209" t="e">
        <f t="shared" si="42"/>
        <v>#N/A</v>
      </c>
      <c r="C209" t="str">
        <f t="shared" si="38"/>
        <v>DPS</v>
      </c>
      <c r="D209" t="e">
        <f t="shared" si="39"/>
        <v>#N/A</v>
      </c>
      <c r="E209" t="e">
        <f t="shared" si="43"/>
        <v>#N/A</v>
      </c>
      <c r="F209" t="str">
        <f t="shared" si="40"/>
        <v>DPS</v>
      </c>
      <c r="G209" t="e">
        <f t="shared" si="41"/>
        <v>#N/A</v>
      </c>
      <c r="H209" t="e">
        <f t="shared" si="44"/>
        <v>#N/A</v>
      </c>
      <c r="I209" t="e">
        <f t="shared" si="45"/>
        <v>#N/A</v>
      </c>
      <c r="J209" t="e">
        <f t="shared" si="46"/>
        <v>#N/A</v>
      </c>
    </row>
    <row r="210" spans="1:10">
      <c r="A210">
        <v>178</v>
      </c>
      <c r="B210" t="e">
        <f t="shared" si="42"/>
        <v>#N/A</v>
      </c>
      <c r="C210" t="str">
        <f t="shared" si="38"/>
        <v>DPS</v>
      </c>
      <c r="D210" t="e">
        <f t="shared" si="39"/>
        <v>#N/A</v>
      </c>
      <c r="E210" t="e">
        <f t="shared" si="43"/>
        <v>#N/A</v>
      </c>
      <c r="F210" t="str">
        <f t="shared" si="40"/>
        <v>DPS</v>
      </c>
      <c r="G210" t="e">
        <f t="shared" si="41"/>
        <v>#N/A</v>
      </c>
      <c r="H210" t="e">
        <f t="shared" si="44"/>
        <v>#N/A</v>
      </c>
      <c r="I210" t="e">
        <f t="shared" si="45"/>
        <v>#N/A</v>
      </c>
      <c r="J210" t="e">
        <f t="shared" si="46"/>
        <v>#N/A</v>
      </c>
    </row>
    <row r="211" spans="1:10">
      <c r="A211">
        <v>179</v>
      </c>
      <c r="B211" t="e">
        <f t="shared" si="42"/>
        <v>#N/A</v>
      </c>
      <c r="C211" t="str">
        <f t="shared" si="38"/>
        <v>DPS</v>
      </c>
      <c r="D211" t="e">
        <f t="shared" si="39"/>
        <v>#N/A</v>
      </c>
      <c r="E211" t="e">
        <f t="shared" si="43"/>
        <v>#N/A</v>
      </c>
      <c r="F211" t="str">
        <f t="shared" si="40"/>
        <v>DPS</v>
      </c>
      <c r="G211" t="e">
        <f t="shared" si="41"/>
        <v>#N/A</v>
      </c>
      <c r="H211" t="e">
        <f t="shared" si="44"/>
        <v>#N/A</v>
      </c>
      <c r="I211" t="e">
        <f t="shared" si="45"/>
        <v>#N/A</v>
      </c>
      <c r="J211" t="e">
        <f t="shared" si="46"/>
        <v>#N/A</v>
      </c>
    </row>
    <row r="212" spans="1:10">
      <c r="A212">
        <v>180</v>
      </c>
      <c r="B212" t="e">
        <f t="shared" si="42"/>
        <v>#N/A</v>
      </c>
      <c r="C212" t="str">
        <f t="shared" si="38"/>
        <v>DPS</v>
      </c>
      <c r="D212" t="e">
        <f t="shared" si="39"/>
        <v>#N/A</v>
      </c>
      <c r="E212" t="e">
        <f t="shared" si="43"/>
        <v>#N/A</v>
      </c>
      <c r="F212" t="str">
        <f t="shared" si="40"/>
        <v>DPS</v>
      </c>
      <c r="G212" t="e">
        <f t="shared" si="41"/>
        <v>#N/A</v>
      </c>
      <c r="H212" t="e">
        <f t="shared" si="44"/>
        <v>#N/A</v>
      </c>
      <c r="I212" t="e">
        <f t="shared" si="45"/>
        <v>#N/A</v>
      </c>
      <c r="J212" t="e">
        <f t="shared" si="46"/>
        <v>#N/A</v>
      </c>
    </row>
    <row r="213" spans="1:10">
      <c r="A213">
        <v>181</v>
      </c>
      <c r="B213" t="e">
        <f t="shared" si="42"/>
        <v>#N/A</v>
      </c>
      <c r="C213" t="str">
        <f t="shared" si="38"/>
        <v>DPS</v>
      </c>
      <c r="D213" t="e">
        <f t="shared" si="39"/>
        <v>#N/A</v>
      </c>
      <c r="E213" t="e">
        <f t="shared" si="43"/>
        <v>#N/A</v>
      </c>
      <c r="F213" t="str">
        <f t="shared" si="40"/>
        <v>DPS</v>
      </c>
      <c r="G213" t="e">
        <f t="shared" si="41"/>
        <v>#N/A</v>
      </c>
      <c r="H213" t="e">
        <f t="shared" si="44"/>
        <v>#N/A</v>
      </c>
      <c r="I213" t="e">
        <f t="shared" si="45"/>
        <v>#N/A</v>
      </c>
      <c r="J213" t="e">
        <f t="shared" si="46"/>
        <v>#N/A</v>
      </c>
    </row>
    <row r="214" spans="1:10">
      <c r="A214">
        <v>182</v>
      </c>
      <c r="B214" t="e">
        <f t="shared" si="42"/>
        <v>#N/A</v>
      </c>
      <c r="C214" t="str">
        <f t="shared" si="38"/>
        <v>DPS</v>
      </c>
      <c r="D214" t="e">
        <f t="shared" si="39"/>
        <v>#N/A</v>
      </c>
      <c r="E214" t="e">
        <f t="shared" si="43"/>
        <v>#N/A</v>
      </c>
      <c r="F214" t="str">
        <f t="shared" si="40"/>
        <v>DPS</v>
      </c>
      <c r="G214" t="e">
        <f t="shared" si="41"/>
        <v>#N/A</v>
      </c>
      <c r="H214" t="e">
        <f t="shared" si="44"/>
        <v>#N/A</v>
      </c>
      <c r="I214" t="e">
        <f t="shared" si="45"/>
        <v>#N/A</v>
      </c>
      <c r="J214" t="e">
        <f t="shared" si="46"/>
        <v>#N/A</v>
      </c>
    </row>
    <row r="215" spans="1:10">
      <c r="A215">
        <v>183</v>
      </c>
      <c r="B215" t="e">
        <f t="shared" si="42"/>
        <v>#N/A</v>
      </c>
      <c r="C215" t="str">
        <f t="shared" si="38"/>
        <v>DPS</v>
      </c>
      <c r="D215" t="e">
        <f t="shared" si="39"/>
        <v>#N/A</v>
      </c>
      <c r="E215" t="e">
        <f t="shared" si="43"/>
        <v>#N/A</v>
      </c>
      <c r="F215" t="str">
        <f t="shared" si="40"/>
        <v>DPS</v>
      </c>
      <c r="G215" t="e">
        <f t="shared" si="41"/>
        <v>#N/A</v>
      </c>
      <c r="H215" t="e">
        <f t="shared" si="44"/>
        <v>#N/A</v>
      </c>
      <c r="I215" t="e">
        <f t="shared" si="45"/>
        <v>#N/A</v>
      </c>
      <c r="J215" t="e">
        <f t="shared" si="46"/>
        <v>#N/A</v>
      </c>
    </row>
    <row r="216" spans="1:10">
      <c r="A216">
        <v>184</v>
      </c>
      <c r="B216" t="e">
        <f t="shared" si="42"/>
        <v>#N/A</v>
      </c>
      <c r="C216" t="str">
        <f t="shared" si="38"/>
        <v>DPS</v>
      </c>
      <c r="D216" t="e">
        <f t="shared" si="39"/>
        <v>#N/A</v>
      </c>
      <c r="E216" t="e">
        <f t="shared" si="43"/>
        <v>#N/A</v>
      </c>
      <c r="F216" t="str">
        <f t="shared" si="40"/>
        <v>DPS</v>
      </c>
      <c r="G216" t="e">
        <f t="shared" si="41"/>
        <v>#N/A</v>
      </c>
      <c r="H216" t="e">
        <f t="shared" si="44"/>
        <v>#N/A</v>
      </c>
      <c r="I216" t="e">
        <f t="shared" si="45"/>
        <v>#N/A</v>
      </c>
      <c r="J216" t="e">
        <f t="shared" si="46"/>
        <v>#N/A</v>
      </c>
    </row>
    <row r="217" spans="1:10">
      <c r="A217">
        <v>185</v>
      </c>
      <c r="B217" t="e">
        <f t="shared" si="42"/>
        <v>#N/A</v>
      </c>
      <c r="C217" t="str">
        <f t="shared" si="38"/>
        <v>DPS</v>
      </c>
      <c r="D217" t="e">
        <f t="shared" si="39"/>
        <v>#N/A</v>
      </c>
      <c r="E217" t="e">
        <f t="shared" si="43"/>
        <v>#N/A</v>
      </c>
      <c r="F217" t="str">
        <f t="shared" si="40"/>
        <v>DPS</v>
      </c>
      <c r="G217" t="e">
        <f t="shared" si="41"/>
        <v>#N/A</v>
      </c>
      <c r="H217" t="e">
        <f t="shared" si="44"/>
        <v>#N/A</v>
      </c>
      <c r="I217" t="e">
        <f t="shared" si="45"/>
        <v>#N/A</v>
      </c>
      <c r="J217" t="e">
        <f t="shared" si="46"/>
        <v>#N/A</v>
      </c>
    </row>
    <row r="218" spans="1:10">
      <c r="A218">
        <v>186</v>
      </c>
      <c r="B218" t="e">
        <f t="shared" si="42"/>
        <v>#N/A</v>
      </c>
      <c r="C218" t="str">
        <f t="shared" si="38"/>
        <v>DPS</v>
      </c>
      <c r="D218" t="e">
        <f t="shared" si="39"/>
        <v>#N/A</v>
      </c>
      <c r="E218" t="e">
        <f t="shared" si="43"/>
        <v>#N/A</v>
      </c>
      <c r="F218" t="str">
        <f t="shared" si="40"/>
        <v>DPS</v>
      </c>
      <c r="G218" t="e">
        <f t="shared" si="41"/>
        <v>#N/A</v>
      </c>
      <c r="H218" t="e">
        <f t="shared" si="44"/>
        <v>#N/A</v>
      </c>
      <c r="I218" t="e">
        <f t="shared" si="45"/>
        <v>#N/A</v>
      </c>
      <c r="J218" t="e">
        <f t="shared" si="46"/>
        <v>#N/A</v>
      </c>
    </row>
    <row r="219" spans="1:10">
      <c r="A219">
        <v>187</v>
      </c>
      <c r="B219" t="e">
        <f t="shared" si="42"/>
        <v>#N/A</v>
      </c>
      <c r="C219" t="str">
        <f t="shared" si="38"/>
        <v>DPS</v>
      </c>
      <c r="D219" t="e">
        <f t="shared" si="39"/>
        <v>#N/A</v>
      </c>
      <c r="E219" t="e">
        <f t="shared" si="43"/>
        <v>#N/A</v>
      </c>
      <c r="F219" t="str">
        <f t="shared" si="40"/>
        <v>DPS</v>
      </c>
      <c r="G219" t="e">
        <f t="shared" si="41"/>
        <v>#N/A</v>
      </c>
      <c r="H219" t="e">
        <f t="shared" si="44"/>
        <v>#N/A</v>
      </c>
      <c r="I219" t="e">
        <f t="shared" si="45"/>
        <v>#N/A</v>
      </c>
      <c r="J219" t="e">
        <f t="shared" si="46"/>
        <v>#N/A</v>
      </c>
    </row>
    <row r="220" spans="1:10">
      <c r="A220">
        <v>188</v>
      </c>
      <c r="B220" t="e">
        <f t="shared" si="42"/>
        <v>#N/A</v>
      </c>
      <c r="C220" t="str">
        <f t="shared" si="38"/>
        <v>DPS</v>
      </c>
      <c r="D220" t="e">
        <f t="shared" si="39"/>
        <v>#N/A</v>
      </c>
      <c r="E220" t="e">
        <f t="shared" si="43"/>
        <v>#N/A</v>
      </c>
      <c r="F220" t="str">
        <f t="shared" si="40"/>
        <v>DPS</v>
      </c>
      <c r="G220" t="e">
        <f t="shared" si="41"/>
        <v>#N/A</v>
      </c>
      <c r="H220" t="e">
        <f t="shared" si="44"/>
        <v>#N/A</v>
      </c>
      <c r="I220" t="e">
        <f t="shared" si="45"/>
        <v>#N/A</v>
      </c>
      <c r="J220" t="e">
        <f t="shared" si="46"/>
        <v>#N/A</v>
      </c>
    </row>
    <row r="221" spans="1:10">
      <c r="A221">
        <v>189</v>
      </c>
      <c r="B221" t="e">
        <f t="shared" si="42"/>
        <v>#N/A</v>
      </c>
      <c r="C221" t="str">
        <f t="shared" si="38"/>
        <v>DPS</v>
      </c>
      <c r="D221" t="e">
        <f t="shared" si="39"/>
        <v>#N/A</v>
      </c>
      <c r="E221" t="e">
        <f t="shared" si="43"/>
        <v>#N/A</v>
      </c>
      <c r="F221" t="str">
        <f t="shared" si="40"/>
        <v>DPS</v>
      </c>
      <c r="G221" t="e">
        <f t="shared" si="41"/>
        <v>#N/A</v>
      </c>
      <c r="H221" t="e">
        <f t="shared" si="44"/>
        <v>#N/A</v>
      </c>
      <c r="I221" t="e">
        <f t="shared" si="45"/>
        <v>#N/A</v>
      </c>
      <c r="J221" t="e">
        <f t="shared" si="46"/>
        <v>#N/A</v>
      </c>
    </row>
    <row r="222" spans="1:10">
      <c r="A222">
        <v>190</v>
      </c>
      <c r="B222" t="e">
        <f t="shared" si="42"/>
        <v>#N/A</v>
      </c>
      <c r="C222" t="str">
        <f t="shared" si="38"/>
        <v>DPS</v>
      </c>
      <c r="D222" t="e">
        <f t="shared" si="39"/>
        <v>#N/A</v>
      </c>
      <c r="E222" t="e">
        <f t="shared" si="43"/>
        <v>#N/A</v>
      </c>
      <c r="F222" t="str">
        <f t="shared" si="40"/>
        <v>DPS</v>
      </c>
      <c r="G222" t="e">
        <f t="shared" si="41"/>
        <v>#N/A</v>
      </c>
      <c r="H222" t="e">
        <f t="shared" si="44"/>
        <v>#N/A</v>
      </c>
      <c r="I222" t="e">
        <f t="shared" si="45"/>
        <v>#N/A</v>
      </c>
      <c r="J222" t="e">
        <f t="shared" si="46"/>
        <v>#N/A</v>
      </c>
    </row>
    <row r="223" spans="1:10">
      <c r="A223">
        <v>191</v>
      </c>
      <c r="B223" t="e">
        <f t="shared" si="42"/>
        <v>#N/A</v>
      </c>
      <c r="C223" t="str">
        <f t="shared" si="38"/>
        <v>DPS</v>
      </c>
      <c r="D223" t="e">
        <f t="shared" si="39"/>
        <v>#N/A</v>
      </c>
      <c r="E223" t="e">
        <f t="shared" si="43"/>
        <v>#N/A</v>
      </c>
      <c r="F223" t="str">
        <f t="shared" si="40"/>
        <v>DPS</v>
      </c>
      <c r="G223" t="e">
        <f t="shared" si="41"/>
        <v>#N/A</v>
      </c>
      <c r="H223" t="e">
        <f t="shared" si="44"/>
        <v>#N/A</v>
      </c>
      <c r="I223" t="e">
        <f t="shared" si="45"/>
        <v>#N/A</v>
      </c>
      <c r="J223" t="e">
        <f t="shared" si="46"/>
        <v>#N/A</v>
      </c>
    </row>
    <row r="224" spans="1:10">
      <c r="A224">
        <v>192</v>
      </c>
      <c r="B224" t="e">
        <f t="shared" si="42"/>
        <v>#N/A</v>
      </c>
      <c r="C224" t="str">
        <f t="shared" si="38"/>
        <v>DPS</v>
      </c>
      <c r="D224" t="e">
        <f t="shared" si="39"/>
        <v>#N/A</v>
      </c>
      <c r="E224" t="e">
        <f t="shared" si="43"/>
        <v>#N/A</v>
      </c>
      <c r="F224" t="str">
        <f t="shared" si="40"/>
        <v>DPS</v>
      </c>
      <c r="G224" t="e">
        <f t="shared" si="41"/>
        <v>#N/A</v>
      </c>
      <c r="H224" t="e">
        <f t="shared" si="44"/>
        <v>#N/A</v>
      </c>
      <c r="I224" t="e">
        <f t="shared" si="45"/>
        <v>#N/A</v>
      </c>
      <c r="J224" t="e">
        <f t="shared" si="46"/>
        <v>#N/A</v>
      </c>
    </row>
    <row r="225" spans="1:10">
      <c r="A225">
        <v>193</v>
      </c>
      <c r="B225" t="e">
        <f t="shared" si="42"/>
        <v>#N/A</v>
      </c>
      <c r="C225" t="str">
        <f t="shared" si="38"/>
        <v>DPS</v>
      </c>
      <c r="D225" t="e">
        <f t="shared" si="39"/>
        <v>#N/A</v>
      </c>
      <c r="E225" t="e">
        <f t="shared" si="43"/>
        <v>#N/A</v>
      </c>
      <c r="F225" t="str">
        <f t="shared" si="40"/>
        <v>DPS</v>
      </c>
      <c r="G225" t="e">
        <f t="shared" si="41"/>
        <v>#N/A</v>
      </c>
      <c r="H225" t="e">
        <f t="shared" si="44"/>
        <v>#N/A</v>
      </c>
      <c r="I225" t="e">
        <f t="shared" si="45"/>
        <v>#N/A</v>
      </c>
      <c r="J225" t="e">
        <f t="shared" si="46"/>
        <v>#N/A</v>
      </c>
    </row>
    <row r="226" spans="1:10">
      <c r="A226">
        <v>194</v>
      </c>
      <c r="B226" t="e">
        <f t="shared" si="42"/>
        <v>#N/A</v>
      </c>
      <c r="C226" t="str">
        <f t="shared" si="38"/>
        <v>DPS</v>
      </c>
      <c r="D226" t="e">
        <f t="shared" si="39"/>
        <v>#N/A</v>
      </c>
      <c r="E226" t="e">
        <f t="shared" si="43"/>
        <v>#N/A</v>
      </c>
      <c r="F226" t="str">
        <f t="shared" si="40"/>
        <v>DPS</v>
      </c>
      <c r="G226" t="e">
        <f t="shared" si="41"/>
        <v>#N/A</v>
      </c>
      <c r="H226" t="e">
        <f t="shared" si="44"/>
        <v>#N/A</v>
      </c>
      <c r="I226" t="e">
        <f t="shared" si="45"/>
        <v>#N/A</v>
      </c>
      <c r="J226" t="e">
        <f t="shared" si="46"/>
        <v>#N/A</v>
      </c>
    </row>
    <row r="227" spans="1:10">
      <c r="A227">
        <v>195</v>
      </c>
      <c r="B227" t="e">
        <f t="shared" si="42"/>
        <v>#N/A</v>
      </c>
      <c r="C227" t="str">
        <f t="shared" ref="C227:C232" si="47">INDEX($H$3:$H$23,MATCH($B$27,$A$3:$A$23,0))</f>
        <v>DPS</v>
      </c>
      <c r="D227" t="e">
        <f t="shared" ref="D227:D232" si="48">INDEX($L$3:$L$23,MATCH($B$27,$A$3:$A$23,0))</f>
        <v>#N/A</v>
      </c>
      <c r="E227" t="e">
        <f t="shared" si="43"/>
        <v>#N/A</v>
      </c>
      <c r="F227" t="str">
        <f t="shared" ref="F227:F232" si="49">INDEX($O$3:$O$23,MATCH($B$27,$A$3:$A$23,0))</f>
        <v>DPS</v>
      </c>
      <c r="G227" t="e">
        <f t="shared" ref="G227:G232" si="50">INDEX($P$3:$P$23,MATCH($B$27,$A$3:$A$23,0))</f>
        <v>#N/A</v>
      </c>
      <c r="H227" t="e">
        <f t="shared" si="44"/>
        <v>#N/A</v>
      </c>
      <c r="I227" t="e">
        <f t="shared" si="45"/>
        <v>#N/A</v>
      </c>
      <c r="J227" t="e">
        <f t="shared" si="46"/>
        <v>#N/A</v>
      </c>
    </row>
    <row r="228" spans="1:10">
      <c r="A228">
        <v>196</v>
      </c>
      <c r="B228" t="e">
        <f t="shared" si="42"/>
        <v>#N/A</v>
      </c>
      <c r="C228" t="str">
        <f t="shared" si="47"/>
        <v>DPS</v>
      </c>
      <c r="D228" t="e">
        <f t="shared" si="48"/>
        <v>#N/A</v>
      </c>
      <c r="E228" t="e">
        <f t="shared" si="43"/>
        <v>#N/A</v>
      </c>
      <c r="F228" t="str">
        <f t="shared" si="49"/>
        <v>DPS</v>
      </c>
      <c r="G228" t="e">
        <f t="shared" si="50"/>
        <v>#N/A</v>
      </c>
      <c r="H228" t="e">
        <f t="shared" si="44"/>
        <v>#N/A</v>
      </c>
      <c r="I228" t="e">
        <f t="shared" si="45"/>
        <v>#N/A</v>
      </c>
      <c r="J228" t="e">
        <f t="shared" si="46"/>
        <v>#N/A</v>
      </c>
    </row>
    <row r="229" spans="1:10">
      <c r="A229">
        <v>197</v>
      </c>
      <c r="B229" t="e">
        <f t="shared" si="42"/>
        <v>#N/A</v>
      </c>
      <c r="C229" t="str">
        <f t="shared" si="47"/>
        <v>DPS</v>
      </c>
      <c r="D229" t="e">
        <f t="shared" si="48"/>
        <v>#N/A</v>
      </c>
      <c r="E229" t="e">
        <f t="shared" si="43"/>
        <v>#N/A</v>
      </c>
      <c r="F229" t="str">
        <f t="shared" si="49"/>
        <v>DPS</v>
      </c>
      <c r="G229" t="e">
        <f t="shared" si="50"/>
        <v>#N/A</v>
      </c>
      <c r="H229" t="e">
        <f t="shared" si="44"/>
        <v>#N/A</v>
      </c>
      <c r="I229" t="e">
        <f t="shared" si="45"/>
        <v>#N/A</v>
      </c>
      <c r="J229" t="e">
        <f t="shared" si="46"/>
        <v>#N/A</v>
      </c>
    </row>
    <row r="230" spans="1:10">
      <c r="A230">
        <v>198</v>
      </c>
      <c r="B230" t="e">
        <f t="shared" si="42"/>
        <v>#N/A</v>
      </c>
      <c r="C230" t="str">
        <f t="shared" si="47"/>
        <v>DPS</v>
      </c>
      <c r="D230" t="e">
        <f t="shared" si="48"/>
        <v>#N/A</v>
      </c>
      <c r="E230" t="e">
        <f t="shared" si="43"/>
        <v>#N/A</v>
      </c>
      <c r="F230" t="str">
        <f t="shared" si="49"/>
        <v>DPS</v>
      </c>
      <c r="G230" t="e">
        <f t="shared" si="50"/>
        <v>#N/A</v>
      </c>
      <c r="H230" t="e">
        <f t="shared" si="44"/>
        <v>#N/A</v>
      </c>
      <c r="I230" t="e">
        <f t="shared" si="45"/>
        <v>#N/A</v>
      </c>
      <c r="J230" t="e">
        <f t="shared" si="46"/>
        <v>#N/A</v>
      </c>
    </row>
    <row r="231" spans="1:10">
      <c r="A231">
        <v>199</v>
      </c>
      <c r="B231" t="e">
        <f t="shared" si="42"/>
        <v>#N/A</v>
      </c>
      <c r="C231" t="str">
        <f t="shared" si="47"/>
        <v>DPS</v>
      </c>
      <c r="D231" t="e">
        <f t="shared" si="48"/>
        <v>#N/A</v>
      </c>
      <c r="E231" t="e">
        <f t="shared" si="43"/>
        <v>#N/A</v>
      </c>
      <c r="F231" t="str">
        <f t="shared" si="49"/>
        <v>DPS</v>
      </c>
      <c r="G231" t="e">
        <f t="shared" si="50"/>
        <v>#N/A</v>
      </c>
      <c r="H231" t="e">
        <f t="shared" si="44"/>
        <v>#N/A</v>
      </c>
      <c r="I231" t="e">
        <f t="shared" si="45"/>
        <v>#N/A</v>
      </c>
      <c r="J231" t="e">
        <f t="shared" si="46"/>
        <v>#N/A</v>
      </c>
    </row>
    <row r="232" spans="1:10">
      <c r="A232">
        <v>200</v>
      </c>
      <c r="B232" t="e">
        <f t="shared" si="42"/>
        <v>#N/A</v>
      </c>
      <c r="C232" t="str">
        <f t="shared" si="47"/>
        <v>DPS</v>
      </c>
      <c r="D232" t="e">
        <f t="shared" si="48"/>
        <v>#N/A</v>
      </c>
      <c r="E232" t="e">
        <f t="shared" si="43"/>
        <v>#N/A</v>
      </c>
      <c r="F232" t="str">
        <f t="shared" si="49"/>
        <v>DPS</v>
      </c>
      <c r="G232" t="e">
        <f t="shared" si="50"/>
        <v>#N/A</v>
      </c>
      <c r="H232" t="e">
        <f t="shared" si="44"/>
        <v>#N/A</v>
      </c>
      <c r="I232" t="e">
        <f t="shared" si="45"/>
        <v>#N/A</v>
      </c>
      <c r="J232" t="e">
        <f t="shared" si="46"/>
        <v>#N/A</v>
      </c>
    </row>
  </sheetData>
  <conditionalFormatting sqref="J33:J232">
    <cfRule type="cellIs" dxfId="5" priority="1" operator="equal">
      <formula>TRUE</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940-7330-4970-80CD-223AB591562E}">
  <sheetPr>
    <tabColor theme="5" tint="0.79998168889431442"/>
  </sheetPr>
  <dimension ref="A1:AP165"/>
  <sheetViews>
    <sheetView zoomScaleNormal="100" workbookViewId="0">
      <selection activeCell="G23" sqref="G23"/>
    </sheetView>
  </sheetViews>
  <sheetFormatPr defaultRowHeight="15" outlineLevelRow="1"/>
  <cols>
    <col min="1" max="1" width="14.7109375" bestFit="1" customWidth="1"/>
    <col min="2" max="2" width="15.28515625" bestFit="1" customWidth="1"/>
    <col min="5" max="5" width="13.140625" bestFit="1" customWidth="1"/>
    <col min="6" max="6" width="10.5703125" bestFit="1" customWidth="1"/>
    <col min="7" max="7" width="15.5703125" bestFit="1" customWidth="1"/>
    <col min="10" max="10" width="19.5703125" bestFit="1" customWidth="1"/>
    <col min="11" max="11" width="9.5703125" bestFit="1" customWidth="1"/>
    <col min="17" max="18" width="6.140625" bestFit="1" customWidth="1"/>
    <col min="19" max="19" width="12.28515625" bestFit="1" customWidth="1"/>
    <col min="20" max="20" width="13.85546875" bestFit="1" customWidth="1"/>
    <col min="21" max="21" width="22.42578125" bestFit="1" customWidth="1"/>
    <col min="41" max="41" width="15.140625" bestFit="1" customWidth="1"/>
  </cols>
  <sheetData>
    <row r="1" spans="1:23" ht="15.75" thickBot="1">
      <c r="L1" t="s">
        <v>1123</v>
      </c>
      <c r="Q1" t="s">
        <v>364</v>
      </c>
    </row>
    <row r="2" spans="1:23" ht="15.75" thickBot="1">
      <c r="A2" s="42" t="s">
        <v>1056</v>
      </c>
      <c r="B2" s="42" t="s">
        <v>13</v>
      </c>
      <c r="C2" s="42" t="s">
        <v>14</v>
      </c>
      <c r="D2" s="1" t="s">
        <v>365</v>
      </c>
      <c r="E2" s="1" t="s">
        <v>300</v>
      </c>
      <c r="F2" s="1" t="s">
        <v>409</v>
      </c>
      <c r="G2" s="1" t="s">
        <v>410</v>
      </c>
      <c r="H2" s="1" t="s">
        <v>411</v>
      </c>
      <c r="I2" s="1" t="s">
        <v>412</v>
      </c>
      <c r="J2" s="1" t="s">
        <v>413</v>
      </c>
      <c r="K2" s="1" t="s">
        <v>414</v>
      </c>
      <c r="L2" t="s">
        <v>1124</v>
      </c>
      <c r="M2" t="s">
        <v>1125</v>
      </c>
      <c r="N2" t="s">
        <v>1126</v>
      </c>
      <c r="O2" t="s">
        <v>1127</v>
      </c>
      <c r="P2" t="s">
        <v>1128</v>
      </c>
      <c r="Q2" s="1" t="s">
        <v>365</v>
      </c>
      <c r="R2" s="1" t="s">
        <v>308</v>
      </c>
      <c r="S2" s="1" t="s">
        <v>366</v>
      </c>
      <c r="T2" s="1" t="s">
        <v>367</v>
      </c>
      <c r="V2" t="s">
        <v>54</v>
      </c>
    </row>
    <row r="3" spans="1:23">
      <c r="A3" s="132" t="s">
        <v>66</v>
      </c>
      <c r="B3" t="str">
        <f>INDEX(Case!$F$246:$F$267,MATCH(A3,Case!$E$246:$E$267,0))</f>
        <v>Orc</v>
      </c>
      <c r="C3" t="str">
        <f>INDEX(Case!$G$246:$G$267,MATCH(A3,Case!$E$246:$E$267,0))</f>
        <v>Warlock</v>
      </c>
      <c r="D3" t="e">
        <f>INDEX('L6 Calc'!$K$3:$K$23,MATCH(A3,'L6 Calc'!$A$3:$A$23,0))</f>
        <v>#N/A</v>
      </c>
      <c r="E3" t="str">
        <f>INDEX('L6 Calc'!$H$3:$H$23,MATCH(A3,'L6 Calc'!$A$3:$A$23,0))</f>
        <v>DPS</v>
      </c>
      <c r="F3" t="e">
        <f>INDEX('L6 Calc'!$L$3:$L$23,MATCH(A3,'L6 Calc'!$A$3:$A$23,0))</f>
        <v>#N/A</v>
      </c>
      <c r="G3" t="s">
        <v>368</v>
      </c>
      <c r="H3">
        <v>1</v>
      </c>
      <c r="I3">
        <v>2</v>
      </c>
      <c r="J3">
        <v>3</v>
      </c>
      <c r="K3">
        <v>4</v>
      </c>
      <c r="L3" t="str">
        <f>U36</f>
        <v>David</v>
      </c>
      <c r="M3">
        <f t="shared" ref="M3:P3" si="0">V36</f>
        <v>1</v>
      </c>
      <c r="N3">
        <f t="shared" si="0"/>
        <v>3</v>
      </c>
      <c r="O3">
        <f t="shared" si="0"/>
        <v>4</v>
      </c>
      <c r="P3">
        <f t="shared" si="0"/>
        <v>2</v>
      </c>
      <c r="Q3">
        <f>INDEX(Case!$K$406:$N$415,MATCH($G3,Case!$J$406:$J$415,0),MATCH(Q$2,Case!$K$405:$N$405,0))</f>
        <v>20000</v>
      </c>
      <c r="R3">
        <f>INDEX(Case!$K$406:$N$415,MATCH($G3,Case!$J$406:$J$415,0),MATCH(R$2,Case!$K$405:$N$405,0))</f>
        <v>1100</v>
      </c>
      <c r="S3">
        <f>INDEX(Case!$K$406:$N$415,MATCH($G3,Case!$J$406:$J$415,0),MATCH(S$2,Case!$K$405:$N$405,0))</f>
        <v>150000</v>
      </c>
      <c r="T3">
        <f>INDEX(Case!$K$406:$N$415,MATCH($G3,Case!$J$406:$J$415,0),MATCH(T$2,Case!$K$405:$N$405,0))</f>
        <v>2200</v>
      </c>
      <c r="V3" t="s">
        <v>1129</v>
      </c>
    </row>
    <row r="4" spans="1:23">
      <c r="A4" s="132">
        <v>1</v>
      </c>
      <c r="B4" t="str">
        <f>INDEX(Case!$F$246:$F$267,MATCH(A4,Case!$E$246:$E$267,0))</f>
        <v>Orc</v>
      </c>
      <c r="C4" t="str">
        <f>INDEX(Case!$G$246:$G$267,MATCH(A4,Case!$E$246:$E$267,0))</f>
        <v>Warrior</v>
      </c>
      <c r="D4" t="e">
        <f>INDEX('L6 Calc'!$K$3:$K$23,MATCH(A4,'L6 Calc'!$A$3:$A$23,0))</f>
        <v>#N/A</v>
      </c>
      <c r="E4" t="str">
        <f>INDEX('L6 Calc'!$H$3:$H$23,MATCH(A4,'L6 Calc'!$A$3:$A$23,0))</f>
        <v>DPS</v>
      </c>
      <c r="F4" t="e">
        <f>INDEX('L6 Calc'!$L$3:$L$23,MATCH(A4,'L6 Calc'!$A$3:$A$23,0))</f>
        <v>#N/A</v>
      </c>
      <c r="G4" t="s">
        <v>370</v>
      </c>
      <c r="H4">
        <v>9</v>
      </c>
      <c r="I4">
        <v>10</v>
      </c>
      <c r="J4">
        <v>8</v>
      </c>
      <c r="K4">
        <v>5</v>
      </c>
      <c r="L4">
        <f t="shared" ref="L4:L23" si="1">U37</f>
        <v>1</v>
      </c>
      <c r="M4">
        <f t="shared" ref="M4:M23" si="2">V37</f>
        <v>10</v>
      </c>
      <c r="N4">
        <f t="shared" ref="N4:N23" si="3">W37</f>
        <v>8</v>
      </c>
      <c r="O4">
        <f t="shared" ref="O4:O23" si="4">X37</f>
        <v>5</v>
      </c>
      <c r="P4">
        <f t="shared" ref="P4:P23" si="5">Y37</f>
        <v>9</v>
      </c>
      <c r="Q4">
        <f>INDEX(Case!$K$406:$N$415,MATCH($G4,Case!$J$406:$J$415,0),MATCH(Q$2,Case!$K$405:$N$405,0))</f>
        <v>50000</v>
      </c>
      <c r="R4">
        <f>INDEX(Case!$K$406:$N$415,MATCH($G4,Case!$J$406:$J$415,0),MATCH(R$2,Case!$K$405:$N$405,0))</f>
        <v>1250</v>
      </c>
      <c r="S4">
        <f>INDEX(Case!$K$406:$N$415,MATCH($G4,Case!$J$406:$J$415,0),MATCH(S$2,Case!$K$405:$N$405,0))</f>
        <v>550000</v>
      </c>
      <c r="T4">
        <f>INDEX(Case!$K$406:$N$415,MATCH($G4,Case!$J$406:$J$415,0),MATCH(T$2,Case!$K$405:$N$405,0))</f>
        <v>2500</v>
      </c>
      <c r="W4" t="s">
        <v>1130</v>
      </c>
    </row>
    <row r="5" spans="1:23">
      <c r="A5" s="132">
        <v>2</v>
      </c>
      <c r="B5" t="str">
        <f>INDEX(Case!$F$246:$F$267,MATCH(A5,Case!$E$246:$E$267,0))</f>
        <v>Troll</v>
      </c>
      <c r="C5" t="str">
        <f>INDEX(Case!$G$246:$G$267,MATCH(A5,Case!$E$246:$E$267,0))</f>
        <v>Priest</v>
      </c>
      <c r="D5" t="e">
        <f>INDEX('L6 Calc'!$K$3:$K$23,MATCH(A5,'L6 Calc'!$A$3:$A$23,0))</f>
        <v>#N/A</v>
      </c>
      <c r="E5" t="str">
        <f>INDEX('L6 Calc'!$H$3:$H$23,MATCH(A5,'L6 Calc'!$A$3:$A$23,0))</f>
        <v>HPS</v>
      </c>
      <c r="F5" t="e">
        <f>INDEX('L6 Calc'!$L$3:$L$23,MATCH(A5,'L6 Calc'!$A$3:$A$23,0))</f>
        <v>#N/A</v>
      </c>
      <c r="G5" t="s">
        <v>368</v>
      </c>
      <c r="H5">
        <v>20</v>
      </c>
      <c r="I5">
        <v>13</v>
      </c>
      <c r="J5">
        <v>8</v>
      </c>
      <c r="K5">
        <v>4</v>
      </c>
      <c r="L5">
        <f t="shared" si="1"/>
        <v>20</v>
      </c>
      <c r="M5">
        <f t="shared" si="2"/>
        <v>13</v>
      </c>
      <c r="N5">
        <f t="shared" si="3"/>
        <v>8</v>
      </c>
      <c r="O5">
        <f t="shared" si="4"/>
        <v>4</v>
      </c>
      <c r="P5">
        <f t="shared" si="5"/>
        <v>2</v>
      </c>
      <c r="Q5">
        <f>INDEX(Case!$K$406:$N$415,MATCH($G5,Case!$J$406:$J$415,0),MATCH(Q$2,Case!$K$405:$N$405,0))</f>
        <v>20000</v>
      </c>
      <c r="R5">
        <f>INDEX(Case!$K$406:$N$415,MATCH($G5,Case!$J$406:$J$415,0),MATCH(R$2,Case!$K$405:$N$405,0))</f>
        <v>1100</v>
      </c>
      <c r="S5">
        <f>INDEX(Case!$K$406:$N$415,MATCH($G5,Case!$J$406:$J$415,0),MATCH(S$2,Case!$K$405:$N$405,0))</f>
        <v>150000</v>
      </c>
      <c r="T5">
        <f>INDEX(Case!$K$406:$N$415,MATCH($G5,Case!$J$406:$J$415,0),MATCH(T$2,Case!$K$405:$N$405,0))</f>
        <v>2200</v>
      </c>
    </row>
    <row r="6" spans="1:23">
      <c r="A6" s="132">
        <v>3</v>
      </c>
      <c r="B6" t="str">
        <f>INDEX(Case!$F$246:$F$267,MATCH(A6,Case!$E$246:$E$267,0))</f>
        <v>Undead</v>
      </c>
      <c r="C6" t="str">
        <f>INDEX(Case!$G$246:$G$267,MATCH(A6,Case!$E$246:$E$267,0))</f>
        <v>Warlock</v>
      </c>
      <c r="D6" t="e">
        <f>INDEX('L6 Calc'!$K$3:$K$23,MATCH(A6,'L6 Calc'!$A$3:$A$23,0))</f>
        <v>#N/A</v>
      </c>
      <c r="E6" t="str">
        <f>INDEX('L6 Calc'!$H$3:$H$23,MATCH(A6,'L6 Calc'!$A$3:$A$23,0))</f>
        <v>DPS</v>
      </c>
      <c r="F6" t="e">
        <f>INDEX('L6 Calc'!$L$3:$L$23,MATCH(A6,'L6 Calc'!$A$3:$A$23,0))</f>
        <v>#N/A</v>
      </c>
      <c r="G6" t="s">
        <v>372</v>
      </c>
      <c r="H6">
        <v>11</v>
      </c>
      <c r="I6">
        <v>1</v>
      </c>
      <c r="J6">
        <v>18</v>
      </c>
      <c r="K6">
        <v>17</v>
      </c>
      <c r="L6">
        <f t="shared" si="1"/>
        <v>3</v>
      </c>
      <c r="M6">
        <f t="shared" si="2"/>
        <v>11</v>
      </c>
      <c r="N6">
        <f t="shared" si="3"/>
        <v>1</v>
      </c>
      <c r="O6">
        <f t="shared" si="4"/>
        <v>17</v>
      </c>
      <c r="P6">
        <f t="shared" si="5"/>
        <v>18</v>
      </c>
      <c r="Q6">
        <f>INDEX(Case!$K$406:$N$415,MATCH($G6,Case!$J$406:$J$415,0),MATCH(Q$2,Case!$K$405:$N$405,0))</f>
        <v>25000</v>
      </c>
      <c r="R6">
        <f>INDEX(Case!$K$406:$N$415,MATCH($G6,Case!$J$406:$J$415,0),MATCH(R$2,Case!$K$405:$N$405,0))</f>
        <v>1150</v>
      </c>
      <c r="S6">
        <f>INDEX(Case!$K$406:$N$415,MATCH($G6,Case!$J$406:$J$415,0),MATCH(S$2,Case!$K$405:$N$405,0))</f>
        <v>175000</v>
      </c>
      <c r="T6">
        <f>INDEX(Case!$K$406:$N$415,MATCH($G6,Case!$J$406:$J$415,0),MATCH(T$2,Case!$K$405:$N$405,0))</f>
        <v>2300</v>
      </c>
      <c r="V6" t="s">
        <v>1131</v>
      </c>
    </row>
    <row r="7" spans="1:23">
      <c r="A7" s="132">
        <v>4</v>
      </c>
      <c r="B7" t="str">
        <f>INDEX(Case!$F$246:$F$267,MATCH(A7,Case!$E$246:$E$267,0))</f>
        <v>Tauren</v>
      </c>
      <c r="C7" t="str">
        <f>INDEX(Case!$G$246:$G$267,MATCH(A7,Case!$E$246:$E$267,0))</f>
        <v>Warrior</v>
      </c>
      <c r="D7" t="e">
        <f>INDEX('L6 Calc'!$K$3:$K$23,MATCH(A7,'L6 Calc'!$A$3:$A$23,0))</f>
        <v>#N/A</v>
      </c>
      <c r="E7" t="str">
        <f>INDEX('L6 Calc'!$H$3:$H$23,MATCH(A7,'L6 Calc'!$A$3:$A$23,0))</f>
        <v>DPS</v>
      </c>
      <c r="F7" t="e">
        <f>INDEX('L6 Calc'!$L$3:$L$23,MATCH(A7,'L6 Calc'!$A$3:$A$23,0))</f>
        <v>#N/A</v>
      </c>
      <c r="G7" t="s">
        <v>370</v>
      </c>
      <c r="H7">
        <v>14</v>
      </c>
      <c r="I7">
        <v>8</v>
      </c>
      <c r="J7">
        <v>9</v>
      </c>
      <c r="K7">
        <v>6</v>
      </c>
      <c r="L7">
        <f t="shared" si="1"/>
        <v>4</v>
      </c>
      <c r="M7">
        <f t="shared" si="2"/>
        <v>14</v>
      </c>
      <c r="N7">
        <f t="shared" si="3"/>
        <v>8</v>
      </c>
      <c r="O7">
        <f t="shared" si="4"/>
        <v>9</v>
      </c>
      <c r="P7">
        <f t="shared" si="5"/>
        <v>6</v>
      </c>
      <c r="Q7">
        <f>INDEX(Case!$K$406:$N$415,MATCH($G7,Case!$J$406:$J$415,0),MATCH(Q$2,Case!$K$405:$N$405,0))</f>
        <v>50000</v>
      </c>
      <c r="R7">
        <f>INDEX(Case!$K$406:$N$415,MATCH($G7,Case!$J$406:$J$415,0),MATCH(R$2,Case!$K$405:$N$405,0))</f>
        <v>1250</v>
      </c>
      <c r="S7">
        <f>INDEX(Case!$K$406:$N$415,MATCH($G7,Case!$J$406:$J$415,0),MATCH(S$2,Case!$K$405:$N$405,0))</f>
        <v>550000</v>
      </c>
      <c r="T7">
        <f>INDEX(Case!$K$406:$N$415,MATCH($G7,Case!$J$406:$J$415,0),MATCH(T$2,Case!$K$405:$N$405,0))</f>
        <v>2500</v>
      </c>
      <c r="W7" t="s">
        <v>1132</v>
      </c>
    </row>
    <row r="8" spans="1:23">
      <c r="A8" s="132">
        <v>5</v>
      </c>
      <c r="B8" t="str">
        <f>INDEX(Case!$F$246:$F$267,MATCH(A8,Case!$E$246:$E$267,0))</f>
        <v>Tauren</v>
      </c>
      <c r="C8" t="str">
        <f>INDEX(Case!$G$246:$G$267,MATCH(A8,Case!$E$246:$E$267,0))</f>
        <v>Hunter</v>
      </c>
      <c r="D8" t="e">
        <f>INDEX('L6 Calc'!$K$3:$K$23,MATCH(A8,'L6 Calc'!$A$3:$A$23,0))</f>
        <v>#N/A</v>
      </c>
      <c r="E8" t="str">
        <f>INDEX('L6 Calc'!$H$3:$H$23,MATCH(A8,'L6 Calc'!$A$3:$A$23,0))</f>
        <v>DPS</v>
      </c>
      <c r="F8" t="e">
        <f>INDEX('L6 Calc'!$L$3:$L$23,MATCH(A8,'L6 Calc'!$A$3:$A$23,0))</f>
        <v>#N/A</v>
      </c>
      <c r="G8" t="s">
        <v>368</v>
      </c>
      <c r="H8">
        <v>15</v>
      </c>
      <c r="I8">
        <v>18</v>
      </c>
      <c r="J8">
        <v>16</v>
      </c>
      <c r="K8">
        <v>1</v>
      </c>
      <c r="L8">
        <f t="shared" si="1"/>
        <v>5</v>
      </c>
      <c r="M8">
        <f t="shared" si="2"/>
        <v>1</v>
      </c>
      <c r="N8">
        <f t="shared" si="3"/>
        <v>15</v>
      </c>
      <c r="O8">
        <f t="shared" si="4"/>
        <v>18</v>
      </c>
      <c r="P8">
        <f t="shared" si="5"/>
        <v>16</v>
      </c>
      <c r="Q8">
        <f>INDEX(Case!$K$406:$N$415,MATCH($G8,Case!$J$406:$J$415,0),MATCH(Q$2,Case!$K$405:$N$405,0))</f>
        <v>20000</v>
      </c>
      <c r="R8">
        <f>INDEX(Case!$K$406:$N$415,MATCH($G8,Case!$J$406:$J$415,0),MATCH(R$2,Case!$K$405:$N$405,0))</f>
        <v>1100</v>
      </c>
      <c r="S8">
        <f>INDEX(Case!$K$406:$N$415,MATCH($G8,Case!$J$406:$J$415,0),MATCH(S$2,Case!$K$405:$N$405,0))</f>
        <v>150000</v>
      </c>
      <c r="T8">
        <f>INDEX(Case!$K$406:$N$415,MATCH($G8,Case!$J$406:$J$415,0),MATCH(T$2,Case!$K$405:$N$405,0))</f>
        <v>2200</v>
      </c>
      <c r="W8" t="s">
        <v>1133</v>
      </c>
    </row>
    <row r="9" spans="1:23">
      <c r="A9" s="132">
        <v>6</v>
      </c>
      <c r="B9" t="str">
        <f>INDEX(Case!$F$246:$F$267,MATCH(A9,Case!$E$246:$E$267,0))</f>
        <v>Undead</v>
      </c>
      <c r="C9" t="str">
        <f>INDEX(Case!$G$246:$G$267,MATCH(A9,Case!$E$246:$E$267,0))</f>
        <v>Priest</v>
      </c>
      <c r="D9" t="e">
        <f>INDEX('L6 Calc'!$K$3:$K$23,MATCH(A9,'L6 Calc'!$A$3:$A$23,0))</f>
        <v>#N/A</v>
      </c>
      <c r="E9" t="str">
        <f>INDEX('L6 Calc'!$H$3:$H$23,MATCH(A9,'L6 Calc'!$A$3:$A$23,0))</f>
        <v>HPS</v>
      </c>
      <c r="F9" t="e">
        <f>INDEX('L6 Calc'!$L$3:$L$23,MATCH(A9,'L6 Calc'!$A$3:$A$23,0))</f>
        <v>#N/A</v>
      </c>
      <c r="G9" t="s">
        <v>370</v>
      </c>
      <c r="H9">
        <v>1</v>
      </c>
      <c r="I9">
        <v>16</v>
      </c>
      <c r="J9">
        <v>12</v>
      </c>
      <c r="K9">
        <v>3</v>
      </c>
      <c r="L9">
        <f t="shared" si="1"/>
        <v>1</v>
      </c>
      <c r="M9">
        <f t="shared" si="2"/>
        <v>12</v>
      </c>
      <c r="N9">
        <f t="shared" si="3"/>
        <v>3</v>
      </c>
      <c r="O9">
        <f t="shared" si="4"/>
        <v>6</v>
      </c>
      <c r="P9">
        <f t="shared" si="5"/>
        <v>16</v>
      </c>
      <c r="Q9">
        <f>INDEX(Case!$K$406:$N$415,MATCH($G9,Case!$J$406:$J$415,0),MATCH(Q$2,Case!$K$405:$N$405,0))</f>
        <v>50000</v>
      </c>
      <c r="R9">
        <f>INDEX(Case!$K$406:$N$415,MATCH($G9,Case!$J$406:$J$415,0),MATCH(R$2,Case!$K$405:$N$405,0))</f>
        <v>1250</v>
      </c>
      <c r="S9">
        <f>INDEX(Case!$K$406:$N$415,MATCH($G9,Case!$J$406:$J$415,0),MATCH(S$2,Case!$K$405:$N$405,0))</f>
        <v>550000</v>
      </c>
      <c r="T9">
        <f>INDEX(Case!$K$406:$N$415,MATCH($G9,Case!$J$406:$J$415,0),MATCH(T$2,Case!$K$405:$N$405,0))</f>
        <v>2500</v>
      </c>
      <c r="W9" t="s">
        <v>1134</v>
      </c>
    </row>
    <row r="10" spans="1:23">
      <c r="A10" s="132">
        <v>7</v>
      </c>
      <c r="B10" t="str">
        <f>INDEX(Case!$F$246:$F$267,MATCH(A10,Case!$E$246:$E$267,0))</f>
        <v>Troll</v>
      </c>
      <c r="C10" t="str">
        <f>INDEX(Case!$G$246:$G$267,MATCH(A10,Case!$E$246:$E$267,0))</f>
        <v>Hunter</v>
      </c>
      <c r="D10" t="e">
        <f>INDEX('L6 Calc'!$K$3:$K$23,MATCH(A10,'L6 Calc'!$A$3:$A$23,0))</f>
        <v>#N/A</v>
      </c>
      <c r="E10" t="str">
        <f>INDEX('L6 Calc'!$H$3:$H$23,MATCH(A10,'L6 Calc'!$A$3:$A$23,0))</f>
        <v>DPS</v>
      </c>
      <c r="F10" t="e">
        <f>INDEX('L6 Calc'!$L$3:$L$23,MATCH(A10,'L6 Calc'!$A$3:$A$23,0))</f>
        <v>#N/A</v>
      </c>
      <c r="G10" t="s">
        <v>370</v>
      </c>
      <c r="H10">
        <v>1</v>
      </c>
      <c r="I10">
        <v>15</v>
      </c>
      <c r="J10">
        <v>13</v>
      </c>
      <c r="K10">
        <v>16</v>
      </c>
      <c r="L10">
        <f t="shared" si="1"/>
        <v>7</v>
      </c>
      <c r="M10">
        <f t="shared" si="2"/>
        <v>1</v>
      </c>
      <c r="N10">
        <f t="shared" si="3"/>
        <v>13</v>
      </c>
      <c r="O10">
        <f t="shared" si="4"/>
        <v>15</v>
      </c>
      <c r="P10">
        <f t="shared" si="5"/>
        <v>16</v>
      </c>
      <c r="Q10">
        <f>INDEX(Case!$K$406:$N$415,MATCH($G10,Case!$J$406:$J$415,0),MATCH(Q$2,Case!$K$405:$N$405,0))</f>
        <v>50000</v>
      </c>
      <c r="R10">
        <f>INDEX(Case!$K$406:$N$415,MATCH($G10,Case!$J$406:$J$415,0),MATCH(R$2,Case!$K$405:$N$405,0))</f>
        <v>1250</v>
      </c>
      <c r="S10">
        <f>INDEX(Case!$K$406:$N$415,MATCH($G10,Case!$J$406:$J$415,0),MATCH(S$2,Case!$K$405:$N$405,0))</f>
        <v>550000</v>
      </c>
      <c r="T10">
        <f>INDEX(Case!$K$406:$N$415,MATCH($G10,Case!$J$406:$J$415,0),MATCH(T$2,Case!$K$405:$N$405,0))</f>
        <v>2500</v>
      </c>
    </row>
    <row r="11" spans="1:23">
      <c r="A11" s="132">
        <v>8</v>
      </c>
      <c r="B11" t="str">
        <f>INDEX(Case!$F$246:$F$267,MATCH(A11,Case!$E$246:$E$267,0))</f>
        <v>Orc</v>
      </c>
      <c r="C11" t="str">
        <f>INDEX(Case!$G$246:$G$267,MATCH(A11,Case!$E$246:$E$267,0))</f>
        <v>Rogue</v>
      </c>
      <c r="D11" t="e">
        <f>INDEX('L6 Calc'!$K$3:$K$23,MATCH(A11,'L6 Calc'!$A$3:$A$23,0))</f>
        <v>#N/A</v>
      </c>
      <c r="E11" t="str">
        <f>INDEX('L6 Calc'!$H$3:$H$23,MATCH(A11,'L6 Calc'!$A$3:$A$23,0))</f>
        <v>DPS</v>
      </c>
      <c r="F11" t="e">
        <f>INDEX('L6 Calc'!$L$3:$L$23,MATCH(A11,'L6 Calc'!$A$3:$A$23,0))</f>
        <v>#N/A</v>
      </c>
      <c r="G11" t="s">
        <v>376</v>
      </c>
      <c r="H11">
        <v>16</v>
      </c>
      <c r="I11">
        <v>10</v>
      </c>
      <c r="J11">
        <v>3</v>
      </c>
      <c r="K11">
        <v>11</v>
      </c>
      <c r="L11">
        <f t="shared" si="1"/>
        <v>8</v>
      </c>
      <c r="M11">
        <f t="shared" si="2"/>
        <v>10</v>
      </c>
      <c r="N11">
        <f t="shared" si="3"/>
        <v>3</v>
      </c>
      <c r="O11">
        <f t="shared" si="4"/>
        <v>11</v>
      </c>
      <c r="P11">
        <f t="shared" si="5"/>
        <v>16</v>
      </c>
      <c r="Q11">
        <f>INDEX(Case!$K$406:$N$415,MATCH($G11,Case!$J$406:$J$415,0),MATCH(Q$2,Case!$K$405:$N$405,0))</f>
        <v>60000</v>
      </c>
      <c r="R11">
        <f>INDEX(Case!$K$406:$N$415,MATCH($G11,Case!$J$406:$J$415,0),MATCH(R$2,Case!$K$405:$N$405,0))</f>
        <v>1250</v>
      </c>
      <c r="S11">
        <f>INDEX(Case!$K$406:$N$415,MATCH($G11,Case!$J$406:$J$415,0),MATCH(S$2,Case!$K$405:$N$405,0))</f>
        <v>300000</v>
      </c>
      <c r="T11">
        <f>INDEX(Case!$K$406:$N$415,MATCH($G11,Case!$J$406:$J$415,0),MATCH(T$2,Case!$K$405:$N$405,0))</f>
        <v>2500</v>
      </c>
    </row>
    <row r="12" spans="1:23">
      <c r="A12" s="132">
        <v>9</v>
      </c>
      <c r="B12" t="str">
        <f>INDEX(Case!$F$246:$F$267,MATCH(A12,Case!$E$246:$E$267,0))</f>
        <v>Orc</v>
      </c>
      <c r="C12" t="str">
        <f>INDEX(Case!$G$246:$G$267,MATCH(A12,Case!$E$246:$E$267,0))</f>
        <v>Shaman</v>
      </c>
      <c r="D12" t="e">
        <f>INDEX('L6 Calc'!$K$3:$K$23,MATCH(A12,'L6 Calc'!$A$3:$A$23,0))</f>
        <v>#N/A</v>
      </c>
      <c r="E12" t="str">
        <f>INDEX('L6 Calc'!$H$3:$H$23,MATCH(A12,'L6 Calc'!$A$3:$A$23,0))</f>
        <v>HPS</v>
      </c>
      <c r="F12" t="e">
        <f>INDEX('L6 Calc'!$L$3:$L$23,MATCH(A12,'L6 Calc'!$A$3:$A$23,0))</f>
        <v>#N/A</v>
      </c>
      <c r="G12" t="s">
        <v>374</v>
      </c>
      <c r="H12">
        <v>6</v>
      </c>
      <c r="I12">
        <v>5</v>
      </c>
      <c r="J12">
        <v>11</v>
      </c>
      <c r="K12">
        <v>3</v>
      </c>
      <c r="L12">
        <f t="shared" si="1"/>
        <v>5</v>
      </c>
      <c r="M12">
        <f t="shared" si="2"/>
        <v>11</v>
      </c>
      <c r="N12">
        <f t="shared" si="3"/>
        <v>3</v>
      </c>
      <c r="O12">
        <f t="shared" si="4"/>
        <v>9</v>
      </c>
      <c r="P12">
        <f t="shared" si="5"/>
        <v>6</v>
      </c>
      <c r="Q12">
        <f>INDEX(Case!$K$406:$N$415,MATCH($G12,Case!$J$406:$J$415,0),MATCH(Q$2,Case!$K$405:$N$405,0))</f>
        <v>50000</v>
      </c>
      <c r="R12">
        <f>INDEX(Case!$K$406:$N$415,MATCH($G12,Case!$J$406:$J$415,0),MATCH(R$2,Case!$K$405:$N$405,0))</f>
        <v>1300</v>
      </c>
      <c r="S12">
        <f>INDEX(Case!$K$406:$N$415,MATCH($G12,Case!$J$406:$J$415,0),MATCH(S$2,Case!$K$405:$N$405,0))</f>
        <v>370000</v>
      </c>
      <c r="T12">
        <f>INDEX(Case!$K$406:$N$415,MATCH($G12,Case!$J$406:$J$415,0),MATCH(T$2,Case!$K$405:$N$405,0))</f>
        <v>2600</v>
      </c>
    </row>
    <row r="13" spans="1:23">
      <c r="A13" s="132">
        <v>10</v>
      </c>
      <c r="B13" t="str">
        <f>INDEX(Case!$F$246:$F$267,MATCH(A13,Case!$E$246:$E$267,0))</f>
        <v>Undead</v>
      </c>
      <c r="C13" t="str">
        <f>INDEX(Case!$G$246:$G$267,MATCH(A13,Case!$E$246:$E$267,0))</f>
        <v>Mage</v>
      </c>
      <c r="D13" t="e">
        <f>INDEX('L6 Calc'!$K$3:$K$23,MATCH(A13,'L6 Calc'!$A$3:$A$23,0))</f>
        <v>#N/A</v>
      </c>
      <c r="E13" t="str">
        <f>INDEX('L6 Calc'!$H$3:$H$23,MATCH(A13,'L6 Calc'!$A$3:$A$23,0))</f>
        <v>DPS</v>
      </c>
      <c r="F13" t="e">
        <f>INDEX('L6 Calc'!$L$3:$L$23,MATCH(A13,'L6 Calc'!$A$3:$A$23,0))</f>
        <v>#N/A</v>
      </c>
      <c r="G13" t="s">
        <v>370</v>
      </c>
      <c r="H13">
        <v>3</v>
      </c>
      <c r="I13">
        <v>7</v>
      </c>
      <c r="J13">
        <v>17</v>
      </c>
      <c r="K13">
        <v>9</v>
      </c>
      <c r="L13">
        <f t="shared" si="1"/>
        <v>10</v>
      </c>
      <c r="M13">
        <f t="shared" si="2"/>
        <v>3</v>
      </c>
      <c r="N13">
        <f t="shared" si="3"/>
        <v>7</v>
      </c>
      <c r="O13">
        <f t="shared" si="4"/>
        <v>17</v>
      </c>
      <c r="P13">
        <f t="shared" si="5"/>
        <v>9</v>
      </c>
      <c r="Q13">
        <f>INDEX(Case!$K$406:$N$415,MATCH($G13,Case!$J$406:$J$415,0),MATCH(Q$2,Case!$K$405:$N$405,0))</f>
        <v>50000</v>
      </c>
      <c r="R13">
        <f>INDEX(Case!$K$406:$N$415,MATCH($G13,Case!$J$406:$J$415,0),MATCH(R$2,Case!$K$405:$N$405,0))</f>
        <v>1250</v>
      </c>
      <c r="S13">
        <f>INDEX(Case!$K$406:$N$415,MATCH($G13,Case!$J$406:$J$415,0),MATCH(S$2,Case!$K$405:$N$405,0))</f>
        <v>550000</v>
      </c>
      <c r="T13">
        <f>INDEX(Case!$K$406:$N$415,MATCH($G13,Case!$J$406:$J$415,0),MATCH(T$2,Case!$K$405:$N$405,0))</f>
        <v>2500</v>
      </c>
    </row>
    <row r="14" spans="1:23">
      <c r="A14" s="132">
        <v>11</v>
      </c>
      <c r="B14" t="str">
        <f>INDEX(Case!$F$246:$F$267,MATCH(A14,Case!$E$246:$E$267,0))</f>
        <v>Orc</v>
      </c>
      <c r="C14" t="str">
        <f>INDEX(Case!$G$246:$G$267,MATCH(A14,Case!$E$246:$E$267,0))</f>
        <v>Warlock</v>
      </c>
      <c r="D14" t="e">
        <f>INDEX('L6 Calc'!$K$3:$K$23,MATCH(A14,'L6 Calc'!$A$3:$A$23,0))</f>
        <v>#N/A</v>
      </c>
      <c r="E14" t="str">
        <f>INDEX('L6 Calc'!$H$3:$H$23,MATCH(A14,'L6 Calc'!$A$3:$A$23,0))</f>
        <v>DPS</v>
      </c>
      <c r="F14" t="e">
        <f>INDEX('L6 Calc'!$L$3:$L$23,MATCH(A14,'L6 Calc'!$A$3:$A$23,0))</f>
        <v>#N/A</v>
      </c>
      <c r="G14" t="s">
        <v>378</v>
      </c>
      <c r="H14">
        <v>9</v>
      </c>
      <c r="I14">
        <v>20</v>
      </c>
      <c r="J14">
        <v>8</v>
      </c>
      <c r="K14">
        <v>16</v>
      </c>
      <c r="L14">
        <f t="shared" si="1"/>
        <v>11</v>
      </c>
      <c r="M14">
        <f t="shared" si="2"/>
        <v>20</v>
      </c>
      <c r="N14">
        <f t="shared" si="3"/>
        <v>8</v>
      </c>
      <c r="O14">
        <f t="shared" si="4"/>
        <v>9</v>
      </c>
      <c r="P14">
        <f t="shared" si="5"/>
        <v>16</v>
      </c>
      <c r="Q14">
        <f>INDEX(Case!$K$406:$N$415,MATCH($G14,Case!$J$406:$J$415,0),MATCH(Q$2,Case!$K$405:$N$405,0))</f>
        <v>30000</v>
      </c>
      <c r="R14">
        <f>INDEX(Case!$K$406:$N$415,MATCH($G14,Case!$J$406:$J$415,0),MATCH(R$2,Case!$K$405:$N$405,0))</f>
        <v>1200</v>
      </c>
      <c r="S14">
        <f>INDEX(Case!$K$406:$N$415,MATCH($G14,Case!$J$406:$J$415,0),MATCH(S$2,Case!$K$405:$N$405,0))</f>
        <v>175000</v>
      </c>
      <c r="T14">
        <f>INDEX(Case!$K$406:$N$415,MATCH($G14,Case!$J$406:$J$415,0),MATCH(T$2,Case!$K$405:$N$405,0))</f>
        <v>2400</v>
      </c>
    </row>
    <row r="15" spans="1:23">
      <c r="A15" s="132">
        <v>12</v>
      </c>
      <c r="B15" t="str">
        <f>INDEX(Case!$F$246:$F$267,MATCH(A15,Case!$E$246:$E$267,0))</f>
        <v>Troll</v>
      </c>
      <c r="C15" t="str">
        <f>INDEX(Case!$G$246:$G$267,MATCH(A15,Case!$E$246:$E$267,0))</f>
        <v>Warrior</v>
      </c>
      <c r="D15" t="e">
        <f>INDEX('L6 Calc'!$K$3:$K$23,MATCH(A15,'L6 Calc'!$A$3:$A$23,0))</f>
        <v>#N/A</v>
      </c>
      <c r="E15" t="str">
        <f>INDEX('L6 Calc'!$H$3:$H$23,MATCH(A15,'L6 Calc'!$A$3:$A$23,0))</f>
        <v>DPS</v>
      </c>
      <c r="F15" t="e">
        <f>INDEX('L6 Calc'!$L$3:$L$23,MATCH(A15,'L6 Calc'!$A$3:$A$23,0))</f>
        <v>#N/A</v>
      </c>
      <c r="G15" t="s">
        <v>368</v>
      </c>
      <c r="H15">
        <v>13</v>
      </c>
      <c r="I15">
        <v>9</v>
      </c>
      <c r="J15">
        <v>17</v>
      </c>
      <c r="K15">
        <v>1</v>
      </c>
      <c r="L15">
        <f t="shared" si="1"/>
        <v>12</v>
      </c>
      <c r="M15">
        <f t="shared" si="2"/>
        <v>13</v>
      </c>
      <c r="N15">
        <f t="shared" si="3"/>
        <v>17</v>
      </c>
      <c r="O15">
        <f t="shared" si="4"/>
        <v>1</v>
      </c>
      <c r="P15">
        <f t="shared" si="5"/>
        <v>9</v>
      </c>
      <c r="Q15">
        <f>INDEX(Case!$K$406:$N$415,MATCH($G15,Case!$J$406:$J$415,0),MATCH(Q$2,Case!$K$405:$N$405,0))</f>
        <v>20000</v>
      </c>
      <c r="R15">
        <f>INDEX(Case!$K$406:$N$415,MATCH($G15,Case!$J$406:$J$415,0),MATCH(R$2,Case!$K$405:$N$405,0))</f>
        <v>1100</v>
      </c>
      <c r="S15">
        <f>INDEX(Case!$K$406:$N$415,MATCH($G15,Case!$J$406:$J$415,0),MATCH(S$2,Case!$K$405:$N$405,0))</f>
        <v>150000</v>
      </c>
      <c r="T15">
        <f>INDEX(Case!$K$406:$N$415,MATCH($G15,Case!$J$406:$J$415,0),MATCH(T$2,Case!$K$405:$N$405,0))</f>
        <v>2200</v>
      </c>
    </row>
    <row r="16" spans="1:23">
      <c r="A16" s="132">
        <v>13</v>
      </c>
      <c r="B16" t="str">
        <f>INDEX(Case!$F$246:$F$267,MATCH(A16,Case!$E$246:$E$267,0))</f>
        <v>Undead</v>
      </c>
      <c r="C16" t="str">
        <f>INDEX(Case!$G$246:$G$267,MATCH(A16,Case!$E$246:$E$267,0))</f>
        <v>Rogue</v>
      </c>
      <c r="D16" t="e">
        <f>INDEX('L6 Calc'!$K$3:$K$23,MATCH(A16,'L6 Calc'!$A$3:$A$23,0))</f>
        <v>#N/A</v>
      </c>
      <c r="E16" t="str">
        <f>INDEX('L6 Calc'!$H$3:$H$23,MATCH(A16,'L6 Calc'!$A$3:$A$23,0))</f>
        <v>DPS</v>
      </c>
      <c r="F16" t="e">
        <f>INDEX('L6 Calc'!$L$3:$L$23,MATCH(A16,'L6 Calc'!$A$3:$A$23,0))</f>
        <v>#N/A</v>
      </c>
      <c r="G16" t="s">
        <v>378</v>
      </c>
      <c r="H16">
        <v>20</v>
      </c>
      <c r="I16">
        <v>8</v>
      </c>
      <c r="J16">
        <v>3</v>
      </c>
      <c r="K16">
        <v>7</v>
      </c>
      <c r="L16">
        <f t="shared" si="1"/>
        <v>13</v>
      </c>
      <c r="M16">
        <f t="shared" si="2"/>
        <v>20</v>
      </c>
      <c r="N16">
        <f t="shared" si="3"/>
        <v>8</v>
      </c>
      <c r="O16">
        <f t="shared" si="4"/>
        <v>3</v>
      </c>
      <c r="P16">
        <f t="shared" si="5"/>
        <v>7</v>
      </c>
      <c r="Q16">
        <f>INDEX(Case!$K$406:$N$415,MATCH($G16,Case!$J$406:$J$415,0),MATCH(Q$2,Case!$K$405:$N$405,0))</f>
        <v>30000</v>
      </c>
      <c r="R16">
        <f>INDEX(Case!$K$406:$N$415,MATCH($G16,Case!$J$406:$J$415,0),MATCH(R$2,Case!$K$405:$N$405,0))</f>
        <v>1200</v>
      </c>
      <c r="S16">
        <f>INDEX(Case!$K$406:$N$415,MATCH($G16,Case!$J$406:$J$415,0),MATCH(S$2,Case!$K$405:$N$405,0))</f>
        <v>175000</v>
      </c>
      <c r="T16">
        <f>INDEX(Case!$K$406:$N$415,MATCH($G16,Case!$J$406:$J$415,0),MATCH(T$2,Case!$K$405:$N$405,0))</f>
        <v>2400</v>
      </c>
    </row>
    <row r="17" spans="1:20">
      <c r="A17" s="132">
        <v>14</v>
      </c>
      <c r="B17" t="str">
        <f>INDEX(Case!$F$246:$F$267,MATCH(A17,Case!$E$246:$E$267,0))</f>
        <v>Troll</v>
      </c>
      <c r="C17" t="str">
        <f>INDEX(Case!$G$246:$G$267,MATCH(A17,Case!$E$246:$E$267,0))</f>
        <v>Mage</v>
      </c>
      <c r="D17" t="e">
        <f>INDEX('L6 Calc'!$K$3:$K$23,MATCH(A17,'L6 Calc'!$A$3:$A$23,0))</f>
        <v>#N/A</v>
      </c>
      <c r="E17" t="str">
        <f>INDEX('L6 Calc'!$H$3:$H$23,MATCH(A17,'L6 Calc'!$A$3:$A$23,0))</f>
        <v>DPS</v>
      </c>
      <c r="F17" t="e">
        <f>INDEX('L6 Calc'!$L$3:$L$23,MATCH(A17,'L6 Calc'!$A$3:$A$23,0))</f>
        <v>#N/A</v>
      </c>
      <c r="G17" t="s">
        <v>372</v>
      </c>
      <c r="H17">
        <v>7</v>
      </c>
      <c r="I17">
        <v>15</v>
      </c>
      <c r="J17">
        <v>11</v>
      </c>
      <c r="K17">
        <v>12</v>
      </c>
      <c r="L17">
        <f t="shared" si="1"/>
        <v>14</v>
      </c>
      <c r="M17">
        <f t="shared" si="2"/>
        <v>7</v>
      </c>
      <c r="N17">
        <f t="shared" si="3"/>
        <v>11</v>
      </c>
      <c r="O17">
        <f t="shared" si="4"/>
        <v>12</v>
      </c>
      <c r="P17">
        <f t="shared" si="5"/>
        <v>15</v>
      </c>
      <c r="Q17">
        <f>INDEX(Case!$K$406:$N$415,MATCH($G17,Case!$J$406:$J$415,0),MATCH(Q$2,Case!$K$405:$N$405,0))</f>
        <v>25000</v>
      </c>
      <c r="R17">
        <f>INDEX(Case!$K$406:$N$415,MATCH($G17,Case!$J$406:$J$415,0),MATCH(R$2,Case!$K$405:$N$405,0))</f>
        <v>1150</v>
      </c>
      <c r="S17">
        <f>INDEX(Case!$K$406:$N$415,MATCH($G17,Case!$J$406:$J$415,0),MATCH(S$2,Case!$K$405:$N$405,0))</f>
        <v>175000</v>
      </c>
      <c r="T17">
        <f>INDEX(Case!$K$406:$N$415,MATCH($G17,Case!$J$406:$J$415,0),MATCH(T$2,Case!$K$405:$N$405,0))</f>
        <v>2300</v>
      </c>
    </row>
    <row r="18" spans="1:20">
      <c r="A18" s="132">
        <v>15</v>
      </c>
      <c r="B18" t="str">
        <f>INDEX(Case!$F$246:$F$267,MATCH(A18,Case!$E$246:$E$267,0))</f>
        <v>Tauren</v>
      </c>
      <c r="C18" t="str">
        <f>INDEX(Case!$G$246:$G$267,MATCH(A18,Case!$E$246:$E$267,0))</f>
        <v>Shaman</v>
      </c>
      <c r="D18" t="e">
        <f>INDEX('L6 Calc'!$K$3:$K$23,MATCH(A18,'L6 Calc'!$A$3:$A$23,0))</f>
        <v>#N/A</v>
      </c>
      <c r="E18" t="str">
        <f>INDEX('L6 Calc'!$H$3:$H$23,MATCH(A18,'L6 Calc'!$A$3:$A$23,0))</f>
        <v>HPS</v>
      </c>
      <c r="F18" t="e">
        <f>INDEX('L6 Calc'!$L$3:$L$23,MATCH(A18,'L6 Calc'!$A$3:$A$23,0))</f>
        <v>#N/A</v>
      </c>
      <c r="G18" t="s">
        <v>378</v>
      </c>
      <c r="H18">
        <v>4</v>
      </c>
      <c r="I18">
        <v>9</v>
      </c>
      <c r="J18">
        <v>6</v>
      </c>
      <c r="K18">
        <v>7</v>
      </c>
      <c r="L18">
        <f t="shared" si="1"/>
        <v>4</v>
      </c>
      <c r="M18">
        <f t="shared" si="2"/>
        <v>7</v>
      </c>
      <c r="N18">
        <f t="shared" si="3"/>
        <v>15</v>
      </c>
      <c r="O18">
        <f t="shared" si="4"/>
        <v>9</v>
      </c>
      <c r="P18">
        <f t="shared" si="5"/>
        <v>6</v>
      </c>
      <c r="Q18">
        <f>INDEX(Case!$K$406:$N$415,MATCH($G18,Case!$J$406:$J$415,0),MATCH(Q$2,Case!$K$405:$N$405,0))</f>
        <v>30000</v>
      </c>
      <c r="R18">
        <f>INDEX(Case!$K$406:$N$415,MATCH($G18,Case!$J$406:$J$415,0),MATCH(R$2,Case!$K$405:$N$405,0))</f>
        <v>1200</v>
      </c>
      <c r="S18">
        <f>INDEX(Case!$K$406:$N$415,MATCH($G18,Case!$J$406:$J$415,0),MATCH(S$2,Case!$K$405:$N$405,0))</f>
        <v>175000</v>
      </c>
      <c r="T18">
        <f>INDEX(Case!$K$406:$N$415,MATCH($G18,Case!$J$406:$J$415,0),MATCH(T$2,Case!$K$405:$N$405,0))</f>
        <v>2400</v>
      </c>
    </row>
    <row r="19" spans="1:20">
      <c r="A19" s="132">
        <v>16</v>
      </c>
      <c r="B19" t="str">
        <f>INDEX(Case!$F$246:$F$267,MATCH(A19,Case!$E$246:$E$267,0))</f>
        <v>Troll</v>
      </c>
      <c r="C19" t="str">
        <f>INDEX(Case!$G$246:$G$267,MATCH(A19,Case!$E$246:$E$267,0))</f>
        <v>Shaman</v>
      </c>
      <c r="D19" t="e">
        <f>INDEX('L6 Calc'!$K$3:$K$23,MATCH(A19,'L6 Calc'!$A$3:$A$23,0))</f>
        <v>#N/A</v>
      </c>
      <c r="E19" t="str">
        <f>INDEX('L6 Calc'!$H$3:$H$23,MATCH(A19,'L6 Calc'!$A$3:$A$23,0))</f>
        <v>HPS</v>
      </c>
      <c r="F19" t="e">
        <f>INDEX('L6 Calc'!$L$3:$L$23,MATCH(A19,'L6 Calc'!$A$3:$A$23,0))</f>
        <v>#N/A</v>
      </c>
      <c r="G19" t="s">
        <v>379</v>
      </c>
      <c r="H19">
        <v>11</v>
      </c>
      <c r="I19">
        <v>7</v>
      </c>
      <c r="J19">
        <v>17</v>
      </c>
      <c r="K19">
        <v>10</v>
      </c>
      <c r="L19">
        <f t="shared" si="1"/>
        <v>11</v>
      </c>
      <c r="M19">
        <f t="shared" si="2"/>
        <v>7</v>
      </c>
      <c r="N19">
        <f t="shared" si="3"/>
        <v>17</v>
      </c>
      <c r="O19">
        <f t="shared" si="4"/>
        <v>10</v>
      </c>
      <c r="P19">
        <f t="shared" si="5"/>
        <v>16</v>
      </c>
      <c r="Q19">
        <f>INDEX(Case!$K$406:$N$415,MATCH($G19,Case!$J$406:$J$415,0),MATCH(Q$2,Case!$K$405:$N$405,0))</f>
        <v>70000</v>
      </c>
      <c r="R19">
        <f>INDEX(Case!$K$406:$N$415,MATCH($G19,Case!$J$406:$J$415,0),MATCH(R$2,Case!$K$405:$N$405,0))</f>
        <v>1400</v>
      </c>
      <c r="S19">
        <f>INDEX(Case!$K$406:$N$415,MATCH($G19,Case!$J$406:$J$415,0),MATCH(S$2,Case!$K$405:$N$405,0))</f>
        <v>350000</v>
      </c>
      <c r="T19">
        <f>INDEX(Case!$K$406:$N$415,MATCH($G19,Case!$J$406:$J$415,0),MATCH(T$2,Case!$K$405:$N$405,0))</f>
        <v>2800</v>
      </c>
    </row>
    <row r="20" spans="1:20">
      <c r="A20" s="132">
        <v>17</v>
      </c>
      <c r="B20" t="str">
        <f>INDEX(Case!$F$246:$F$267,MATCH(A20,Case!$E$246:$E$267,0))</f>
        <v>Undead</v>
      </c>
      <c r="C20" t="str">
        <f>INDEX(Case!$G$246:$G$267,MATCH(A20,Case!$E$246:$E$267,0))</f>
        <v>Rogue</v>
      </c>
      <c r="D20" t="e">
        <f>INDEX('L6 Calc'!$K$3:$K$23,MATCH(A20,'L6 Calc'!$A$3:$A$23,0))</f>
        <v>#N/A</v>
      </c>
      <c r="E20" t="str">
        <f>INDEX('L6 Calc'!$H$3:$H$23,MATCH(A20,'L6 Calc'!$A$3:$A$23,0))</f>
        <v>DPS</v>
      </c>
      <c r="F20" t="e">
        <f>INDEX('L6 Calc'!$L$3:$L$23,MATCH(A20,'L6 Calc'!$A$3:$A$23,0))</f>
        <v>#N/A</v>
      </c>
      <c r="G20" t="s">
        <v>378</v>
      </c>
      <c r="H20">
        <v>19</v>
      </c>
      <c r="I20">
        <v>20</v>
      </c>
      <c r="J20">
        <v>4</v>
      </c>
      <c r="K20">
        <v>12</v>
      </c>
      <c r="L20">
        <f t="shared" si="1"/>
        <v>17</v>
      </c>
      <c r="M20">
        <f t="shared" si="2"/>
        <v>20</v>
      </c>
      <c r="N20">
        <f t="shared" si="3"/>
        <v>4</v>
      </c>
      <c r="O20">
        <f t="shared" si="4"/>
        <v>12</v>
      </c>
      <c r="P20">
        <f t="shared" si="5"/>
        <v>19</v>
      </c>
      <c r="Q20">
        <f>INDEX(Case!$K$406:$N$415,MATCH($G20,Case!$J$406:$J$415,0),MATCH(Q$2,Case!$K$405:$N$405,0))</f>
        <v>30000</v>
      </c>
      <c r="R20">
        <f>INDEX(Case!$K$406:$N$415,MATCH($G20,Case!$J$406:$J$415,0),MATCH(R$2,Case!$K$405:$N$405,0))</f>
        <v>1200</v>
      </c>
      <c r="S20">
        <f>INDEX(Case!$K$406:$N$415,MATCH($G20,Case!$J$406:$J$415,0),MATCH(S$2,Case!$K$405:$N$405,0))</f>
        <v>175000</v>
      </c>
      <c r="T20">
        <f>INDEX(Case!$K$406:$N$415,MATCH($G20,Case!$J$406:$J$415,0),MATCH(T$2,Case!$K$405:$N$405,0))</f>
        <v>2400</v>
      </c>
    </row>
    <row r="21" spans="1:20">
      <c r="A21" s="132">
        <v>18</v>
      </c>
      <c r="B21" t="str">
        <f>INDEX(Case!$F$246:$F$267,MATCH(A21,Case!$E$246:$E$267,0))</f>
        <v>Troll</v>
      </c>
      <c r="C21" t="str">
        <f>INDEX(Case!$G$246:$G$267,MATCH(A21,Case!$E$246:$E$267,0))</f>
        <v>Priest</v>
      </c>
      <c r="D21" t="e">
        <f>INDEX('L6 Calc'!$K$3:$K$23,MATCH(A21,'L6 Calc'!$A$3:$A$23,0))</f>
        <v>#N/A</v>
      </c>
      <c r="E21" t="str">
        <f>INDEX('L6 Calc'!$H$3:$H$23,MATCH(A21,'L6 Calc'!$A$3:$A$23,0))</f>
        <v>HPS</v>
      </c>
      <c r="F21" t="e">
        <f>INDEX('L6 Calc'!$L$3:$L$23,MATCH(A21,'L6 Calc'!$A$3:$A$23,0))</f>
        <v>#N/A</v>
      </c>
      <c r="G21" t="s">
        <v>368</v>
      </c>
      <c r="H21">
        <v>11</v>
      </c>
      <c r="I21">
        <v>12</v>
      </c>
      <c r="J21">
        <v>13</v>
      </c>
      <c r="K21">
        <v>20</v>
      </c>
      <c r="L21">
        <f t="shared" si="1"/>
        <v>11</v>
      </c>
      <c r="M21">
        <f t="shared" si="2"/>
        <v>12</v>
      </c>
      <c r="N21">
        <f t="shared" si="3"/>
        <v>13</v>
      </c>
      <c r="O21">
        <f t="shared" si="4"/>
        <v>20</v>
      </c>
      <c r="P21">
        <f t="shared" si="5"/>
        <v>18</v>
      </c>
      <c r="Q21">
        <f>INDEX(Case!$K$406:$N$415,MATCH($G21,Case!$J$406:$J$415,0),MATCH(Q$2,Case!$K$405:$N$405,0))</f>
        <v>20000</v>
      </c>
      <c r="R21">
        <f>INDEX(Case!$K$406:$N$415,MATCH($G21,Case!$J$406:$J$415,0),MATCH(R$2,Case!$K$405:$N$405,0))</f>
        <v>1100</v>
      </c>
      <c r="S21">
        <f>INDEX(Case!$K$406:$N$415,MATCH($G21,Case!$J$406:$J$415,0),MATCH(S$2,Case!$K$405:$N$405,0))</f>
        <v>150000</v>
      </c>
      <c r="T21">
        <f>INDEX(Case!$K$406:$N$415,MATCH($G21,Case!$J$406:$J$415,0),MATCH(T$2,Case!$K$405:$N$405,0))</f>
        <v>2200</v>
      </c>
    </row>
    <row r="22" spans="1:20">
      <c r="A22" s="132">
        <v>19</v>
      </c>
      <c r="B22" t="str">
        <f>INDEX(Case!$F$246:$F$267,MATCH(A22,Case!$E$246:$E$267,0))</f>
        <v>Troll</v>
      </c>
      <c r="C22" t="str">
        <f>INDEX(Case!$G$246:$G$267,MATCH(A22,Case!$E$246:$E$267,0))</f>
        <v>Priest</v>
      </c>
      <c r="D22" t="e">
        <f>INDEX('L6 Calc'!$K$3:$K$23,MATCH(A22,'L6 Calc'!$A$3:$A$23,0))</f>
        <v>#N/A</v>
      </c>
      <c r="E22" t="str">
        <f>INDEX('L6 Calc'!$H$3:$H$23,MATCH(A22,'L6 Calc'!$A$3:$A$23,0))</f>
        <v>HPS</v>
      </c>
      <c r="F22" t="e">
        <f>INDEX('L6 Calc'!$L$3:$L$23,MATCH(A22,'L6 Calc'!$A$3:$A$23,0))</f>
        <v>#N/A</v>
      </c>
      <c r="G22" t="s">
        <v>374</v>
      </c>
      <c r="H22">
        <v>1</v>
      </c>
      <c r="I22">
        <v>2</v>
      </c>
      <c r="J22">
        <v>3</v>
      </c>
      <c r="K22">
        <v>4</v>
      </c>
      <c r="L22">
        <f t="shared" si="1"/>
        <v>1</v>
      </c>
      <c r="M22">
        <f t="shared" si="2"/>
        <v>3</v>
      </c>
      <c r="N22">
        <f t="shared" si="3"/>
        <v>4</v>
      </c>
      <c r="O22">
        <f t="shared" si="4"/>
        <v>19</v>
      </c>
      <c r="P22">
        <f t="shared" si="5"/>
        <v>2</v>
      </c>
      <c r="Q22">
        <f>INDEX(Case!$K$406:$N$415,MATCH($G22,Case!$J$406:$J$415,0),MATCH(Q$2,Case!$K$405:$N$405,0))</f>
        <v>50000</v>
      </c>
      <c r="R22">
        <f>INDEX(Case!$K$406:$N$415,MATCH($G22,Case!$J$406:$J$415,0),MATCH(R$2,Case!$K$405:$N$405,0))</f>
        <v>1300</v>
      </c>
      <c r="S22">
        <f>INDEX(Case!$K$406:$N$415,MATCH($G22,Case!$J$406:$J$415,0),MATCH(S$2,Case!$K$405:$N$405,0))</f>
        <v>370000</v>
      </c>
      <c r="T22">
        <f>INDEX(Case!$K$406:$N$415,MATCH($G22,Case!$J$406:$J$415,0),MATCH(T$2,Case!$K$405:$N$405,0))</f>
        <v>2600</v>
      </c>
    </row>
    <row r="23" spans="1:20">
      <c r="A23" s="132">
        <v>20</v>
      </c>
      <c r="B23" t="str">
        <f>INDEX(Case!$F$246:$F$267,MATCH(A23,Case!$E$246:$E$267,0))</f>
        <v>Tauren</v>
      </c>
      <c r="C23" t="str">
        <f>INDEX(Case!$G$246:$G$267,MATCH(A23,Case!$E$246:$E$267,0))</f>
        <v>Druid</v>
      </c>
      <c r="D23" t="e">
        <f>INDEX('L6 Calc'!$K$3:$K$23,MATCH(A23,'L6 Calc'!$A$3:$A$23,0))</f>
        <v>#N/A</v>
      </c>
      <c r="E23" t="str">
        <f>INDEX('L6 Calc'!$H$3:$H$23,MATCH(A23,'L6 Calc'!$A$3:$A$23,0))</f>
        <v>DPS</v>
      </c>
      <c r="F23" t="e">
        <f>INDEX('L6 Calc'!$L$3:$L$23,MATCH(A23,'L6 Calc'!$A$3:$A$23,0))</f>
        <v>#N/A</v>
      </c>
      <c r="G23" t="s">
        <v>370</v>
      </c>
      <c r="H23">
        <v>11</v>
      </c>
      <c r="I23">
        <v>2</v>
      </c>
      <c r="J23">
        <v>9</v>
      </c>
      <c r="K23">
        <v>13</v>
      </c>
      <c r="L23">
        <f t="shared" si="1"/>
        <v>20</v>
      </c>
      <c r="M23">
        <f t="shared" si="2"/>
        <v>11</v>
      </c>
      <c r="N23">
        <f t="shared" si="3"/>
        <v>13</v>
      </c>
      <c r="O23">
        <f t="shared" si="4"/>
        <v>2</v>
      </c>
      <c r="P23">
        <f t="shared" si="5"/>
        <v>9</v>
      </c>
      <c r="Q23">
        <f>INDEX(Case!$K$406:$N$415,MATCH($G23,Case!$J$406:$J$415,0),MATCH(Q$2,Case!$K$405:$N$405,0))</f>
        <v>50000</v>
      </c>
      <c r="R23">
        <f>INDEX(Case!$K$406:$N$415,MATCH($G23,Case!$J$406:$J$415,0),MATCH(R$2,Case!$K$405:$N$405,0))</f>
        <v>1250</v>
      </c>
      <c r="S23">
        <f>INDEX(Case!$K$406:$N$415,MATCH($G23,Case!$J$406:$J$415,0),MATCH(S$2,Case!$K$405:$N$405,0))</f>
        <v>550000</v>
      </c>
      <c r="T23">
        <f>INDEX(Case!$K$406:$N$415,MATCH($G23,Case!$J$406:$J$415,0),MATCH(T$2,Case!$K$405:$N$405,0))</f>
        <v>2500</v>
      </c>
    </row>
    <row r="29" spans="1:20">
      <c r="A29" t="s">
        <v>1097</v>
      </c>
      <c r="B29" s="132">
        <v>1</v>
      </c>
    </row>
    <row r="34" spans="1:25" outlineLevel="1">
      <c r="A34" t="s">
        <v>1135</v>
      </c>
      <c r="I34" t="s">
        <v>1136</v>
      </c>
    </row>
    <row r="35" spans="1:25" outlineLevel="1">
      <c r="C35" t="s">
        <v>365</v>
      </c>
      <c r="D35" t="s">
        <v>300</v>
      </c>
      <c r="E35" t="s">
        <v>409</v>
      </c>
      <c r="F35" t="s">
        <v>1137</v>
      </c>
      <c r="G35" t="s">
        <v>1138</v>
      </c>
      <c r="H35" t="s">
        <v>1139</v>
      </c>
      <c r="I35" t="s">
        <v>1140</v>
      </c>
      <c r="J35" t="s">
        <v>1141</v>
      </c>
      <c r="K35" t="s">
        <v>1142</v>
      </c>
      <c r="N35" t="s">
        <v>1123</v>
      </c>
      <c r="U35">
        <f>N38</f>
        <v>1</v>
      </c>
      <c r="V35">
        <f t="shared" ref="V35:Y35" si="6">O38</f>
        <v>10</v>
      </c>
      <c r="W35">
        <f t="shared" si="6"/>
        <v>8</v>
      </c>
      <c r="X35">
        <f t="shared" si="6"/>
        <v>5</v>
      </c>
      <c r="Y35">
        <f t="shared" si="6"/>
        <v>9</v>
      </c>
    </row>
    <row r="36" spans="1:25" outlineLevel="1">
      <c r="A36" t="s">
        <v>1143</v>
      </c>
      <c r="B36">
        <f>B29</f>
        <v>1</v>
      </c>
      <c r="C36" t="e">
        <f>INDEX($D$3:$F$23,MATCH($B36,$A$3:$A$23,0),MATCH(C$35,$D$2:$F$2,0))</f>
        <v>#N/A</v>
      </c>
      <c r="D36" t="str">
        <f t="shared" ref="D36:E37" si="7">INDEX($D$3:$F$23,MATCH($B36,$A$3:$A$23,0),MATCH(D$35,$D$2:$F$2,0))</f>
        <v>DPS</v>
      </c>
      <c r="E36" t="e">
        <f t="shared" si="7"/>
        <v>#N/A</v>
      </c>
      <c r="F36">
        <f>IF(D36="DPS",2,1)</f>
        <v>2</v>
      </c>
      <c r="G36">
        <f>COUNTIFS($D$36:$D$40,D36,$C$36:$C$40,"&lt;="&amp;C36)</f>
        <v>4</v>
      </c>
      <c r="H36">
        <f>COUNTIFS($D$36:$D$40,D36,$E$36:$E$40,"&gt;="&amp;E36)</f>
        <v>4</v>
      </c>
      <c r="I36">
        <v>5</v>
      </c>
      <c r="J36">
        <f>F36*1000+G36*100+H36*10+I36</f>
        <v>2445</v>
      </c>
      <c r="K36">
        <f>COUNTIF($J$36:$J$40,"&gt;="&amp;J36)</f>
        <v>1</v>
      </c>
      <c r="N36" t="s">
        <v>1124</v>
      </c>
      <c r="O36" t="s">
        <v>1125</v>
      </c>
      <c r="P36" t="s">
        <v>1126</v>
      </c>
      <c r="Q36" t="s">
        <v>1127</v>
      </c>
      <c r="R36" t="s">
        <v>1128</v>
      </c>
      <c r="T36" s="132" t="s">
        <v>66</v>
      </c>
      <c r="U36" t="str">
        <f t="dataTable" ref="U36:Y56" dt2D="0" dtr="0" r1="B29"/>
        <v>David</v>
      </c>
      <c r="V36">
        <v>1</v>
      </c>
      <c r="W36">
        <v>3</v>
      </c>
      <c r="X36">
        <v>4</v>
      </c>
      <c r="Y36">
        <v>2</v>
      </c>
    </row>
    <row r="37" spans="1:25" ht="15.75" outlineLevel="1" thickBot="1">
      <c r="A37" s="1" t="s">
        <v>411</v>
      </c>
      <c r="B37">
        <f>INDEX($H$3:$K$23,MATCH($B$29,$A$3:$A$23,0),MATCH($A37,$H$2:$K$2,0))</f>
        <v>9</v>
      </c>
      <c r="C37" t="e">
        <f t="shared" ref="C37:C40" si="8">INDEX($D$3:$F$23,MATCH($B37,$A$3:$A$23,0),MATCH(C$35,$D$2:$F$2,0))</f>
        <v>#N/A</v>
      </c>
      <c r="D37" t="str">
        <f t="shared" si="7"/>
        <v>HPS</v>
      </c>
      <c r="E37" t="e">
        <f t="shared" si="7"/>
        <v>#N/A</v>
      </c>
      <c r="F37">
        <f>IF(D37="DPS",2,1)</f>
        <v>1</v>
      </c>
      <c r="G37">
        <f t="shared" ref="G37:G40" si="9">COUNTIFS($D$36:$D$40,D37,$C$36:$C$40,"&lt;="&amp;C37)</f>
        <v>1</v>
      </c>
      <c r="H37">
        <f t="shared" ref="H37:H40" si="10">COUNTIFS($D$36:$D$40,D37,$E$36:$E$40,"&gt;="&amp;E37)</f>
        <v>1</v>
      </c>
      <c r="I37">
        <v>4</v>
      </c>
      <c r="J37">
        <f>F37*1000+G37*100+H37*10+I37</f>
        <v>1114</v>
      </c>
      <c r="K37">
        <f t="shared" ref="K37:K40" si="11">COUNTIF($J$36:$J$40,"&gt;="&amp;J37)</f>
        <v>5</v>
      </c>
      <c r="N37">
        <v>1</v>
      </c>
      <c r="O37">
        <v>2</v>
      </c>
      <c r="P37">
        <v>3</v>
      </c>
      <c r="Q37">
        <v>4</v>
      </c>
      <c r="R37">
        <v>5</v>
      </c>
      <c r="T37" s="132">
        <v>1</v>
      </c>
      <c r="U37">
        <v>1</v>
      </c>
      <c r="V37">
        <v>10</v>
      </c>
      <c r="W37">
        <v>8</v>
      </c>
      <c r="X37">
        <v>5</v>
      </c>
      <c r="Y37">
        <v>9</v>
      </c>
    </row>
    <row r="38" spans="1:25" ht="15.75" outlineLevel="1" thickBot="1">
      <c r="A38" s="1" t="s">
        <v>412</v>
      </c>
      <c r="B38">
        <f t="shared" ref="B38:B40" si="12">INDEX($H$3:$K$23,MATCH($B$29,$A$3:$A$23,0),MATCH($A38,$H$2:$K$2,0))</f>
        <v>10</v>
      </c>
      <c r="C38" t="e">
        <f t="shared" si="8"/>
        <v>#N/A</v>
      </c>
      <c r="D38" t="str">
        <f t="shared" ref="D38:E40" si="13">INDEX($D$3:$F$23,MATCH($B38,$A$3:$A$23,0),MATCH(D$35,$D$2:$F$2,0))</f>
        <v>DPS</v>
      </c>
      <c r="E38" t="e">
        <f t="shared" si="13"/>
        <v>#N/A</v>
      </c>
      <c r="F38">
        <f t="shared" ref="F38:F40" si="14">IF(D38="DPS",2,1)</f>
        <v>2</v>
      </c>
      <c r="G38">
        <f t="shared" si="9"/>
        <v>4</v>
      </c>
      <c r="H38">
        <f t="shared" si="10"/>
        <v>4</v>
      </c>
      <c r="I38">
        <v>3</v>
      </c>
      <c r="J38">
        <f t="shared" ref="J38:J40" si="15">F38*1000+G38*100+H38*10+I38</f>
        <v>2443</v>
      </c>
      <c r="K38">
        <f t="shared" si="11"/>
        <v>2</v>
      </c>
      <c r="M38" t="s">
        <v>1144</v>
      </c>
      <c r="N38">
        <f>INDEX($B$36:$B$40,MATCH(N37,$K$36:$K$40,0))</f>
        <v>1</v>
      </c>
      <c r="O38">
        <f t="shared" ref="O38:R38" si="16">INDEX($B$36:$B$40,MATCH(O37,$K$36:$K$40,0))</f>
        <v>10</v>
      </c>
      <c r="P38">
        <f t="shared" si="16"/>
        <v>8</v>
      </c>
      <c r="Q38">
        <f t="shared" si="16"/>
        <v>5</v>
      </c>
      <c r="R38">
        <f t="shared" si="16"/>
        <v>9</v>
      </c>
      <c r="T38" s="132">
        <v>2</v>
      </c>
      <c r="U38">
        <v>20</v>
      </c>
      <c r="V38">
        <v>13</v>
      </c>
      <c r="W38">
        <v>8</v>
      </c>
      <c r="X38">
        <v>4</v>
      </c>
      <c r="Y38">
        <v>2</v>
      </c>
    </row>
    <row r="39" spans="1:25" ht="15.75" outlineLevel="1" thickBot="1">
      <c r="A39" s="1" t="s">
        <v>413</v>
      </c>
      <c r="B39">
        <f t="shared" si="12"/>
        <v>8</v>
      </c>
      <c r="C39" t="e">
        <f t="shared" si="8"/>
        <v>#N/A</v>
      </c>
      <c r="D39" t="str">
        <f t="shared" si="13"/>
        <v>DPS</v>
      </c>
      <c r="E39" t="e">
        <f t="shared" si="13"/>
        <v>#N/A</v>
      </c>
      <c r="F39">
        <f t="shared" si="14"/>
        <v>2</v>
      </c>
      <c r="G39">
        <f t="shared" si="9"/>
        <v>4</v>
      </c>
      <c r="H39">
        <f t="shared" si="10"/>
        <v>4</v>
      </c>
      <c r="I39">
        <v>2</v>
      </c>
      <c r="J39">
        <f t="shared" si="15"/>
        <v>2442</v>
      </c>
      <c r="K39">
        <f t="shared" si="11"/>
        <v>3</v>
      </c>
      <c r="T39" s="132">
        <v>3</v>
      </c>
      <c r="U39">
        <v>3</v>
      </c>
      <c r="V39">
        <v>11</v>
      </c>
      <c r="W39">
        <v>1</v>
      </c>
      <c r="X39">
        <v>17</v>
      </c>
      <c r="Y39">
        <v>18</v>
      </c>
    </row>
    <row r="40" spans="1:25" ht="15.75" outlineLevel="1" thickBot="1">
      <c r="A40" s="1" t="s">
        <v>414</v>
      </c>
      <c r="B40">
        <f t="shared" si="12"/>
        <v>5</v>
      </c>
      <c r="C40" t="e">
        <f t="shared" si="8"/>
        <v>#N/A</v>
      </c>
      <c r="D40" t="str">
        <f t="shared" si="13"/>
        <v>DPS</v>
      </c>
      <c r="E40" t="e">
        <f t="shared" si="13"/>
        <v>#N/A</v>
      </c>
      <c r="F40">
        <f t="shared" si="14"/>
        <v>2</v>
      </c>
      <c r="G40">
        <f t="shared" si="9"/>
        <v>4</v>
      </c>
      <c r="H40">
        <f t="shared" si="10"/>
        <v>4</v>
      </c>
      <c r="I40">
        <v>1</v>
      </c>
      <c r="J40">
        <f t="shared" si="15"/>
        <v>2441</v>
      </c>
      <c r="K40">
        <f t="shared" si="11"/>
        <v>4</v>
      </c>
      <c r="T40" s="132">
        <v>4</v>
      </c>
      <c r="U40">
        <v>4</v>
      </c>
      <c r="V40">
        <v>14</v>
      </c>
      <c r="W40">
        <v>8</v>
      </c>
      <c r="X40">
        <v>9</v>
      </c>
      <c r="Y40">
        <v>6</v>
      </c>
    </row>
    <row r="41" spans="1:25" outlineLevel="1">
      <c r="T41" s="132">
        <v>5</v>
      </c>
      <c r="U41">
        <v>5</v>
      </c>
      <c r="V41">
        <v>1</v>
      </c>
      <c r="W41">
        <v>15</v>
      </c>
      <c r="X41">
        <v>18</v>
      </c>
      <c r="Y41">
        <v>16</v>
      </c>
    </row>
    <row r="42" spans="1:25" outlineLevel="1">
      <c r="T42" s="132">
        <v>6</v>
      </c>
      <c r="U42">
        <v>1</v>
      </c>
      <c r="V42">
        <v>12</v>
      </c>
      <c r="W42">
        <v>3</v>
      </c>
      <c r="X42">
        <v>6</v>
      </c>
      <c r="Y42">
        <v>16</v>
      </c>
    </row>
    <row r="43" spans="1:25" outlineLevel="1">
      <c r="A43" s="75" t="s">
        <v>380</v>
      </c>
      <c r="T43" s="132">
        <v>7</v>
      </c>
      <c r="U43">
        <v>7</v>
      </c>
      <c r="V43">
        <v>1</v>
      </c>
      <c r="W43">
        <v>13</v>
      </c>
      <c r="X43">
        <v>15</v>
      </c>
      <c r="Y43">
        <v>16</v>
      </c>
    </row>
    <row r="44" spans="1:25" outlineLevel="1">
      <c r="A44" s="75" t="s">
        <v>382</v>
      </c>
      <c r="T44" s="132">
        <v>8</v>
      </c>
      <c r="U44">
        <v>8</v>
      </c>
      <c r="V44">
        <v>10</v>
      </c>
      <c r="W44">
        <v>3</v>
      </c>
      <c r="X44">
        <v>11</v>
      </c>
      <c r="Y44">
        <v>16</v>
      </c>
    </row>
    <row r="45" spans="1:25" outlineLevel="1">
      <c r="A45" s="109" t="s">
        <v>384</v>
      </c>
      <c r="T45" s="132">
        <v>9</v>
      </c>
      <c r="U45">
        <v>5</v>
      </c>
      <c r="V45">
        <v>11</v>
      </c>
      <c r="W45">
        <v>3</v>
      </c>
      <c r="X45">
        <v>9</v>
      </c>
      <c r="Y45">
        <v>6</v>
      </c>
    </row>
    <row r="46" spans="1:25" outlineLevel="1">
      <c r="A46" s="109" t="s">
        <v>386</v>
      </c>
      <c r="T46" s="132">
        <v>10</v>
      </c>
      <c r="U46">
        <v>10</v>
      </c>
      <c r="V46">
        <v>3</v>
      </c>
      <c r="W46">
        <v>7</v>
      </c>
      <c r="X46">
        <v>17</v>
      </c>
      <c r="Y46">
        <v>9</v>
      </c>
    </row>
    <row r="47" spans="1:25" outlineLevel="1">
      <c r="A47" s="109" t="s">
        <v>387</v>
      </c>
      <c r="T47" s="132">
        <v>11</v>
      </c>
      <c r="U47">
        <v>11</v>
      </c>
      <c r="V47">
        <v>20</v>
      </c>
      <c r="W47">
        <v>8</v>
      </c>
      <c r="X47">
        <v>9</v>
      </c>
      <c r="Y47">
        <v>16</v>
      </c>
    </row>
    <row r="48" spans="1:25" outlineLevel="1">
      <c r="A48" s="109" t="s">
        <v>388</v>
      </c>
      <c r="T48" s="132">
        <v>12</v>
      </c>
      <c r="U48">
        <v>12</v>
      </c>
      <c r="V48">
        <v>13</v>
      </c>
      <c r="W48">
        <v>17</v>
      </c>
      <c r="X48">
        <v>1</v>
      </c>
      <c r="Y48">
        <v>9</v>
      </c>
    </row>
    <row r="49" spans="2:42" outlineLevel="1">
      <c r="T49" s="132">
        <v>13</v>
      </c>
      <c r="U49">
        <v>13</v>
      </c>
      <c r="V49">
        <v>20</v>
      </c>
      <c r="W49">
        <v>8</v>
      </c>
      <c r="X49">
        <v>3</v>
      </c>
      <c r="Y49">
        <v>7</v>
      </c>
    </row>
    <row r="50" spans="2:42" outlineLevel="1">
      <c r="T50" s="132">
        <v>14</v>
      </c>
      <c r="U50">
        <v>14</v>
      </c>
      <c r="V50">
        <v>7</v>
      </c>
      <c r="W50">
        <v>11</v>
      </c>
      <c r="X50">
        <v>12</v>
      </c>
      <c r="Y50">
        <v>15</v>
      </c>
    </row>
    <row r="51" spans="2:42" outlineLevel="1">
      <c r="T51" s="132">
        <v>15</v>
      </c>
      <c r="U51">
        <v>4</v>
      </c>
      <c r="V51">
        <v>7</v>
      </c>
      <c r="W51">
        <v>15</v>
      </c>
      <c r="X51">
        <v>9</v>
      </c>
      <c r="Y51">
        <v>6</v>
      </c>
    </row>
    <row r="52" spans="2:42" outlineLevel="1">
      <c r="T52" s="132">
        <v>16</v>
      </c>
      <c r="U52">
        <v>11</v>
      </c>
      <c r="V52">
        <v>7</v>
      </c>
      <c r="W52">
        <v>17</v>
      </c>
      <c r="X52">
        <v>10</v>
      </c>
      <c r="Y52">
        <v>16</v>
      </c>
    </row>
    <row r="53" spans="2:42" outlineLevel="1">
      <c r="T53" s="132">
        <v>17</v>
      </c>
      <c r="U53">
        <v>17</v>
      </c>
      <c r="V53">
        <v>20</v>
      </c>
      <c r="W53">
        <v>4</v>
      </c>
      <c r="X53">
        <v>12</v>
      </c>
      <c r="Y53">
        <v>19</v>
      </c>
    </row>
    <row r="54" spans="2:42" outlineLevel="1">
      <c r="T54" s="132">
        <v>18</v>
      </c>
      <c r="U54">
        <v>11</v>
      </c>
      <c r="V54">
        <v>12</v>
      </c>
      <c r="W54">
        <v>13</v>
      </c>
      <c r="X54">
        <v>20</v>
      </c>
      <c r="Y54">
        <v>18</v>
      </c>
    </row>
    <row r="55" spans="2:42" outlineLevel="1">
      <c r="T55" s="132">
        <v>19</v>
      </c>
      <c r="U55">
        <v>1</v>
      </c>
      <c r="V55">
        <v>3</v>
      </c>
      <c r="W55">
        <v>4</v>
      </c>
      <c r="X55">
        <v>19</v>
      </c>
      <c r="Y55">
        <v>2</v>
      </c>
    </row>
    <row r="56" spans="2:42" outlineLevel="1">
      <c r="T56" s="132">
        <v>20</v>
      </c>
      <c r="U56">
        <v>20</v>
      </c>
      <c r="V56">
        <v>11</v>
      </c>
      <c r="W56">
        <v>13</v>
      </c>
      <c r="X56">
        <v>2</v>
      </c>
      <c r="Y56">
        <v>9</v>
      </c>
    </row>
    <row r="57" spans="2:42" outlineLevel="1"/>
    <row r="61" spans="2:42">
      <c r="B61" t="s">
        <v>1145</v>
      </c>
      <c r="V61" t="s">
        <v>1145</v>
      </c>
    </row>
    <row r="62" spans="2:42">
      <c r="B62" t="s">
        <v>1124</v>
      </c>
      <c r="C62" t="s">
        <v>1125</v>
      </c>
      <c r="D62" t="s">
        <v>1126</v>
      </c>
      <c r="E62" t="s">
        <v>1127</v>
      </c>
      <c r="F62" t="s">
        <v>1128</v>
      </c>
      <c r="V62" t="s">
        <v>1124</v>
      </c>
      <c r="W62" t="s">
        <v>1125</v>
      </c>
      <c r="X62" t="s">
        <v>1126</v>
      </c>
      <c r="Y62" t="s">
        <v>1127</v>
      </c>
      <c r="Z62" t="s">
        <v>1128</v>
      </c>
      <c r="AA62" t="s">
        <v>1124</v>
      </c>
      <c r="AB62" t="s">
        <v>1125</v>
      </c>
      <c r="AC62" t="s">
        <v>1126</v>
      </c>
      <c r="AD62" t="s">
        <v>1127</v>
      </c>
      <c r="AE62" t="s">
        <v>1128</v>
      </c>
    </row>
    <row r="63" spans="2:42">
      <c r="B63">
        <f>INDEX($L$3:$P$23,MATCH($B$29,$A$3:$A$23,0),MATCH(B$62,$L$2:$P$2,))</f>
        <v>1</v>
      </c>
      <c r="C63">
        <f>INDEX($L$3:$P$23,MATCH($B$29,$A$3:$A$23,0),MATCH(C$62,$L$2:$P$2,))</f>
        <v>10</v>
      </c>
      <c r="D63">
        <f>INDEX($L$3:$P$23,MATCH($B$29,$A$3:$A$23,0),MATCH(D$62,$L$2:$P$2,))</f>
        <v>8</v>
      </c>
      <c r="E63">
        <f>INDEX($L$3:$P$23,MATCH($B$29,$A$3:$A$23,0),MATCH(E$62,$L$2:$P$2,))</f>
        <v>5</v>
      </c>
      <c r="F63">
        <f>INDEX($L$3:$P$23,MATCH($B$29,$A$3:$A$23,0),MATCH(F$62,$L$2:$P$2,))</f>
        <v>9</v>
      </c>
    </row>
    <row r="64" spans="2:42">
      <c r="B64" t="s">
        <v>1118</v>
      </c>
      <c r="V64" t="s">
        <v>1119</v>
      </c>
      <c r="AO64" t="s">
        <v>1146</v>
      </c>
      <c r="AP64" t="s">
        <v>1147</v>
      </c>
    </row>
    <row r="65" spans="1:42">
      <c r="A65" t="s">
        <v>1148</v>
      </c>
      <c r="B65" t="s">
        <v>365</v>
      </c>
      <c r="C65" t="s">
        <v>365</v>
      </c>
      <c r="D65" t="s">
        <v>365</v>
      </c>
      <c r="E65" t="s">
        <v>365</v>
      </c>
      <c r="F65" t="s">
        <v>365</v>
      </c>
      <c r="G65" t="s">
        <v>300</v>
      </c>
      <c r="H65" t="s">
        <v>300</v>
      </c>
      <c r="I65" t="s">
        <v>300</v>
      </c>
      <c r="J65" t="s">
        <v>300</v>
      </c>
      <c r="K65" t="s">
        <v>300</v>
      </c>
      <c r="L65" t="s">
        <v>409</v>
      </c>
      <c r="M65" t="s">
        <v>409</v>
      </c>
      <c r="N65" t="s">
        <v>409</v>
      </c>
      <c r="O65" t="s">
        <v>409</v>
      </c>
      <c r="P65" t="s">
        <v>409</v>
      </c>
      <c r="Q65" t="s">
        <v>1149</v>
      </c>
      <c r="R65" t="s">
        <v>1150</v>
      </c>
      <c r="S65" t="s">
        <v>1151</v>
      </c>
      <c r="T65" t="s">
        <v>1152</v>
      </c>
      <c r="U65" t="s">
        <v>1153</v>
      </c>
      <c r="V65" t="s">
        <v>365</v>
      </c>
      <c r="W65" t="s">
        <v>365</v>
      </c>
      <c r="X65" t="s">
        <v>365</v>
      </c>
      <c r="Y65" t="s">
        <v>365</v>
      </c>
      <c r="Z65" t="s">
        <v>365</v>
      </c>
      <c r="AA65" t="s">
        <v>1154</v>
      </c>
      <c r="AF65" t="s">
        <v>1151</v>
      </c>
      <c r="AG65" t="s">
        <v>1147</v>
      </c>
      <c r="AH65" t="s">
        <v>1155</v>
      </c>
      <c r="AJ65" t="s">
        <v>1146</v>
      </c>
      <c r="AO65">
        <f>AJ66</f>
        <v>1000</v>
      </c>
      <c r="AP65" t="b">
        <f>AJ69</f>
        <v>0</v>
      </c>
    </row>
    <row r="66" spans="1:42">
      <c r="A66">
        <v>1</v>
      </c>
      <c r="B66" t="e">
        <f>INDEX($D$3:$D$23,MATCH(B$63,$A$3:$A$23,0))</f>
        <v>#N/A</v>
      </c>
      <c r="C66" t="e">
        <f>INDEX($D$3:$D$23,MATCH(C$63,$A$3:$A$23,0))</f>
        <v>#N/A</v>
      </c>
      <c r="D66" t="e">
        <f>INDEX($D$3:$D$23,MATCH(D$63,$A$3:$A$23,0))</f>
        <v>#N/A</v>
      </c>
      <c r="E66" t="e">
        <f>INDEX($D$3:$D$23,MATCH(E$63,$A$3:$A$23,0))</f>
        <v>#N/A</v>
      </c>
      <c r="F66" t="e">
        <f>INDEX($D$3:$D$23,MATCH(F$63,$A$3:$A$23,0))</f>
        <v>#N/A</v>
      </c>
      <c r="G66" t="str">
        <f t="shared" ref="G66:G97" si="17">INDEX($E$3:$E$23,MATCH(B$63,$A$3:$A$23,0))</f>
        <v>DPS</v>
      </c>
      <c r="H66" t="str">
        <f t="shared" ref="H66:H97" si="18">INDEX($E$3:$E$23,MATCH(C$63,$A$3:$A$23,0))</f>
        <v>DPS</v>
      </c>
      <c r="I66" t="str">
        <f t="shared" ref="I66:I97" si="19">INDEX($E$3:$E$23,MATCH(D$63,$A$3:$A$23,0))</f>
        <v>DPS</v>
      </c>
      <c r="J66" t="str">
        <f t="shared" ref="J66:J97" si="20">INDEX($E$3:$E$23,MATCH(E$63,$A$3:$A$23,0))</f>
        <v>DPS</v>
      </c>
      <c r="K66" t="str">
        <f t="shared" ref="K66:K97" si="21">INDEX($E$3:$E$23,MATCH(F$63,$A$3:$A$23,0))</f>
        <v>HPS</v>
      </c>
      <c r="L66" t="e">
        <f>INDEX($F$3:$F$23,MATCH(B$63,$A$3:$A$23,0))</f>
        <v>#N/A</v>
      </c>
      <c r="M66" t="e">
        <f>INDEX($F$3:$F$23,MATCH(C$63,$A$3:$A$23,0))</f>
        <v>#N/A</v>
      </c>
      <c r="N66" t="e">
        <f>INDEX($F$3:$F$23,MATCH(D$63,$A$3:$A$23,0))</f>
        <v>#N/A</v>
      </c>
      <c r="O66" t="e">
        <f>INDEX($F$3:$F$23,MATCH(E$63,$A$3:$A$23,0))</f>
        <v>#N/A</v>
      </c>
      <c r="P66" t="e">
        <f>INDEX($F$3:$F$23,MATCH(F$63,$A$3:$A$23,0))</f>
        <v>#N/A</v>
      </c>
      <c r="Q66" t="e">
        <f>SUMPRODUCT((G66:K66="DPS")*(L66:P66))</f>
        <v>#N/A</v>
      </c>
      <c r="R66" t="e">
        <f>SUMPRODUCT((G66:K66="HPS")*(L66:P66))</f>
        <v>#N/A</v>
      </c>
      <c r="S66">
        <f>INDEX($Q$3:$Q$23,MATCH(B29,$A$3:$A$23,0))</f>
        <v>50000</v>
      </c>
      <c r="T66">
        <f>INDEX($R$3:$R$23,MATCH($B$29,$A$3:$A$23,0))</f>
        <v>1250</v>
      </c>
      <c r="U66" t="e">
        <f>INDEX($B$62:$F$62,1,_xlfn.AGGREGATE(15,6,COLUMN(B62:F62)/(B66:F66&gt;0),1)-1)</f>
        <v>#NUM!</v>
      </c>
      <c r="V66" t="e">
        <f>B66-T66+R66</f>
        <v>#N/A</v>
      </c>
      <c r="W66" t="e">
        <f>C66</f>
        <v>#N/A</v>
      </c>
      <c r="X66" t="e">
        <f>D66</f>
        <v>#N/A</v>
      </c>
      <c r="Y66" t="e">
        <f>E66</f>
        <v>#N/A</v>
      </c>
      <c r="Z66" t="e">
        <f>F66</f>
        <v>#N/A</v>
      </c>
      <c r="AA66" t="e">
        <f>V66&lt;=0</f>
        <v>#N/A</v>
      </c>
      <c r="AB66" t="e">
        <f t="shared" ref="AB66:AE66" si="22">W66&lt;=0</f>
        <v>#N/A</v>
      </c>
      <c r="AC66" t="e">
        <f t="shared" si="22"/>
        <v>#N/A</v>
      </c>
      <c r="AD66" t="e">
        <f t="shared" si="22"/>
        <v>#N/A</v>
      </c>
      <c r="AE66" t="e">
        <f t="shared" si="22"/>
        <v>#N/A</v>
      </c>
      <c r="AF66" t="e">
        <f t="shared" ref="AF66:AF71" si="23">S66-Q66</f>
        <v>#N/A</v>
      </c>
      <c r="AG66" t="e">
        <f>AF66&lt;=0</f>
        <v>#N/A</v>
      </c>
      <c r="AH66" t="b">
        <f>COUNTIF(AA66:AE66,TRUE)=5</f>
        <v>0</v>
      </c>
      <c r="AJ66">
        <f>MIN(IFERROR(MATCH(TRUE,$AG$66:$AG$165,0),1000),IFERROR(MATCH(TRUE,$AH$66:$AH$165,0),1000))</f>
        <v>1000</v>
      </c>
      <c r="AN66" s="132" t="s">
        <v>66</v>
      </c>
      <c r="AO66">
        <f t="dataTable" ref="AO66:AP86" dt2D="0" dtr="0" r1="B29" ca="1"/>
        <v>1000</v>
      </c>
      <c r="AP66" t="b">
        <v>0</v>
      </c>
    </row>
    <row r="67" spans="1:42">
      <c r="A67">
        <v>2</v>
      </c>
      <c r="B67" t="e">
        <f>IF(AA66,0,V66)</f>
        <v>#N/A</v>
      </c>
      <c r="C67" t="e">
        <f t="shared" ref="C67:F67" si="24">IF(AB66,0,W66)</f>
        <v>#N/A</v>
      </c>
      <c r="D67" t="e">
        <f t="shared" si="24"/>
        <v>#N/A</v>
      </c>
      <c r="E67" t="e">
        <f t="shared" si="24"/>
        <v>#N/A</v>
      </c>
      <c r="F67" t="e">
        <f t="shared" si="24"/>
        <v>#N/A</v>
      </c>
      <c r="G67" t="str">
        <f t="shared" si="17"/>
        <v>DPS</v>
      </c>
      <c r="H67" t="str">
        <f t="shared" si="18"/>
        <v>DPS</v>
      </c>
      <c r="I67" t="str">
        <f t="shared" si="19"/>
        <v>DPS</v>
      </c>
      <c r="J67" t="str">
        <f t="shared" si="20"/>
        <v>DPS</v>
      </c>
      <c r="K67" t="str">
        <f t="shared" si="21"/>
        <v>HPS</v>
      </c>
      <c r="L67" t="e">
        <f t="shared" ref="L67:L98" si="25">IF(AA66,0,INDEX($F$3:$F$23,MATCH(B$63,$A$3:$A$23,0)))</f>
        <v>#N/A</v>
      </c>
      <c r="M67" t="e">
        <f t="shared" ref="M67:M98" si="26">IF(AB66,0,INDEX($F$3:$F$23,MATCH(C$63,$A$3:$A$23,0)))</f>
        <v>#N/A</v>
      </c>
      <c r="N67" t="e">
        <f t="shared" ref="N67:N98" si="27">IF(AC66,0,INDEX($F$3:$F$23,MATCH(D$63,$A$3:$A$23,0)))</f>
        <v>#N/A</v>
      </c>
      <c r="O67" t="e">
        <f t="shared" ref="O67:O98" si="28">IF(AD66,0,INDEX($F$3:$F$23,MATCH(E$63,$A$3:$A$23,0)))</f>
        <v>#N/A</v>
      </c>
      <c r="P67" t="e">
        <f t="shared" ref="P67:P98" si="29">IF(AE66,0,INDEX($F$3:$F$23,MATCH(F$63,$A$3:$A$23,0)))</f>
        <v>#N/A</v>
      </c>
      <c r="Q67" t="e">
        <f>SUMPRODUCT((G67:K67="DPS")*(L67:P67))</f>
        <v>#N/A</v>
      </c>
      <c r="R67" t="e">
        <f>SUMPRODUCT((G67:K67="HPS")*(L67:P67))</f>
        <v>#N/A</v>
      </c>
      <c r="S67" t="e">
        <f>AF66</f>
        <v>#N/A</v>
      </c>
      <c r="T67">
        <f>INDEX($R$3:$R$23,MATCH($B$29,$A$3:$A$23,0))</f>
        <v>1250</v>
      </c>
      <c r="U67" t="e">
        <f t="shared" ref="U67:U71" si="30">INDEX($B$62:$F$62,1,_xlfn.AGGREGATE(15,6,COLUMN(B63:F63)/(B67:F67&gt;0),1)-1)</f>
        <v>#NUM!</v>
      </c>
      <c r="V67" t="e">
        <f>B67-IF($U67=V$62,$T67,0)+IF($U67=V$62,$R67,0)</f>
        <v>#N/A</v>
      </c>
      <c r="W67" t="e">
        <f t="shared" ref="W67:Z67" si="31">C67-IF($U67=W$62,$T67,0)+IF($U67=W$62,$R67,0)</f>
        <v>#N/A</v>
      </c>
      <c r="X67" t="e">
        <f t="shared" si="31"/>
        <v>#N/A</v>
      </c>
      <c r="Y67" t="e">
        <f t="shared" si="31"/>
        <v>#N/A</v>
      </c>
      <c r="Z67" t="e">
        <f t="shared" si="31"/>
        <v>#N/A</v>
      </c>
      <c r="AA67" t="e">
        <f>V67&lt;=0</f>
        <v>#N/A</v>
      </c>
      <c r="AB67" t="e">
        <f t="shared" ref="AB67" si="32">W67&lt;=0</f>
        <v>#N/A</v>
      </c>
      <c r="AC67" t="e">
        <f t="shared" ref="AC67" si="33">X67&lt;=0</f>
        <v>#N/A</v>
      </c>
      <c r="AD67" t="e">
        <f t="shared" ref="AD67" si="34">Y67&lt;=0</f>
        <v>#N/A</v>
      </c>
      <c r="AE67" t="e">
        <f t="shared" ref="AE67" si="35">Z67&lt;=0</f>
        <v>#N/A</v>
      </c>
      <c r="AF67" t="e">
        <f t="shared" si="23"/>
        <v>#N/A</v>
      </c>
      <c r="AG67" t="e">
        <f t="shared" ref="AG67:AG130" si="36">AF67&lt;=0</f>
        <v>#N/A</v>
      </c>
      <c r="AH67" t="b">
        <f t="shared" ref="AH67:AH130" si="37">COUNTIF(AA67:AE67,TRUE)=5</f>
        <v>0</v>
      </c>
      <c r="AN67" s="132">
        <v>1</v>
      </c>
      <c r="AO67">
        <v>1000</v>
      </c>
      <c r="AP67" t="b">
        <v>0</v>
      </c>
    </row>
    <row r="68" spans="1:42">
      <c r="A68">
        <v>3</v>
      </c>
      <c r="B68" t="e">
        <f t="shared" ref="B68:B71" si="38">IF(AA67,0,V67)</f>
        <v>#N/A</v>
      </c>
      <c r="C68" t="e">
        <f t="shared" ref="C68:C71" si="39">IF(AB67,0,W67)</f>
        <v>#N/A</v>
      </c>
      <c r="D68" t="e">
        <f t="shared" ref="D68:D71" si="40">IF(AC67,0,X67)</f>
        <v>#N/A</v>
      </c>
      <c r="E68" t="e">
        <f t="shared" ref="E68:E71" si="41">IF(AD67,0,Y67)</f>
        <v>#N/A</v>
      </c>
      <c r="F68" t="e">
        <f t="shared" ref="F68:F71" si="42">IF(AE67,0,Z67)</f>
        <v>#N/A</v>
      </c>
      <c r="G68" t="str">
        <f t="shared" si="17"/>
        <v>DPS</v>
      </c>
      <c r="H68" t="str">
        <f t="shared" si="18"/>
        <v>DPS</v>
      </c>
      <c r="I68" t="str">
        <f t="shared" si="19"/>
        <v>DPS</v>
      </c>
      <c r="J68" t="str">
        <f t="shared" si="20"/>
        <v>DPS</v>
      </c>
      <c r="K68" t="str">
        <f t="shared" si="21"/>
        <v>HPS</v>
      </c>
      <c r="L68" t="e">
        <f t="shared" si="25"/>
        <v>#N/A</v>
      </c>
      <c r="M68" t="e">
        <f t="shared" si="26"/>
        <v>#N/A</v>
      </c>
      <c r="N68" t="e">
        <f t="shared" si="27"/>
        <v>#N/A</v>
      </c>
      <c r="O68" t="e">
        <f t="shared" si="28"/>
        <v>#N/A</v>
      </c>
      <c r="P68" t="e">
        <f t="shared" si="29"/>
        <v>#N/A</v>
      </c>
      <c r="Q68" t="e">
        <f t="shared" ref="Q68:Q71" si="43">SUMPRODUCT((G68:K68="DPS")*(L68:P68))</f>
        <v>#N/A</v>
      </c>
      <c r="R68" t="e">
        <f t="shared" ref="R68:R71" si="44">SUMPRODUCT((G68:K68="HPS")*(L68:P68))</f>
        <v>#N/A</v>
      </c>
      <c r="S68" t="e">
        <f t="shared" ref="S68:S71" si="45">AF67</f>
        <v>#N/A</v>
      </c>
      <c r="T68">
        <f t="shared" ref="T68:T131" si="46">INDEX($R$3:$R$23,MATCH($B$29,$A$3:$A$23,0))</f>
        <v>1250</v>
      </c>
      <c r="U68" t="e">
        <f t="shared" si="30"/>
        <v>#NUM!</v>
      </c>
      <c r="V68" t="e">
        <f t="shared" ref="V68:V71" si="47">B68-IF($U68=V$62,$T68,0)+IF($U68=V$62,$R68,0)</f>
        <v>#N/A</v>
      </c>
      <c r="W68" t="e">
        <f t="shared" ref="W68:W71" si="48">C68-IF($U68=W$62,$T68,0)+IF($U68=W$62,$R68,0)</f>
        <v>#N/A</v>
      </c>
      <c r="X68" t="e">
        <f t="shared" ref="X68:X71" si="49">D68-IF($U68=X$62,$T68,0)+IF($U68=X$62,$R68,0)</f>
        <v>#N/A</v>
      </c>
      <c r="Y68" t="e">
        <f t="shared" ref="Y68:Y71" si="50">E68-IF($U68=Y$62,$T68,0)+IF($U68=Y$62,$R68,0)</f>
        <v>#N/A</v>
      </c>
      <c r="Z68" t="e">
        <f t="shared" ref="Z68:Z71" si="51">F68-IF($U68=Z$62,$T68,0)+IF($U68=Z$62,$R68,0)</f>
        <v>#N/A</v>
      </c>
      <c r="AA68" t="e">
        <f t="shared" ref="AA68:AA71" si="52">V68&lt;=0</f>
        <v>#N/A</v>
      </c>
      <c r="AB68" t="e">
        <f t="shared" ref="AB68:AB71" si="53">W68&lt;=0</f>
        <v>#N/A</v>
      </c>
      <c r="AC68" t="e">
        <f t="shared" ref="AC68:AC71" si="54">X68&lt;=0</f>
        <v>#N/A</v>
      </c>
      <c r="AD68" t="e">
        <f t="shared" ref="AD68:AD71" si="55">Y68&lt;=0</f>
        <v>#N/A</v>
      </c>
      <c r="AE68" t="e">
        <f t="shared" ref="AE68:AE71" si="56">Z68&lt;=0</f>
        <v>#N/A</v>
      </c>
      <c r="AF68" t="e">
        <f t="shared" si="23"/>
        <v>#N/A</v>
      </c>
      <c r="AG68" t="e">
        <f t="shared" si="36"/>
        <v>#N/A</v>
      </c>
      <c r="AH68" t="b">
        <f t="shared" si="37"/>
        <v>0</v>
      </c>
      <c r="AJ68" t="s">
        <v>1147</v>
      </c>
      <c r="AN68" s="132">
        <v>2</v>
      </c>
      <c r="AO68">
        <v>1000</v>
      </c>
      <c r="AP68" t="b">
        <v>0</v>
      </c>
    </row>
    <row r="69" spans="1:42">
      <c r="A69">
        <v>4</v>
      </c>
      <c r="B69" t="e">
        <f t="shared" si="38"/>
        <v>#N/A</v>
      </c>
      <c r="C69" t="e">
        <f t="shared" si="39"/>
        <v>#N/A</v>
      </c>
      <c r="D69" t="e">
        <f t="shared" si="40"/>
        <v>#N/A</v>
      </c>
      <c r="E69" t="e">
        <f t="shared" si="41"/>
        <v>#N/A</v>
      </c>
      <c r="F69" t="e">
        <f t="shared" si="42"/>
        <v>#N/A</v>
      </c>
      <c r="G69" t="str">
        <f t="shared" si="17"/>
        <v>DPS</v>
      </c>
      <c r="H69" t="str">
        <f t="shared" si="18"/>
        <v>DPS</v>
      </c>
      <c r="I69" t="str">
        <f t="shared" si="19"/>
        <v>DPS</v>
      </c>
      <c r="J69" t="str">
        <f t="shared" si="20"/>
        <v>DPS</v>
      </c>
      <c r="K69" t="str">
        <f t="shared" si="21"/>
        <v>HPS</v>
      </c>
      <c r="L69" t="e">
        <f t="shared" si="25"/>
        <v>#N/A</v>
      </c>
      <c r="M69" t="e">
        <f t="shared" si="26"/>
        <v>#N/A</v>
      </c>
      <c r="N69" t="e">
        <f t="shared" si="27"/>
        <v>#N/A</v>
      </c>
      <c r="O69" t="e">
        <f t="shared" si="28"/>
        <v>#N/A</v>
      </c>
      <c r="P69" t="e">
        <f t="shared" si="29"/>
        <v>#N/A</v>
      </c>
      <c r="Q69" t="e">
        <f t="shared" si="43"/>
        <v>#N/A</v>
      </c>
      <c r="R69" t="e">
        <f t="shared" si="44"/>
        <v>#N/A</v>
      </c>
      <c r="S69" t="e">
        <f t="shared" si="45"/>
        <v>#N/A</v>
      </c>
      <c r="T69">
        <f t="shared" si="46"/>
        <v>1250</v>
      </c>
      <c r="U69" t="e">
        <f t="shared" si="30"/>
        <v>#NUM!</v>
      </c>
      <c r="V69" t="e">
        <f t="shared" si="47"/>
        <v>#N/A</v>
      </c>
      <c r="W69" t="e">
        <f t="shared" si="48"/>
        <v>#N/A</v>
      </c>
      <c r="X69" t="e">
        <f t="shared" si="49"/>
        <v>#N/A</v>
      </c>
      <c r="Y69" t="e">
        <f t="shared" si="50"/>
        <v>#N/A</v>
      </c>
      <c r="Z69" t="e">
        <f t="shared" si="51"/>
        <v>#N/A</v>
      </c>
      <c r="AA69" t="e">
        <f t="shared" si="52"/>
        <v>#N/A</v>
      </c>
      <c r="AB69" t="e">
        <f t="shared" si="53"/>
        <v>#N/A</v>
      </c>
      <c r="AC69" t="e">
        <f t="shared" si="54"/>
        <v>#N/A</v>
      </c>
      <c r="AD69" t="e">
        <f t="shared" si="55"/>
        <v>#N/A</v>
      </c>
      <c r="AE69" t="e">
        <f t="shared" si="56"/>
        <v>#N/A</v>
      </c>
      <c r="AF69" t="e">
        <f t="shared" si="23"/>
        <v>#N/A</v>
      </c>
      <c r="AG69" t="e">
        <f t="shared" si="36"/>
        <v>#N/A</v>
      </c>
      <c r="AH69" t="b">
        <f t="shared" si="37"/>
        <v>0</v>
      </c>
      <c r="AJ69" t="b">
        <f>IFERROR(MATCH(TRUE,$AG$66:$AG$165,0)&gt;0,FALSE)</f>
        <v>0</v>
      </c>
      <c r="AN69" s="132">
        <v>3</v>
      </c>
      <c r="AO69">
        <v>1000</v>
      </c>
      <c r="AP69" t="b">
        <v>0</v>
      </c>
    </row>
    <row r="70" spans="1:42">
      <c r="A70">
        <v>5</v>
      </c>
      <c r="B70" t="e">
        <f t="shared" si="38"/>
        <v>#N/A</v>
      </c>
      <c r="C70" t="e">
        <f t="shared" si="39"/>
        <v>#N/A</v>
      </c>
      <c r="D70" t="e">
        <f t="shared" si="40"/>
        <v>#N/A</v>
      </c>
      <c r="E70" t="e">
        <f t="shared" si="41"/>
        <v>#N/A</v>
      </c>
      <c r="F70" t="e">
        <f t="shared" si="42"/>
        <v>#N/A</v>
      </c>
      <c r="G70" t="str">
        <f t="shared" si="17"/>
        <v>DPS</v>
      </c>
      <c r="H70" t="str">
        <f t="shared" si="18"/>
        <v>DPS</v>
      </c>
      <c r="I70" t="str">
        <f t="shared" si="19"/>
        <v>DPS</v>
      </c>
      <c r="J70" t="str">
        <f t="shared" si="20"/>
        <v>DPS</v>
      </c>
      <c r="K70" t="str">
        <f t="shared" si="21"/>
        <v>HPS</v>
      </c>
      <c r="L70" t="e">
        <f t="shared" si="25"/>
        <v>#N/A</v>
      </c>
      <c r="M70" t="e">
        <f t="shared" si="26"/>
        <v>#N/A</v>
      </c>
      <c r="N70" t="e">
        <f t="shared" si="27"/>
        <v>#N/A</v>
      </c>
      <c r="O70" t="e">
        <f t="shared" si="28"/>
        <v>#N/A</v>
      </c>
      <c r="P70" t="e">
        <f t="shared" si="29"/>
        <v>#N/A</v>
      </c>
      <c r="Q70" t="e">
        <f t="shared" si="43"/>
        <v>#N/A</v>
      </c>
      <c r="R70" t="e">
        <f t="shared" si="44"/>
        <v>#N/A</v>
      </c>
      <c r="S70" t="e">
        <f t="shared" si="45"/>
        <v>#N/A</v>
      </c>
      <c r="T70">
        <f t="shared" si="46"/>
        <v>1250</v>
      </c>
      <c r="U70" t="e">
        <f t="shared" si="30"/>
        <v>#NUM!</v>
      </c>
      <c r="V70" t="e">
        <f t="shared" si="47"/>
        <v>#N/A</v>
      </c>
      <c r="W70" t="e">
        <f t="shared" si="48"/>
        <v>#N/A</v>
      </c>
      <c r="X70" t="e">
        <f t="shared" si="49"/>
        <v>#N/A</v>
      </c>
      <c r="Y70" t="e">
        <f t="shared" si="50"/>
        <v>#N/A</v>
      </c>
      <c r="Z70" t="e">
        <f t="shared" si="51"/>
        <v>#N/A</v>
      </c>
      <c r="AA70" t="e">
        <f t="shared" si="52"/>
        <v>#N/A</v>
      </c>
      <c r="AB70" t="e">
        <f t="shared" si="53"/>
        <v>#N/A</v>
      </c>
      <c r="AC70" t="e">
        <f t="shared" si="54"/>
        <v>#N/A</v>
      </c>
      <c r="AD70" t="e">
        <f t="shared" si="55"/>
        <v>#N/A</v>
      </c>
      <c r="AE70" t="e">
        <f t="shared" si="56"/>
        <v>#N/A</v>
      </c>
      <c r="AF70" t="e">
        <f t="shared" si="23"/>
        <v>#N/A</v>
      </c>
      <c r="AG70" t="e">
        <f t="shared" si="36"/>
        <v>#N/A</v>
      </c>
      <c r="AH70" t="b">
        <f t="shared" si="37"/>
        <v>0</v>
      </c>
      <c r="AN70" s="132">
        <v>4</v>
      </c>
      <c r="AO70">
        <v>1000</v>
      </c>
      <c r="AP70" t="b">
        <v>0</v>
      </c>
    </row>
    <row r="71" spans="1:42">
      <c r="A71">
        <v>6</v>
      </c>
      <c r="B71" t="e">
        <f t="shared" si="38"/>
        <v>#N/A</v>
      </c>
      <c r="C71" t="e">
        <f t="shared" si="39"/>
        <v>#N/A</v>
      </c>
      <c r="D71" t="e">
        <f t="shared" si="40"/>
        <v>#N/A</v>
      </c>
      <c r="E71" t="e">
        <f t="shared" si="41"/>
        <v>#N/A</v>
      </c>
      <c r="F71" t="e">
        <f t="shared" si="42"/>
        <v>#N/A</v>
      </c>
      <c r="G71" t="str">
        <f t="shared" si="17"/>
        <v>DPS</v>
      </c>
      <c r="H71" t="str">
        <f t="shared" si="18"/>
        <v>DPS</v>
      </c>
      <c r="I71" t="str">
        <f t="shared" si="19"/>
        <v>DPS</v>
      </c>
      <c r="J71" t="str">
        <f t="shared" si="20"/>
        <v>DPS</v>
      </c>
      <c r="K71" t="str">
        <f t="shared" si="21"/>
        <v>HPS</v>
      </c>
      <c r="L71" t="e">
        <f t="shared" si="25"/>
        <v>#N/A</v>
      </c>
      <c r="M71" t="e">
        <f t="shared" si="26"/>
        <v>#N/A</v>
      </c>
      <c r="N71" t="e">
        <f t="shared" si="27"/>
        <v>#N/A</v>
      </c>
      <c r="O71" t="e">
        <f t="shared" si="28"/>
        <v>#N/A</v>
      </c>
      <c r="P71" t="e">
        <f t="shared" si="29"/>
        <v>#N/A</v>
      </c>
      <c r="Q71" t="e">
        <f t="shared" si="43"/>
        <v>#N/A</v>
      </c>
      <c r="R71" t="e">
        <f t="shared" si="44"/>
        <v>#N/A</v>
      </c>
      <c r="S71" t="e">
        <f t="shared" si="45"/>
        <v>#N/A</v>
      </c>
      <c r="T71">
        <f t="shared" si="46"/>
        <v>1250</v>
      </c>
      <c r="U71" t="e">
        <f t="shared" si="30"/>
        <v>#NUM!</v>
      </c>
      <c r="V71" t="e">
        <f t="shared" si="47"/>
        <v>#N/A</v>
      </c>
      <c r="W71" t="e">
        <f t="shared" si="48"/>
        <v>#N/A</v>
      </c>
      <c r="X71" t="e">
        <f t="shared" si="49"/>
        <v>#N/A</v>
      </c>
      <c r="Y71" t="e">
        <f t="shared" si="50"/>
        <v>#N/A</v>
      </c>
      <c r="Z71" t="e">
        <f t="shared" si="51"/>
        <v>#N/A</v>
      </c>
      <c r="AA71" t="e">
        <f t="shared" si="52"/>
        <v>#N/A</v>
      </c>
      <c r="AB71" t="e">
        <f t="shared" si="53"/>
        <v>#N/A</v>
      </c>
      <c r="AC71" t="e">
        <f t="shared" si="54"/>
        <v>#N/A</v>
      </c>
      <c r="AD71" t="e">
        <f t="shared" si="55"/>
        <v>#N/A</v>
      </c>
      <c r="AE71" t="e">
        <f t="shared" si="56"/>
        <v>#N/A</v>
      </c>
      <c r="AF71" t="e">
        <f t="shared" si="23"/>
        <v>#N/A</v>
      </c>
      <c r="AG71" t="e">
        <f t="shared" si="36"/>
        <v>#N/A</v>
      </c>
      <c r="AH71" t="b">
        <f t="shared" si="37"/>
        <v>0</v>
      </c>
      <c r="AN71" s="132">
        <v>5</v>
      </c>
      <c r="AO71">
        <v>1000</v>
      </c>
      <c r="AP71" t="b">
        <v>0</v>
      </c>
    </row>
    <row r="72" spans="1:42">
      <c r="A72">
        <v>7</v>
      </c>
      <c r="B72" t="e">
        <f t="shared" ref="B72:B135" si="57">IF(AA71,0,V71)</f>
        <v>#N/A</v>
      </c>
      <c r="C72" t="e">
        <f t="shared" ref="C72:C135" si="58">IF(AB71,0,W71)</f>
        <v>#N/A</v>
      </c>
      <c r="D72" t="e">
        <f t="shared" ref="D72:D135" si="59">IF(AC71,0,X71)</f>
        <v>#N/A</v>
      </c>
      <c r="E72" t="e">
        <f t="shared" ref="E72:E135" si="60">IF(AD71,0,Y71)</f>
        <v>#N/A</v>
      </c>
      <c r="F72" t="e">
        <f t="shared" ref="F72:F135" si="61">IF(AE71,0,Z71)</f>
        <v>#N/A</v>
      </c>
      <c r="G72" t="str">
        <f t="shared" si="17"/>
        <v>DPS</v>
      </c>
      <c r="H72" t="str">
        <f t="shared" si="18"/>
        <v>DPS</v>
      </c>
      <c r="I72" t="str">
        <f t="shared" si="19"/>
        <v>DPS</v>
      </c>
      <c r="J72" t="str">
        <f t="shared" si="20"/>
        <v>DPS</v>
      </c>
      <c r="K72" t="str">
        <f t="shared" si="21"/>
        <v>HPS</v>
      </c>
      <c r="L72" t="e">
        <f t="shared" si="25"/>
        <v>#N/A</v>
      </c>
      <c r="M72" t="e">
        <f t="shared" si="26"/>
        <v>#N/A</v>
      </c>
      <c r="N72" t="e">
        <f t="shared" si="27"/>
        <v>#N/A</v>
      </c>
      <c r="O72" t="e">
        <f t="shared" si="28"/>
        <v>#N/A</v>
      </c>
      <c r="P72" t="e">
        <f t="shared" si="29"/>
        <v>#N/A</v>
      </c>
      <c r="Q72" t="e">
        <f t="shared" ref="Q72:Q135" si="62">SUMPRODUCT((G72:K72="DPS")*(L72:P72))</f>
        <v>#N/A</v>
      </c>
      <c r="R72" t="e">
        <f t="shared" ref="R72:R135" si="63">SUMPRODUCT((G72:K72="HPS")*(L72:P72))</f>
        <v>#N/A</v>
      </c>
      <c r="S72" t="e">
        <f t="shared" ref="S72:S135" si="64">AF71</f>
        <v>#N/A</v>
      </c>
      <c r="T72">
        <f t="shared" si="46"/>
        <v>1250</v>
      </c>
      <c r="U72" t="e">
        <f t="shared" ref="U72:U135" si="65">INDEX($B$62:$F$62,1,_xlfn.AGGREGATE(15,6,COLUMN(B68:F68)/(B72:F72&gt;0),1)-1)</f>
        <v>#NUM!</v>
      </c>
      <c r="V72" t="e">
        <f t="shared" ref="V72:V135" si="66">B72-IF($U72=V$62,$T72,0)+IF($U72=V$62,$R72,0)</f>
        <v>#N/A</v>
      </c>
      <c r="W72" t="e">
        <f t="shared" ref="W72:W135" si="67">C72-IF($U72=W$62,$T72,0)+IF($U72=W$62,$R72,0)</f>
        <v>#N/A</v>
      </c>
      <c r="X72" t="e">
        <f t="shared" ref="X72:X135" si="68">D72-IF($U72=X$62,$T72,0)+IF($U72=X$62,$R72,0)</f>
        <v>#N/A</v>
      </c>
      <c r="Y72" t="e">
        <f t="shared" ref="Y72:Y135" si="69">E72-IF($U72=Y$62,$T72,0)+IF($U72=Y$62,$R72,0)</f>
        <v>#N/A</v>
      </c>
      <c r="Z72" t="e">
        <f t="shared" ref="Z72:Z135" si="70">F72-IF($U72=Z$62,$T72,0)+IF($U72=Z$62,$R72,0)</f>
        <v>#N/A</v>
      </c>
      <c r="AA72" t="e">
        <f t="shared" ref="AA72:AA135" si="71">V72&lt;=0</f>
        <v>#N/A</v>
      </c>
      <c r="AB72" t="e">
        <f t="shared" ref="AB72:AB135" si="72">W72&lt;=0</f>
        <v>#N/A</v>
      </c>
      <c r="AC72" t="e">
        <f t="shared" ref="AC72:AC135" si="73">X72&lt;=0</f>
        <v>#N/A</v>
      </c>
      <c r="AD72" t="e">
        <f t="shared" ref="AD72:AD135" si="74">Y72&lt;=0</f>
        <v>#N/A</v>
      </c>
      <c r="AE72" t="e">
        <f t="shared" ref="AE72:AE135" si="75">Z72&lt;=0</f>
        <v>#N/A</v>
      </c>
      <c r="AF72" t="e">
        <f t="shared" ref="AF72:AF135" si="76">S72-Q72</f>
        <v>#N/A</v>
      </c>
      <c r="AG72" t="e">
        <f t="shared" si="36"/>
        <v>#N/A</v>
      </c>
      <c r="AH72" t="b">
        <f t="shared" si="37"/>
        <v>0</v>
      </c>
      <c r="AN72" s="132">
        <v>6</v>
      </c>
      <c r="AO72">
        <v>1000</v>
      </c>
      <c r="AP72" t="b">
        <v>0</v>
      </c>
    </row>
    <row r="73" spans="1:42">
      <c r="A73">
        <v>8</v>
      </c>
      <c r="B73" t="e">
        <f t="shared" si="57"/>
        <v>#N/A</v>
      </c>
      <c r="C73" t="e">
        <f t="shared" si="58"/>
        <v>#N/A</v>
      </c>
      <c r="D73" t="e">
        <f t="shared" si="59"/>
        <v>#N/A</v>
      </c>
      <c r="E73" t="e">
        <f t="shared" si="60"/>
        <v>#N/A</v>
      </c>
      <c r="F73" t="e">
        <f t="shared" si="61"/>
        <v>#N/A</v>
      </c>
      <c r="G73" t="str">
        <f t="shared" si="17"/>
        <v>DPS</v>
      </c>
      <c r="H73" t="str">
        <f t="shared" si="18"/>
        <v>DPS</v>
      </c>
      <c r="I73" t="str">
        <f t="shared" si="19"/>
        <v>DPS</v>
      </c>
      <c r="J73" t="str">
        <f t="shared" si="20"/>
        <v>DPS</v>
      </c>
      <c r="K73" t="str">
        <f t="shared" si="21"/>
        <v>HPS</v>
      </c>
      <c r="L73" t="e">
        <f t="shared" si="25"/>
        <v>#N/A</v>
      </c>
      <c r="M73" t="e">
        <f t="shared" si="26"/>
        <v>#N/A</v>
      </c>
      <c r="N73" t="e">
        <f t="shared" si="27"/>
        <v>#N/A</v>
      </c>
      <c r="O73" t="e">
        <f t="shared" si="28"/>
        <v>#N/A</v>
      </c>
      <c r="P73" t="e">
        <f t="shared" si="29"/>
        <v>#N/A</v>
      </c>
      <c r="Q73" t="e">
        <f t="shared" si="62"/>
        <v>#N/A</v>
      </c>
      <c r="R73" t="e">
        <f t="shared" si="63"/>
        <v>#N/A</v>
      </c>
      <c r="S73" t="e">
        <f t="shared" si="64"/>
        <v>#N/A</v>
      </c>
      <c r="T73">
        <f t="shared" si="46"/>
        <v>1250</v>
      </c>
      <c r="U73" t="e">
        <f t="shared" si="65"/>
        <v>#NUM!</v>
      </c>
      <c r="V73" t="e">
        <f t="shared" si="66"/>
        <v>#N/A</v>
      </c>
      <c r="W73" t="e">
        <f t="shared" si="67"/>
        <v>#N/A</v>
      </c>
      <c r="X73" t="e">
        <f t="shared" si="68"/>
        <v>#N/A</v>
      </c>
      <c r="Y73" t="e">
        <f t="shared" si="69"/>
        <v>#N/A</v>
      </c>
      <c r="Z73" t="e">
        <f t="shared" si="70"/>
        <v>#N/A</v>
      </c>
      <c r="AA73" t="e">
        <f t="shared" si="71"/>
        <v>#N/A</v>
      </c>
      <c r="AB73" t="e">
        <f t="shared" si="72"/>
        <v>#N/A</v>
      </c>
      <c r="AC73" t="e">
        <f t="shared" si="73"/>
        <v>#N/A</v>
      </c>
      <c r="AD73" t="e">
        <f t="shared" si="74"/>
        <v>#N/A</v>
      </c>
      <c r="AE73" t="e">
        <f t="shared" si="75"/>
        <v>#N/A</v>
      </c>
      <c r="AF73" t="e">
        <f t="shared" si="76"/>
        <v>#N/A</v>
      </c>
      <c r="AG73" t="e">
        <f t="shared" si="36"/>
        <v>#N/A</v>
      </c>
      <c r="AH73" t="b">
        <f t="shared" si="37"/>
        <v>0</v>
      </c>
      <c r="AN73" s="132">
        <v>7</v>
      </c>
      <c r="AO73">
        <v>1000</v>
      </c>
      <c r="AP73" t="b">
        <v>0</v>
      </c>
    </row>
    <row r="74" spans="1:42">
      <c r="A74">
        <v>9</v>
      </c>
      <c r="B74" t="e">
        <f t="shared" si="57"/>
        <v>#N/A</v>
      </c>
      <c r="C74" t="e">
        <f t="shared" si="58"/>
        <v>#N/A</v>
      </c>
      <c r="D74" t="e">
        <f t="shared" si="59"/>
        <v>#N/A</v>
      </c>
      <c r="E74" t="e">
        <f t="shared" si="60"/>
        <v>#N/A</v>
      </c>
      <c r="F74" t="e">
        <f t="shared" si="61"/>
        <v>#N/A</v>
      </c>
      <c r="G74" t="str">
        <f t="shared" si="17"/>
        <v>DPS</v>
      </c>
      <c r="H74" t="str">
        <f t="shared" si="18"/>
        <v>DPS</v>
      </c>
      <c r="I74" t="str">
        <f t="shared" si="19"/>
        <v>DPS</v>
      </c>
      <c r="J74" t="str">
        <f t="shared" si="20"/>
        <v>DPS</v>
      </c>
      <c r="K74" t="str">
        <f t="shared" si="21"/>
        <v>HPS</v>
      </c>
      <c r="L74" t="e">
        <f t="shared" si="25"/>
        <v>#N/A</v>
      </c>
      <c r="M74" t="e">
        <f t="shared" si="26"/>
        <v>#N/A</v>
      </c>
      <c r="N74" t="e">
        <f t="shared" si="27"/>
        <v>#N/A</v>
      </c>
      <c r="O74" t="e">
        <f t="shared" si="28"/>
        <v>#N/A</v>
      </c>
      <c r="P74" t="e">
        <f t="shared" si="29"/>
        <v>#N/A</v>
      </c>
      <c r="Q74" t="e">
        <f t="shared" si="62"/>
        <v>#N/A</v>
      </c>
      <c r="R74" t="e">
        <f t="shared" si="63"/>
        <v>#N/A</v>
      </c>
      <c r="S74" t="e">
        <f t="shared" si="64"/>
        <v>#N/A</v>
      </c>
      <c r="T74">
        <f t="shared" si="46"/>
        <v>1250</v>
      </c>
      <c r="U74" t="e">
        <f t="shared" si="65"/>
        <v>#NUM!</v>
      </c>
      <c r="V74" t="e">
        <f t="shared" si="66"/>
        <v>#N/A</v>
      </c>
      <c r="W74" t="e">
        <f t="shared" si="67"/>
        <v>#N/A</v>
      </c>
      <c r="X74" t="e">
        <f t="shared" si="68"/>
        <v>#N/A</v>
      </c>
      <c r="Y74" t="e">
        <f t="shared" si="69"/>
        <v>#N/A</v>
      </c>
      <c r="Z74" t="e">
        <f t="shared" si="70"/>
        <v>#N/A</v>
      </c>
      <c r="AA74" t="e">
        <f t="shared" si="71"/>
        <v>#N/A</v>
      </c>
      <c r="AB74" t="e">
        <f t="shared" si="72"/>
        <v>#N/A</v>
      </c>
      <c r="AC74" t="e">
        <f t="shared" si="73"/>
        <v>#N/A</v>
      </c>
      <c r="AD74" t="e">
        <f t="shared" si="74"/>
        <v>#N/A</v>
      </c>
      <c r="AE74" t="e">
        <f t="shared" si="75"/>
        <v>#N/A</v>
      </c>
      <c r="AF74" t="e">
        <f t="shared" si="76"/>
        <v>#N/A</v>
      </c>
      <c r="AG74" t="e">
        <f t="shared" si="36"/>
        <v>#N/A</v>
      </c>
      <c r="AH74" t="b">
        <f t="shared" si="37"/>
        <v>0</v>
      </c>
      <c r="AN74" s="132">
        <v>8</v>
      </c>
      <c r="AO74">
        <v>1000</v>
      </c>
      <c r="AP74" t="b">
        <v>0</v>
      </c>
    </row>
    <row r="75" spans="1:42">
      <c r="A75">
        <v>10</v>
      </c>
      <c r="B75" t="e">
        <f t="shared" si="57"/>
        <v>#N/A</v>
      </c>
      <c r="C75" t="e">
        <f t="shared" si="58"/>
        <v>#N/A</v>
      </c>
      <c r="D75" t="e">
        <f t="shared" si="59"/>
        <v>#N/A</v>
      </c>
      <c r="E75" t="e">
        <f t="shared" si="60"/>
        <v>#N/A</v>
      </c>
      <c r="F75" t="e">
        <f t="shared" si="61"/>
        <v>#N/A</v>
      </c>
      <c r="G75" t="str">
        <f t="shared" si="17"/>
        <v>DPS</v>
      </c>
      <c r="H75" t="str">
        <f t="shared" si="18"/>
        <v>DPS</v>
      </c>
      <c r="I75" t="str">
        <f t="shared" si="19"/>
        <v>DPS</v>
      </c>
      <c r="J75" t="str">
        <f t="shared" si="20"/>
        <v>DPS</v>
      </c>
      <c r="K75" t="str">
        <f t="shared" si="21"/>
        <v>HPS</v>
      </c>
      <c r="L75" t="e">
        <f t="shared" si="25"/>
        <v>#N/A</v>
      </c>
      <c r="M75" t="e">
        <f t="shared" si="26"/>
        <v>#N/A</v>
      </c>
      <c r="N75" t="e">
        <f t="shared" si="27"/>
        <v>#N/A</v>
      </c>
      <c r="O75" t="e">
        <f t="shared" si="28"/>
        <v>#N/A</v>
      </c>
      <c r="P75" t="e">
        <f t="shared" si="29"/>
        <v>#N/A</v>
      </c>
      <c r="Q75" t="e">
        <f t="shared" si="62"/>
        <v>#N/A</v>
      </c>
      <c r="R75" t="e">
        <f t="shared" si="63"/>
        <v>#N/A</v>
      </c>
      <c r="S75" t="e">
        <f t="shared" si="64"/>
        <v>#N/A</v>
      </c>
      <c r="T75">
        <f t="shared" si="46"/>
        <v>1250</v>
      </c>
      <c r="U75" t="e">
        <f t="shared" si="65"/>
        <v>#NUM!</v>
      </c>
      <c r="V75" t="e">
        <f t="shared" si="66"/>
        <v>#N/A</v>
      </c>
      <c r="W75" t="e">
        <f t="shared" si="67"/>
        <v>#N/A</v>
      </c>
      <c r="X75" t="e">
        <f t="shared" si="68"/>
        <v>#N/A</v>
      </c>
      <c r="Y75" t="e">
        <f t="shared" si="69"/>
        <v>#N/A</v>
      </c>
      <c r="Z75" t="e">
        <f t="shared" si="70"/>
        <v>#N/A</v>
      </c>
      <c r="AA75" t="e">
        <f t="shared" si="71"/>
        <v>#N/A</v>
      </c>
      <c r="AB75" t="e">
        <f t="shared" si="72"/>
        <v>#N/A</v>
      </c>
      <c r="AC75" t="e">
        <f t="shared" si="73"/>
        <v>#N/A</v>
      </c>
      <c r="AD75" t="e">
        <f t="shared" si="74"/>
        <v>#N/A</v>
      </c>
      <c r="AE75" t="e">
        <f t="shared" si="75"/>
        <v>#N/A</v>
      </c>
      <c r="AF75" t="e">
        <f t="shared" si="76"/>
        <v>#N/A</v>
      </c>
      <c r="AG75" t="e">
        <f t="shared" si="36"/>
        <v>#N/A</v>
      </c>
      <c r="AH75" t="b">
        <f t="shared" si="37"/>
        <v>0</v>
      </c>
      <c r="AN75" s="132">
        <v>9</v>
      </c>
      <c r="AO75">
        <v>1000</v>
      </c>
      <c r="AP75" t="b">
        <v>0</v>
      </c>
    </row>
    <row r="76" spans="1:42">
      <c r="A76">
        <v>11</v>
      </c>
      <c r="B76" t="e">
        <f t="shared" si="57"/>
        <v>#N/A</v>
      </c>
      <c r="C76" t="e">
        <f t="shared" si="58"/>
        <v>#N/A</v>
      </c>
      <c r="D76" t="e">
        <f t="shared" si="59"/>
        <v>#N/A</v>
      </c>
      <c r="E76" t="e">
        <f t="shared" si="60"/>
        <v>#N/A</v>
      </c>
      <c r="F76" t="e">
        <f t="shared" si="61"/>
        <v>#N/A</v>
      </c>
      <c r="G76" t="str">
        <f t="shared" si="17"/>
        <v>DPS</v>
      </c>
      <c r="H76" t="str">
        <f t="shared" si="18"/>
        <v>DPS</v>
      </c>
      <c r="I76" t="str">
        <f t="shared" si="19"/>
        <v>DPS</v>
      </c>
      <c r="J76" t="str">
        <f t="shared" si="20"/>
        <v>DPS</v>
      </c>
      <c r="K76" t="str">
        <f t="shared" si="21"/>
        <v>HPS</v>
      </c>
      <c r="L76" t="e">
        <f t="shared" si="25"/>
        <v>#N/A</v>
      </c>
      <c r="M76" t="e">
        <f t="shared" si="26"/>
        <v>#N/A</v>
      </c>
      <c r="N76" t="e">
        <f t="shared" si="27"/>
        <v>#N/A</v>
      </c>
      <c r="O76" t="e">
        <f t="shared" si="28"/>
        <v>#N/A</v>
      </c>
      <c r="P76" t="e">
        <f t="shared" si="29"/>
        <v>#N/A</v>
      </c>
      <c r="Q76" t="e">
        <f t="shared" si="62"/>
        <v>#N/A</v>
      </c>
      <c r="R76" t="e">
        <f t="shared" si="63"/>
        <v>#N/A</v>
      </c>
      <c r="S76" t="e">
        <f t="shared" si="64"/>
        <v>#N/A</v>
      </c>
      <c r="T76">
        <f t="shared" si="46"/>
        <v>1250</v>
      </c>
      <c r="U76" t="e">
        <f t="shared" si="65"/>
        <v>#NUM!</v>
      </c>
      <c r="V76" t="e">
        <f t="shared" si="66"/>
        <v>#N/A</v>
      </c>
      <c r="W76" t="e">
        <f t="shared" si="67"/>
        <v>#N/A</v>
      </c>
      <c r="X76" t="e">
        <f t="shared" si="68"/>
        <v>#N/A</v>
      </c>
      <c r="Y76" t="e">
        <f t="shared" si="69"/>
        <v>#N/A</v>
      </c>
      <c r="Z76" t="e">
        <f t="shared" si="70"/>
        <v>#N/A</v>
      </c>
      <c r="AA76" t="e">
        <f t="shared" si="71"/>
        <v>#N/A</v>
      </c>
      <c r="AB76" t="e">
        <f t="shared" si="72"/>
        <v>#N/A</v>
      </c>
      <c r="AC76" t="e">
        <f t="shared" si="73"/>
        <v>#N/A</v>
      </c>
      <c r="AD76" t="e">
        <f t="shared" si="74"/>
        <v>#N/A</v>
      </c>
      <c r="AE76" t="e">
        <f t="shared" si="75"/>
        <v>#N/A</v>
      </c>
      <c r="AF76" t="e">
        <f t="shared" si="76"/>
        <v>#N/A</v>
      </c>
      <c r="AG76" t="e">
        <f t="shared" si="36"/>
        <v>#N/A</v>
      </c>
      <c r="AH76" t="b">
        <f t="shared" si="37"/>
        <v>0</v>
      </c>
      <c r="AN76" s="132">
        <v>10</v>
      </c>
      <c r="AO76">
        <v>1000</v>
      </c>
      <c r="AP76" t="b">
        <v>0</v>
      </c>
    </row>
    <row r="77" spans="1:42">
      <c r="A77">
        <v>12</v>
      </c>
      <c r="B77" t="e">
        <f t="shared" si="57"/>
        <v>#N/A</v>
      </c>
      <c r="C77" t="e">
        <f t="shared" si="58"/>
        <v>#N/A</v>
      </c>
      <c r="D77" t="e">
        <f t="shared" si="59"/>
        <v>#N/A</v>
      </c>
      <c r="E77" t="e">
        <f t="shared" si="60"/>
        <v>#N/A</v>
      </c>
      <c r="F77" t="e">
        <f t="shared" si="61"/>
        <v>#N/A</v>
      </c>
      <c r="G77" t="str">
        <f t="shared" si="17"/>
        <v>DPS</v>
      </c>
      <c r="H77" t="str">
        <f t="shared" si="18"/>
        <v>DPS</v>
      </c>
      <c r="I77" t="str">
        <f t="shared" si="19"/>
        <v>DPS</v>
      </c>
      <c r="J77" t="str">
        <f t="shared" si="20"/>
        <v>DPS</v>
      </c>
      <c r="K77" t="str">
        <f t="shared" si="21"/>
        <v>HPS</v>
      </c>
      <c r="L77" t="e">
        <f t="shared" si="25"/>
        <v>#N/A</v>
      </c>
      <c r="M77" t="e">
        <f t="shared" si="26"/>
        <v>#N/A</v>
      </c>
      <c r="N77" t="e">
        <f t="shared" si="27"/>
        <v>#N/A</v>
      </c>
      <c r="O77" t="e">
        <f t="shared" si="28"/>
        <v>#N/A</v>
      </c>
      <c r="P77" t="e">
        <f t="shared" si="29"/>
        <v>#N/A</v>
      </c>
      <c r="Q77" t="e">
        <f t="shared" si="62"/>
        <v>#N/A</v>
      </c>
      <c r="R77" t="e">
        <f t="shared" si="63"/>
        <v>#N/A</v>
      </c>
      <c r="S77" t="e">
        <f t="shared" si="64"/>
        <v>#N/A</v>
      </c>
      <c r="T77">
        <f t="shared" si="46"/>
        <v>1250</v>
      </c>
      <c r="U77" t="e">
        <f t="shared" si="65"/>
        <v>#NUM!</v>
      </c>
      <c r="V77" t="e">
        <f t="shared" si="66"/>
        <v>#N/A</v>
      </c>
      <c r="W77" t="e">
        <f t="shared" si="67"/>
        <v>#N/A</v>
      </c>
      <c r="X77" t="e">
        <f t="shared" si="68"/>
        <v>#N/A</v>
      </c>
      <c r="Y77" t="e">
        <f t="shared" si="69"/>
        <v>#N/A</v>
      </c>
      <c r="Z77" t="e">
        <f t="shared" si="70"/>
        <v>#N/A</v>
      </c>
      <c r="AA77" t="e">
        <f t="shared" si="71"/>
        <v>#N/A</v>
      </c>
      <c r="AB77" t="e">
        <f t="shared" si="72"/>
        <v>#N/A</v>
      </c>
      <c r="AC77" t="e">
        <f t="shared" si="73"/>
        <v>#N/A</v>
      </c>
      <c r="AD77" t="e">
        <f t="shared" si="74"/>
        <v>#N/A</v>
      </c>
      <c r="AE77" t="e">
        <f t="shared" si="75"/>
        <v>#N/A</v>
      </c>
      <c r="AF77" t="e">
        <f t="shared" si="76"/>
        <v>#N/A</v>
      </c>
      <c r="AG77" t="e">
        <f t="shared" si="36"/>
        <v>#N/A</v>
      </c>
      <c r="AH77" t="b">
        <f t="shared" si="37"/>
        <v>0</v>
      </c>
      <c r="AN77" s="132">
        <v>11</v>
      </c>
      <c r="AO77">
        <v>1000</v>
      </c>
      <c r="AP77" t="b">
        <v>0</v>
      </c>
    </row>
    <row r="78" spans="1:42">
      <c r="A78">
        <v>13</v>
      </c>
      <c r="B78" t="e">
        <f t="shared" si="57"/>
        <v>#N/A</v>
      </c>
      <c r="C78" t="e">
        <f t="shared" si="58"/>
        <v>#N/A</v>
      </c>
      <c r="D78" t="e">
        <f t="shared" si="59"/>
        <v>#N/A</v>
      </c>
      <c r="E78" t="e">
        <f t="shared" si="60"/>
        <v>#N/A</v>
      </c>
      <c r="F78" t="e">
        <f t="shared" si="61"/>
        <v>#N/A</v>
      </c>
      <c r="G78" t="str">
        <f t="shared" si="17"/>
        <v>DPS</v>
      </c>
      <c r="H78" t="str">
        <f t="shared" si="18"/>
        <v>DPS</v>
      </c>
      <c r="I78" t="str">
        <f t="shared" si="19"/>
        <v>DPS</v>
      </c>
      <c r="J78" t="str">
        <f t="shared" si="20"/>
        <v>DPS</v>
      </c>
      <c r="K78" t="str">
        <f t="shared" si="21"/>
        <v>HPS</v>
      </c>
      <c r="L78" t="e">
        <f t="shared" si="25"/>
        <v>#N/A</v>
      </c>
      <c r="M78" t="e">
        <f t="shared" si="26"/>
        <v>#N/A</v>
      </c>
      <c r="N78" t="e">
        <f t="shared" si="27"/>
        <v>#N/A</v>
      </c>
      <c r="O78" t="e">
        <f t="shared" si="28"/>
        <v>#N/A</v>
      </c>
      <c r="P78" t="e">
        <f t="shared" si="29"/>
        <v>#N/A</v>
      </c>
      <c r="Q78" t="e">
        <f t="shared" si="62"/>
        <v>#N/A</v>
      </c>
      <c r="R78" t="e">
        <f t="shared" si="63"/>
        <v>#N/A</v>
      </c>
      <c r="S78" t="e">
        <f t="shared" si="64"/>
        <v>#N/A</v>
      </c>
      <c r="T78">
        <f t="shared" si="46"/>
        <v>1250</v>
      </c>
      <c r="U78" t="e">
        <f t="shared" si="65"/>
        <v>#NUM!</v>
      </c>
      <c r="V78" t="e">
        <f t="shared" si="66"/>
        <v>#N/A</v>
      </c>
      <c r="W78" t="e">
        <f t="shared" si="67"/>
        <v>#N/A</v>
      </c>
      <c r="X78" t="e">
        <f t="shared" si="68"/>
        <v>#N/A</v>
      </c>
      <c r="Y78" t="e">
        <f t="shared" si="69"/>
        <v>#N/A</v>
      </c>
      <c r="Z78" t="e">
        <f t="shared" si="70"/>
        <v>#N/A</v>
      </c>
      <c r="AA78" t="e">
        <f t="shared" si="71"/>
        <v>#N/A</v>
      </c>
      <c r="AB78" t="e">
        <f t="shared" si="72"/>
        <v>#N/A</v>
      </c>
      <c r="AC78" t="e">
        <f t="shared" si="73"/>
        <v>#N/A</v>
      </c>
      <c r="AD78" t="e">
        <f t="shared" si="74"/>
        <v>#N/A</v>
      </c>
      <c r="AE78" t="e">
        <f t="shared" si="75"/>
        <v>#N/A</v>
      </c>
      <c r="AF78" t="e">
        <f t="shared" si="76"/>
        <v>#N/A</v>
      </c>
      <c r="AG78" t="e">
        <f t="shared" si="36"/>
        <v>#N/A</v>
      </c>
      <c r="AH78" t="b">
        <f t="shared" si="37"/>
        <v>0</v>
      </c>
      <c r="AN78" s="132">
        <v>12</v>
      </c>
      <c r="AO78">
        <v>1000</v>
      </c>
      <c r="AP78" t="b">
        <v>0</v>
      </c>
    </row>
    <row r="79" spans="1:42">
      <c r="A79">
        <v>14</v>
      </c>
      <c r="B79" t="e">
        <f t="shared" si="57"/>
        <v>#N/A</v>
      </c>
      <c r="C79" t="e">
        <f t="shared" si="58"/>
        <v>#N/A</v>
      </c>
      <c r="D79" t="e">
        <f t="shared" si="59"/>
        <v>#N/A</v>
      </c>
      <c r="E79" t="e">
        <f t="shared" si="60"/>
        <v>#N/A</v>
      </c>
      <c r="F79" t="e">
        <f t="shared" si="61"/>
        <v>#N/A</v>
      </c>
      <c r="G79" t="str">
        <f t="shared" si="17"/>
        <v>DPS</v>
      </c>
      <c r="H79" t="str">
        <f t="shared" si="18"/>
        <v>DPS</v>
      </c>
      <c r="I79" t="str">
        <f t="shared" si="19"/>
        <v>DPS</v>
      </c>
      <c r="J79" t="str">
        <f t="shared" si="20"/>
        <v>DPS</v>
      </c>
      <c r="K79" t="str">
        <f t="shared" si="21"/>
        <v>HPS</v>
      </c>
      <c r="L79" t="e">
        <f t="shared" si="25"/>
        <v>#N/A</v>
      </c>
      <c r="M79" t="e">
        <f t="shared" si="26"/>
        <v>#N/A</v>
      </c>
      <c r="N79" t="e">
        <f t="shared" si="27"/>
        <v>#N/A</v>
      </c>
      <c r="O79" t="e">
        <f t="shared" si="28"/>
        <v>#N/A</v>
      </c>
      <c r="P79" t="e">
        <f t="shared" si="29"/>
        <v>#N/A</v>
      </c>
      <c r="Q79" t="e">
        <f t="shared" si="62"/>
        <v>#N/A</v>
      </c>
      <c r="R79" t="e">
        <f t="shared" si="63"/>
        <v>#N/A</v>
      </c>
      <c r="S79" t="e">
        <f t="shared" si="64"/>
        <v>#N/A</v>
      </c>
      <c r="T79">
        <f t="shared" si="46"/>
        <v>1250</v>
      </c>
      <c r="U79" t="e">
        <f t="shared" si="65"/>
        <v>#NUM!</v>
      </c>
      <c r="V79" t="e">
        <f t="shared" si="66"/>
        <v>#N/A</v>
      </c>
      <c r="W79" t="e">
        <f t="shared" si="67"/>
        <v>#N/A</v>
      </c>
      <c r="X79" t="e">
        <f t="shared" si="68"/>
        <v>#N/A</v>
      </c>
      <c r="Y79" t="e">
        <f t="shared" si="69"/>
        <v>#N/A</v>
      </c>
      <c r="Z79" t="e">
        <f t="shared" si="70"/>
        <v>#N/A</v>
      </c>
      <c r="AA79" t="e">
        <f t="shared" si="71"/>
        <v>#N/A</v>
      </c>
      <c r="AB79" t="e">
        <f t="shared" si="72"/>
        <v>#N/A</v>
      </c>
      <c r="AC79" t="e">
        <f t="shared" si="73"/>
        <v>#N/A</v>
      </c>
      <c r="AD79" t="e">
        <f t="shared" si="74"/>
        <v>#N/A</v>
      </c>
      <c r="AE79" t="e">
        <f t="shared" si="75"/>
        <v>#N/A</v>
      </c>
      <c r="AF79" t="e">
        <f t="shared" si="76"/>
        <v>#N/A</v>
      </c>
      <c r="AG79" t="e">
        <f t="shared" si="36"/>
        <v>#N/A</v>
      </c>
      <c r="AH79" t="b">
        <f t="shared" si="37"/>
        <v>0</v>
      </c>
      <c r="AN79" s="132">
        <v>13</v>
      </c>
      <c r="AO79">
        <v>1000</v>
      </c>
      <c r="AP79" t="b">
        <v>0</v>
      </c>
    </row>
    <row r="80" spans="1:42">
      <c r="A80">
        <v>15</v>
      </c>
      <c r="B80" t="e">
        <f t="shared" si="57"/>
        <v>#N/A</v>
      </c>
      <c r="C80" t="e">
        <f t="shared" si="58"/>
        <v>#N/A</v>
      </c>
      <c r="D80" t="e">
        <f t="shared" si="59"/>
        <v>#N/A</v>
      </c>
      <c r="E80" t="e">
        <f t="shared" si="60"/>
        <v>#N/A</v>
      </c>
      <c r="F80" t="e">
        <f t="shared" si="61"/>
        <v>#N/A</v>
      </c>
      <c r="G80" t="str">
        <f t="shared" si="17"/>
        <v>DPS</v>
      </c>
      <c r="H80" t="str">
        <f t="shared" si="18"/>
        <v>DPS</v>
      </c>
      <c r="I80" t="str">
        <f t="shared" si="19"/>
        <v>DPS</v>
      </c>
      <c r="J80" t="str">
        <f t="shared" si="20"/>
        <v>DPS</v>
      </c>
      <c r="K80" t="str">
        <f t="shared" si="21"/>
        <v>HPS</v>
      </c>
      <c r="L80" t="e">
        <f t="shared" si="25"/>
        <v>#N/A</v>
      </c>
      <c r="M80" t="e">
        <f t="shared" si="26"/>
        <v>#N/A</v>
      </c>
      <c r="N80" t="e">
        <f t="shared" si="27"/>
        <v>#N/A</v>
      </c>
      <c r="O80" t="e">
        <f t="shared" si="28"/>
        <v>#N/A</v>
      </c>
      <c r="P80" t="e">
        <f t="shared" si="29"/>
        <v>#N/A</v>
      </c>
      <c r="Q80" t="e">
        <f t="shared" si="62"/>
        <v>#N/A</v>
      </c>
      <c r="R80" t="e">
        <f t="shared" si="63"/>
        <v>#N/A</v>
      </c>
      <c r="S80" t="e">
        <f t="shared" si="64"/>
        <v>#N/A</v>
      </c>
      <c r="T80">
        <f t="shared" si="46"/>
        <v>1250</v>
      </c>
      <c r="U80" t="e">
        <f t="shared" si="65"/>
        <v>#NUM!</v>
      </c>
      <c r="V80" t="e">
        <f t="shared" si="66"/>
        <v>#N/A</v>
      </c>
      <c r="W80" t="e">
        <f t="shared" si="67"/>
        <v>#N/A</v>
      </c>
      <c r="X80" t="e">
        <f t="shared" si="68"/>
        <v>#N/A</v>
      </c>
      <c r="Y80" t="e">
        <f t="shared" si="69"/>
        <v>#N/A</v>
      </c>
      <c r="Z80" t="e">
        <f t="shared" si="70"/>
        <v>#N/A</v>
      </c>
      <c r="AA80" t="e">
        <f t="shared" si="71"/>
        <v>#N/A</v>
      </c>
      <c r="AB80" t="e">
        <f t="shared" si="72"/>
        <v>#N/A</v>
      </c>
      <c r="AC80" t="e">
        <f t="shared" si="73"/>
        <v>#N/A</v>
      </c>
      <c r="AD80" t="e">
        <f t="shared" si="74"/>
        <v>#N/A</v>
      </c>
      <c r="AE80" t="e">
        <f t="shared" si="75"/>
        <v>#N/A</v>
      </c>
      <c r="AF80" t="e">
        <f t="shared" si="76"/>
        <v>#N/A</v>
      </c>
      <c r="AG80" t="e">
        <f t="shared" si="36"/>
        <v>#N/A</v>
      </c>
      <c r="AH80" t="b">
        <f t="shared" si="37"/>
        <v>0</v>
      </c>
      <c r="AN80" s="132">
        <v>14</v>
      </c>
      <c r="AO80">
        <v>1000</v>
      </c>
      <c r="AP80" t="b">
        <v>0</v>
      </c>
    </row>
    <row r="81" spans="1:42">
      <c r="A81">
        <v>16</v>
      </c>
      <c r="B81" t="e">
        <f t="shared" si="57"/>
        <v>#N/A</v>
      </c>
      <c r="C81" t="e">
        <f t="shared" si="58"/>
        <v>#N/A</v>
      </c>
      <c r="D81" t="e">
        <f t="shared" si="59"/>
        <v>#N/A</v>
      </c>
      <c r="E81" t="e">
        <f t="shared" si="60"/>
        <v>#N/A</v>
      </c>
      <c r="F81" t="e">
        <f t="shared" si="61"/>
        <v>#N/A</v>
      </c>
      <c r="G81" t="str">
        <f t="shared" si="17"/>
        <v>DPS</v>
      </c>
      <c r="H81" t="str">
        <f t="shared" si="18"/>
        <v>DPS</v>
      </c>
      <c r="I81" t="str">
        <f t="shared" si="19"/>
        <v>DPS</v>
      </c>
      <c r="J81" t="str">
        <f t="shared" si="20"/>
        <v>DPS</v>
      </c>
      <c r="K81" t="str">
        <f t="shared" si="21"/>
        <v>HPS</v>
      </c>
      <c r="L81" t="e">
        <f t="shared" si="25"/>
        <v>#N/A</v>
      </c>
      <c r="M81" t="e">
        <f t="shared" si="26"/>
        <v>#N/A</v>
      </c>
      <c r="N81" t="e">
        <f t="shared" si="27"/>
        <v>#N/A</v>
      </c>
      <c r="O81" t="e">
        <f t="shared" si="28"/>
        <v>#N/A</v>
      </c>
      <c r="P81" t="e">
        <f t="shared" si="29"/>
        <v>#N/A</v>
      </c>
      <c r="Q81" t="e">
        <f t="shared" si="62"/>
        <v>#N/A</v>
      </c>
      <c r="R81" t="e">
        <f t="shared" si="63"/>
        <v>#N/A</v>
      </c>
      <c r="S81" t="e">
        <f t="shared" si="64"/>
        <v>#N/A</v>
      </c>
      <c r="T81">
        <f t="shared" si="46"/>
        <v>1250</v>
      </c>
      <c r="U81" t="e">
        <f t="shared" si="65"/>
        <v>#NUM!</v>
      </c>
      <c r="V81" t="e">
        <f t="shared" si="66"/>
        <v>#N/A</v>
      </c>
      <c r="W81" t="e">
        <f t="shared" si="67"/>
        <v>#N/A</v>
      </c>
      <c r="X81" t="e">
        <f t="shared" si="68"/>
        <v>#N/A</v>
      </c>
      <c r="Y81" t="e">
        <f t="shared" si="69"/>
        <v>#N/A</v>
      </c>
      <c r="Z81" t="e">
        <f t="shared" si="70"/>
        <v>#N/A</v>
      </c>
      <c r="AA81" t="e">
        <f t="shared" si="71"/>
        <v>#N/A</v>
      </c>
      <c r="AB81" t="e">
        <f t="shared" si="72"/>
        <v>#N/A</v>
      </c>
      <c r="AC81" t="e">
        <f t="shared" si="73"/>
        <v>#N/A</v>
      </c>
      <c r="AD81" t="e">
        <f t="shared" si="74"/>
        <v>#N/A</v>
      </c>
      <c r="AE81" t="e">
        <f t="shared" si="75"/>
        <v>#N/A</v>
      </c>
      <c r="AF81" t="e">
        <f t="shared" si="76"/>
        <v>#N/A</v>
      </c>
      <c r="AG81" t="e">
        <f t="shared" si="36"/>
        <v>#N/A</v>
      </c>
      <c r="AH81" t="b">
        <f t="shared" si="37"/>
        <v>0</v>
      </c>
      <c r="AN81" s="132">
        <v>15</v>
      </c>
      <c r="AO81">
        <v>1000</v>
      </c>
      <c r="AP81" t="b">
        <v>0</v>
      </c>
    </row>
    <row r="82" spans="1:42">
      <c r="A82">
        <v>17</v>
      </c>
      <c r="B82" t="e">
        <f t="shared" si="57"/>
        <v>#N/A</v>
      </c>
      <c r="C82" t="e">
        <f t="shared" si="58"/>
        <v>#N/A</v>
      </c>
      <c r="D82" t="e">
        <f t="shared" si="59"/>
        <v>#N/A</v>
      </c>
      <c r="E82" t="e">
        <f t="shared" si="60"/>
        <v>#N/A</v>
      </c>
      <c r="F82" t="e">
        <f t="shared" si="61"/>
        <v>#N/A</v>
      </c>
      <c r="G82" t="str">
        <f t="shared" si="17"/>
        <v>DPS</v>
      </c>
      <c r="H82" t="str">
        <f t="shared" si="18"/>
        <v>DPS</v>
      </c>
      <c r="I82" t="str">
        <f t="shared" si="19"/>
        <v>DPS</v>
      </c>
      <c r="J82" t="str">
        <f t="shared" si="20"/>
        <v>DPS</v>
      </c>
      <c r="K82" t="str">
        <f t="shared" si="21"/>
        <v>HPS</v>
      </c>
      <c r="L82" t="e">
        <f t="shared" si="25"/>
        <v>#N/A</v>
      </c>
      <c r="M82" t="e">
        <f t="shared" si="26"/>
        <v>#N/A</v>
      </c>
      <c r="N82" t="e">
        <f t="shared" si="27"/>
        <v>#N/A</v>
      </c>
      <c r="O82" t="e">
        <f t="shared" si="28"/>
        <v>#N/A</v>
      </c>
      <c r="P82" t="e">
        <f t="shared" si="29"/>
        <v>#N/A</v>
      </c>
      <c r="Q82" t="e">
        <f t="shared" si="62"/>
        <v>#N/A</v>
      </c>
      <c r="R82" t="e">
        <f t="shared" si="63"/>
        <v>#N/A</v>
      </c>
      <c r="S82" t="e">
        <f t="shared" si="64"/>
        <v>#N/A</v>
      </c>
      <c r="T82">
        <f t="shared" si="46"/>
        <v>1250</v>
      </c>
      <c r="U82" t="e">
        <f t="shared" si="65"/>
        <v>#NUM!</v>
      </c>
      <c r="V82" t="e">
        <f t="shared" si="66"/>
        <v>#N/A</v>
      </c>
      <c r="W82" t="e">
        <f t="shared" si="67"/>
        <v>#N/A</v>
      </c>
      <c r="X82" t="e">
        <f t="shared" si="68"/>
        <v>#N/A</v>
      </c>
      <c r="Y82" t="e">
        <f t="shared" si="69"/>
        <v>#N/A</v>
      </c>
      <c r="Z82" t="e">
        <f t="shared" si="70"/>
        <v>#N/A</v>
      </c>
      <c r="AA82" t="e">
        <f t="shared" si="71"/>
        <v>#N/A</v>
      </c>
      <c r="AB82" t="e">
        <f t="shared" si="72"/>
        <v>#N/A</v>
      </c>
      <c r="AC82" t="e">
        <f t="shared" si="73"/>
        <v>#N/A</v>
      </c>
      <c r="AD82" t="e">
        <f t="shared" si="74"/>
        <v>#N/A</v>
      </c>
      <c r="AE82" t="e">
        <f t="shared" si="75"/>
        <v>#N/A</v>
      </c>
      <c r="AF82" t="e">
        <f t="shared" si="76"/>
        <v>#N/A</v>
      </c>
      <c r="AG82" t="e">
        <f t="shared" si="36"/>
        <v>#N/A</v>
      </c>
      <c r="AH82" t="b">
        <f t="shared" si="37"/>
        <v>0</v>
      </c>
      <c r="AN82" s="132">
        <v>16</v>
      </c>
      <c r="AO82">
        <v>1000</v>
      </c>
      <c r="AP82" t="b">
        <v>0</v>
      </c>
    </row>
    <row r="83" spans="1:42">
      <c r="A83">
        <v>18</v>
      </c>
      <c r="B83" t="e">
        <f t="shared" si="57"/>
        <v>#N/A</v>
      </c>
      <c r="C83" t="e">
        <f t="shared" si="58"/>
        <v>#N/A</v>
      </c>
      <c r="D83" t="e">
        <f t="shared" si="59"/>
        <v>#N/A</v>
      </c>
      <c r="E83" t="e">
        <f t="shared" si="60"/>
        <v>#N/A</v>
      </c>
      <c r="F83" t="e">
        <f t="shared" si="61"/>
        <v>#N/A</v>
      </c>
      <c r="G83" t="str">
        <f t="shared" si="17"/>
        <v>DPS</v>
      </c>
      <c r="H83" t="str">
        <f t="shared" si="18"/>
        <v>DPS</v>
      </c>
      <c r="I83" t="str">
        <f t="shared" si="19"/>
        <v>DPS</v>
      </c>
      <c r="J83" t="str">
        <f t="shared" si="20"/>
        <v>DPS</v>
      </c>
      <c r="K83" t="str">
        <f t="shared" si="21"/>
        <v>HPS</v>
      </c>
      <c r="L83" t="e">
        <f t="shared" si="25"/>
        <v>#N/A</v>
      </c>
      <c r="M83" t="e">
        <f t="shared" si="26"/>
        <v>#N/A</v>
      </c>
      <c r="N83" t="e">
        <f t="shared" si="27"/>
        <v>#N/A</v>
      </c>
      <c r="O83" t="e">
        <f t="shared" si="28"/>
        <v>#N/A</v>
      </c>
      <c r="P83" t="e">
        <f t="shared" si="29"/>
        <v>#N/A</v>
      </c>
      <c r="Q83" t="e">
        <f t="shared" si="62"/>
        <v>#N/A</v>
      </c>
      <c r="R83" t="e">
        <f t="shared" si="63"/>
        <v>#N/A</v>
      </c>
      <c r="S83" t="e">
        <f t="shared" si="64"/>
        <v>#N/A</v>
      </c>
      <c r="T83">
        <f t="shared" si="46"/>
        <v>1250</v>
      </c>
      <c r="U83" t="e">
        <f t="shared" si="65"/>
        <v>#NUM!</v>
      </c>
      <c r="V83" t="e">
        <f t="shared" si="66"/>
        <v>#N/A</v>
      </c>
      <c r="W83" t="e">
        <f t="shared" si="67"/>
        <v>#N/A</v>
      </c>
      <c r="X83" t="e">
        <f t="shared" si="68"/>
        <v>#N/A</v>
      </c>
      <c r="Y83" t="e">
        <f t="shared" si="69"/>
        <v>#N/A</v>
      </c>
      <c r="Z83" t="e">
        <f t="shared" si="70"/>
        <v>#N/A</v>
      </c>
      <c r="AA83" t="e">
        <f t="shared" si="71"/>
        <v>#N/A</v>
      </c>
      <c r="AB83" t="e">
        <f t="shared" si="72"/>
        <v>#N/A</v>
      </c>
      <c r="AC83" t="e">
        <f t="shared" si="73"/>
        <v>#N/A</v>
      </c>
      <c r="AD83" t="e">
        <f t="shared" si="74"/>
        <v>#N/A</v>
      </c>
      <c r="AE83" t="e">
        <f t="shared" si="75"/>
        <v>#N/A</v>
      </c>
      <c r="AF83" t="e">
        <f t="shared" si="76"/>
        <v>#N/A</v>
      </c>
      <c r="AG83" t="e">
        <f t="shared" si="36"/>
        <v>#N/A</v>
      </c>
      <c r="AH83" t="b">
        <f t="shared" si="37"/>
        <v>0</v>
      </c>
      <c r="AN83" s="132">
        <v>17</v>
      </c>
      <c r="AO83">
        <v>1000</v>
      </c>
      <c r="AP83" t="b">
        <v>0</v>
      </c>
    </row>
    <row r="84" spans="1:42">
      <c r="A84">
        <v>19</v>
      </c>
      <c r="B84" t="e">
        <f t="shared" si="57"/>
        <v>#N/A</v>
      </c>
      <c r="C84" t="e">
        <f t="shared" si="58"/>
        <v>#N/A</v>
      </c>
      <c r="D84" t="e">
        <f t="shared" si="59"/>
        <v>#N/A</v>
      </c>
      <c r="E84" t="e">
        <f t="shared" si="60"/>
        <v>#N/A</v>
      </c>
      <c r="F84" t="e">
        <f t="shared" si="61"/>
        <v>#N/A</v>
      </c>
      <c r="G84" t="str">
        <f t="shared" si="17"/>
        <v>DPS</v>
      </c>
      <c r="H84" t="str">
        <f t="shared" si="18"/>
        <v>DPS</v>
      </c>
      <c r="I84" t="str">
        <f t="shared" si="19"/>
        <v>DPS</v>
      </c>
      <c r="J84" t="str">
        <f t="shared" si="20"/>
        <v>DPS</v>
      </c>
      <c r="K84" t="str">
        <f t="shared" si="21"/>
        <v>HPS</v>
      </c>
      <c r="L84" t="e">
        <f t="shared" si="25"/>
        <v>#N/A</v>
      </c>
      <c r="M84" t="e">
        <f t="shared" si="26"/>
        <v>#N/A</v>
      </c>
      <c r="N84" t="e">
        <f t="shared" si="27"/>
        <v>#N/A</v>
      </c>
      <c r="O84" t="e">
        <f t="shared" si="28"/>
        <v>#N/A</v>
      </c>
      <c r="P84" t="e">
        <f t="shared" si="29"/>
        <v>#N/A</v>
      </c>
      <c r="Q84" t="e">
        <f t="shared" si="62"/>
        <v>#N/A</v>
      </c>
      <c r="R84" t="e">
        <f t="shared" si="63"/>
        <v>#N/A</v>
      </c>
      <c r="S84" t="e">
        <f t="shared" si="64"/>
        <v>#N/A</v>
      </c>
      <c r="T84">
        <f t="shared" si="46"/>
        <v>1250</v>
      </c>
      <c r="U84" t="e">
        <f t="shared" si="65"/>
        <v>#NUM!</v>
      </c>
      <c r="V84" t="e">
        <f t="shared" si="66"/>
        <v>#N/A</v>
      </c>
      <c r="W84" t="e">
        <f t="shared" si="67"/>
        <v>#N/A</v>
      </c>
      <c r="X84" t="e">
        <f t="shared" si="68"/>
        <v>#N/A</v>
      </c>
      <c r="Y84" t="e">
        <f t="shared" si="69"/>
        <v>#N/A</v>
      </c>
      <c r="Z84" t="e">
        <f t="shared" si="70"/>
        <v>#N/A</v>
      </c>
      <c r="AA84" t="e">
        <f t="shared" si="71"/>
        <v>#N/A</v>
      </c>
      <c r="AB84" t="e">
        <f t="shared" si="72"/>
        <v>#N/A</v>
      </c>
      <c r="AC84" t="e">
        <f t="shared" si="73"/>
        <v>#N/A</v>
      </c>
      <c r="AD84" t="e">
        <f t="shared" si="74"/>
        <v>#N/A</v>
      </c>
      <c r="AE84" t="e">
        <f t="shared" si="75"/>
        <v>#N/A</v>
      </c>
      <c r="AF84" t="e">
        <f t="shared" si="76"/>
        <v>#N/A</v>
      </c>
      <c r="AG84" t="e">
        <f t="shared" si="36"/>
        <v>#N/A</v>
      </c>
      <c r="AH84" t="b">
        <f t="shared" si="37"/>
        <v>0</v>
      </c>
      <c r="AN84" s="132">
        <v>18</v>
      </c>
      <c r="AO84">
        <v>1000</v>
      </c>
      <c r="AP84" t="b">
        <v>0</v>
      </c>
    </row>
    <row r="85" spans="1:42">
      <c r="A85">
        <v>20</v>
      </c>
      <c r="B85" t="e">
        <f t="shared" si="57"/>
        <v>#N/A</v>
      </c>
      <c r="C85" t="e">
        <f t="shared" si="58"/>
        <v>#N/A</v>
      </c>
      <c r="D85" t="e">
        <f t="shared" si="59"/>
        <v>#N/A</v>
      </c>
      <c r="E85" t="e">
        <f t="shared" si="60"/>
        <v>#N/A</v>
      </c>
      <c r="F85" t="e">
        <f t="shared" si="61"/>
        <v>#N/A</v>
      </c>
      <c r="G85" t="str">
        <f t="shared" si="17"/>
        <v>DPS</v>
      </c>
      <c r="H85" t="str">
        <f t="shared" si="18"/>
        <v>DPS</v>
      </c>
      <c r="I85" t="str">
        <f t="shared" si="19"/>
        <v>DPS</v>
      </c>
      <c r="J85" t="str">
        <f t="shared" si="20"/>
        <v>DPS</v>
      </c>
      <c r="K85" t="str">
        <f t="shared" si="21"/>
        <v>HPS</v>
      </c>
      <c r="L85" t="e">
        <f t="shared" si="25"/>
        <v>#N/A</v>
      </c>
      <c r="M85" t="e">
        <f t="shared" si="26"/>
        <v>#N/A</v>
      </c>
      <c r="N85" t="e">
        <f t="shared" si="27"/>
        <v>#N/A</v>
      </c>
      <c r="O85" t="e">
        <f t="shared" si="28"/>
        <v>#N/A</v>
      </c>
      <c r="P85" t="e">
        <f t="shared" si="29"/>
        <v>#N/A</v>
      </c>
      <c r="Q85" t="e">
        <f t="shared" si="62"/>
        <v>#N/A</v>
      </c>
      <c r="R85" t="e">
        <f t="shared" si="63"/>
        <v>#N/A</v>
      </c>
      <c r="S85" t="e">
        <f t="shared" si="64"/>
        <v>#N/A</v>
      </c>
      <c r="T85">
        <f t="shared" si="46"/>
        <v>1250</v>
      </c>
      <c r="U85" t="e">
        <f t="shared" si="65"/>
        <v>#NUM!</v>
      </c>
      <c r="V85" t="e">
        <f t="shared" si="66"/>
        <v>#N/A</v>
      </c>
      <c r="W85" t="e">
        <f t="shared" si="67"/>
        <v>#N/A</v>
      </c>
      <c r="X85" t="e">
        <f t="shared" si="68"/>
        <v>#N/A</v>
      </c>
      <c r="Y85" t="e">
        <f t="shared" si="69"/>
        <v>#N/A</v>
      </c>
      <c r="Z85" t="e">
        <f t="shared" si="70"/>
        <v>#N/A</v>
      </c>
      <c r="AA85" t="e">
        <f t="shared" si="71"/>
        <v>#N/A</v>
      </c>
      <c r="AB85" t="e">
        <f t="shared" si="72"/>
        <v>#N/A</v>
      </c>
      <c r="AC85" t="e">
        <f t="shared" si="73"/>
        <v>#N/A</v>
      </c>
      <c r="AD85" t="e">
        <f t="shared" si="74"/>
        <v>#N/A</v>
      </c>
      <c r="AE85" t="e">
        <f t="shared" si="75"/>
        <v>#N/A</v>
      </c>
      <c r="AF85" t="e">
        <f t="shared" si="76"/>
        <v>#N/A</v>
      </c>
      <c r="AG85" t="e">
        <f t="shared" si="36"/>
        <v>#N/A</v>
      </c>
      <c r="AH85" t="b">
        <f t="shared" si="37"/>
        <v>0</v>
      </c>
      <c r="AN85" s="132">
        <v>19</v>
      </c>
      <c r="AO85">
        <v>1000</v>
      </c>
      <c r="AP85" t="b">
        <v>0</v>
      </c>
    </row>
    <row r="86" spans="1:42">
      <c r="A86">
        <v>21</v>
      </c>
      <c r="B86" t="e">
        <f t="shared" si="57"/>
        <v>#N/A</v>
      </c>
      <c r="C86" t="e">
        <f t="shared" si="58"/>
        <v>#N/A</v>
      </c>
      <c r="D86" t="e">
        <f t="shared" si="59"/>
        <v>#N/A</v>
      </c>
      <c r="E86" t="e">
        <f t="shared" si="60"/>
        <v>#N/A</v>
      </c>
      <c r="F86" t="e">
        <f t="shared" si="61"/>
        <v>#N/A</v>
      </c>
      <c r="G86" t="str">
        <f t="shared" si="17"/>
        <v>DPS</v>
      </c>
      <c r="H86" t="str">
        <f t="shared" si="18"/>
        <v>DPS</v>
      </c>
      <c r="I86" t="str">
        <f t="shared" si="19"/>
        <v>DPS</v>
      </c>
      <c r="J86" t="str">
        <f t="shared" si="20"/>
        <v>DPS</v>
      </c>
      <c r="K86" t="str">
        <f t="shared" si="21"/>
        <v>HPS</v>
      </c>
      <c r="L86" t="e">
        <f t="shared" si="25"/>
        <v>#N/A</v>
      </c>
      <c r="M86" t="e">
        <f t="shared" si="26"/>
        <v>#N/A</v>
      </c>
      <c r="N86" t="e">
        <f t="shared" si="27"/>
        <v>#N/A</v>
      </c>
      <c r="O86" t="e">
        <f t="shared" si="28"/>
        <v>#N/A</v>
      </c>
      <c r="P86" t="e">
        <f t="shared" si="29"/>
        <v>#N/A</v>
      </c>
      <c r="Q86" t="e">
        <f t="shared" si="62"/>
        <v>#N/A</v>
      </c>
      <c r="R86" t="e">
        <f t="shared" si="63"/>
        <v>#N/A</v>
      </c>
      <c r="S86" t="e">
        <f t="shared" si="64"/>
        <v>#N/A</v>
      </c>
      <c r="T86">
        <f t="shared" si="46"/>
        <v>1250</v>
      </c>
      <c r="U86" t="e">
        <f t="shared" si="65"/>
        <v>#NUM!</v>
      </c>
      <c r="V86" t="e">
        <f t="shared" si="66"/>
        <v>#N/A</v>
      </c>
      <c r="W86" t="e">
        <f t="shared" si="67"/>
        <v>#N/A</v>
      </c>
      <c r="X86" t="e">
        <f t="shared" si="68"/>
        <v>#N/A</v>
      </c>
      <c r="Y86" t="e">
        <f t="shared" si="69"/>
        <v>#N/A</v>
      </c>
      <c r="Z86" t="e">
        <f t="shared" si="70"/>
        <v>#N/A</v>
      </c>
      <c r="AA86" t="e">
        <f t="shared" si="71"/>
        <v>#N/A</v>
      </c>
      <c r="AB86" t="e">
        <f t="shared" si="72"/>
        <v>#N/A</v>
      </c>
      <c r="AC86" t="e">
        <f t="shared" si="73"/>
        <v>#N/A</v>
      </c>
      <c r="AD86" t="e">
        <f t="shared" si="74"/>
        <v>#N/A</v>
      </c>
      <c r="AE86" t="e">
        <f t="shared" si="75"/>
        <v>#N/A</v>
      </c>
      <c r="AF86" t="e">
        <f t="shared" si="76"/>
        <v>#N/A</v>
      </c>
      <c r="AG86" t="e">
        <f t="shared" si="36"/>
        <v>#N/A</v>
      </c>
      <c r="AH86" t="b">
        <f t="shared" si="37"/>
        <v>0</v>
      </c>
      <c r="AN86" s="132">
        <v>20</v>
      </c>
      <c r="AO86">
        <v>1000</v>
      </c>
      <c r="AP86" t="b">
        <v>0</v>
      </c>
    </row>
    <row r="87" spans="1:42">
      <c r="A87">
        <v>22</v>
      </c>
      <c r="B87" t="e">
        <f t="shared" si="57"/>
        <v>#N/A</v>
      </c>
      <c r="C87" t="e">
        <f t="shared" si="58"/>
        <v>#N/A</v>
      </c>
      <c r="D87" t="e">
        <f t="shared" si="59"/>
        <v>#N/A</v>
      </c>
      <c r="E87" t="e">
        <f t="shared" si="60"/>
        <v>#N/A</v>
      </c>
      <c r="F87" t="e">
        <f t="shared" si="61"/>
        <v>#N/A</v>
      </c>
      <c r="G87" t="str">
        <f t="shared" si="17"/>
        <v>DPS</v>
      </c>
      <c r="H87" t="str">
        <f t="shared" si="18"/>
        <v>DPS</v>
      </c>
      <c r="I87" t="str">
        <f t="shared" si="19"/>
        <v>DPS</v>
      </c>
      <c r="J87" t="str">
        <f t="shared" si="20"/>
        <v>DPS</v>
      </c>
      <c r="K87" t="str">
        <f t="shared" si="21"/>
        <v>HPS</v>
      </c>
      <c r="L87" t="e">
        <f t="shared" si="25"/>
        <v>#N/A</v>
      </c>
      <c r="M87" t="e">
        <f t="shared" si="26"/>
        <v>#N/A</v>
      </c>
      <c r="N87" t="e">
        <f t="shared" si="27"/>
        <v>#N/A</v>
      </c>
      <c r="O87" t="e">
        <f t="shared" si="28"/>
        <v>#N/A</v>
      </c>
      <c r="P87" t="e">
        <f t="shared" si="29"/>
        <v>#N/A</v>
      </c>
      <c r="Q87" t="e">
        <f t="shared" si="62"/>
        <v>#N/A</v>
      </c>
      <c r="R87" t="e">
        <f t="shared" si="63"/>
        <v>#N/A</v>
      </c>
      <c r="S87" t="e">
        <f t="shared" si="64"/>
        <v>#N/A</v>
      </c>
      <c r="T87">
        <f t="shared" si="46"/>
        <v>1250</v>
      </c>
      <c r="U87" t="e">
        <f t="shared" si="65"/>
        <v>#NUM!</v>
      </c>
      <c r="V87" t="e">
        <f t="shared" si="66"/>
        <v>#N/A</v>
      </c>
      <c r="W87" t="e">
        <f t="shared" si="67"/>
        <v>#N/A</v>
      </c>
      <c r="X87" t="e">
        <f t="shared" si="68"/>
        <v>#N/A</v>
      </c>
      <c r="Y87" t="e">
        <f t="shared" si="69"/>
        <v>#N/A</v>
      </c>
      <c r="Z87" t="e">
        <f t="shared" si="70"/>
        <v>#N/A</v>
      </c>
      <c r="AA87" t="e">
        <f t="shared" si="71"/>
        <v>#N/A</v>
      </c>
      <c r="AB87" t="e">
        <f t="shared" si="72"/>
        <v>#N/A</v>
      </c>
      <c r="AC87" t="e">
        <f t="shared" si="73"/>
        <v>#N/A</v>
      </c>
      <c r="AD87" t="e">
        <f t="shared" si="74"/>
        <v>#N/A</v>
      </c>
      <c r="AE87" t="e">
        <f t="shared" si="75"/>
        <v>#N/A</v>
      </c>
      <c r="AF87" t="e">
        <f t="shared" si="76"/>
        <v>#N/A</v>
      </c>
      <c r="AG87" t="e">
        <f t="shared" si="36"/>
        <v>#N/A</v>
      </c>
      <c r="AH87" t="b">
        <f t="shared" si="37"/>
        <v>0</v>
      </c>
    </row>
    <row r="88" spans="1:42">
      <c r="A88">
        <v>23</v>
      </c>
      <c r="B88" t="e">
        <f t="shared" si="57"/>
        <v>#N/A</v>
      </c>
      <c r="C88" t="e">
        <f t="shared" si="58"/>
        <v>#N/A</v>
      </c>
      <c r="D88" t="e">
        <f t="shared" si="59"/>
        <v>#N/A</v>
      </c>
      <c r="E88" t="e">
        <f t="shared" si="60"/>
        <v>#N/A</v>
      </c>
      <c r="F88" t="e">
        <f t="shared" si="61"/>
        <v>#N/A</v>
      </c>
      <c r="G88" t="str">
        <f t="shared" si="17"/>
        <v>DPS</v>
      </c>
      <c r="H88" t="str">
        <f t="shared" si="18"/>
        <v>DPS</v>
      </c>
      <c r="I88" t="str">
        <f t="shared" si="19"/>
        <v>DPS</v>
      </c>
      <c r="J88" t="str">
        <f t="shared" si="20"/>
        <v>DPS</v>
      </c>
      <c r="K88" t="str">
        <f t="shared" si="21"/>
        <v>HPS</v>
      </c>
      <c r="L88" t="e">
        <f t="shared" si="25"/>
        <v>#N/A</v>
      </c>
      <c r="M88" t="e">
        <f t="shared" si="26"/>
        <v>#N/A</v>
      </c>
      <c r="N88" t="e">
        <f t="shared" si="27"/>
        <v>#N/A</v>
      </c>
      <c r="O88" t="e">
        <f t="shared" si="28"/>
        <v>#N/A</v>
      </c>
      <c r="P88" t="e">
        <f t="shared" si="29"/>
        <v>#N/A</v>
      </c>
      <c r="Q88" t="e">
        <f t="shared" si="62"/>
        <v>#N/A</v>
      </c>
      <c r="R88" t="e">
        <f t="shared" si="63"/>
        <v>#N/A</v>
      </c>
      <c r="S88" t="e">
        <f t="shared" si="64"/>
        <v>#N/A</v>
      </c>
      <c r="T88">
        <f t="shared" si="46"/>
        <v>1250</v>
      </c>
      <c r="U88" t="e">
        <f t="shared" si="65"/>
        <v>#NUM!</v>
      </c>
      <c r="V88" t="e">
        <f t="shared" si="66"/>
        <v>#N/A</v>
      </c>
      <c r="W88" t="e">
        <f t="shared" si="67"/>
        <v>#N/A</v>
      </c>
      <c r="X88" t="e">
        <f t="shared" si="68"/>
        <v>#N/A</v>
      </c>
      <c r="Y88" t="e">
        <f t="shared" si="69"/>
        <v>#N/A</v>
      </c>
      <c r="Z88" t="e">
        <f t="shared" si="70"/>
        <v>#N/A</v>
      </c>
      <c r="AA88" t="e">
        <f t="shared" si="71"/>
        <v>#N/A</v>
      </c>
      <c r="AB88" t="e">
        <f t="shared" si="72"/>
        <v>#N/A</v>
      </c>
      <c r="AC88" t="e">
        <f t="shared" si="73"/>
        <v>#N/A</v>
      </c>
      <c r="AD88" t="e">
        <f t="shared" si="74"/>
        <v>#N/A</v>
      </c>
      <c r="AE88" t="e">
        <f t="shared" si="75"/>
        <v>#N/A</v>
      </c>
      <c r="AF88" t="e">
        <f t="shared" si="76"/>
        <v>#N/A</v>
      </c>
      <c r="AG88" t="e">
        <f t="shared" si="36"/>
        <v>#N/A</v>
      </c>
      <c r="AH88" t="b">
        <f t="shared" si="37"/>
        <v>0</v>
      </c>
    </row>
    <row r="89" spans="1:42">
      <c r="A89">
        <v>24</v>
      </c>
      <c r="B89" t="e">
        <f t="shared" si="57"/>
        <v>#N/A</v>
      </c>
      <c r="C89" t="e">
        <f t="shared" si="58"/>
        <v>#N/A</v>
      </c>
      <c r="D89" t="e">
        <f t="shared" si="59"/>
        <v>#N/A</v>
      </c>
      <c r="E89" t="e">
        <f t="shared" si="60"/>
        <v>#N/A</v>
      </c>
      <c r="F89" t="e">
        <f t="shared" si="61"/>
        <v>#N/A</v>
      </c>
      <c r="G89" t="str">
        <f t="shared" si="17"/>
        <v>DPS</v>
      </c>
      <c r="H89" t="str">
        <f t="shared" si="18"/>
        <v>DPS</v>
      </c>
      <c r="I89" t="str">
        <f t="shared" si="19"/>
        <v>DPS</v>
      </c>
      <c r="J89" t="str">
        <f t="shared" si="20"/>
        <v>DPS</v>
      </c>
      <c r="K89" t="str">
        <f t="shared" si="21"/>
        <v>HPS</v>
      </c>
      <c r="L89" t="e">
        <f t="shared" si="25"/>
        <v>#N/A</v>
      </c>
      <c r="M89" t="e">
        <f t="shared" si="26"/>
        <v>#N/A</v>
      </c>
      <c r="N89" t="e">
        <f t="shared" si="27"/>
        <v>#N/A</v>
      </c>
      <c r="O89" t="e">
        <f t="shared" si="28"/>
        <v>#N/A</v>
      </c>
      <c r="P89" t="e">
        <f t="shared" si="29"/>
        <v>#N/A</v>
      </c>
      <c r="Q89" t="e">
        <f t="shared" si="62"/>
        <v>#N/A</v>
      </c>
      <c r="R89" t="e">
        <f t="shared" si="63"/>
        <v>#N/A</v>
      </c>
      <c r="S89" t="e">
        <f t="shared" si="64"/>
        <v>#N/A</v>
      </c>
      <c r="T89">
        <f t="shared" si="46"/>
        <v>1250</v>
      </c>
      <c r="U89" t="e">
        <f t="shared" si="65"/>
        <v>#NUM!</v>
      </c>
      <c r="V89" t="e">
        <f t="shared" si="66"/>
        <v>#N/A</v>
      </c>
      <c r="W89" t="e">
        <f t="shared" si="67"/>
        <v>#N/A</v>
      </c>
      <c r="X89" t="e">
        <f t="shared" si="68"/>
        <v>#N/A</v>
      </c>
      <c r="Y89" t="e">
        <f t="shared" si="69"/>
        <v>#N/A</v>
      </c>
      <c r="Z89" t="e">
        <f t="shared" si="70"/>
        <v>#N/A</v>
      </c>
      <c r="AA89" t="e">
        <f t="shared" si="71"/>
        <v>#N/A</v>
      </c>
      <c r="AB89" t="e">
        <f t="shared" si="72"/>
        <v>#N/A</v>
      </c>
      <c r="AC89" t="e">
        <f t="shared" si="73"/>
        <v>#N/A</v>
      </c>
      <c r="AD89" t="e">
        <f t="shared" si="74"/>
        <v>#N/A</v>
      </c>
      <c r="AE89" t="e">
        <f t="shared" si="75"/>
        <v>#N/A</v>
      </c>
      <c r="AF89" t="e">
        <f t="shared" si="76"/>
        <v>#N/A</v>
      </c>
      <c r="AG89" t="e">
        <f t="shared" si="36"/>
        <v>#N/A</v>
      </c>
      <c r="AH89" t="b">
        <f t="shared" si="37"/>
        <v>0</v>
      </c>
    </row>
    <row r="90" spans="1:42">
      <c r="A90">
        <v>25</v>
      </c>
      <c r="B90" t="e">
        <f t="shared" si="57"/>
        <v>#N/A</v>
      </c>
      <c r="C90" t="e">
        <f t="shared" si="58"/>
        <v>#N/A</v>
      </c>
      <c r="D90" t="e">
        <f t="shared" si="59"/>
        <v>#N/A</v>
      </c>
      <c r="E90" t="e">
        <f t="shared" si="60"/>
        <v>#N/A</v>
      </c>
      <c r="F90" t="e">
        <f t="shared" si="61"/>
        <v>#N/A</v>
      </c>
      <c r="G90" t="str">
        <f t="shared" si="17"/>
        <v>DPS</v>
      </c>
      <c r="H90" t="str">
        <f t="shared" si="18"/>
        <v>DPS</v>
      </c>
      <c r="I90" t="str">
        <f t="shared" si="19"/>
        <v>DPS</v>
      </c>
      <c r="J90" t="str">
        <f t="shared" si="20"/>
        <v>DPS</v>
      </c>
      <c r="K90" t="str">
        <f t="shared" si="21"/>
        <v>HPS</v>
      </c>
      <c r="L90" t="e">
        <f t="shared" si="25"/>
        <v>#N/A</v>
      </c>
      <c r="M90" t="e">
        <f t="shared" si="26"/>
        <v>#N/A</v>
      </c>
      <c r="N90" t="e">
        <f t="shared" si="27"/>
        <v>#N/A</v>
      </c>
      <c r="O90" t="e">
        <f t="shared" si="28"/>
        <v>#N/A</v>
      </c>
      <c r="P90" t="e">
        <f t="shared" si="29"/>
        <v>#N/A</v>
      </c>
      <c r="Q90" t="e">
        <f t="shared" si="62"/>
        <v>#N/A</v>
      </c>
      <c r="R90" t="e">
        <f t="shared" si="63"/>
        <v>#N/A</v>
      </c>
      <c r="S90" t="e">
        <f t="shared" si="64"/>
        <v>#N/A</v>
      </c>
      <c r="T90">
        <f t="shared" si="46"/>
        <v>1250</v>
      </c>
      <c r="U90" t="e">
        <f t="shared" si="65"/>
        <v>#NUM!</v>
      </c>
      <c r="V90" t="e">
        <f t="shared" si="66"/>
        <v>#N/A</v>
      </c>
      <c r="W90" t="e">
        <f t="shared" si="67"/>
        <v>#N/A</v>
      </c>
      <c r="X90" t="e">
        <f t="shared" si="68"/>
        <v>#N/A</v>
      </c>
      <c r="Y90" t="e">
        <f t="shared" si="69"/>
        <v>#N/A</v>
      </c>
      <c r="Z90" t="e">
        <f t="shared" si="70"/>
        <v>#N/A</v>
      </c>
      <c r="AA90" t="e">
        <f t="shared" si="71"/>
        <v>#N/A</v>
      </c>
      <c r="AB90" t="e">
        <f t="shared" si="72"/>
        <v>#N/A</v>
      </c>
      <c r="AC90" t="e">
        <f t="shared" si="73"/>
        <v>#N/A</v>
      </c>
      <c r="AD90" t="e">
        <f t="shared" si="74"/>
        <v>#N/A</v>
      </c>
      <c r="AE90" t="e">
        <f t="shared" si="75"/>
        <v>#N/A</v>
      </c>
      <c r="AF90" t="e">
        <f t="shared" si="76"/>
        <v>#N/A</v>
      </c>
      <c r="AG90" t="e">
        <f t="shared" si="36"/>
        <v>#N/A</v>
      </c>
      <c r="AH90" t="b">
        <f t="shared" si="37"/>
        <v>0</v>
      </c>
    </row>
    <row r="91" spans="1:42">
      <c r="A91">
        <v>26</v>
      </c>
      <c r="B91" t="e">
        <f t="shared" si="57"/>
        <v>#N/A</v>
      </c>
      <c r="C91" t="e">
        <f t="shared" si="58"/>
        <v>#N/A</v>
      </c>
      <c r="D91" t="e">
        <f t="shared" si="59"/>
        <v>#N/A</v>
      </c>
      <c r="E91" t="e">
        <f t="shared" si="60"/>
        <v>#N/A</v>
      </c>
      <c r="F91" t="e">
        <f t="shared" si="61"/>
        <v>#N/A</v>
      </c>
      <c r="G91" t="str">
        <f t="shared" si="17"/>
        <v>DPS</v>
      </c>
      <c r="H91" t="str">
        <f t="shared" si="18"/>
        <v>DPS</v>
      </c>
      <c r="I91" t="str">
        <f t="shared" si="19"/>
        <v>DPS</v>
      </c>
      <c r="J91" t="str">
        <f t="shared" si="20"/>
        <v>DPS</v>
      </c>
      <c r="K91" t="str">
        <f t="shared" si="21"/>
        <v>HPS</v>
      </c>
      <c r="L91" t="e">
        <f t="shared" si="25"/>
        <v>#N/A</v>
      </c>
      <c r="M91" t="e">
        <f t="shared" si="26"/>
        <v>#N/A</v>
      </c>
      <c r="N91" t="e">
        <f t="shared" si="27"/>
        <v>#N/A</v>
      </c>
      <c r="O91" t="e">
        <f t="shared" si="28"/>
        <v>#N/A</v>
      </c>
      <c r="P91" t="e">
        <f t="shared" si="29"/>
        <v>#N/A</v>
      </c>
      <c r="Q91" t="e">
        <f t="shared" si="62"/>
        <v>#N/A</v>
      </c>
      <c r="R91" t="e">
        <f t="shared" si="63"/>
        <v>#N/A</v>
      </c>
      <c r="S91" t="e">
        <f t="shared" si="64"/>
        <v>#N/A</v>
      </c>
      <c r="T91">
        <f t="shared" si="46"/>
        <v>1250</v>
      </c>
      <c r="U91" t="e">
        <f t="shared" si="65"/>
        <v>#NUM!</v>
      </c>
      <c r="V91" t="e">
        <f t="shared" si="66"/>
        <v>#N/A</v>
      </c>
      <c r="W91" t="e">
        <f t="shared" si="67"/>
        <v>#N/A</v>
      </c>
      <c r="X91" t="e">
        <f t="shared" si="68"/>
        <v>#N/A</v>
      </c>
      <c r="Y91" t="e">
        <f t="shared" si="69"/>
        <v>#N/A</v>
      </c>
      <c r="Z91" t="e">
        <f t="shared" si="70"/>
        <v>#N/A</v>
      </c>
      <c r="AA91" t="e">
        <f t="shared" si="71"/>
        <v>#N/A</v>
      </c>
      <c r="AB91" t="e">
        <f t="shared" si="72"/>
        <v>#N/A</v>
      </c>
      <c r="AC91" t="e">
        <f t="shared" si="73"/>
        <v>#N/A</v>
      </c>
      <c r="AD91" t="e">
        <f t="shared" si="74"/>
        <v>#N/A</v>
      </c>
      <c r="AE91" t="e">
        <f t="shared" si="75"/>
        <v>#N/A</v>
      </c>
      <c r="AF91" t="e">
        <f t="shared" si="76"/>
        <v>#N/A</v>
      </c>
      <c r="AG91" t="e">
        <f t="shared" si="36"/>
        <v>#N/A</v>
      </c>
      <c r="AH91" t="b">
        <f t="shared" si="37"/>
        <v>0</v>
      </c>
    </row>
    <row r="92" spans="1:42">
      <c r="A92">
        <v>27</v>
      </c>
      <c r="B92" t="e">
        <f t="shared" si="57"/>
        <v>#N/A</v>
      </c>
      <c r="C92" t="e">
        <f t="shared" si="58"/>
        <v>#N/A</v>
      </c>
      <c r="D92" t="e">
        <f t="shared" si="59"/>
        <v>#N/A</v>
      </c>
      <c r="E92" t="e">
        <f t="shared" si="60"/>
        <v>#N/A</v>
      </c>
      <c r="F92" t="e">
        <f t="shared" si="61"/>
        <v>#N/A</v>
      </c>
      <c r="G92" t="str">
        <f t="shared" si="17"/>
        <v>DPS</v>
      </c>
      <c r="H92" t="str">
        <f t="shared" si="18"/>
        <v>DPS</v>
      </c>
      <c r="I92" t="str">
        <f t="shared" si="19"/>
        <v>DPS</v>
      </c>
      <c r="J92" t="str">
        <f t="shared" si="20"/>
        <v>DPS</v>
      </c>
      <c r="K92" t="str">
        <f t="shared" si="21"/>
        <v>HPS</v>
      </c>
      <c r="L92" t="e">
        <f t="shared" si="25"/>
        <v>#N/A</v>
      </c>
      <c r="M92" t="e">
        <f t="shared" si="26"/>
        <v>#N/A</v>
      </c>
      <c r="N92" t="e">
        <f t="shared" si="27"/>
        <v>#N/A</v>
      </c>
      <c r="O92" t="e">
        <f t="shared" si="28"/>
        <v>#N/A</v>
      </c>
      <c r="P92" t="e">
        <f t="shared" si="29"/>
        <v>#N/A</v>
      </c>
      <c r="Q92" t="e">
        <f t="shared" si="62"/>
        <v>#N/A</v>
      </c>
      <c r="R92" t="e">
        <f t="shared" si="63"/>
        <v>#N/A</v>
      </c>
      <c r="S92" t="e">
        <f t="shared" si="64"/>
        <v>#N/A</v>
      </c>
      <c r="T92">
        <f t="shared" si="46"/>
        <v>1250</v>
      </c>
      <c r="U92" t="e">
        <f t="shared" si="65"/>
        <v>#NUM!</v>
      </c>
      <c r="V92" t="e">
        <f t="shared" si="66"/>
        <v>#N/A</v>
      </c>
      <c r="W92" t="e">
        <f t="shared" si="67"/>
        <v>#N/A</v>
      </c>
      <c r="X92" t="e">
        <f t="shared" si="68"/>
        <v>#N/A</v>
      </c>
      <c r="Y92" t="e">
        <f t="shared" si="69"/>
        <v>#N/A</v>
      </c>
      <c r="Z92" t="e">
        <f t="shared" si="70"/>
        <v>#N/A</v>
      </c>
      <c r="AA92" t="e">
        <f t="shared" si="71"/>
        <v>#N/A</v>
      </c>
      <c r="AB92" t="e">
        <f t="shared" si="72"/>
        <v>#N/A</v>
      </c>
      <c r="AC92" t="e">
        <f t="shared" si="73"/>
        <v>#N/A</v>
      </c>
      <c r="AD92" t="e">
        <f t="shared" si="74"/>
        <v>#N/A</v>
      </c>
      <c r="AE92" t="e">
        <f t="shared" si="75"/>
        <v>#N/A</v>
      </c>
      <c r="AF92" t="e">
        <f t="shared" si="76"/>
        <v>#N/A</v>
      </c>
      <c r="AG92" t="e">
        <f t="shared" si="36"/>
        <v>#N/A</v>
      </c>
      <c r="AH92" t="b">
        <f t="shared" si="37"/>
        <v>0</v>
      </c>
    </row>
    <row r="93" spans="1:42">
      <c r="A93">
        <v>28</v>
      </c>
      <c r="B93" t="e">
        <f t="shared" si="57"/>
        <v>#N/A</v>
      </c>
      <c r="C93" t="e">
        <f t="shared" si="58"/>
        <v>#N/A</v>
      </c>
      <c r="D93" t="e">
        <f t="shared" si="59"/>
        <v>#N/A</v>
      </c>
      <c r="E93" t="e">
        <f t="shared" si="60"/>
        <v>#N/A</v>
      </c>
      <c r="F93" t="e">
        <f t="shared" si="61"/>
        <v>#N/A</v>
      </c>
      <c r="G93" t="str">
        <f t="shared" si="17"/>
        <v>DPS</v>
      </c>
      <c r="H93" t="str">
        <f t="shared" si="18"/>
        <v>DPS</v>
      </c>
      <c r="I93" t="str">
        <f t="shared" si="19"/>
        <v>DPS</v>
      </c>
      <c r="J93" t="str">
        <f t="shared" si="20"/>
        <v>DPS</v>
      </c>
      <c r="K93" t="str">
        <f t="shared" si="21"/>
        <v>HPS</v>
      </c>
      <c r="L93" t="e">
        <f t="shared" si="25"/>
        <v>#N/A</v>
      </c>
      <c r="M93" t="e">
        <f t="shared" si="26"/>
        <v>#N/A</v>
      </c>
      <c r="N93" t="e">
        <f t="shared" si="27"/>
        <v>#N/A</v>
      </c>
      <c r="O93" t="e">
        <f t="shared" si="28"/>
        <v>#N/A</v>
      </c>
      <c r="P93" t="e">
        <f t="shared" si="29"/>
        <v>#N/A</v>
      </c>
      <c r="Q93" t="e">
        <f t="shared" si="62"/>
        <v>#N/A</v>
      </c>
      <c r="R93" t="e">
        <f t="shared" si="63"/>
        <v>#N/A</v>
      </c>
      <c r="S93" t="e">
        <f t="shared" si="64"/>
        <v>#N/A</v>
      </c>
      <c r="T93">
        <f t="shared" si="46"/>
        <v>1250</v>
      </c>
      <c r="U93" t="e">
        <f t="shared" si="65"/>
        <v>#NUM!</v>
      </c>
      <c r="V93" t="e">
        <f t="shared" si="66"/>
        <v>#N/A</v>
      </c>
      <c r="W93" t="e">
        <f t="shared" si="67"/>
        <v>#N/A</v>
      </c>
      <c r="X93" t="e">
        <f t="shared" si="68"/>
        <v>#N/A</v>
      </c>
      <c r="Y93" t="e">
        <f t="shared" si="69"/>
        <v>#N/A</v>
      </c>
      <c r="Z93" t="e">
        <f t="shared" si="70"/>
        <v>#N/A</v>
      </c>
      <c r="AA93" t="e">
        <f t="shared" si="71"/>
        <v>#N/A</v>
      </c>
      <c r="AB93" t="e">
        <f t="shared" si="72"/>
        <v>#N/A</v>
      </c>
      <c r="AC93" t="e">
        <f t="shared" si="73"/>
        <v>#N/A</v>
      </c>
      <c r="AD93" t="e">
        <f t="shared" si="74"/>
        <v>#N/A</v>
      </c>
      <c r="AE93" t="e">
        <f t="shared" si="75"/>
        <v>#N/A</v>
      </c>
      <c r="AF93" t="e">
        <f t="shared" si="76"/>
        <v>#N/A</v>
      </c>
      <c r="AG93" t="e">
        <f t="shared" si="36"/>
        <v>#N/A</v>
      </c>
      <c r="AH93" t="b">
        <f t="shared" si="37"/>
        <v>0</v>
      </c>
    </row>
    <row r="94" spans="1:42">
      <c r="A94">
        <v>29</v>
      </c>
      <c r="B94" t="e">
        <f t="shared" si="57"/>
        <v>#N/A</v>
      </c>
      <c r="C94" t="e">
        <f t="shared" si="58"/>
        <v>#N/A</v>
      </c>
      <c r="D94" t="e">
        <f t="shared" si="59"/>
        <v>#N/A</v>
      </c>
      <c r="E94" t="e">
        <f t="shared" si="60"/>
        <v>#N/A</v>
      </c>
      <c r="F94" t="e">
        <f t="shared" si="61"/>
        <v>#N/A</v>
      </c>
      <c r="G94" t="str">
        <f t="shared" si="17"/>
        <v>DPS</v>
      </c>
      <c r="H94" t="str">
        <f t="shared" si="18"/>
        <v>DPS</v>
      </c>
      <c r="I94" t="str">
        <f t="shared" si="19"/>
        <v>DPS</v>
      </c>
      <c r="J94" t="str">
        <f t="shared" si="20"/>
        <v>DPS</v>
      </c>
      <c r="K94" t="str">
        <f t="shared" si="21"/>
        <v>HPS</v>
      </c>
      <c r="L94" t="e">
        <f t="shared" si="25"/>
        <v>#N/A</v>
      </c>
      <c r="M94" t="e">
        <f t="shared" si="26"/>
        <v>#N/A</v>
      </c>
      <c r="N94" t="e">
        <f t="shared" si="27"/>
        <v>#N/A</v>
      </c>
      <c r="O94" t="e">
        <f t="shared" si="28"/>
        <v>#N/A</v>
      </c>
      <c r="P94" t="e">
        <f t="shared" si="29"/>
        <v>#N/A</v>
      </c>
      <c r="Q94" t="e">
        <f t="shared" si="62"/>
        <v>#N/A</v>
      </c>
      <c r="R94" t="e">
        <f t="shared" si="63"/>
        <v>#N/A</v>
      </c>
      <c r="S94" t="e">
        <f t="shared" si="64"/>
        <v>#N/A</v>
      </c>
      <c r="T94">
        <f t="shared" si="46"/>
        <v>1250</v>
      </c>
      <c r="U94" t="e">
        <f t="shared" si="65"/>
        <v>#NUM!</v>
      </c>
      <c r="V94" t="e">
        <f t="shared" si="66"/>
        <v>#N/A</v>
      </c>
      <c r="W94" t="e">
        <f t="shared" si="67"/>
        <v>#N/A</v>
      </c>
      <c r="X94" t="e">
        <f t="shared" si="68"/>
        <v>#N/A</v>
      </c>
      <c r="Y94" t="e">
        <f t="shared" si="69"/>
        <v>#N/A</v>
      </c>
      <c r="Z94" t="e">
        <f t="shared" si="70"/>
        <v>#N/A</v>
      </c>
      <c r="AA94" t="e">
        <f t="shared" si="71"/>
        <v>#N/A</v>
      </c>
      <c r="AB94" t="e">
        <f t="shared" si="72"/>
        <v>#N/A</v>
      </c>
      <c r="AC94" t="e">
        <f t="shared" si="73"/>
        <v>#N/A</v>
      </c>
      <c r="AD94" t="e">
        <f t="shared" si="74"/>
        <v>#N/A</v>
      </c>
      <c r="AE94" t="e">
        <f t="shared" si="75"/>
        <v>#N/A</v>
      </c>
      <c r="AF94" t="e">
        <f t="shared" si="76"/>
        <v>#N/A</v>
      </c>
      <c r="AG94" t="e">
        <f t="shared" si="36"/>
        <v>#N/A</v>
      </c>
      <c r="AH94" t="b">
        <f t="shared" si="37"/>
        <v>0</v>
      </c>
    </row>
    <row r="95" spans="1:42">
      <c r="A95">
        <v>30</v>
      </c>
      <c r="B95" t="e">
        <f t="shared" si="57"/>
        <v>#N/A</v>
      </c>
      <c r="C95" t="e">
        <f t="shared" si="58"/>
        <v>#N/A</v>
      </c>
      <c r="D95" t="e">
        <f t="shared" si="59"/>
        <v>#N/A</v>
      </c>
      <c r="E95" t="e">
        <f t="shared" si="60"/>
        <v>#N/A</v>
      </c>
      <c r="F95" t="e">
        <f t="shared" si="61"/>
        <v>#N/A</v>
      </c>
      <c r="G95" t="str">
        <f t="shared" si="17"/>
        <v>DPS</v>
      </c>
      <c r="H95" t="str">
        <f t="shared" si="18"/>
        <v>DPS</v>
      </c>
      <c r="I95" t="str">
        <f t="shared" si="19"/>
        <v>DPS</v>
      </c>
      <c r="J95" t="str">
        <f t="shared" si="20"/>
        <v>DPS</v>
      </c>
      <c r="K95" t="str">
        <f t="shared" si="21"/>
        <v>HPS</v>
      </c>
      <c r="L95" t="e">
        <f t="shared" si="25"/>
        <v>#N/A</v>
      </c>
      <c r="M95" t="e">
        <f t="shared" si="26"/>
        <v>#N/A</v>
      </c>
      <c r="N95" t="e">
        <f t="shared" si="27"/>
        <v>#N/A</v>
      </c>
      <c r="O95" t="e">
        <f t="shared" si="28"/>
        <v>#N/A</v>
      </c>
      <c r="P95" t="e">
        <f t="shared" si="29"/>
        <v>#N/A</v>
      </c>
      <c r="Q95" t="e">
        <f t="shared" si="62"/>
        <v>#N/A</v>
      </c>
      <c r="R95" t="e">
        <f t="shared" si="63"/>
        <v>#N/A</v>
      </c>
      <c r="S95" t="e">
        <f t="shared" si="64"/>
        <v>#N/A</v>
      </c>
      <c r="T95">
        <f t="shared" si="46"/>
        <v>1250</v>
      </c>
      <c r="U95" t="e">
        <f t="shared" si="65"/>
        <v>#NUM!</v>
      </c>
      <c r="V95" t="e">
        <f t="shared" si="66"/>
        <v>#N/A</v>
      </c>
      <c r="W95" t="e">
        <f t="shared" si="67"/>
        <v>#N/A</v>
      </c>
      <c r="X95" t="e">
        <f t="shared" si="68"/>
        <v>#N/A</v>
      </c>
      <c r="Y95" t="e">
        <f t="shared" si="69"/>
        <v>#N/A</v>
      </c>
      <c r="Z95" t="e">
        <f t="shared" si="70"/>
        <v>#N/A</v>
      </c>
      <c r="AA95" t="e">
        <f t="shared" si="71"/>
        <v>#N/A</v>
      </c>
      <c r="AB95" t="e">
        <f t="shared" si="72"/>
        <v>#N/A</v>
      </c>
      <c r="AC95" t="e">
        <f t="shared" si="73"/>
        <v>#N/A</v>
      </c>
      <c r="AD95" t="e">
        <f t="shared" si="74"/>
        <v>#N/A</v>
      </c>
      <c r="AE95" t="e">
        <f t="shared" si="75"/>
        <v>#N/A</v>
      </c>
      <c r="AF95" t="e">
        <f t="shared" si="76"/>
        <v>#N/A</v>
      </c>
      <c r="AG95" t="e">
        <f t="shared" si="36"/>
        <v>#N/A</v>
      </c>
      <c r="AH95" t="b">
        <f t="shared" si="37"/>
        <v>0</v>
      </c>
    </row>
    <row r="96" spans="1:42">
      <c r="A96">
        <v>31</v>
      </c>
      <c r="B96" t="e">
        <f t="shared" si="57"/>
        <v>#N/A</v>
      </c>
      <c r="C96" t="e">
        <f t="shared" si="58"/>
        <v>#N/A</v>
      </c>
      <c r="D96" t="e">
        <f t="shared" si="59"/>
        <v>#N/A</v>
      </c>
      <c r="E96" t="e">
        <f t="shared" si="60"/>
        <v>#N/A</v>
      </c>
      <c r="F96" t="e">
        <f t="shared" si="61"/>
        <v>#N/A</v>
      </c>
      <c r="G96" t="str">
        <f t="shared" si="17"/>
        <v>DPS</v>
      </c>
      <c r="H96" t="str">
        <f t="shared" si="18"/>
        <v>DPS</v>
      </c>
      <c r="I96" t="str">
        <f t="shared" si="19"/>
        <v>DPS</v>
      </c>
      <c r="J96" t="str">
        <f t="shared" si="20"/>
        <v>DPS</v>
      </c>
      <c r="K96" t="str">
        <f t="shared" si="21"/>
        <v>HPS</v>
      </c>
      <c r="L96" t="e">
        <f t="shared" si="25"/>
        <v>#N/A</v>
      </c>
      <c r="M96" t="e">
        <f t="shared" si="26"/>
        <v>#N/A</v>
      </c>
      <c r="N96" t="e">
        <f t="shared" si="27"/>
        <v>#N/A</v>
      </c>
      <c r="O96" t="e">
        <f t="shared" si="28"/>
        <v>#N/A</v>
      </c>
      <c r="P96" t="e">
        <f t="shared" si="29"/>
        <v>#N/A</v>
      </c>
      <c r="Q96" t="e">
        <f t="shared" si="62"/>
        <v>#N/A</v>
      </c>
      <c r="R96" t="e">
        <f t="shared" si="63"/>
        <v>#N/A</v>
      </c>
      <c r="S96" t="e">
        <f t="shared" si="64"/>
        <v>#N/A</v>
      </c>
      <c r="T96">
        <f t="shared" si="46"/>
        <v>1250</v>
      </c>
      <c r="U96" t="e">
        <f t="shared" si="65"/>
        <v>#NUM!</v>
      </c>
      <c r="V96" t="e">
        <f t="shared" si="66"/>
        <v>#N/A</v>
      </c>
      <c r="W96" t="e">
        <f t="shared" si="67"/>
        <v>#N/A</v>
      </c>
      <c r="X96" t="e">
        <f t="shared" si="68"/>
        <v>#N/A</v>
      </c>
      <c r="Y96" t="e">
        <f t="shared" si="69"/>
        <v>#N/A</v>
      </c>
      <c r="Z96" t="e">
        <f t="shared" si="70"/>
        <v>#N/A</v>
      </c>
      <c r="AA96" t="e">
        <f t="shared" si="71"/>
        <v>#N/A</v>
      </c>
      <c r="AB96" t="e">
        <f t="shared" si="72"/>
        <v>#N/A</v>
      </c>
      <c r="AC96" t="e">
        <f t="shared" si="73"/>
        <v>#N/A</v>
      </c>
      <c r="AD96" t="e">
        <f t="shared" si="74"/>
        <v>#N/A</v>
      </c>
      <c r="AE96" t="e">
        <f t="shared" si="75"/>
        <v>#N/A</v>
      </c>
      <c r="AF96" t="e">
        <f t="shared" si="76"/>
        <v>#N/A</v>
      </c>
      <c r="AG96" t="e">
        <f t="shared" si="36"/>
        <v>#N/A</v>
      </c>
      <c r="AH96" t="b">
        <f t="shared" si="37"/>
        <v>0</v>
      </c>
    </row>
    <row r="97" spans="1:34">
      <c r="A97">
        <v>32</v>
      </c>
      <c r="B97" t="e">
        <f t="shared" si="57"/>
        <v>#N/A</v>
      </c>
      <c r="C97" t="e">
        <f t="shared" si="58"/>
        <v>#N/A</v>
      </c>
      <c r="D97" t="e">
        <f t="shared" si="59"/>
        <v>#N/A</v>
      </c>
      <c r="E97" t="e">
        <f t="shared" si="60"/>
        <v>#N/A</v>
      </c>
      <c r="F97" t="e">
        <f t="shared" si="61"/>
        <v>#N/A</v>
      </c>
      <c r="G97" t="str">
        <f t="shared" si="17"/>
        <v>DPS</v>
      </c>
      <c r="H97" t="str">
        <f t="shared" si="18"/>
        <v>DPS</v>
      </c>
      <c r="I97" t="str">
        <f t="shared" si="19"/>
        <v>DPS</v>
      </c>
      <c r="J97" t="str">
        <f t="shared" si="20"/>
        <v>DPS</v>
      </c>
      <c r="K97" t="str">
        <f t="shared" si="21"/>
        <v>HPS</v>
      </c>
      <c r="L97" t="e">
        <f t="shared" si="25"/>
        <v>#N/A</v>
      </c>
      <c r="M97" t="e">
        <f t="shared" si="26"/>
        <v>#N/A</v>
      </c>
      <c r="N97" t="e">
        <f t="shared" si="27"/>
        <v>#N/A</v>
      </c>
      <c r="O97" t="e">
        <f t="shared" si="28"/>
        <v>#N/A</v>
      </c>
      <c r="P97" t="e">
        <f t="shared" si="29"/>
        <v>#N/A</v>
      </c>
      <c r="Q97" t="e">
        <f t="shared" si="62"/>
        <v>#N/A</v>
      </c>
      <c r="R97" t="e">
        <f t="shared" si="63"/>
        <v>#N/A</v>
      </c>
      <c r="S97" t="e">
        <f t="shared" si="64"/>
        <v>#N/A</v>
      </c>
      <c r="T97">
        <f t="shared" si="46"/>
        <v>1250</v>
      </c>
      <c r="U97" t="e">
        <f t="shared" si="65"/>
        <v>#NUM!</v>
      </c>
      <c r="V97" t="e">
        <f t="shared" si="66"/>
        <v>#N/A</v>
      </c>
      <c r="W97" t="e">
        <f t="shared" si="67"/>
        <v>#N/A</v>
      </c>
      <c r="X97" t="e">
        <f t="shared" si="68"/>
        <v>#N/A</v>
      </c>
      <c r="Y97" t="e">
        <f t="shared" si="69"/>
        <v>#N/A</v>
      </c>
      <c r="Z97" t="e">
        <f t="shared" si="70"/>
        <v>#N/A</v>
      </c>
      <c r="AA97" t="e">
        <f t="shared" si="71"/>
        <v>#N/A</v>
      </c>
      <c r="AB97" t="e">
        <f t="shared" si="72"/>
        <v>#N/A</v>
      </c>
      <c r="AC97" t="e">
        <f t="shared" si="73"/>
        <v>#N/A</v>
      </c>
      <c r="AD97" t="e">
        <f t="shared" si="74"/>
        <v>#N/A</v>
      </c>
      <c r="AE97" t="e">
        <f t="shared" si="75"/>
        <v>#N/A</v>
      </c>
      <c r="AF97" t="e">
        <f t="shared" si="76"/>
        <v>#N/A</v>
      </c>
      <c r="AG97" t="e">
        <f t="shared" si="36"/>
        <v>#N/A</v>
      </c>
      <c r="AH97" t="b">
        <f t="shared" si="37"/>
        <v>0</v>
      </c>
    </row>
    <row r="98" spans="1:34">
      <c r="A98">
        <v>33</v>
      </c>
      <c r="B98" t="e">
        <f t="shared" si="57"/>
        <v>#N/A</v>
      </c>
      <c r="C98" t="e">
        <f t="shared" si="58"/>
        <v>#N/A</v>
      </c>
      <c r="D98" t="e">
        <f t="shared" si="59"/>
        <v>#N/A</v>
      </c>
      <c r="E98" t="e">
        <f t="shared" si="60"/>
        <v>#N/A</v>
      </c>
      <c r="F98" t="e">
        <f t="shared" si="61"/>
        <v>#N/A</v>
      </c>
      <c r="G98" t="str">
        <f t="shared" ref="G98:G129" si="77">INDEX($E$3:$E$23,MATCH(B$63,$A$3:$A$23,0))</f>
        <v>DPS</v>
      </c>
      <c r="H98" t="str">
        <f t="shared" ref="H98:H129" si="78">INDEX($E$3:$E$23,MATCH(C$63,$A$3:$A$23,0))</f>
        <v>DPS</v>
      </c>
      <c r="I98" t="str">
        <f t="shared" ref="I98:I129" si="79">INDEX($E$3:$E$23,MATCH(D$63,$A$3:$A$23,0))</f>
        <v>DPS</v>
      </c>
      <c r="J98" t="str">
        <f t="shared" ref="J98:J129" si="80">INDEX($E$3:$E$23,MATCH(E$63,$A$3:$A$23,0))</f>
        <v>DPS</v>
      </c>
      <c r="K98" t="str">
        <f t="shared" ref="K98:K129" si="81">INDEX($E$3:$E$23,MATCH(F$63,$A$3:$A$23,0))</f>
        <v>HPS</v>
      </c>
      <c r="L98" t="e">
        <f t="shared" si="25"/>
        <v>#N/A</v>
      </c>
      <c r="M98" t="e">
        <f t="shared" si="26"/>
        <v>#N/A</v>
      </c>
      <c r="N98" t="e">
        <f t="shared" si="27"/>
        <v>#N/A</v>
      </c>
      <c r="O98" t="e">
        <f t="shared" si="28"/>
        <v>#N/A</v>
      </c>
      <c r="P98" t="e">
        <f t="shared" si="29"/>
        <v>#N/A</v>
      </c>
      <c r="Q98" t="e">
        <f t="shared" si="62"/>
        <v>#N/A</v>
      </c>
      <c r="R98" t="e">
        <f t="shared" si="63"/>
        <v>#N/A</v>
      </c>
      <c r="S98" t="e">
        <f t="shared" si="64"/>
        <v>#N/A</v>
      </c>
      <c r="T98">
        <f t="shared" si="46"/>
        <v>1250</v>
      </c>
      <c r="U98" t="e">
        <f t="shared" si="65"/>
        <v>#NUM!</v>
      </c>
      <c r="V98" t="e">
        <f t="shared" si="66"/>
        <v>#N/A</v>
      </c>
      <c r="W98" t="e">
        <f t="shared" si="67"/>
        <v>#N/A</v>
      </c>
      <c r="X98" t="e">
        <f t="shared" si="68"/>
        <v>#N/A</v>
      </c>
      <c r="Y98" t="e">
        <f t="shared" si="69"/>
        <v>#N/A</v>
      </c>
      <c r="Z98" t="e">
        <f t="shared" si="70"/>
        <v>#N/A</v>
      </c>
      <c r="AA98" t="e">
        <f t="shared" si="71"/>
        <v>#N/A</v>
      </c>
      <c r="AB98" t="e">
        <f t="shared" si="72"/>
        <v>#N/A</v>
      </c>
      <c r="AC98" t="e">
        <f t="shared" si="73"/>
        <v>#N/A</v>
      </c>
      <c r="AD98" t="e">
        <f t="shared" si="74"/>
        <v>#N/A</v>
      </c>
      <c r="AE98" t="e">
        <f t="shared" si="75"/>
        <v>#N/A</v>
      </c>
      <c r="AF98" t="e">
        <f t="shared" si="76"/>
        <v>#N/A</v>
      </c>
      <c r="AG98" t="e">
        <f t="shared" si="36"/>
        <v>#N/A</v>
      </c>
      <c r="AH98" t="b">
        <f t="shared" si="37"/>
        <v>0</v>
      </c>
    </row>
    <row r="99" spans="1:34">
      <c r="A99">
        <v>34</v>
      </c>
      <c r="B99" t="e">
        <f t="shared" si="57"/>
        <v>#N/A</v>
      </c>
      <c r="C99" t="e">
        <f t="shared" si="58"/>
        <v>#N/A</v>
      </c>
      <c r="D99" t="e">
        <f t="shared" si="59"/>
        <v>#N/A</v>
      </c>
      <c r="E99" t="e">
        <f t="shared" si="60"/>
        <v>#N/A</v>
      </c>
      <c r="F99" t="e">
        <f t="shared" si="61"/>
        <v>#N/A</v>
      </c>
      <c r="G99" t="str">
        <f t="shared" si="77"/>
        <v>DPS</v>
      </c>
      <c r="H99" t="str">
        <f t="shared" si="78"/>
        <v>DPS</v>
      </c>
      <c r="I99" t="str">
        <f t="shared" si="79"/>
        <v>DPS</v>
      </c>
      <c r="J99" t="str">
        <f t="shared" si="80"/>
        <v>DPS</v>
      </c>
      <c r="K99" t="str">
        <f t="shared" si="81"/>
        <v>HPS</v>
      </c>
      <c r="L99" t="e">
        <f t="shared" ref="L99:L130" si="82">IF(AA98,0,INDEX($F$3:$F$23,MATCH(B$63,$A$3:$A$23,0)))</f>
        <v>#N/A</v>
      </c>
      <c r="M99" t="e">
        <f t="shared" ref="M99:M130" si="83">IF(AB98,0,INDEX($F$3:$F$23,MATCH(C$63,$A$3:$A$23,0)))</f>
        <v>#N/A</v>
      </c>
      <c r="N99" t="e">
        <f t="shared" ref="N99:N130" si="84">IF(AC98,0,INDEX($F$3:$F$23,MATCH(D$63,$A$3:$A$23,0)))</f>
        <v>#N/A</v>
      </c>
      <c r="O99" t="e">
        <f t="shared" ref="O99:O130" si="85">IF(AD98,0,INDEX($F$3:$F$23,MATCH(E$63,$A$3:$A$23,0)))</f>
        <v>#N/A</v>
      </c>
      <c r="P99" t="e">
        <f t="shared" ref="P99:P130" si="86">IF(AE98,0,INDEX($F$3:$F$23,MATCH(F$63,$A$3:$A$23,0)))</f>
        <v>#N/A</v>
      </c>
      <c r="Q99" t="e">
        <f t="shared" si="62"/>
        <v>#N/A</v>
      </c>
      <c r="R99" t="e">
        <f t="shared" si="63"/>
        <v>#N/A</v>
      </c>
      <c r="S99" t="e">
        <f t="shared" si="64"/>
        <v>#N/A</v>
      </c>
      <c r="T99">
        <f t="shared" si="46"/>
        <v>1250</v>
      </c>
      <c r="U99" t="e">
        <f t="shared" si="65"/>
        <v>#NUM!</v>
      </c>
      <c r="V99" t="e">
        <f t="shared" si="66"/>
        <v>#N/A</v>
      </c>
      <c r="W99" t="e">
        <f t="shared" si="67"/>
        <v>#N/A</v>
      </c>
      <c r="X99" t="e">
        <f t="shared" si="68"/>
        <v>#N/A</v>
      </c>
      <c r="Y99" t="e">
        <f t="shared" si="69"/>
        <v>#N/A</v>
      </c>
      <c r="Z99" t="e">
        <f t="shared" si="70"/>
        <v>#N/A</v>
      </c>
      <c r="AA99" t="e">
        <f t="shared" si="71"/>
        <v>#N/A</v>
      </c>
      <c r="AB99" t="e">
        <f t="shared" si="72"/>
        <v>#N/A</v>
      </c>
      <c r="AC99" t="e">
        <f t="shared" si="73"/>
        <v>#N/A</v>
      </c>
      <c r="AD99" t="e">
        <f t="shared" si="74"/>
        <v>#N/A</v>
      </c>
      <c r="AE99" t="e">
        <f t="shared" si="75"/>
        <v>#N/A</v>
      </c>
      <c r="AF99" t="e">
        <f t="shared" si="76"/>
        <v>#N/A</v>
      </c>
      <c r="AG99" t="e">
        <f t="shared" si="36"/>
        <v>#N/A</v>
      </c>
      <c r="AH99" t="b">
        <f t="shared" si="37"/>
        <v>0</v>
      </c>
    </row>
    <row r="100" spans="1:34">
      <c r="A100">
        <v>35</v>
      </c>
      <c r="B100" t="e">
        <f t="shared" si="57"/>
        <v>#N/A</v>
      </c>
      <c r="C100" t="e">
        <f t="shared" si="58"/>
        <v>#N/A</v>
      </c>
      <c r="D100" t="e">
        <f t="shared" si="59"/>
        <v>#N/A</v>
      </c>
      <c r="E100" t="e">
        <f t="shared" si="60"/>
        <v>#N/A</v>
      </c>
      <c r="F100" t="e">
        <f t="shared" si="61"/>
        <v>#N/A</v>
      </c>
      <c r="G100" t="str">
        <f t="shared" si="77"/>
        <v>DPS</v>
      </c>
      <c r="H100" t="str">
        <f t="shared" si="78"/>
        <v>DPS</v>
      </c>
      <c r="I100" t="str">
        <f t="shared" si="79"/>
        <v>DPS</v>
      </c>
      <c r="J100" t="str">
        <f t="shared" si="80"/>
        <v>DPS</v>
      </c>
      <c r="K100" t="str">
        <f t="shared" si="81"/>
        <v>HPS</v>
      </c>
      <c r="L100" t="e">
        <f t="shared" si="82"/>
        <v>#N/A</v>
      </c>
      <c r="M100" t="e">
        <f t="shared" si="83"/>
        <v>#N/A</v>
      </c>
      <c r="N100" t="e">
        <f t="shared" si="84"/>
        <v>#N/A</v>
      </c>
      <c r="O100" t="e">
        <f t="shared" si="85"/>
        <v>#N/A</v>
      </c>
      <c r="P100" t="e">
        <f t="shared" si="86"/>
        <v>#N/A</v>
      </c>
      <c r="Q100" t="e">
        <f t="shared" si="62"/>
        <v>#N/A</v>
      </c>
      <c r="R100" t="e">
        <f t="shared" si="63"/>
        <v>#N/A</v>
      </c>
      <c r="S100" t="e">
        <f t="shared" si="64"/>
        <v>#N/A</v>
      </c>
      <c r="T100">
        <f t="shared" si="46"/>
        <v>1250</v>
      </c>
      <c r="U100" t="e">
        <f t="shared" si="65"/>
        <v>#NUM!</v>
      </c>
      <c r="V100" t="e">
        <f t="shared" si="66"/>
        <v>#N/A</v>
      </c>
      <c r="W100" t="e">
        <f t="shared" si="67"/>
        <v>#N/A</v>
      </c>
      <c r="X100" t="e">
        <f t="shared" si="68"/>
        <v>#N/A</v>
      </c>
      <c r="Y100" t="e">
        <f t="shared" si="69"/>
        <v>#N/A</v>
      </c>
      <c r="Z100" t="e">
        <f t="shared" si="70"/>
        <v>#N/A</v>
      </c>
      <c r="AA100" t="e">
        <f t="shared" si="71"/>
        <v>#N/A</v>
      </c>
      <c r="AB100" t="e">
        <f t="shared" si="72"/>
        <v>#N/A</v>
      </c>
      <c r="AC100" t="e">
        <f t="shared" si="73"/>
        <v>#N/A</v>
      </c>
      <c r="AD100" t="e">
        <f t="shared" si="74"/>
        <v>#N/A</v>
      </c>
      <c r="AE100" t="e">
        <f t="shared" si="75"/>
        <v>#N/A</v>
      </c>
      <c r="AF100" t="e">
        <f t="shared" si="76"/>
        <v>#N/A</v>
      </c>
      <c r="AG100" t="e">
        <f t="shared" si="36"/>
        <v>#N/A</v>
      </c>
      <c r="AH100" t="b">
        <f t="shared" si="37"/>
        <v>0</v>
      </c>
    </row>
    <row r="101" spans="1:34">
      <c r="A101">
        <v>36</v>
      </c>
      <c r="B101" t="e">
        <f t="shared" si="57"/>
        <v>#N/A</v>
      </c>
      <c r="C101" t="e">
        <f t="shared" si="58"/>
        <v>#N/A</v>
      </c>
      <c r="D101" t="e">
        <f t="shared" si="59"/>
        <v>#N/A</v>
      </c>
      <c r="E101" t="e">
        <f t="shared" si="60"/>
        <v>#N/A</v>
      </c>
      <c r="F101" t="e">
        <f t="shared" si="61"/>
        <v>#N/A</v>
      </c>
      <c r="G101" t="str">
        <f t="shared" si="77"/>
        <v>DPS</v>
      </c>
      <c r="H101" t="str">
        <f t="shared" si="78"/>
        <v>DPS</v>
      </c>
      <c r="I101" t="str">
        <f t="shared" si="79"/>
        <v>DPS</v>
      </c>
      <c r="J101" t="str">
        <f t="shared" si="80"/>
        <v>DPS</v>
      </c>
      <c r="K101" t="str">
        <f t="shared" si="81"/>
        <v>HPS</v>
      </c>
      <c r="L101" t="e">
        <f t="shared" si="82"/>
        <v>#N/A</v>
      </c>
      <c r="M101" t="e">
        <f t="shared" si="83"/>
        <v>#N/A</v>
      </c>
      <c r="N101" t="e">
        <f t="shared" si="84"/>
        <v>#N/A</v>
      </c>
      <c r="O101" t="e">
        <f t="shared" si="85"/>
        <v>#N/A</v>
      </c>
      <c r="P101" t="e">
        <f t="shared" si="86"/>
        <v>#N/A</v>
      </c>
      <c r="Q101" t="e">
        <f t="shared" si="62"/>
        <v>#N/A</v>
      </c>
      <c r="R101" t="e">
        <f t="shared" si="63"/>
        <v>#N/A</v>
      </c>
      <c r="S101" t="e">
        <f t="shared" si="64"/>
        <v>#N/A</v>
      </c>
      <c r="T101">
        <f t="shared" si="46"/>
        <v>1250</v>
      </c>
      <c r="U101" t="e">
        <f t="shared" si="65"/>
        <v>#NUM!</v>
      </c>
      <c r="V101" t="e">
        <f t="shared" si="66"/>
        <v>#N/A</v>
      </c>
      <c r="W101" t="e">
        <f t="shared" si="67"/>
        <v>#N/A</v>
      </c>
      <c r="X101" t="e">
        <f t="shared" si="68"/>
        <v>#N/A</v>
      </c>
      <c r="Y101" t="e">
        <f t="shared" si="69"/>
        <v>#N/A</v>
      </c>
      <c r="Z101" t="e">
        <f t="shared" si="70"/>
        <v>#N/A</v>
      </c>
      <c r="AA101" t="e">
        <f t="shared" si="71"/>
        <v>#N/A</v>
      </c>
      <c r="AB101" t="e">
        <f t="shared" si="72"/>
        <v>#N/A</v>
      </c>
      <c r="AC101" t="e">
        <f t="shared" si="73"/>
        <v>#N/A</v>
      </c>
      <c r="AD101" t="e">
        <f t="shared" si="74"/>
        <v>#N/A</v>
      </c>
      <c r="AE101" t="e">
        <f t="shared" si="75"/>
        <v>#N/A</v>
      </c>
      <c r="AF101" t="e">
        <f t="shared" si="76"/>
        <v>#N/A</v>
      </c>
      <c r="AG101" t="e">
        <f t="shared" si="36"/>
        <v>#N/A</v>
      </c>
      <c r="AH101" t="b">
        <f t="shared" si="37"/>
        <v>0</v>
      </c>
    </row>
    <row r="102" spans="1:34">
      <c r="A102">
        <v>37</v>
      </c>
      <c r="B102" t="e">
        <f t="shared" si="57"/>
        <v>#N/A</v>
      </c>
      <c r="C102" t="e">
        <f t="shared" si="58"/>
        <v>#N/A</v>
      </c>
      <c r="D102" t="e">
        <f t="shared" si="59"/>
        <v>#N/A</v>
      </c>
      <c r="E102" t="e">
        <f t="shared" si="60"/>
        <v>#N/A</v>
      </c>
      <c r="F102" t="e">
        <f t="shared" si="61"/>
        <v>#N/A</v>
      </c>
      <c r="G102" t="str">
        <f t="shared" si="77"/>
        <v>DPS</v>
      </c>
      <c r="H102" t="str">
        <f t="shared" si="78"/>
        <v>DPS</v>
      </c>
      <c r="I102" t="str">
        <f t="shared" si="79"/>
        <v>DPS</v>
      </c>
      <c r="J102" t="str">
        <f t="shared" si="80"/>
        <v>DPS</v>
      </c>
      <c r="K102" t="str">
        <f t="shared" si="81"/>
        <v>HPS</v>
      </c>
      <c r="L102" t="e">
        <f t="shared" si="82"/>
        <v>#N/A</v>
      </c>
      <c r="M102" t="e">
        <f t="shared" si="83"/>
        <v>#N/A</v>
      </c>
      <c r="N102" t="e">
        <f t="shared" si="84"/>
        <v>#N/A</v>
      </c>
      <c r="O102" t="e">
        <f t="shared" si="85"/>
        <v>#N/A</v>
      </c>
      <c r="P102" t="e">
        <f t="shared" si="86"/>
        <v>#N/A</v>
      </c>
      <c r="Q102" t="e">
        <f t="shared" si="62"/>
        <v>#N/A</v>
      </c>
      <c r="R102" t="e">
        <f t="shared" si="63"/>
        <v>#N/A</v>
      </c>
      <c r="S102" t="e">
        <f t="shared" si="64"/>
        <v>#N/A</v>
      </c>
      <c r="T102">
        <f t="shared" si="46"/>
        <v>1250</v>
      </c>
      <c r="U102" t="e">
        <f t="shared" si="65"/>
        <v>#NUM!</v>
      </c>
      <c r="V102" t="e">
        <f t="shared" si="66"/>
        <v>#N/A</v>
      </c>
      <c r="W102" t="e">
        <f t="shared" si="67"/>
        <v>#N/A</v>
      </c>
      <c r="X102" t="e">
        <f t="shared" si="68"/>
        <v>#N/A</v>
      </c>
      <c r="Y102" t="e">
        <f t="shared" si="69"/>
        <v>#N/A</v>
      </c>
      <c r="Z102" t="e">
        <f t="shared" si="70"/>
        <v>#N/A</v>
      </c>
      <c r="AA102" t="e">
        <f t="shared" si="71"/>
        <v>#N/A</v>
      </c>
      <c r="AB102" t="e">
        <f t="shared" si="72"/>
        <v>#N/A</v>
      </c>
      <c r="AC102" t="e">
        <f t="shared" si="73"/>
        <v>#N/A</v>
      </c>
      <c r="AD102" t="e">
        <f t="shared" si="74"/>
        <v>#N/A</v>
      </c>
      <c r="AE102" t="e">
        <f t="shared" si="75"/>
        <v>#N/A</v>
      </c>
      <c r="AF102" t="e">
        <f t="shared" si="76"/>
        <v>#N/A</v>
      </c>
      <c r="AG102" t="e">
        <f t="shared" si="36"/>
        <v>#N/A</v>
      </c>
      <c r="AH102" t="b">
        <f t="shared" si="37"/>
        <v>0</v>
      </c>
    </row>
    <row r="103" spans="1:34">
      <c r="A103">
        <v>38</v>
      </c>
      <c r="B103" t="e">
        <f t="shared" si="57"/>
        <v>#N/A</v>
      </c>
      <c r="C103" t="e">
        <f t="shared" si="58"/>
        <v>#N/A</v>
      </c>
      <c r="D103" t="e">
        <f t="shared" si="59"/>
        <v>#N/A</v>
      </c>
      <c r="E103" t="e">
        <f t="shared" si="60"/>
        <v>#N/A</v>
      </c>
      <c r="F103" t="e">
        <f t="shared" si="61"/>
        <v>#N/A</v>
      </c>
      <c r="G103" t="str">
        <f t="shared" si="77"/>
        <v>DPS</v>
      </c>
      <c r="H103" t="str">
        <f t="shared" si="78"/>
        <v>DPS</v>
      </c>
      <c r="I103" t="str">
        <f t="shared" si="79"/>
        <v>DPS</v>
      </c>
      <c r="J103" t="str">
        <f t="shared" si="80"/>
        <v>DPS</v>
      </c>
      <c r="K103" t="str">
        <f t="shared" si="81"/>
        <v>HPS</v>
      </c>
      <c r="L103" t="e">
        <f t="shared" si="82"/>
        <v>#N/A</v>
      </c>
      <c r="M103" t="e">
        <f t="shared" si="83"/>
        <v>#N/A</v>
      </c>
      <c r="N103" t="e">
        <f t="shared" si="84"/>
        <v>#N/A</v>
      </c>
      <c r="O103" t="e">
        <f t="shared" si="85"/>
        <v>#N/A</v>
      </c>
      <c r="P103" t="e">
        <f t="shared" si="86"/>
        <v>#N/A</v>
      </c>
      <c r="Q103" t="e">
        <f t="shared" si="62"/>
        <v>#N/A</v>
      </c>
      <c r="R103" t="e">
        <f t="shared" si="63"/>
        <v>#N/A</v>
      </c>
      <c r="S103" t="e">
        <f t="shared" si="64"/>
        <v>#N/A</v>
      </c>
      <c r="T103">
        <f t="shared" si="46"/>
        <v>1250</v>
      </c>
      <c r="U103" t="e">
        <f t="shared" si="65"/>
        <v>#NUM!</v>
      </c>
      <c r="V103" t="e">
        <f t="shared" si="66"/>
        <v>#N/A</v>
      </c>
      <c r="W103" t="e">
        <f t="shared" si="67"/>
        <v>#N/A</v>
      </c>
      <c r="X103" t="e">
        <f t="shared" si="68"/>
        <v>#N/A</v>
      </c>
      <c r="Y103" t="e">
        <f t="shared" si="69"/>
        <v>#N/A</v>
      </c>
      <c r="Z103" t="e">
        <f t="shared" si="70"/>
        <v>#N/A</v>
      </c>
      <c r="AA103" t="e">
        <f t="shared" si="71"/>
        <v>#N/A</v>
      </c>
      <c r="AB103" t="e">
        <f t="shared" si="72"/>
        <v>#N/A</v>
      </c>
      <c r="AC103" t="e">
        <f t="shared" si="73"/>
        <v>#N/A</v>
      </c>
      <c r="AD103" t="e">
        <f t="shared" si="74"/>
        <v>#N/A</v>
      </c>
      <c r="AE103" t="e">
        <f t="shared" si="75"/>
        <v>#N/A</v>
      </c>
      <c r="AF103" t="e">
        <f t="shared" si="76"/>
        <v>#N/A</v>
      </c>
      <c r="AG103" t="e">
        <f t="shared" si="36"/>
        <v>#N/A</v>
      </c>
      <c r="AH103" t="b">
        <f t="shared" si="37"/>
        <v>0</v>
      </c>
    </row>
    <row r="104" spans="1:34">
      <c r="A104">
        <v>39</v>
      </c>
      <c r="B104" t="e">
        <f t="shared" si="57"/>
        <v>#N/A</v>
      </c>
      <c r="C104" t="e">
        <f t="shared" si="58"/>
        <v>#N/A</v>
      </c>
      <c r="D104" t="e">
        <f t="shared" si="59"/>
        <v>#N/A</v>
      </c>
      <c r="E104" t="e">
        <f t="shared" si="60"/>
        <v>#N/A</v>
      </c>
      <c r="F104" t="e">
        <f t="shared" si="61"/>
        <v>#N/A</v>
      </c>
      <c r="G104" t="str">
        <f t="shared" si="77"/>
        <v>DPS</v>
      </c>
      <c r="H104" t="str">
        <f t="shared" si="78"/>
        <v>DPS</v>
      </c>
      <c r="I104" t="str">
        <f t="shared" si="79"/>
        <v>DPS</v>
      </c>
      <c r="J104" t="str">
        <f t="shared" si="80"/>
        <v>DPS</v>
      </c>
      <c r="K104" t="str">
        <f t="shared" si="81"/>
        <v>HPS</v>
      </c>
      <c r="L104" t="e">
        <f t="shared" si="82"/>
        <v>#N/A</v>
      </c>
      <c r="M104" t="e">
        <f t="shared" si="83"/>
        <v>#N/A</v>
      </c>
      <c r="N104" t="e">
        <f t="shared" si="84"/>
        <v>#N/A</v>
      </c>
      <c r="O104" t="e">
        <f t="shared" si="85"/>
        <v>#N/A</v>
      </c>
      <c r="P104" t="e">
        <f t="shared" si="86"/>
        <v>#N/A</v>
      </c>
      <c r="Q104" t="e">
        <f t="shared" si="62"/>
        <v>#N/A</v>
      </c>
      <c r="R104" t="e">
        <f t="shared" si="63"/>
        <v>#N/A</v>
      </c>
      <c r="S104" t="e">
        <f t="shared" si="64"/>
        <v>#N/A</v>
      </c>
      <c r="T104">
        <f t="shared" si="46"/>
        <v>1250</v>
      </c>
      <c r="U104" t="e">
        <f t="shared" si="65"/>
        <v>#NUM!</v>
      </c>
      <c r="V104" t="e">
        <f t="shared" si="66"/>
        <v>#N/A</v>
      </c>
      <c r="W104" t="e">
        <f t="shared" si="67"/>
        <v>#N/A</v>
      </c>
      <c r="X104" t="e">
        <f t="shared" si="68"/>
        <v>#N/A</v>
      </c>
      <c r="Y104" t="e">
        <f t="shared" si="69"/>
        <v>#N/A</v>
      </c>
      <c r="Z104" t="e">
        <f t="shared" si="70"/>
        <v>#N/A</v>
      </c>
      <c r="AA104" t="e">
        <f t="shared" si="71"/>
        <v>#N/A</v>
      </c>
      <c r="AB104" t="e">
        <f t="shared" si="72"/>
        <v>#N/A</v>
      </c>
      <c r="AC104" t="e">
        <f t="shared" si="73"/>
        <v>#N/A</v>
      </c>
      <c r="AD104" t="e">
        <f t="shared" si="74"/>
        <v>#N/A</v>
      </c>
      <c r="AE104" t="e">
        <f t="shared" si="75"/>
        <v>#N/A</v>
      </c>
      <c r="AF104" t="e">
        <f t="shared" si="76"/>
        <v>#N/A</v>
      </c>
      <c r="AG104" t="e">
        <f t="shared" si="36"/>
        <v>#N/A</v>
      </c>
      <c r="AH104" t="b">
        <f t="shared" si="37"/>
        <v>0</v>
      </c>
    </row>
    <row r="105" spans="1:34">
      <c r="A105">
        <v>40</v>
      </c>
      <c r="B105" t="e">
        <f t="shared" si="57"/>
        <v>#N/A</v>
      </c>
      <c r="C105" t="e">
        <f t="shared" si="58"/>
        <v>#N/A</v>
      </c>
      <c r="D105" t="e">
        <f t="shared" si="59"/>
        <v>#N/A</v>
      </c>
      <c r="E105" t="e">
        <f t="shared" si="60"/>
        <v>#N/A</v>
      </c>
      <c r="F105" t="e">
        <f t="shared" si="61"/>
        <v>#N/A</v>
      </c>
      <c r="G105" t="str">
        <f t="shared" si="77"/>
        <v>DPS</v>
      </c>
      <c r="H105" t="str">
        <f t="shared" si="78"/>
        <v>DPS</v>
      </c>
      <c r="I105" t="str">
        <f t="shared" si="79"/>
        <v>DPS</v>
      </c>
      <c r="J105" t="str">
        <f t="shared" si="80"/>
        <v>DPS</v>
      </c>
      <c r="K105" t="str">
        <f t="shared" si="81"/>
        <v>HPS</v>
      </c>
      <c r="L105" t="e">
        <f t="shared" si="82"/>
        <v>#N/A</v>
      </c>
      <c r="M105" t="e">
        <f t="shared" si="83"/>
        <v>#N/A</v>
      </c>
      <c r="N105" t="e">
        <f t="shared" si="84"/>
        <v>#N/A</v>
      </c>
      <c r="O105" t="e">
        <f t="shared" si="85"/>
        <v>#N/A</v>
      </c>
      <c r="P105" t="e">
        <f t="shared" si="86"/>
        <v>#N/A</v>
      </c>
      <c r="Q105" t="e">
        <f t="shared" si="62"/>
        <v>#N/A</v>
      </c>
      <c r="R105" t="e">
        <f t="shared" si="63"/>
        <v>#N/A</v>
      </c>
      <c r="S105" t="e">
        <f t="shared" si="64"/>
        <v>#N/A</v>
      </c>
      <c r="T105">
        <f t="shared" si="46"/>
        <v>1250</v>
      </c>
      <c r="U105" t="e">
        <f t="shared" si="65"/>
        <v>#NUM!</v>
      </c>
      <c r="V105" t="e">
        <f t="shared" si="66"/>
        <v>#N/A</v>
      </c>
      <c r="W105" t="e">
        <f t="shared" si="67"/>
        <v>#N/A</v>
      </c>
      <c r="X105" t="e">
        <f t="shared" si="68"/>
        <v>#N/A</v>
      </c>
      <c r="Y105" t="e">
        <f t="shared" si="69"/>
        <v>#N/A</v>
      </c>
      <c r="Z105" t="e">
        <f t="shared" si="70"/>
        <v>#N/A</v>
      </c>
      <c r="AA105" t="e">
        <f t="shared" si="71"/>
        <v>#N/A</v>
      </c>
      <c r="AB105" t="e">
        <f t="shared" si="72"/>
        <v>#N/A</v>
      </c>
      <c r="AC105" t="e">
        <f t="shared" si="73"/>
        <v>#N/A</v>
      </c>
      <c r="AD105" t="e">
        <f t="shared" si="74"/>
        <v>#N/A</v>
      </c>
      <c r="AE105" t="e">
        <f t="shared" si="75"/>
        <v>#N/A</v>
      </c>
      <c r="AF105" t="e">
        <f t="shared" si="76"/>
        <v>#N/A</v>
      </c>
      <c r="AG105" t="e">
        <f t="shared" si="36"/>
        <v>#N/A</v>
      </c>
      <c r="AH105" t="b">
        <f t="shared" si="37"/>
        <v>0</v>
      </c>
    </row>
    <row r="106" spans="1:34">
      <c r="A106">
        <v>41</v>
      </c>
      <c r="B106" t="e">
        <f t="shared" si="57"/>
        <v>#N/A</v>
      </c>
      <c r="C106" t="e">
        <f t="shared" si="58"/>
        <v>#N/A</v>
      </c>
      <c r="D106" t="e">
        <f t="shared" si="59"/>
        <v>#N/A</v>
      </c>
      <c r="E106" t="e">
        <f t="shared" si="60"/>
        <v>#N/A</v>
      </c>
      <c r="F106" t="e">
        <f t="shared" si="61"/>
        <v>#N/A</v>
      </c>
      <c r="G106" t="str">
        <f t="shared" si="77"/>
        <v>DPS</v>
      </c>
      <c r="H106" t="str">
        <f t="shared" si="78"/>
        <v>DPS</v>
      </c>
      <c r="I106" t="str">
        <f t="shared" si="79"/>
        <v>DPS</v>
      </c>
      <c r="J106" t="str">
        <f t="shared" si="80"/>
        <v>DPS</v>
      </c>
      <c r="K106" t="str">
        <f t="shared" si="81"/>
        <v>HPS</v>
      </c>
      <c r="L106" t="e">
        <f t="shared" si="82"/>
        <v>#N/A</v>
      </c>
      <c r="M106" t="e">
        <f t="shared" si="83"/>
        <v>#N/A</v>
      </c>
      <c r="N106" t="e">
        <f t="shared" si="84"/>
        <v>#N/A</v>
      </c>
      <c r="O106" t="e">
        <f t="shared" si="85"/>
        <v>#N/A</v>
      </c>
      <c r="P106" t="e">
        <f t="shared" si="86"/>
        <v>#N/A</v>
      </c>
      <c r="Q106" t="e">
        <f t="shared" si="62"/>
        <v>#N/A</v>
      </c>
      <c r="R106" t="e">
        <f t="shared" si="63"/>
        <v>#N/A</v>
      </c>
      <c r="S106" t="e">
        <f t="shared" si="64"/>
        <v>#N/A</v>
      </c>
      <c r="T106">
        <f t="shared" si="46"/>
        <v>1250</v>
      </c>
      <c r="U106" t="e">
        <f t="shared" si="65"/>
        <v>#NUM!</v>
      </c>
      <c r="V106" t="e">
        <f t="shared" si="66"/>
        <v>#N/A</v>
      </c>
      <c r="W106" t="e">
        <f t="shared" si="67"/>
        <v>#N/A</v>
      </c>
      <c r="X106" t="e">
        <f t="shared" si="68"/>
        <v>#N/A</v>
      </c>
      <c r="Y106" t="e">
        <f t="shared" si="69"/>
        <v>#N/A</v>
      </c>
      <c r="Z106" t="e">
        <f t="shared" si="70"/>
        <v>#N/A</v>
      </c>
      <c r="AA106" t="e">
        <f t="shared" si="71"/>
        <v>#N/A</v>
      </c>
      <c r="AB106" t="e">
        <f t="shared" si="72"/>
        <v>#N/A</v>
      </c>
      <c r="AC106" t="e">
        <f t="shared" si="73"/>
        <v>#N/A</v>
      </c>
      <c r="AD106" t="e">
        <f t="shared" si="74"/>
        <v>#N/A</v>
      </c>
      <c r="AE106" t="e">
        <f t="shared" si="75"/>
        <v>#N/A</v>
      </c>
      <c r="AF106" t="e">
        <f t="shared" si="76"/>
        <v>#N/A</v>
      </c>
      <c r="AG106" t="e">
        <f t="shared" si="36"/>
        <v>#N/A</v>
      </c>
      <c r="AH106" t="b">
        <f t="shared" si="37"/>
        <v>0</v>
      </c>
    </row>
    <row r="107" spans="1:34">
      <c r="A107">
        <v>42</v>
      </c>
      <c r="B107" t="e">
        <f t="shared" si="57"/>
        <v>#N/A</v>
      </c>
      <c r="C107" t="e">
        <f t="shared" si="58"/>
        <v>#N/A</v>
      </c>
      <c r="D107" t="e">
        <f t="shared" si="59"/>
        <v>#N/A</v>
      </c>
      <c r="E107" t="e">
        <f t="shared" si="60"/>
        <v>#N/A</v>
      </c>
      <c r="F107" t="e">
        <f t="shared" si="61"/>
        <v>#N/A</v>
      </c>
      <c r="G107" t="str">
        <f t="shared" si="77"/>
        <v>DPS</v>
      </c>
      <c r="H107" t="str">
        <f t="shared" si="78"/>
        <v>DPS</v>
      </c>
      <c r="I107" t="str">
        <f t="shared" si="79"/>
        <v>DPS</v>
      </c>
      <c r="J107" t="str">
        <f t="shared" si="80"/>
        <v>DPS</v>
      </c>
      <c r="K107" t="str">
        <f t="shared" si="81"/>
        <v>HPS</v>
      </c>
      <c r="L107" t="e">
        <f t="shared" si="82"/>
        <v>#N/A</v>
      </c>
      <c r="M107" t="e">
        <f t="shared" si="83"/>
        <v>#N/A</v>
      </c>
      <c r="N107" t="e">
        <f t="shared" si="84"/>
        <v>#N/A</v>
      </c>
      <c r="O107" t="e">
        <f t="shared" si="85"/>
        <v>#N/A</v>
      </c>
      <c r="P107" t="e">
        <f t="shared" si="86"/>
        <v>#N/A</v>
      </c>
      <c r="Q107" t="e">
        <f t="shared" si="62"/>
        <v>#N/A</v>
      </c>
      <c r="R107" t="e">
        <f t="shared" si="63"/>
        <v>#N/A</v>
      </c>
      <c r="S107" t="e">
        <f t="shared" si="64"/>
        <v>#N/A</v>
      </c>
      <c r="T107">
        <f t="shared" si="46"/>
        <v>1250</v>
      </c>
      <c r="U107" t="e">
        <f t="shared" si="65"/>
        <v>#NUM!</v>
      </c>
      <c r="V107" t="e">
        <f t="shared" si="66"/>
        <v>#N/A</v>
      </c>
      <c r="W107" t="e">
        <f t="shared" si="67"/>
        <v>#N/A</v>
      </c>
      <c r="X107" t="e">
        <f t="shared" si="68"/>
        <v>#N/A</v>
      </c>
      <c r="Y107" t="e">
        <f t="shared" si="69"/>
        <v>#N/A</v>
      </c>
      <c r="Z107" t="e">
        <f t="shared" si="70"/>
        <v>#N/A</v>
      </c>
      <c r="AA107" t="e">
        <f t="shared" si="71"/>
        <v>#N/A</v>
      </c>
      <c r="AB107" t="e">
        <f t="shared" si="72"/>
        <v>#N/A</v>
      </c>
      <c r="AC107" t="e">
        <f t="shared" si="73"/>
        <v>#N/A</v>
      </c>
      <c r="AD107" t="e">
        <f t="shared" si="74"/>
        <v>#N/A</v>
      </c>
      <c r="AE107" t="e">
        <f t="shared" si="75"/>
        <v>#N/A</v>
      </c>
      <c r="AF107" t="e">
        <f t="shared" si="76"/>
        <v>#N/A</v>
      </c>
      <c r="AG107" t="e">
        <f t="shared" si="36"/>
        <v>#N/A</v>
      </c>
      <c r="AH107" t="b">
        <f t="shared" si="37"/>
        <v>0</v>
      </c>
    </row>
    <row r="108" spans="1:34">
      <c r="A108">
        <v>43</v>
      </c>
      <c r="B108" t="e">
        <f t="shared" si="57"/>
        <v>#N/A</v>
      </c>
      <c r="C108" t="e">
        <f t="shared" si="58"/>
        <v>#N/A</v>
      </c>
      <c r="D108" t="e">
        <f t="shared" si="59"/>
        <v>#N/A</v>
      </c>
      <c r="E108" t="e">
        <f t="shared" si="60"/>
        <v>#N/A</v>
      </c>
      <c r="F108" t="e">
        <f t="shared" si="61"/>
        <v>#N/A</v>
      </c>
      <c r="G108" t="str">
        <f t="shared" si="77"/>
        <v>DPS</v>
      </c>
      <c r="H108" t="str">
        <f t="shared" si="78"/>
        <v>DPS</v>
      </c>
      <c r="I108" t="str">
        <f t="shared" si="79"/>
        <v>DPS</v>
      </c>
      <c r="J108" t="str">
        <f t="shared" si="80"/>
        <v>DPS</v>
      </c>
      <c r="K108" t="str">
        <f t="shared" si="81"/>
        <v>HPS</v>
      </c>
      <c r="L108" t="e">
        <f t="shared" si="82"/>
        <v>#N/A</v>
      </c>
      <c r="M108" t="e">
        <f t="shared" si="83"/>
        <v>#N/A</v>
      </c>
      <c r="N108" t="e">
        <f t="shared" si="84"/>
        <v>#N/A</v>
      </c>
      <c r="O108" t="e">
        <f t="shared" si="85"/>
        <v>#N/A</v>
      </c>
      <c r="P108" t="e">
        <f t="shared" si="86"/>
        <v>#N/A</v>
      </c>
      <c r="Q108" t="e">
        <f t="shared" si="62"/>
        <v>#N/A</v>
      </c>
      <c r="R108" t="e">
        <f t="shared" si="63"/>
        <v>#N/A</v>
      </c>
      <c r="S108" t="e">
        <f t="shared" si="64"/>
        <v>#N/A</v>
      </c>
      <c r="T108">
        <f t="shared" si="46"/>
        <v>1250</v>
      </c>
      <c r="U108" t="e">
        <f t="shared" si="65"/>
        <v>#NUM!</v>
      </c>
      <c r="V108" t="e">
        <f t="shared" si="66"/>
        <v>#N/A</v>
      </c>
      <c r="W108" t="e">
        <f t="shared" si="67"/>
        <v>#N/A</v>
      </c>
      <c r="X108" t="e">
        <f t="shared" si="68"/>
        <v>#N/A</v>
      </c>
      <c r="Y108" t="e">
        <f t="shared" si="69"/>
        <v>#N/A</v>
      </c>
      <c r="Z108" t="e">
        <f t="shared" si="70"/>
        <v>#N/A</v>
      </c>
      <c r="AA108" t="e">
        <f t="shared" si="71"/>
        <v>#N/A</v>
      </c>
      <c r="AB108" t="e">
        <f t="shared" si="72"/>
        <v>#N/A</v>
      </c>
      <c r="AC108" t="e">
        <f t="shared" si="73"/>
        <v>#N/A</v>
      </c>
      <c r="AD108" t="e">
        <f t="shared" si="74"/>
        <v>#N/A</v>
      </c>
      <c r="AE108" t="e">
        <f t="shared" si="75"/>
        <v>#N/A</v>
      </c>
      <c r="AF108" t="e">
        <f t="shared" si="76"/>
        <v>#N/A</v>
      </c>
      <c r="AG108" t="e">
        <f t="shared" si="36"/>
        <v>#N/A</v>
      </c>
      <c r="AH108" t="b">
        <f t="shared" si="37"/>
        <v>0</v>
      </c>
    </row>
    <row r="109" spans="1:34">
      <c r="A109">
        <v>44</v>
      </c>
      <c r="B109" t="e">
        <f t="shared" si="57"/>
        <v>#N/A</v>
      </c>
      <c r="C109" t="e">
        <f t="shared" si="58"/>
        <v>#N/A</v>
      </c>
      <c r="D109" t="e">
        <f t="shared" si="59"/>
        <v>#N/A</v>
      </c>
      <c r="E109" t="e">
        <f t="shared" si="60"/>
        <v>#N/A</v>
      </c>
      <c r="F109" t="e">
        <f t="shared" si="61"/>
        <v>#N/A</v>
      </c>
      <c r="G109" t="str">
        <f t="shared" si="77"/>
        <v>DPS</v>
      </c>
      <c r="H109" t="str">
        <f t="shared" si="78"/>
        <v>DPS</v>
      </c>
      <c r="I109" t="str">
        <f t="shared" si="79"/>
        <v>DPS</v>
      </c>
      <c r="J109" t="str">
        <f t="shared" si="80"/>
        <v>DPS</v>
      </c>
      <c r="K109" t="str">
        <f t="shared" si="81"/>
        <v>HPS</v>
      </c>
      <c r="L109" t="e">
        <f t="shared" si="82"/>
        <v>#N/A</v>
      </c>
      <c r="M109" t="e">
        <f t="shared" si="83"/>
        <v>#N/A</v>
      </c>
      <c r="N109" t="e">
        <f t="shared" si="84"/>
        <v>#N/A</v>
      </c>
      <c r="O109" t="e">
        <f t="shared" si="85"/>
        <v>#N/A</v>
      </c>
      <c r="P109" t="e">
        <f t="shared" si="86"/>
        <v>#N/A</v>
      </c>
      <c r="Q109" t="e">
        <f t="shared" si="62"/>
        <v>#N/A</v>
      </c>
      <c r="R109" t="e">
        <f t="shared" si="63"/>
        <v>#N/A</v>
      </c>
      <c r="S109" t="e">
        <f t="shared" si="64"/>
        <v>#N/A</v>
      </c>
      <c r="T109">
        <f t="shared" si="46"/>
        <v>1250</v>
      </c>
      <c r="U109" t="e">
        <f t="shared" si="65"/>
        <v>#NUM!</v>
      </c>
      <c r="V109" t="e">
        <f t="shared" si="66"/>
        <v>#N/A</v>
      </c>
      <c r="W109" t="e">
        <f t="shared" si="67"/>
        <v>#N/A</v>
      </c>
      <c r="X109" t="e">
        <f t="shared" si="68"/>
        <v>#N/A</v>
      </c>
      <c r="Y109" t="e">
        <f t="shared" si="69"/>
        <v>#N/A</v>
      </c>
      <c r="Z109" t="e">
        <f t="shared" si="70"/>
        <v>#N/A</v>
      </c>
      <c r="AA109" t="e">
        <f t="shared" si="71"/>
        <v>#N/A</v>
      </c>
      <c r="AB109" t="e">
        <f t="shared" si="72"/>
        <v>#N/A</v>
      </c>
      <c r="AC109" t="e">
        <f t="shared" si="73"/>
        <v>#N/A</v>
      </c>
      <c r="AD109" t="e">
        <f t="shared" si="74"/>
        <v>#N/A</v>
      </c>
      <c r="AE109" t="e">
        <f t="shared" si="75"/>
        <v>#N/A</v>
      </c>
      <c r="AF109" t="e">
        <f t="shared" si="76"/>
        <v>#N/A</v>
      </c>
      <c r="AG109" t="e">
        <f t="shared" si="36"/>
        <v>#N/A</v>
      </c>
      <c r="AH109" t="b">
        <f t="shared" si="37"/>
        <v>0</v>
      </c>
    </row>
    <row r="110" spans="1:34">
      <c r="A110">
        <v>45</v>
      </c>
      <c r="B110" t="e">
        <f t="shared" si="57"/>
        <v>#N/A</v>
      </c>
      <c r="C110" t="e">
        <f t="shared" si="58"/>
        <v>#N/A</v>
      </c>
      <c r="D110" t="e">
        <f t="shared" si="59"/>
        <v>#N/A</v>
      </c>
      <c r="E110" t="e">
        <f t="shared" si="60"/>
        <v>#N/A</v>
      </c>
      <c r="F110" t="e">
        <f t="shared" si="61"/>
        <v>#N/A</v>
      </c>
      <c r="G110" t="str">
        <f t="shared" si="77"/>
        <v>DPS</v>
      </c>
      <c r="H110" t="str">
        <f t="shared" si="78"/>
        <v>DPS</v>
      </c>
      <c r="I110" t="str">
        <f t="shared" si="79"/>
        <v>DPS</v>
      </c>
      <c r="J110" t="str">
        <f t="shared" si="80"/>
        <v>DPS</v>
      </c>
      <c r="K110" t="str">
        <f t="shared" si="81"/>
        <v>HPS</v>
      </c>
      <c r="L110" t="e">
        <f t="shared" si="82"/>
        <v>#N/A</v>
      </c>
      <c r="M110" t="e">
        <f t="shared" si="83"/>
        <v>#N/A</v>
      </c>
      <c r="N110" t="e">
        <f t="shared" si="84"/>
        <v>#N/A</v>
      </c>
      <c r="O110" t="e">
        <f t="shared" si="85"/>
        <v>#N/A</v>
      </c>
      <c r="P110" t="e">
        <f t="shared" si="86"/>
        <v>#N/A</v>
      </c>
      <c r="Q110" t="e">
        <f t="shared" si="62"/>
        <v>#N/A</v>
      </c>
      <c r="R110" t="e">
        <f t="shared" si="63"/>
        <v>#N/A</v>
      </c>
      <c r="S110" t="e">
        <f t="shared" si="64"/>
        <v>#N/A</v>
      </c>
      <c r="T110">
        <f t="shared" si="46"/>
        <v>1250</v>
      </c>
      <c r="U110" t="e">
        <f t="shared" si="65"/>
        <v>#NUM!</v>
      </c>
      <c r="V110" t="e">
        <f t="shared" si="66"/>
        <v>#N/A</v>
      </c>
      <c r="W110" t="e">
        <f t="shared" si="67"/>
        <v>#N/A</v>
      </c>
      <c r="X110" t="e">
        <f t="shared" si="68"/>
        <v>#N/A</v>
      </c>
      <c r="Y110" t="e">
        <f t="shared" si="69"/>
        <v>#N/A</v>
      </c>
      <c r="Z110" t="e">
        <f t="shared" si="70"/>
        <v>#N/A</v>
      </c>
      <c r="AA110" t="e">
        <f t="shared" si="71"/>
        <v>#N/A</v>
      </c>
      <c r="AB110" t="e">
        <f t="shared" si="72"/>
        <v>#N/A</v>
      </c>
      <c r="AC110" t="e">
        <f t="shared" si="73"/>
        <v>#N/A</v>
      </c>
      <c r="AD110" t="e">
        <f t="shared" si="74"/>
        <v>#N/A</v>
      </c>
      <c r="AE110" t="e">
        <f t="shared" si="75"/>
        <v>#N/A</v>
      </c>
      <c r="AF110" t="e">
        <f t="shared" si="76"/>
        <v>#N/A</v>
      </c>
      <c r="AG110" t="e">
        <f t="shared" si="36"/>
        <v>#N/A</v>
      </c>
      <c r="AH110" t="b">
        <f t="shared" si="37"/>
        <v>0</v>
      </c>
    </row>
    <row r="111" spans="1:34">
      <c r="A111">
        <v>46</v>
      </c>
      <c r="B111" t="e">
        <f t="shared" si="57"/>
        <v>#N/A</v>
      </c>
      <c r="C111" t="e">
        <f t="shared" si="58"/>
        <v>#N/A</v>
      </c>
      <c r="D111" t="e">
        <f t="shared" si="59"/>
        <v>#N/A</v>
      </c>
      <c r="E111" t="e">
        <f t="shared" si="60"/>
        <v>#N/A</v>
      </c>
      <c r="F111" t="e">
        <f t="shared" si="61"/>
        <v>#N/A</v>
      </c>
      <c r="G111" t="str">
        <f t="shared" si="77"/>
        <v>DPS</v>
      </c>
      <c r="H111" t="str">
        <f t="shared" si="78"/>
        <v>DPS</v>
      </c>
      <c r="I111" t="str">
        <f t="shared" si="79"/>
        <v>DPS</v>
      </c>
      <c r="J111" t="str">
        <f t="shared" si="80"/>
        <v>DPS</v>
      </c>
      <c r="K111" t="str">
        <f t="shared" si="81"/>
        <v>HPS</v>
      </c>
      <c r="L111" t="e">
        <f t="shared" si="82"/>
        <v>#N/A</v>
      </c>
      <c r="M111" t="e">
        <f t="shared" si="83"/>
        <v>#N/A</v>
      </c>
      <c r="N111" t="e">
        <f t="shared" si="84"/>
        <v>#N/A</v>
      </c>
      <c r="O111" t="e">
        <f t="shared" si="85"/>
        <v>#N/A</v>
      </c>
      <c r="P111" t="e">
        <f t="shared" si="86"/>
        <v>#N/A</v>
      </c>
      <c r="Q111" t="e">
        <f t="shared" si="62"/>
        <v>#N/A</v>
      </c>
      <c r="R111" t="e">
        <f t="shared" si="63"/>
        <v>#N/A</v>
      </c>
      <c r="S111" t="e">
        <f t="shared" si="64"/>
        <v>#N/A</v>
      </c>
      <c r="T111">
        <f t="shared" si="46"/>
        <v>1250</v>
      </c>
      <c r="U111" t="e">
        <f t="shared" si="65"/>
        <v>#NUM!</v>
      </c>
      <c r="V111" t="e">
        <f t="shared" si="66"/>
        <v>#N/A</v>
      </c>
      <c r="W111" t="e">
        <f t="shared" si="67"/>
        <v>#N/A</v>
      </c>
      <c r="X111" t="e">
        <f t="shared" si="68"/>
        <v>#N/A</v>
      </c>
      <c r="Y111" t="e">
        <f t="shared" si="69"/>
        <v>#N/A</v>
      </c>
      <c r="Z111" t="e">
        <f t="shared" si="70"/>
        <v>#N/A</v>
      </c>
      <c r="AA111" t="e">
        <f t="shared" si="71"/>
        <v>#N/A</v>
      </c>
      <c r="AB111" t="e">
        <f t="shared" si="72"/>
        <v>#N/A</v>
      </c>
      <c r="AC111" t="e">
        <f t="shared" si="73"/>
        <v>#N/A</v>
      </c>
      <c r="AD111" t="e">
        <f t="shared" si="74"/>
        <v>#N/A</v>
      </c>
      <c r="AE111" t="e">
        <f t="shared" si="75"/>
        <v>#N/A</v>
      </c>
      <c r="AF111" t="e">
        <f t="shared" si="76"/>
        <v>#N/A</v>
      </c>
      <c r="AG111" t="e">
        <f t="shared" si="36"/>
        <v>#N/A</v>
      </c>
      <c r="AH111" t="b">
        <f t="shared" si="37"/>
        <v>0</v>
      </c>
    </row>
    <row r="112" spans="1:34">
      <c r="A112">
        <v>47</v>
      </c>
      <c r="B112" t="e">
        <f t="shared" si="57"/>
        <v>#N/A</v>
      </c>
      <c r="C112" t="e">
        <f t="shared" si="58"/>
        <v>#N/A</v>
      </c>
      <c r="D112" t="e">
        <f t="shared" si="59"/>
        <v>#N/A</v>
      </c>
      <c r="E112" t="e">
        <f t="shared" si="60"/>
        <v>#N/A</v>
      </c>
      <c r="F112" t="e">
        <f t="shared" si="61"/>
        <v>#N/A</v>
      </c>
      <c r="G112" t="str">
        <f t="shared" si="77"/>
        <v>DPS</v>
      </c>
      <c r="H112" t="str">
        <f t="shared" si="78"/>
        <v>DPS</v>
      </c>
      <c r="I112" t="str">
        <f t="shared" si="79"/>
        <v>DPS</v>
      </c>
      <c r="J112" t="str">
        <f t="shared" si="80"/>
        <v>DPS</v>
      </c>
      <c r="K112" t="str">
        <f t="shared" si="81"/>
        <v>HPS</v>
      </c>
      <c r="L112" t="e">
        <f t="shared" si="82"/>
        <v>#N/A</v>
      </c>
      <c r="M112" t="e">
        <f t="shared" si="83"/>
        <v>#N/A</v>
      </c>
      <c r="N112" t="e">
        <f t="shared" si="84"/>
        <v>#N/A</v>
      </c>
      <c r="O112" t="e">
        <f t="shared" si="85"/>
        <v>#N/A</v>
      </c>
      <c r="P112" t="e">
        <f t="shared" si="86"/>
        <v>#N/A</v>
      </c>
      <c r="Q112" t="e">
        <f t="shared" si="62"/>
        <v>#N/A</v>
      </c>
      <c r="R112" t="e">
        <f t="shared" si="63"/>
        <v>#N/A</v>
      </c>
      <c r="S112" t="e">
        <f t="shared" si="64"/>
        <v>#N/A</v>
      </c>
      <c r="T112">
        <f t="shared" si="46"/>
        <v>1250</v>
      </c>
      <c r="U112" t="e">
        <f t="shared" si="65"/>
        <v>#NUM!</v>
      </c>
      <c r="V112" t="e">
        <f t="shared" si="66"/>
        <v>#N/A</v>
      </c>
      <c r="W112" t="e">
        <f t="shared" si="67"/>
        <v>#N/A</v>
      </c>
      <c r="X112" t="e">
        <f t="shared" si="68"/>
        <v>#N/A</v>
      </c>
      <c r="Y112" t="e">
        <f t="shared" si="69"/>
        <v>#N/A</v>
      </c>
      <c r="Z112" t="e">
        <f t="shared" si="70"/>
        <v>#N/A</v>
      </c>
      <c r="AA112" t="e">
        <f t="shared" si="71"/>
        <v>#N/A</v>
      </c>
      <c r="AB112" t="e">
        <f t="shared" si="72"/>
        <v>#N/A</v>
      </c>
      <c r="AC112" t="e">
        <f t="shared" si="73"/>
        <v>#N/A</v>
      </c>
      <c r="AD112" t="e">
        <f t="shared" si="74"/>
        <v>#N/A</v>
      </c>
      <c r="AE112" t="e">
        <f t="shared" si="75"/>
        <v>#N/A</v>
      </c>
      <c r="AF112" t="e">
        <f t="shared" si="76"/>
        <v>#N/A</v>
      </c>
      <c r="AG112" t="e">
        <f t="shared" si="36"/>
        <v>#N/A</v>
      </c>
      <c r="AH112" t="b">
        <f t="shared" si="37"/>
        <v>0</v>
      </c>
    </row>
    <row r="113" spans="1:34">
      <c r="A113">
        <v>48</v>
      </c>
      <c r="B113" t="e">
        <f t="shared" si="57"/>
        <v>#N/A</v>
      </c>
      <c r="C113" t="e">
        <f t="shared" si="58"/>
        <v>#N/A</v>
      </c>
      <c r="D113" t="e">
        <f t="shared" si="59"/>
        <v>#N/A</v>
      </c>
      <c r="E113" t="e">
        <f t="shared" si="60"/>
        <v>#N/A</v>
      </c>
      <c r="F113" t="e">
        <f t="shared" si="61"/>
        <v>#N/A</v>
      </c>
      <c r="G113" t="str">
        <f t="shared" si="77"/>
        <v>DPS</v>
      </c>
      <c r="H113" t="str">
        <f t="shared" si="78"/>
        <v>DPS</v>
      </c>
      <c r="I113" t="str">
        <f t="shared" si="79"/>
        <v>DPS</v>
      </c>
      <c r="J113" t="str">
        <f t="shared" si="80"/>
        <v>DPS</v>
      </c>
      <c r="K113" t="str">
        <f t="shared" si="81"/>
        <v>HPS</v>
      </c>
      <c r="L113" t="e">
        <f t="shared" si="82"/>
        <v>#N/A</v>
      </c>
      <c r="M113" t="e">
        <f t="shared" si="83"/>
        <v>#N/A</v>
      </c>
      <c r="N113" t="e">
        <f t="shared" si="84"/>
        <v>#N/A</v>
      </c>
      <c r="O113" t="e">
        <f t="shared" si="85"/>
        <v>#N/A</v>
      </c>
      <c r="P113" t="e">
        <f t="shared" si="86"/>
        <v>#N/A</v>
      </c>
      <c r="Q113" t="e">
        <f t="shared" si="62"/>
        <v>#N/A</v>
      </c>
      <c r="R113" t="e">
        <f t="shared" si="63"/>
        <v>#N/A</v>
      </c>
      <c r="S113" t="e">
        <f t="shared" si="64"/>
        <v>#N/A</v>
      </c>
      <c r="T113">
        <f t="shared" si="46"/>
        <v>1250</v>
      </c>
      <c r="U113" t="e">
        <f t="shared" si="65"/>
        <v>#NUM!</v>
      </c>
      <c r="V113" t="e">
        <f t="shared" si="66"/>
        <v>#N/A</v>
      </c>
      <c r="W113" t="e">
        <f t="shared" si="67"/>
        <v>#N/A</v>
      </c>
      <c r="X113" t="e">
        <f t="shared" si="68"/>
        <v>#N/A</v>
      </c>
      <c r="Y113" t="e">
        <f t="shared" si="69"/>
        <v>#N/A</v>
      </c>
      <c r="Z113" t="e">
        <f t="shared" si="70"/>
        <v>#N/A</v>
      </c>
      <c r="AA113" t="e">
        <f t="shared" si="71"/>
        <v>#N/A</v>
      </c>
      <c r="AB113" t="e">
        <f t="shared" si="72"/>
        <v>#N/A</v>
      </c>
      <c r="AC113" t="e">
        <f t="shared" si="73"/>
        <v>#N/A</v>
      </c>
      <c r="AD113" t="e">
        <f t="shared" si="74"/>
        <v>#N/A</v>
      </c>
      <c r="AE113" t="e">
        <f t="shared" si="75"/>
        <v>#N/A</v>
      </c>
      <c r="AF113" t="e">
        <f t="shared" si="76"/>
        <v>#N/A</v>
      </c>
      <c r="AG113" t="e">
        <f t="shared" si="36"/>
        <v>#N/A</v>
      </c>
      <c r="AH113" t="b">
        <f t="shared" si="37"/>
        <v>0</v>
      </c>
    </row>
    <row r="114" spans="1:34">
      <c r="A114">
        <v>49</v>
      </c>
      <c r="B114" t="e">
        <f t="shared" si="57"/>
        <v>#N/A</v>
      </c>
      <c r="C114" t="e">
        <f t="shared" si="58"/>
        <v>#N/A</v>
      </c>
      <c r="D114" t="e">
        <f t="shared" si="59"/>
        <v>#N/A</v>
      </c>
      <c r="E114" t="e">
        <f t="shared" si="60"/>
        <v>#N/A</v>
      </c>
      <c r="F114" t="e">
        <f t="shared" si="61"/>
        <v>#N/A</v>
      </c>
      <c r="G114" t="str">
        <f t="shared" si="77"/>
        <v>DPS</v>
      </c>
      <c r="H114" t="str">
        <f t="shared" si="78"/>
        <v>DPS</v>
      </c>
      <c r="I114" t="str">
        <f t="shared" si="79"/>
        <v>DPS</v>
      </c>
      <c r="J114" t="str">
        <f t="shared" si="80"/>
        <v>DPS</v>
      </c>
      <c r="K114" t="str">
        <f t="shared" si="81"/>
        <v>HPS</v>
      </c>
      <c r="L114" t="e">
        <f t="shared" si="82"/>
        <v>#N/A</v>
      </c>
      <c r="M114" t="e">
        <f t="shared" si="83"/>
        <v>#N/A</v>
      </c>
      <c r="N114" t="e">
        <f t="shared" si="84"/>
        <v>#N/A</v>
      </c>
      <c r="O114" t="e">
        <f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#N/A</v>
      </c>
      <c r="X114" t="e">
        <f t="shared" si="68"/>
        <v>#N/A</v>
      </c>
      <c r="Y114" t="e">
        <f t="shared" si="69"/>
        <v>#N/A</v>
      </c>
      <c r="Z114" t="e">
        <f t="shared" si="70"/>
        <v>#N/A</v>
      </c>
      <c r="AA114" t="e">
        <f t="shared" si="71"/>
        <v>#N/A</v>
      </c>
      <c r="AB114" t="e">
        <f t="shared" si="72"/>
        <v>#N/A</v>
      </c>
      <c r="AC114" t="e">
        <f t="shared" si="73"/>
        <v>#N/A</v>
      </c>
      <c r="AD114" t="e">
        <f t="shared" si="74"/>
        <v>#N/A</v>
      </c>
      <c r="AE114" t="e">
        <f t="shared" si="75"/>
        <v>#N/A</v>
      </c>
      <c r="AF114" t="e">
        <f t="shared" si="76"/>
        <v>#N/A</v>
      </c>
      <c r="AG114" t="e">
        <f t="shared" si="36"/>
        <v>#N/A</v>
      </c>
      <c r="AH114" t="b">
        <f t="shared" si="37"/>
        <v>0</v>
      </c>
    </row>
    <row r="115" spans="1:34">
      <c r="A115">
        <v>50</v>
      </c>
      <c r="B115" t="e">
        <f t="shared" si="57"/>
        <v>#N/A</v>
      </c>
      <c r="C115" t="e">
        <f t="shared" si="58"/>
        <v>#N/A</v>
      </c>
      <c r="D115" t="e">
        <f t="shared" si="59"/>
        <v>#N/A</v>
      </c>
      <c r="E115" t="e">
        <f t="shared" si="60"/>
        <v>#N/A</v>
      </c>
      <c r="F115" t="e">
        <f t="shared" si="61"/>
        <v>#N/A</v>
      </c>
      <c r="G115" t="str">
        <f t="shared" si="77"/>
        <v>DPS</v>
      </c>
      <c r="H115" t="str">
        <f t="shared" si="78"/>
        <v>DPS</v>
      </c>
      <c r="I115" t="str">
        <f t="shared" si="79"/>
        <v>DPS</v>
      </c>
      <c r="J115" t="str">
        <f t="shared" si="80"/>
        <v>DPS</v>
      </c>
      <c r="K115" t="str">
        <f t="shared" si="81"/>
        <v>HPS</v>
      </c>
      <c r="L115" t="e">
        <f t="shared" si="82"/>
        <v>#N/A</v>
      </c>
      <c r="M115" t="e">
        <f t="shared" si="83"/>
        <v>#N/A</v>
      </c>
      <c r="N115" t="e">
        <f t="shared" si="84"/>
        <v>#N/A</v>
      </c>
      <c r="O115" t="e">
        <f t="shared" si="85"/>
        <v>#N/A</v>
      </c>
      <c r="P115" t="e">
        <f t="shared" si="86"/>
        <v>#N/A</v>
      </c>
      <c r="Q115" t="e">
        <f t="shared" si="62"/>
        <v>#N/A</v>
      </c>
      <c r="R115" t="e">
        <f t="shared" si="63"/>
        <v>#N/A</v>
      </c>
      <c r="S115" t="e">
        <f t="shared" si="64"/>
        <v>#N/A</v>
      </c>
      <c r="T115">
        <f t="shared" si="46"/>
        <v>1250</v>
      </c>
      <c r="U115" t="e">
        <f t="shared" si="65"/>
        <v>#NUM!</v>
      </c>
      <c r="V115" t="e">
        <f t="shared" si="66"/>
        <v>#N/A</v>
      </c>
      <c r="W115" t="e">
        <f t="shared" si="67"/>
        <v>#N/A</v>
      </c>
      <c r="X115" t="e">
        <f t="shared" si="68"/>
        <v>#N/A</v>
      </c>
      <c r="Y115" t="e">
        <f t="shared" si="69"/>
        <v>#N/A</v>
      </c>
      <c r="Z115" t="e">
        <f t="shared" si="70"/>
        <v>#N/A</v>
      </c>
      <c r="AA115" t="e">
        <f t="shared" si="71"/>
        <v>#N/A</v>
      </c>
      <c r="AB115" t="e">
        <f t="shared" si="72"/>
        <v>#N/A</v>
      </c>
      <c r="AC115" t="e">
        <f t="shared" si="73"/>
        <v>#N/A</v>
      </c>
      <c r="AD115" t="e">
        <f t="shared" si="74"/>
        <v>#N/A</v>
      </c>
      <c r="AE115" t="e">
        <f t="shared" si="75"/>
        <v>#N/A</v>
      </c>
      <c r="AF115" t="e">
        <f t="shared" si="76"/>
        <v>#N/A</v>
      </c>
      <c r="AG115" t="e">
        <f t="shared" si="36"/>
        <v>#N/A</v>
      </c>
      <c r="AH115" t="b">
        <f t="shared" si="37"/>
        <v>0</v>
      </c>
    </row>
    <row r="116" spans="1:34">
      <c r="A116">
        <v>51</v>
      </c>
      <c r="B116" t="e">
        <f t="shared" si="57"/>
        <v>#N/A</v>
      </c>
      <c r="C116" t="e">
        <f t="shared" si="58"/>
        <v>#N/A</v>
      </c>
      <c r="D116" t="e">
        <f t="shared" si="59"/>
        <v>#N/A</v>
      </c>
      <c r="E116" t="e">
        <f t="shared" si="60"/>
        <v>#N/A</v>
      </c>
      <c r="F116" t="e">
        <f t="shared" si="61"/>
        <v>#N/A</v>
      </c>
      <c r="G116" t="str">
        <f t="shared" si="77"/>
        <v>DPS</v>
      </c>
      <c r="H116" t="str">
        <f t="shared" si="78"/>
        <v>DPS</v>
      </c>
      <c r="I116" t="str">
        <f t="shared" si="79"/>
        <v>DPS</v>
      </c>
      <c r="J116" t="str">
        <f t="shared" si="80"/>
        <v>DPS</v>
      </c>
      <c r="K116" t="str">
        <f t="shared" si="81"/>
        <v>HPS</v>
      </c>
      <c r="L116" t="e">
        <f t="shared" si="82"/>
        <v>#N/A</v>
      </c>
      <c r="M116" t="e">
        <f t="shared" si="83"/>
        <v>#N/A</v>
      </c>
      <c r="N116" t="e">
        <f t="shared" si="84"/>
        <v>#N/A</v>
      </c>
      <c r="O116" t="e">
        <f t="shared" si="85"/>
        <v>#N/A</v>
      </c>
      <c r="P116" t="e">
        <f t="shared" si="86"/>
        <v>#N/A</v>
      </c>
      <c r="Q116" t="e">
        <f t="shared" si="62"/>
        <v>#N/A</v>
      </c>
      <c r="R116" t="e">
        <f t="shared" si="63"/>
        <v>#N/A</v>
      </c>
      <c r="S116" t="e">
        <f t="shared" si="64"/>
        <v>#N/A</v>
      </c>
      <c r="T116">
        <f t="shared" si="46"/>
        <v>1250</v>
      </c>
      <c r="U116" t="e">
        <f t="shared" si="65"/>
        <v>#NUM!</v>
      </c>
      <c r="V116" t="e">
        <f t="shared" si="66"/>
        <v>#N/A</v>
      </c>
      <c r="W116" t="e">
        <f t="shared" si="67"/>
        <v>#N/A</v>
      </c>
      <c r="X116" t="e">
        <f t="shared" si="68"/>
        <v>#N/A</v>
      </c>
      <c r="Y116" t="e">
        <f t="shared" si="69"/>
        <v>#N/A</v>
      </c>
      <c r="Z116" t="e">
        <f t="shared" si="70"/>
        <v>#N/A</v>
      </c>
      <c r="AA116" t="e">
        <f t="shared" si="71"/>
        <v>#N/A</v>
      </c>
      <c r="AB116" t="e">
        <f t="shared" si="72"/>
        <v>#N/A</v>
      </c>
      <c r="AC116" t="e">
        <f t="shared" si="73"/>
        <v>#N/A</v>
      </c>
      <c r="AD116" t="e">
        <f t="shared" si="74"/>
        <v>#N/A</v>
      </c>
      <c r="AE116" t="e">
        <f t="shared" si="75"/>
        <v>#N/A</v>
      </c>
      <c r="AF116" t="e">
        <f t="shared" si="76"/>
        <v>#N/A</v>
      </c>
      <c r="AG116" t="e">
        <f t="shared" si="36"/>
        <v>#N/A</v>
      </c>
      <c r="AH116" t="b">
        <f t="shared" si="37"/>
        <v>0</v>
      </c>
    </row>
    <row r="117" spans="1:34">
      <c r="A117">
        <v>52</v>
      </c>
      <c r="B117" t="e">
        <f t="shared" si="57"/>
        <v>#N/A</v>
      </c>
      <c r="C117" t="e">
        <f t="shared" si="58"/>
        <v>#N/A</v>
      </c>
      <c r="D117" t="e">
        <f t="shared" si="59"/>
        <v>#N/A</v>
      </c>
      <c r="E117" t="e">
        <f t="shared" si="60"/>
        <v>#N/A</v>
      </c>
      <c r="F117" t="e">
        <f t="shared" si="61"/>
        <v>#N/A</v>
      </c>
      <c r="G117" t="str">
        <f t="shared" si="77"/>
        <v>DPS</v>
      </c>
      <c r="H117" t="str">
        <f t="shared" si="78"/>
        <v>DPS</v>
      </c>
      <c r="I117" t="str">
        <f t="shared" si="79"/>
        <v>DPS</v>
      </c>
      <c r="J117" t="str">
        <f t="shared" si="80"/>
        <v>DPS</v>
      </c>
      <c r="K117" t="str">
        <f t="shared" si="81"/>
        <v>HPS</v>
      </c>
      <c r="L117" t="e">
        <f t="shared" si="82"/>
        <v>#N/A</v>
      </c>
      <c r="M117" t="e">
        <f t="shared" si="83"/>
        <v>#N/A</v>
      </c>
      <c r="N117" t="e">
        <f t="shared" si="84"/>
        <v>#N/A</v>
      </c>
      <c r="O117" t="e">
        <f t="shared" si="85"/>
        <v>#N/A</v>
      </c>
      <c r="P117" t="e">
        <f t="shared" si="86"/>
        <v>#N/A</v>
      </c>
      <c r="Q117" t="e">
        <f t="shared" si="62"/>
        <v>#N/A</v>
      </c>
      <c r="R117" t="e">
        <f t="shared" si="63"/>
        <v>#N/A</v>
      </c>
      <c r="S117" t="e">
        <f t="shared" si="64"/>
        <v>#N/A</v>
      </c>
      <c r="T117">
        <f t="shared" si="46"/>
        <v>1250</v>
      </c>
      <c r="U117" t="e">
        <f t="shared" si="65"/>
        <v>#NUM!</v>
      </c>
      <c r="V117" t="e">
        <f t="shared" si="66"/>
        <v>#N/A</v>
      </c>
      <c r="W117" t="e">
        <f t="shared" si="67"/>
        <v>#N/A</v>
      </c>
      <c r="X117" t="e">
        <f t="shared" si="68"/>
        <v>#N/A</v>
      </c>
      <c r="Y117" t="e">
        <f t="shared" si="69"/>
        <v>#N/A</v>
      </c>
      <c r="Z117" t="e">
        <f t="shared" si="70"/>
        <v>#N/A</v>
      </c>
      <c r="AA117" t="e">
        <f t="shared" si="71"/>
        <v>#N/A</v>
      </c>
      <c r="AB117" t="e">
        <f t="shared" si="72"/>
        <v>#N/A</v>
      </c>
      <c r="AC117" t="e">
        <f t="shared" si="73"/>
        <v>#N/A</v>
      </c>
      <c r="AD117" t="e">
        <f t="shared" si="74"/>
        <v>#N/A</v>
      </c>
      <c r="AE117" t="e">
        <f t="shared" si="75"/>
        <v>#N/A</v>
      </c>
      <c r="AF117" t="e">
        <f t="shared" si="76"/>
        <v>#N/A</v>
      </c>
      <c r="AG117" t="e">
        <f t="shared" si="36"/>
        <v>#N/A</v>
      </c>
      <c r="AH117" t="b">
        <f t="shared" si="37"/>
        <v>0</v>
      </c>
    </row>
    <row r="118" spans="1:34">
      <c r="A118">
        <v>53</v>
      </c>
      <c r="B118" t="e">
        <f t="shared" si="57"/>
        <v>#N/A</v>
      </c>
      <c r="C118" t="e">
        <f t="shared" si="58"/>
        <v>#N/A</v>
      </c>
      <c r="D118" t="e">
        <f t="shared" si="59"/>
        <v>#N/A</v>
      </c>
      <c r="E118" t="e">
        <f t="shared" si="60"/>
        <v>#N/A</v>
      </c>
      <c r="F118" t="e">
        <f t="shared" si="61"/>
        <v>#N/A</v>
      </c>
      <c r="G118" t="str">
        <f t="shared" si="77"/>
        <v>DPS</v>
      </c>
      <c r="H118" t="str">
        <f t="shared" si="78"/>
        <v>DPS</v>
      </c>
      <c r="I118" t="str">
        <f t="shared" si="79"/>
        <v>DPS</v>
      </c>
      <c r="J118" t="str">
        <f t="shared" si="80"/>
        <v>DPS</v>
      </c>
      <c r="K118" t="str">
        <f t="shared" si="81"/>
        <v>HPS</v>
      </c>
      <c r="L118" t="e">
        <f t="shared" si="82"/>
        <v>#N/A</v>
      </c>
      <c r="M118" t="e">
        <f t="shared" si="83"/>
        <v>#N/A</v>
      </c>
      <c r="N118" t="e">
        <f t="shared" si="84"/>
        <v>#N/A</v>
      </c>
      <c r="O118" t="e">
        <f t="shared" si="85"/>
        <v>#N/A</v>
      </c>
      <c r="P118" t="e">
        <f t="shared" si="86"/>
        <v>#N/A</v>
      </c>
      <c r="Q118" t="e">
        <f t="shared" si="62"/>
        <v>#N/A</v>
      </c>
      <c r="R118" t="e">
        <f t="shared" si="63"/>
        <v>#N/A</v>
      </c>
      <c r="S118" t="e">
        <f t="shared" si="64"/>
        <v>#N/A</v>
      </c>
      <c r="T118">
        <f t="shared" si="46"/>
        <v>1250</v>
      </c>
      <c r="U118" t="e">
        <f t="shared" si="65"/>
        <v>#NUM!</v>
      </c>
      <c r="V118" t="e">
        <f t="shared" si="66"/>
        <v>#N/A</v>
      </c>
      <c r="W118" t="e">
        <f t="shared" si="67"/>
        <v>#N/A</v>
      </c>
      <c r="X118" t="e">
        <f t="shared" si="68"/>
        <v>#N/A</v>
      </c>
      <c r="Y118" t="e">
        <f t="shared" si="69"/>
        <v>#N/A</v>
      </c>
      <c r="Z118" t="e">
        <f t="shared" si="70"/>
        <v>#N/A</v>
      </c>
      <c r="AA118" t="e">
        <f t="shared" si="71"/>
        <v>#N/A</v>
      </c>
      <c r="AB118" t="e">
        <f t="shared" si="72"/>
        <v>#N/A</v>
      </c>
      <c r="AC118" t="e">
        <f t="shared" si="73"/>
        <v>#N/A</v>
      </c>
      <c r="AD118" t="e">
        <f t="shared" si="74"/>
        <v>#N/A</v>
      </c>
      <c r="AE118" t="e">
        <f t="shared" si="75"/>
        <v>#N/A</v>
      </c>
      <c r="AF118" t="e">
        <f t="shared" si="76"/>
        <v>#N/A</v>
      </c>
      <c r="AG118" t="e">
        <f t="shared" si="36"/>
        <v>#N/A</v>
      </c>
      <c r="AH118" t="b">
        <f t="shared" si="37"/>
        <v>0</v>
      </c>
    </row>
    <row r="119" spans="1:34">
      <c r="A119">
        <v>54</v>
      </c>
      <c r="B119" t="e">
        <f t="shared" si="57"/>
        <v>#N/A</v>
      </c>
      <c r="C119" t="e">
        <f t="shared" si="58"/>
        <v>#N/A</v>
      </c>
      <c r="D119" t="e">
        <f t="shared" si="59"/>
        <v>#N/A</v>
      </c>
      <c r="E119" t="e">
        <f t="shared" si="60"/>
        <v>#N/A</v>
      </c>
      <c r="F119" t="e">
        <f t="shared" si="61"/>
        <v>#N/A</v>
      </c>
      <c r="G119" t="str">
        <f t="shared" si="77"/>
        <v>DPS</v>
      </c>
      <c r="H119" t="str">
        <f t="shared" si="78"/>
        <v>DPS</v>
      </c>
      <c r="I119" t="str">
        <f t="shared" si="79"/>
        <v>DPS</v>
      </c>
      <c r="J119" t="str">
        <f t="shared" si="80"/>
        <v>DPS</v>
      </c>
      <c r="K119" t="str">
        <f t="shared" si="81"/>
        <v>HPS</v>
      </c>
      <c r="L119" t="e">
        <f t="shared" si="82"/>
        <v>#N/A</v>
      </c>
      <c r="M119" t="e">
        <f t="shared" si="83"/>
        <v>#N/A</v>
      </c>
      <c r="N119" t="e">
        <f t="shared" si="84"/>
        <v>#N/A</v>
      </c>
      <c r="O119" t="e">
        <f t="shared" si="85"/>
        <v>#N/A</v>
      </c>
      <c r="P119" t="e">
        <f t="shared" si="86"/>
        <v>#N/A</v>
      </c>
      <c r="Q119" t="e">
        <f t="shared" si="62"/>
        <v>#N/A</v>
      </c>
      <c r="R119" t="e">
        <f t="shared" si="63"/>
        <v>#N/A</v>
      </c>
      <c r="S119" t="e">
        <f t="shared" si="64"/>
        <v>#N/A</v>
      </c>
      <c r="T119">
        <f t="shared" si="46"/>
        <v>1250</v>
      </c>
      <c r="U119" t="e">
        <f t="shared" si="65"/>
        <v>#NUM!</v>
      </c>
      <c r="V119" t="e">
        <f t="shared" si="66"/>
        <v>#N/A</v>
      </c>
      <c r="W119" t="e">
        <f t="shared" si="67"/>
        <v>#N/A</v>
      </c>
      <c r="X119" t="e">
        <f t="shared" si="68"/>
        <v>#N/A</v>
      </c>
      <c r="Y119" t="e">
        <f t="shared" si="69"/>
        <v>#N/A</v>
      </c>
      <c r="Z119" t="e">
        <f t="shared" si="70"/>
        <v>#N/A</v>
      </c>
      <c r="AA119" t="e">
        <f t="shared" si="71"/>
        <v>#N/A</v>
      </c>
      <c r="AB119" t="e">
        <f t="shared" si="72"/>
        <v>#N/A</v>
      </c>
      <c r="AC119" t="e">
        <f t="shared" si="73"/>
        <v>#N/A</v>
      </c>
      <c r="AD119" t="e">
        <f t="shared" si="74"/>
        <v>#N/A</v>
      </c>
      <c r="AE119" t="e">
        <f t="shared" si="75"/>
        <v>#N/A</v>
      </c>
      <c r="AF119" t="e">
        <f t="shared" si="76"/>
        <v>#N/A</v>
      </c>
      <c r="AG119" t="e">
        <f t="shared" si="36"/>
        <v>#N/A</v>
      </c>
      <c r="AH119" t="b">
        <f t="shared" si="37"/>
        <v>0</v>
      </c>
    </row>
    <row r="120" spans="1:34">
      <c r="A120">
        <v>55</v>
      </c>
      <c r="B120" t="e">
        <f t="shared" si="57"/>
        <v>#N/A</v>
      </c>
      <c r="C120" t="e">
        <f t="shared" si="58"/>
        <v>#N/A</v>
      </c>
      <c r="D120" t="e">
        <f t="shared" si="59"/>
        <v>#N/A</v>
      </c>
      <c r="E120" t="e">
        <f t="shared" si="60"/>
        <v>#N/A</v>
      </c>
      <c r="F120" t="e">
        <f t="shared" si="61"/>
        <v>#N/A</v>
      </c>
      <c r="G120" t="str">
        <f t="shared" si="77"/>
        <v>DPS</v>
      </c>
      <c r="H120" t="str">
        <f t="shared" si="78"/>
        <v>DPS</v>
      </c>
      <c r="I120" t="str">
        <f t="shared" si="79"/>
        <v>DPS</v>
      </c>
      <c r="J120" t="str">
        <f t="shared" si="80"/>
        <v>DPS</v>
      </c>
      <c r="K120" t="str">
        <f t="shared" si="81"/>
        <v>HPS</v>
      </c>
      <c r="L120" t="e">
        <f t="shared" si="82"/>
        <v>#N/A</v>
      </c>
      <c r="M120" t="e">
        <f t="shared" si="83"/>
        <v>#N/A</v>
      </c>
      <c r="N120" t="e">
        <f t="shared" si="84"/>
        <v>#N/A</v>
      </c>
      <c r="O120" t="e">
        <f t="shared" si="85"/>
        <v>#N/A</v>
      </c>
      <c r="P120" t="e">
        <f t="shared" si="86"/>
        <v>#N/A</v>
      </c>
      <c r="Q120" t="e">
        <f t="shared" si="62"/>
        <v>#N/A</v>
      </c>
      <c r="R120" t="e">
        <f t="shared" si="63"/>
        <v>#N/A</v>
      </c>
      <c r="S120" t="e">
        <f t="shared" si="64"/>
        <v>#N/A</v>
      </c>
      <c r="T120">
        <f t="shared" si="46"/>
        <v>1250</v>
      </c>
      <c r="U120" t="e">
        <f t="shared" si="65"/>
        <v>#NUM!</v>
      </c>
      <c r="V120" t="e">
        <f t="shared" si="66"/>
        <v>#N/A</v>
      </c>
      <c r="W120" t="e">
        <f t="shared" si="67"/>
        <v>#N/A</v>
      </c>
      <c r="X120" t="e">
        <f t="shared" si="68"/>
        <v>#N/A</v>
      </c>
      <c r="Y120" t="e">
        <f t="shared" si="69"/>
        <v>#N/A</v>
      </c>
      <c r="Z120" t="e">
        <f t="shared" si="70"/>
        <v>#N/A</v>
      </c>
      <c r="AA120" t="e">
        <f t="shared" si="71"/>
        <v>#N/A</v>
      </c>
      <c r="AB120" t="e">
        <f t="shared" si="72"/>
        <v>#N/A</v>
      </c>
      <c r="AC120" t="e">
        <f t="shared" si="73"/>
        <v>#N/A</v>
      </c>
      <c r="AD120" t="e">
        <f t="shared" si="74"/>
        <v>#N/A</v>
      </c>
      <c r="AE120" t="e">
        <f t="shared" si="75"/>
        <v>#N/A</v>
      </c>
      <c r="AF120" t="e">
        <f t="shared" si="76"/>
        <v>#N/A</v>
      </c>
      <c r="AG120" t="e">
        <f t="shared" si="36"/>
        <v>#N/A</v>
      </c>
      <c r="AH120" t="b">
        <f t="shared" si="37"/>
        <v>0</v>
      </c>
    </row>
    <row r="121" spans="1:34">
      <c r="A121">
        <v>56</v>
      </c>
      <c r="B121" t="e">
        <f t="shared" si="57"/>
        <v>#N/A</v>
      </c>
      <c r="C121" t="e">
        <f t="shared" si="58"/>
        <v>#N/A</v>
      </c>
      <c r="D121" t="e">
        <f t="shared" si="59"/>
        <v>#N/A</v>
      </c>
      <c r="E121" t="e">
        <f t="shared" si="60"/>
        <v>#N/A</v>
      </c>
      <c r="F121" t="e">
        <f t="shared" si="61"/>
        <v>#N/A</v>
      </c>
      <c r="G121" t="str">
        <f t="shared" si="77"/>
        <v>DPS</v>
      </c>
      <c r="H121" t="str">
        <f t="shared" si="78"/>
        <v>DPS</v>
      </c>
      <c r="I121" t="str">
        <f t="shared" si="79"/>
        <v>DPS</v>
      </c>
      <c r="J121" t="str">
        <f t="shared" si="80"/>
        <v>DPS</v>
      </c>
      <c r="K121" t="str">
        <f t="shared" si="81"/>
        <v>HPS</v>
      </c>
      <c r="L121" t="e">
        <f t="shared" si="82"/>
        <v>#N/A</v>
      </c>
      <c r="M121" t="e">
        <f t="shared" si="83"/>
        <v>#N/A</v>
      </c>
      <c r="N121" t="e">
        <f t="shared" si="84"/>
        <v>#N/A</v>
      </c>
      <c r="O121" t="e">
        <f t="shared" si="85"/>
        <v>#N/A</v>
      </c>
      <c r="P121" t="e">
        <f t="shared" si="86"/>
        <v>#N/A</v>
      </c>
      <c r="Q121" t="e">
        <f t="shared" si="62"/>
        <v>#N/A</v>
      </c>
      <c r="R121" t="e">
        <f t="shared" si="63"/>
        <v>#N/A</v>
      </c>
      <c r="S121" t="e">
        <f t="shared" si="64"/>
        <v>#N/A</v>
      </c>
      <c r="T121">
        <f t="shared" si="46"/>
        <v>1250</v>
      </c>
      <c r="U121" t="e">
        <f t="shared" si="65"/>
        <v>#NUM!</v>
      </c>
      <c r="V121" t="e">
        <f t="shared" si="66"/>
        <v>#N/A</v>
      </c>
      <c r="W121" t="e">
        <f t="shared" si="67"/>
        <v>#N/A</v>
      </c>
      <c r="X121" t="e">
        <f t="shared" si="68"/>
        <v>#N/A</v>
      </c>
      <c r="Y121" t="e">
        <f t="shared" si="69"/>
        <v>#N/A</v>
      </c>
      <c r="Z121" t="e">
        <f t="shared" si="70"/>
        <v>#N/A</v>
      </c>
      <c r="AA121" t="e">
        <f t="shared" si="71"/>
        <v>#N/A</v>
      </c>
      <c r="AB121" t="e">
        <f t="shared" si="72"/>
        <v>#N/A</v>
      </c>
      <c r="AC121" t="e">
        <f t="shared" si="73"/>
        <v>#N/A</v>
      </c>
      <c r="AD121" t="e">
        <f t="shared" si="74"/>
        <v>#N/A</v>
      </c>
      <c r="AE121" t="e">
        <f t="shared" si="75"/>
        <v>#N/A</v>
      </c>
      <c r="AF121" t="e">
        <f t="shared" si="76"/>
        <v>#N/A</v>
      </c>
      <c r="AG121" t="e">
        <f t="shared" si="36"/>
        <v>#N/A</v>
      </c>
      <c r="AH121" t="b">
        <f t="shared" si="37"/>
        <v>0</v>
      </c>
    </row>
    <row r="122" spans="1:34">
      <c r="A122">
        <v>57</v>
      </c>
      <c r="B122" t="e">
        <f t="shared" si="57"/>
        <v>#N/A</v>
      </c>
      <c r="C122" t="e">
        <f t="shared" si="58"/>
        <v>#N/A</v>
      </c>
      <c r="D122" t="e">
        <f t="shared" si="59"/>
        <v>#N/A</v>
      </c>
      <c r="E122" t="e">
        <f t="shared" si="60"/>
        <v>#N/A</v>
      </c>
      <c r="F122" t="e">
        <f t="shared" si="61"/>
        <v>#N/A</v>
      </c>
      <c r="G122" t="str">
        <f t="shared" si="77"/>
        <v>DPS</v>
      </c>
      <c r="H122" t="str">
        <f t="shared" si="78"/>
        <v>DPS</v>
      </c>
      <c r="I122" t="str">
        <f t="shared" si="79"/>
        <v>DPS</v>
      </c>
      <c r="J122" t="str">
        <f t="shared" si="80"/>
        <v>DPS</v>
      </c>
      <c r="K122" t="str">
        <f t="shared" si="81"/>
        <v>HPS</v>
      </c>
      <c r="L122" t="e">
        <f t="shared" si="82"/>
        <v>#N/A</v>
      </c>
      <c r="M122" t="e">
        <f t="shared" si="83"/>
        <v>#N/A</v>
      </c>
      <c r="N122" t="e">
        <f t="shared" si="84"/>
        <v>#N/A</v>
      </c>
      <c r="O122" t="e">
        <f t="shared" si="85"/>
        <v>#N/A</v>
      </c>
      <c r="P122" t="e">
        <f t="shared" si="86"/>
        <v>#N/A</v>
      </c>
      <c r="Q122" t="e">
        <f t="shared" si="62"/>
        <v>#N/A</v>
      </c>
      <c r="R122" t="e">
        <f t="shared" si="63"/>
        <v>#N/A</v>
      </c>
      <c r="S122" t="e">
        <f t="shared" si="64"/>
        <v>#N/A</v>
      </c>
      <c r="T122">
        <f t="shared" si="46"/>
        <v>1250</v>
      </c>
      <c r="U122" t="e">
        <f t="shared" si="65"/>
        <v>#NUM!</v>
      </c>
      <c r="V122" t="e">
        <f t="shared" si="66"/>
        <v>#N/A</v>
      </c>
      <c r="W122" t="e">
        <f t="shared" si="67"/>
        <v>#N/A</v>
      </c>
      <c r="X122" t="e">
        <f t="shared" si="68"/>
        <v>#N/A</v>
      </c>
      <c r="Y122" t="e">
        <f t="shared" si="69"/>
        <v>#N/A</v>
      </c>
      <c r="Z122" t="e">
        <f t="shared" si="70"/>
        <v>#N/A</v>
      </c>
      <c r="AA122" t="e">
        <f t="shared" si="71"/>
        <v>#N/A</v>
      </c>
      <c r="AB122" t="e">
        <f t="shared" si="72"/>
        <v>#N/A</v>
      </c>
      <c r="AC122" t="e">
        <f t="shared" si="73"/>
        <v>#N/A</v>
      </c>
      <c r="AD122" t="e">
        <f t="shared" si="74"/>
        <v>#N/A</v>
      </c>
      <c r="AE122" t="e">
        <f t="shared" si="75"/>
        <v>#N/A</v>
      </c>
      <c r="AF122" t="e">
        <f t="shared" si="76"/>
        <v>#N/A</v>
      </c>
      <c r="AG122" t="e">
        <f t="shared" si="36"/>
        <v>#N/A</v>
      </c>
      <c r="AH122" t="b">
        <f t="shared" si="37"/>
        <v>0</v>
      </c>
    </row>
    <row r="123" spans="1:34">
      <c r="A123">
        <v>58</v>
      </c>
      <c r="B123" t="e">
        <f t="shared" si="57"/>
        <v>#N/A</v>
      </c>
      <c r="C123" t="e">
        <f t="shared" si="58"/>
        <v>#N/A</v>
      </c>
      <c r="D123" t="e">
        <f t="shared" si="59"/>
        <v>#N/A</v>
      </c>
      <c r="E123" t="e">
        <f t="shared" si="60"/>
        <v>#N/A</v>
      </c>
      <c r="F123" t="e">
        <f t="shared" si="61"/>
        <v>#N/A</v>
      </c>
      <c r="G123" t="str">
        <f t="shared" si="77"/>
        <v>DPS</v>
      </c>
      <c r="H123" t="str">
        <f t="shared" si="78"/>
        <v>DPS</v>
      </c>
      <c r="I123" t="str">
        <f t="shared" si="79"/>
        <v>DPS</v>
      </c>
      <c r="J123" t="str">
        <f t="shared" si="80"/>
        <v>DPS</v>
      </c>
      <c r="K123" t="str">
        <f t="shared" si="81"/>
        <v>HPS</v>
      </c>
      <c r="L123" t="e">
        <f t="shared" si="82"/>
        <v>#N/A</v>
      </c>
      <c r="M123" t="e">
        <f t="shared" si="83"/>
        <v>#N/A</v>
      </c>
      <c r="N123" t="e">
        <f t="shared" si="84"/>
        <v>#N/A</v>
      </c>
      <c r="O123" t="e">
        <f t="shared" si="85"/>
        <v>#N/A</v>
      </c>
      <c r="P123" t="e">
        <f t="shared" si="86"/>
        <v>#N/A</v>
      </c>
      <c r="Q123" t="e">
        <f t="shared" si="62"/>
        <v>#N/A</v>
      </c>
      <c r="R123" t="e">
        <f t="shared" si="63"/>
        <v>#N/A</v>
      </c>
      <c r="S123" t="e">
        <f t="shared" si="64"/>
        <v>#N/A</v>
      </c>
      <c r="T123">
        <f t="shared" si="46"/>
        <v>1250</v>
      </c>
      <c r="U123" t="e">
        <f t="shared" si="65"/>
        <v>#NUM!</v>
      </c>
      <c r="V123" t="e">
        <f t="shared" si="66"/>
        <v>#N/A</v>
      </c>
      <c r="W123" t="e">
        <f t="shared" si="67"/>
        <v>#N/A</v>
      </c>
      <c r="X123" t="e">
        <f t="shared" si="68"/>
        <v>#N/A</v>
      </c>
      <c r="Y123" t="e">
        <f t="shared" si="69"/>
        <v>#N/A</v>
      </c>
      <c r="Z123" t="e">
        <f t="shared" si="70"/>
        <v>#N/A</v>
      </c>
      <c r="AA123" t="e">
        <f t="shared" si="71"/>
        <v>#N/A</v>
      </c>
      <c r="AB123" t="e">
        <f t="shared" si="72"/>
        <v>#N/A</v>
      </c>
      <c r="AC123" t="e">
        <f t="shared" si="73"/>
        <v>#N/A</v>
      </c>
      <c r="AD123" t="e">
        <f t="shared" si="74"/>
        <v>#N/A</v>
      </c>
      <c r="AE123" t="e">
        <f t="shared" si="75"/>
        <v>#N/A</v>
      </c>
      <c r="AF123" t="e">
        <f t="shared" si="76"/>
        <v>#N/A</v>
      </c>
      <c r="AG123" t="e">
        <f t="shared" si="36"/>
        <v>#N/A</v>
      </c>
      <c r="AH123" t="b">
        <f t="shared" si="37"/>
        <v>0</v>
      </c>
    </row>
    <row r="124" spans="1:34">
      <c r="A124">
        <v>59</v>
      </c>
      <c r="B124" t="e">
        <f t="shared" si="57"/>
        <v>#N/A</v>
      </c>
      <c r="C124" t="e">
        <f t="shared" si="58"/>
        <v>#N/A</v>
      </c>
      <c r="D124" t="e">
        <f t="shared" si="59"/>
        <v>#N/A</v>
      </c>
      <c r="E124" t="e">
        <f t="shared" si="60"/>
        <v>#N/A</v>
      </c>
      <c r="F124" t="e">
        <f t="shared" si="61"/>
        <v>#N/A</v>
      </c>
      <c r="G124" t="str">
        <f t="shared" si="77"/>
        <v>DPS</v>
      </c>
      <c r="H124" t="str">
        <f t="shared" si="78"/>
        <v>DPS</v>
      </c>
      <c r="I124" t="str">
        <f t="shared" si="79"/>
        <v>DPS</v>
      </c>
      <c r="J124" t="str">
        <f t="shared" si="80"/>
        <v>DPS</v>
      </c>
      <c r="K124" t="str">
        <f t="shared" si="81"/>
        <v>HPS</v>
      </c>
      <c r="L124" t="e">
        <f t="shared" si="82"/>
        <v>#N/A</v>
      </c>
      <c r="M124" t="e">
        <f t="shared" si="83"/>
        <v>#N/A</v>
      </c>
      <c r="N124" t="e">
        <f t="shared" si="84"/>
        <v>#N/A</v>
      </c>
      <c r="O124" t="e">
        <f t="shared" si="85"/>
        <v>#N/A</v>
      </c>
      <c r="P124" t="e">
        <f t="shared" si="86"/>
        <v>#N/A</v>
      </c>
      <c r="Q124" t="e">
        <f t="shared" si="62"/>
        <v>#N/A</v>
      </c>
      <c r="R124" t="e">
        <f t="shared" si="63"/>
        <v>#N/A</v>
      </c>
      <c r="S124" t="e">
        <f t="shared" si="64"/>
        <v>#N/A</v>
      </c>
      <c r="T124">
        <f t="shared" si="46"/>
        <v>1250</v>
      </c>
      <c r="U124" t="e">
        <f t="shared" si="65"/>
        <v>#NUM!</v>
      </c>
      <c r="V124" t="e">
        <f t="shared" si="66"/>
        <v>#N/A</v>
      </c>
      <c r="W124" t="e">
        <f t="shared" si="67"/>
        <v>#N/A</v>
      </c>
      <c r="X124" t="e">
        <f t="shared" si="68"/>
        <v>#N/A</v>
      </c>
      <c r="Y124" t="e">
        <f t="shared" si="69"/>
        <v>#N/A</v>
      </c>
      <c r="Z124" t="e">
        <f t="shared" si="70"/>
        <v>#N/A</v>
      </c>
      <c r="AA124" t="e">
        <f t="shared" si="71"/>
        <v>#N/A</v>
      </c>
      <c r="AB124" t="e">
        <f t="shared" si="72"/>
        <v>#N/A</v>
      </c>
      <c r="AC124" t="e">
        <f t="shared" si="73"/>
        <v>#N/A</v>
      </c>
      <c r="AD124" t="e">
        <f t="shared" si="74"/>
        <v>#N/A</v>
      </c>
      <c r="AE124" t="e">
        <f t="shared" si="75"/>
        <v>#N/A</v>
      </c>
      <c r="AF124" t="e">
        <f t="shared" si="76"/>
        <v>#N/A</v>
      </c>
      <c r="AG124" t="e">
        <f t="shared" si="36"/>
        <v>#N/A</v>
      </c>
      <c r="AH124" t="b">
        <f t="shared" si="37"/>
        <v>0</v>
      </c>
    </row>
    <row r="125" spans="1:34">
      <c r="A125">
        <v>60</v>
      </c>
      <c r="B125" t="e">
        <f t="shared" si="57"/>
        <v>#N/A</v>
      </c>
      <c r="C125" t="e">
        <f t="shared" si="58"/>
        <v>#N/A</v>
      </c>
      <c r="D125" t="e">
        <f t="shared" si="59"/>
        <v>#N/A</v>
      </c>
      <c r="E125" t="e">
        <f t="shared" si="60"/>
        <v>#N/A</v>
      </c>
      <c r="F125" t="e">
        <f t="shared" si="61"/>
        <v>#N/A</v>
      </c>
      <c r="G125" t="str">
        <f t="shared" si="77"/>
        <v>DPS</v>
      </c>
      <c r="H125" t="str">
        <f t="shared" si="78"/>
        <v>DPS</v>
      </c>
      <c r="I125" t="str">
        <f t="shared" si="79"/>
        <v>DPS</v>
      </c>
      <c r="J125" t="str">
        <f t="shared" si="80"/>
        <v>DPS</v>
      </c>
      <c r="K125" t="str">
        <f t="shared" si="81"/>
        <v>HPS</v>
      </c>
      <c r="L125" t="e">
        <f t="shared" si="82"/>
        <v>#N/A</v>
      </c>
      <c r="M125" t="e">
        <f t="shared" si="83"/>
        <v>#N/A</v>
      </c>
      <c r="N125" t="e">
        <f t="shared" si="84"/>
        <v>#N/A</v>
      </c>
      <c r="O125" t="e">
        <f t="shared" si="85"/>
        <v>#N/A</v>
      </c>
      <c r="P125" t="e">
        <f t="shared" si="86"/>
        <v>#N/A</v>
      </c>
      <c r="Q125" t="e">
        <f t="shared" si="62"/>
        <v>#N/A</v>
      </c>
      <c r="R125" t="e">
        <f t="shared" si="63"/>
        <v>#N/A</v>
      </c>
      <c r="S125" t="e">
        <f t="shared" si="64"/>
        <v>#N/A</v>
      </c>
      <c r="T125">
        <f t="shared" si="46"/>
        <v>1250</v>
      </c>
      <c r="U125" t="e">
        <f t="shared" si="65"/>
        <v>#NUM!</v>
      </c>
      <c r="V125" t="e">
        <f t="shared" si="66"/>
        <v>#N/A</v>
      </c>
      <c r="W125" t="e">
        <f t="shared" si="67"/>
        <v>#N/A</v>
      </c>
      <c r="X125" t="e">
        <f t="shared" si="68"/>
        <v>#N/A</v>
      </c>
      <c r="Y125" t="e">
        <f t="shared" si="69"/>
        <v>#N/A</v>
      </c>
      <c r="Z125" t="e">
        <f t="shared" si="70"/>
        <v>#N/A</v>
      </c>
      <c r="AA125" t="e">
        <f t="shared" si="71"/>
        <v>#N/A</v>
      </c>
      <c r="AB125" t="e">
        <f t="shared" si="72"/>
        <v>#N/A</v>
      </c>
      <c r="AC125" t="e">
        <f t="shared" si="73"/>
        <v>#N/A</v>
      </c>
      <c r="AD125" t="e">
        <f t="shared" si="74"/>
        <v>#N/A</v>
      </c>
      <c r="AE125" t="e">
        <f t="shared" si="75"/>
        <v>#N/A</v>
      </c>
      <c r="AF125" t="e">
        <f t="shared" si="76"/>
        <v>#N/A</v>
      </c>
      <c r="AG125" t="e">
        <f t="shared" si="36"/>
        <v>#N/A</v>
      </c>
      <c r="AH125" t="b">
        <f t="shared" si="37"/>
        <v>0</v>
      </c>
    </row>
    <row r="126" spans="1:34">
      <c r="A126">
        <v>61</v>
      </c>
      <c r="B126" t="e">
        <f t="shared" si="57"/>
        <v>#N/A</v>
      </c>
      <c r="C126" t="e">
        <f t="shared" si="58"/>
        <v>#N/A</v>
      </c>
      <c r="D126" t="e">
        <f t="shared" si="59"/>
        <v>#N/A</v>
      </c>
      <c r="E126" t="e">
        <f t="shared" si="60"/>
        <v>#N/A</v>
      </c>
      <c r="F126" t="e">
        <f t="shared" si="61"/>
        <v>#N/A</v>
      </c>
      <c r="G126" t="str">
        <f t="shared" si="77"/>
        <v>DPS</v>
      </c>
      <c r="H126" t="str">
        <f t="shared" si="78"/>
        <v>DPS</v>
      </c>
      <c r="I126" t="str">
        <f t="shared" si="79"/>
        <v>DPS</v>
      </c>
      <c r="J126" t="str">
        <f t="shared" si="80"/>
        <v>DPS</v>
      </c>
      <c r="K126" t="str">
        <f t="shared" si="81"/>
        <v>HPS</v>
      </c>
      <c r="L126" t="e">
        <f t="shared" si="82"/>
        <v>#N/A</v>
      </c>
      <c r="M126" t="e">
        <f t="shared" si="83"/>
        <v>#N/A</v>
      </c>
      <c r="N126" t="e">
        <f t="shared" si="84"/>
        <v>#N/A</v>
      </c>
      <c r="O126" t="e">
        <f t="shared" si="85"/>
        <v>#N/A</v>
      </c>
      <c r="P126" t="e">
        <f t="shared" si="86"/>
        <v>#N/A</v>
      </c>
      <c r="Q126" t="e">
        <f t="shared" si="62"/>
        <v>#N/A</v>
      </c>
      <c r="R126" t="e">
        <f t="shared" si="63"/>
        <v>#N/A</v>
      </c>
      <c r="S126" t="e">
        <f t="shared" si="64"/>
        <v>#N/A</v>
      </c>
      <c r="T126">
        <f t="shared" si="46"/>
        <v>1250</v>
      </c>
      <c r="U126" t="e">
        <f t="shared" si="65"/>
        <v>#NUM!</v>
      </c>
      <c r="V126" t="e">
        <f t="shared" si="66"/>
        <v>#N/A</v>
      </c>
      <c r="W126" t="e">
        <f t="shared" si="67"/>
        <v>#N/A</v>
      </c>
      <c r="X126" t="e">
        <f t="shared" si="68"/>
        <v>#N/A</v>
      </c>
      <c r="Y126" t="e">
        <f t="shared" si="69"/>
        <v>#N/A</v>
      </c>
      <c r="Z126" t="e">
        <f t="shared" si="70"/>
        <v>#N/A</v>
      </c>
      <c r="AA126" t="e">
        <f t="shared" si="71"/>
        <v>#N/A</v>
      </c>
      <c r="AB126" t="e">
        <f t="shared" si="72"/>
        <v>#N/A</v>
      </c>
      <c r="AC126" t="e">
        <f t="shared" si="73"/>
        <v>#N/A</v>
      </c>
      <c r="AD126" t="e">
        <f t="shared" si="74"/>
        <v>#N/A</v>
      </c>
      <c r="AE126" t="e">
        <f t="shared" si="75"/>
        <v>#N/A</v>
      </c>
      <c r="AF126" t="e">
        <f t="shared" si="76"/>
        <v>#N/A</v>
      </c>
      <c r="AG126" t="e">
        <f t="shared" si="36"/>
        <v>#N/A</v>
      </c>
      <c r="AH126" t="b">
        <f t="shared" si="37"/>
        <v>0</v>
      </c>
    </row>
    <row r="127" spans="1:34">
      <c r="A127">
        <v>62</v>
      </c>
      <c r="B127" t="e">
        <f t="shared" si="57"/>
        <v>#N/A</v>
      </c>
      <c r="C127" t="e">
        <f t="shared" si="58"/>
        <v>#N/A</v>
      </c>
      <c r="D127" t="e">
        <f t="shared" si="59"/>
        <v>#N/A</v>
      </c>
      <c r="E127" t="e">
        <f t="shared" si="60"/>
        <v>#N/A</v>
      </c>
      <c r="F127" t="e">
        <f t="shared" si="61"/>
        <v>#N/A</v>
      </c>
      <c r="G127" t="str">
        <f t="shared" si="77"/>
        <v>DPS</v>
      </c>
      <c r="H127" t="str">
        <f t="shared" si="78"/>
        <v>DPS</v>
      </c>
      <c r="I127" t="str">
        <f t="shared" si="79"/>
        <v>DPS</v>
      </c>
      <c r="J127" t="str">
        <f t="shared" si="80"/>
        <v>DPS</v>
      </c>
      <c r="K127" t="str">
        <f t="shared" si="81"/>
        <v>HPS</v>
      </c>
      <c r="L127" t="e">
        <f t="shared" si="82"/>
        <v>#N/A</v>
      </c>
      <c r="M127" t="e">
        <f t="shared" si="83"/>
        <v>#N/A</v>
      </c>
      <c r="N127" t="e">
        <f t="shared" si="84"/>
        <v>#N/A</v>
      </c>
      <c r="O127" t="e">
        <f t="shared" si="85"/>
        <v>#N/A</v>
      </c>
      <c r="P127" t="e">
        <f t="shared" si="86"/>
        <v>#N/A</v>
      </c>
      <c r="Q127" t="e">
        <f t="shared" si="62"/>
        <v>#N/A</v>
      </c>
      <c r="R127" t="e">
        <f t="shared" si="63"/>
        <v>#N/A</v>
      </c>
      <c r="S127" t="e">
        <f t="shared" si="64"/>
        <v>#N/A</v>
      </c>
      <c r="T127">
        <f t="shared" si="46"/>
        <v>1250</v>
      </c>
      <c r="U127" t="e">
        <f t="shared" si="65"/>
        <v>#NUM!</v>
      </c>
      <c r="V127" t="e">
        <f t="shared" si="66"/>
        <v>#N/A</v>
      </c>
      <c r="W127" t="e">
        <f t="shared" si="67"/>
        <v>#N/A</v>
      </c>
      <c r="X127" t="e">
        <f t="shared" si="68"/>
        <v>#N/A</v>
      </c>
      <c r="Y127" t="e">
        <f t="shared" si="69"/>
        <v>#N/A</v>
      </c>
      <c r="Z127" t="e">
        <f t="shared" si="70"/>
        <v>#N/A</v>
      </c>
      <c r="AA127" t="e">
        <f t="shared" si="71"/>
        <v>#N/A</v>
      </c>
      <c r="AB127" t="e">
        <f t="shared" si="72"/>
        <v>#N/A</v>
      </c>
      <c r="AC127" t="e">
        <f t="shared" si="73"/>
        <v>#N/A</v>
      </c>
      <c r="AD127" t="e">
        <f t="shared" si="74"/>
        <v>#N/A</v>
      </c>
      <c r="AE127" t="e">
        <f t="shared" si="75"/>
        <v>#N/A</v>
      </c>
      <c r="AF127" t="e">
        <f t="shared" si="76"/>
        <v>#N/A</v>
      </c>
      <c r="AG127" t="e">
        <f t="shared" si="36"/>
        <v>#N/A</v>
      </c>
      <c r="AH127" t="b">
        <f t="shared" si="37"/>
        <v>0</v>
      </c>
    </row>
    <row r="128" spans="1:34">
      <c r="A128">
        <v>63</v>
      </c>
      <c r="B128" t="e">
        <f t="shared" si="57"/>
        <v>#N/A</v>
      </c>
      <c r="C128" t="e">
        <f t="shared" si="58"/>
        <v>#N/A</v>
      </c>
      <c r="D128" t="e">
        <f t="shared" si="59"/>
        <v>#N/A</v>
      </c>
      <c r="E128" t="e">
        <f t="shared" si="60"/>
        <v>#N/A</v>
      </c>
      <c r="F128" t="e">
        <f t="shared" si="61"/>
        <v>#N/A</v>
      </c>
      <c r="G128" t="str">
        <f t="shared" si="77"/>
        <v>DPS</v>
      </c>
      <c r="H128" t="str">
        <f t="shared" si="78"/>
        <v>DPS</v>
      </c>
      <c r="I128" t="str">
        <f t="shared" si="79"/>
        <v>DPS</v>
      </c>
      <c r="J128" t="str">
        <f t="shared" si="80"/>
        <v>DPS</v>
      </c>
      <c r="K128" t="str">
        <f t="shared" si="81"/>
        <v>HPS</v>
      </c>
      <c r="L128" t="e">
        <f t="shared" si="82"/>
        <v>#N/A</v>
      </c>
      <c r="M128" t="e">
        <f t="shared" si="83"/>
        <v>#N/A</v>
      </c>
      <c r="N128" t="e">
        <f t="shared" si="84"/>
        <v>#N/A</v>
      </c>
      <c r="O128" t="e">
        <f t="shared" si="85"/>
        <v>#N/A</v>
      </c>
      <c r="P128" t="e">
        <f t="shared" si="86"/>
        <v>#N/A</v>
      </c>
      <c r="Q128" t="e">
        <f t="shared" si="62"/>
        <v>#N/A</v>
      </c>
      <c r="R128" t="e">
        <f t="shared" si="63"/>
        <v>#N/A</v>
      </c>
      <c r="S128" t="e">
        <f t="shared" si="64"/>
        <v>#N/A</v>
      </c>
      <c r="T128">
        <f t="shared" si="46"/>
        <v>1250</v>
      </c>
      <c r="U128" t="e">
        <f t="shared" si="65"/>
        <v>#NUM!</v>
      </c>
      <c r="V128" t="e">
        <f t="shared" si="66"/>
        <v>#N/A</v>
      </c>
      <c r="W128" t="e">
        <f t="shared" si="67"/>
        <v>#N/A</v>
      </c>
      <c r="X128" t="e">
        <f t="shared" si="68"/>
        <v>#N/A</v>
      </c>
      <c r="Y128" t="e">
        <f t="shared" si="69"/>
        <v>#N/A</v>
      </c>
      <c r="Z128" t="e">
        <f t="shared" si="70"/>
        <v>#N/A</v>
      </c>
      <c r="AA128" t="e">
        <f t="shared" si="71"/>
        <v>#N/A</v>
      </c>
      <c r="AB128" t="e">
        <f t="shared" si="72"/>
        <v>#N/A</v>
      </c>
      <c r="AC128" t="e">
        <f t="shared" si="73"/>
        <v>#N/A</v>
      </c>
      <c r="AD128" t="e">
        <f t="shared" si="74"/>
        <v>#N/A</v>
      </c>
      <c r="AE128" t="e">
        <f t="shared" si="75"/>
        <v>#N/A</v>
      </c>
      <c r="AF128" t="e">
        <f t="shared" si="76"/>
        <v>#N/A</v>
      </c>
      <c r="AG128" t="e">
        <f t="shared" si="36"/>
        <v>#N/A</v>
      </c>
      <c r="AH128" t="b">
        <f t="shared" si="37"/>
        <v>0</v>
      </c>
    </row>
    <row r="129" spans="1:34">
      <c r="A129">
        <v>64</v>
      </c>
      <c r="B129" t="e">
        <f t="shared" si="57"/>
        <v>#N/A</v>
      </c>
      <c r="C129" t="e">
        <f t="shared" si="58"/>
        <v>#N/A</v>
      </c>
      <c r="D129" t="e">
        <f t="shared" si="59"/>
        <v>#N/A</v>
      </c>
      <c r="E129" t="e">
        <f t="shared" si="60"/>
        <v>#N/A</v>
      </c>
      <c r="F129" t="e">
        <f t="shared" si="61"/>
        <v>#N/A</v>
      </c>
      <c r="G129" t="str">
        <f t="shared" si="77"/>
        <v>DPS</v>
      </c>
      <c r="H129" t="str">
        <f t="shared" si="78"/>
        <v>DPS</v>
      </c>
      <c r="I129" t="str">
        <f t="shared" si="79"/>
        <v>DPS</v>
      </c>
      <c r="J129" t="str">
        <f t="shared" si="80"/>
        <v>DPS</v>
      </c>
      <c r="K129" t="str">
        <f t="shared" si="81"/>
        <v>HPS</v>
      </c>
      <c r="L129" t="e">
        <f t="shared" si="82"/>
        <v>#N/A</v>
      </c>
      <c r="M129" t="e">
        <f t="shared" si="83"/>
        <v>#N/A</v>
      </c>
      <c r="N129" t="e">
        <f t="shared" si="84"/>
        <v>#N/A</v>
      </c>
      <c r="O129" t="e">
        <f t="shared" si="85"/>
        <v>#N/A</v>
      </c>
      <c r="P129" t="e">
        <f t="shared" si="86"/>
        <v>#N/A</v>
      </c>
      <c r="Q129" t="e">
        <f t="shared" si="62"/>
        <v>#N/A</v>
      </c>
      <c r="R129" t="e">
        <f t="shared" si="63"/>
        <v>#N/A</v>
      </c>
      <c r="S129" t="e">
        <f t="shared" si="64"/>
        <v>#N/A</v>
      </c>
      <c r="T129">
        <f t="shared" si="46"/>
        <v>1250</v>
      </c>
      <c r="U129" t="e">
        <f t="shared" si="65"/>
        <v>#NUM!</v>
      </c>
      <c r="V129" t="e">
        <f t="shared" si="66"/>
        <v>#N/A</v>
      </c>
      <c r="W129" t="e">
        <f t="shared" si="67"/>
        <v>#N/A</v>
      </c>
      <c r="X129" t="e">
        <f t="shared" si="68"/>
        <v>#N/A</v>
      </c>
      <c r="Y129" t="e">
        <f t="shared" si="69"/>
        <v>#N/A</v>
      </c>
      <c r="Z129" t="e">
        <f t="shared" si="70"/>
        <v>#N/A</v>
      </c>
      <c r="AA129" t="e">
        <f t="shared" si="71"/>
        <v>#N/A</v>
      </c>
      <c r="AB129" t="e">
        <f t="shared" si="72"/>
        <v>#N/A</v>
      </c>
      <c r="AC129" t="e">
        <f t="shared" si="73"/>
        <v>#N/A</v>
      </c>
      <c r="AD129" t="e">
        <f t="shared" si="74"/>
        <v>#N/A</v>
      </c>
      <c r="AE129" t="e">
        <f t="shared" si="75"/>
        <v>#N/A</v>
      </c>
      <c r="AF129" t="e">
        <f t="shared" si="76"/>
        <v>#N/A</v>
      </c>
      <c r="AG129" t="e">
        <f t="shared" si="36"/>
        <v>#N/A</v>
      </c>
      <c r="AH129" t="b">
        <f t="shared" si="37"/>
        <v>0</v>
      </c>
    </row>
    <row r="130" spans="1:34">
      <c r="A130">
        <v>65</v>
      </c>
      <c r="B130" t="e">
        <f t="shared" si="57"/>
        <v>#N/A</v>
      </c>
      <c r="C130" t="e">
        <f t="shared" si="58"/>
        <v>#N/A</v>
      </c>
      <c r="D130" t="e">
        <f t="shared" si="59"/>
        <v>#N/A</v>
      </c>
      <c r="E130" t="e">
        <f t="shared" si="60"/>
        <v>#N/A</v>
      </c>
      <c r="F130" t="e">
        <f t="shared" si="61"/>
        <v>#N/A</v>
      </c>
      <c r="G130" t="str">
        <f t="shared" ref="G130:G165" si="87">INDEX($E$3:$E$23,MATCH(B$63,$A$3:$A$23,0))</f>
        <v>DPS</v>
      </c>
      <c r="H130" t="str">
        <f t="shared" ref="H130:H165" si="88">INDEX($E$3:$E$23,MATCH(C$63,$A$3:$A$23,0))</f>
        <v>DPS</v>
      </c>
      <c r="I130" t="str">
        <f t="shared" ref="I130:I165" si="89">INDEX($E$3:$E$23,MATCH(D$63,$A$3:$A$23,0))</f>
        <v>DPS</v>
      </c>
      <c r="J130" t="str">
        <f t="shared" ref="J130:J165" si="90">INDEX($E$3:$E$23,MATCH(E$63,$A$3:$A$23,0))</f>
        <v>DPS</v>
      </c>
      <c r="K130" t="str">
        <f t="shared" ref="K130:K165" si="91">INDEX($E$3:$E$23,MATCH(F$63,$A$3:$A$23,0))</f>
        <v>HPS</v>
      </c>
      <c r="L130" t="e">
        <f t="shared" si="82"/>
        <v>#N/A</v>
      </c>
      <c r="M130" t="e">
        <f t="shared" si="83"/>
        <v>#N/A</v>
      </c>
      <c r="N130" t="e">
        <f t="shared" si="84"/>
        <v>#N/A</v>
      </c>
      <c r="O130" t="e">
        <f t="shared" si="85"/>
        <v>#N/A</v>
      </c>
      <c r="P130" t="e">
        <f t="shared" si="86"/>
        <v>#N/A</v>
      </c>
      <c r="Q130" t="e">
        <f t="shared" si="62"/>
        <v>#N/A</v>
      </c>
      <c r="R130" t="e">
        <f t="shared" si="63"/>
        <v>#N/A</v>
      </c>
      <c r="S130" t="e">
        <f t="shared" si="64"/>
        <v>#N/A</v>
      </c>
      <c r="T130">
        <f t="shared" si="46"/>
        <v>1250</v>
      </c>
      <c r="U130" t="e">
        <f t="shared" si="65"/>
        <v>#NUM!</v>
      </c>
      <c r="V130" t="e">
        <f t="shared" si="66"/>
        <v>#N/A</v>
      </c>
      <c r="W130" t="e">
        <f t="shared" si="67"/>
        <v>#N/A</v>
      </c>
      <c r="X130" t="e">
        <f t="shared" si="68"/>
        <v>#N/A</v>
      </c>
      <c r="Y130" t="e">
        <f t="shared" si="69"/>
        <v>#N/A</v>
      </c>
      <c r="Z130" t="e">
        <f t="shared" si="70"/>
        <v>#N/A</v>
      </c>
      <c r="AA130" t="e">
        <f t="shared" si="71"/>
        <v>#N/A</v>
      </c>
      <c r="AB130" t="e">
        <f t="shared" si="72"/>
        <v>#N/A</v>
      </c>
      <c r="AC130" t="e">
        <f t="shared" si="73"/>
        <v>#N/A</v>
      </c>
      <c r="AD130" t="e">
        <f t="shared" si="74"/>
        <v>#N/A</v>
      </c>
      <c r="AE130" t="e">
        <f t="shared" si="75"/>
        <v>#N/A</v>
      </c>
      <c r="AF130" t="e">
        <f t="shared" si="76"/>
        <v>#N/A</v>
      </c>
      <c r="AG130" t="e">
        <f t="shared" si="36"/>
        <v>#N/A</v>
      </c>
      <c r="AH130" t="b">
        <f t="shared" si="37"/>
        <v>0</v>
      </c>
    </row>
    <row r="131" spans="1:34">
      <c r="A131">
        <v>66</v>
      </c>
      <c r="B131" t="e">
        <f t="shared" si="57"/>
        <v>#N/A</v>
      </c>
      <c r="C131" t="e">
        <f t="shared" si="58"/>
        <v>#N/A</v>
      </c>
      <c r="D131" t="e">
        <f t="shared" si="59"/>
        <v>#N/A</v>
      </c>
      <c r="E131" t="e">
        <f t="shared" si="60"/>
        <v>#N/A</v>
      </c>
      <c r="F131" t="e">
        <f t="shared" si="61"/>
        <v>#N/A</v>
      </c>
      <c r="G131" t="str">
        <f t="shared" si="87"/>
        <v>DPS</v>
      </c>
      <c r="H131" t="str">
        <f t="shared" si="88"/>
        <v>DPS</v>
      </c>
      <c r="I131" t="str">
        <f t="shared" si="89"/>
        <v>DPS</v>
      </c>
      <c r="J131" t="str">
        <f t="shared" si="90"/>
        <v>DPS</v>
      </c>
      <c r="K131" t="str">
        <f t="shared" si="91"/>
        <v>HPS</v>
      </c>
      <c r="L131" t="e">
        <f t="shared" ref="L131:L165" si="92">IF(AA130,0,INDEX($F$3:$F$23,MATCH(B$63,$A$3:$A$23,0)))</f>
        <v>#N/A</v>
      </c>
      <c r="M131" t="e">
        <f t="shared" ref="M131:M165" si="93">IF(AB130,0,INDEX($F$3:$F$23,MATCH(C$63,$A$3:$A$23,0)))</f>
        <v>#N/A</v>
      </c>
      <c r="N131" t="e">
        <f t="shared" ref="N131:N165" si="94">IF(AC130,0,INDEX($F$3:$F$23,MATCH(D$63,$A$3:$A$23,0)))</f>
        <v>#N/A</v>
      </c>
      <c r="O131" t="e">
        <f t="shared" ref="O131:O165" si="95">IF(AD130,0,INDEX($F$3:$F$23,MATCH(E$63,$A$3:$A$23,0)))</f>
        <v>#N/A</v>
      </c>
      <c r="P131" t="e">
        <f t="shared" ref="P131:P165" si="96">IF(AE130,0,INDEX($F$3:$F$23,MATCH(F$63,$A$3:$A$23,0)))</f>
        <v>#N/A</v>
      </c>
      <c r="Q131" t="e">
        <f t="shared" si="62"/>
        <v>#N/A</v>
      </c>
      <c r="R131" t="e">
        <f t="shared" si="63"/>
        <v>#N/A</v>
      </c>
      <c r="S131" t="e">
        <f t="shared" si="64"/>
        <v>#N/A</v>
      </c>
      <c r="T131">
        <f t="shared" si="46"/>
        <v>1250</v>
      </c>
      <c r="U131" t="e">
        <f t="shared" si="65"/>
        <v>#NUM!</v>
      </c>
      <c r="V131" t="e">
        <f t="shared" si="66"/>
        <v>#N/A</v>
      </c>
      <c r="W131" t="e">
        <f t="shared" si="67"/>
        <v>#N/A</v>
      </c>
      <c r="X131" t="e">
        <f t="shared" si="68"/>
        <v>#N/A</v>
      </c>
      <c r="Y131" t="e">
        <f t="shared" si="69"/>
        <v>#N/A</v>
      </c>
      <c r="Z131" t="e">
        <f t="shared" si="70"/>
        <v>#N/A</v>
      </c>
      <c r="AA131" t="e">
        <f t="shared" si="71"/>
        <v>#N/A</v>
      </c>
      <c r="AB131" t="e">
        <f t="shared" si="72"/>
        <v>#N/A</v>
      </c>
      <c r="AC131" t="e">
        <f t="shared" si="73"/>
        <v>#N/A</v>
      </c>
      <c r="AD131" t="e">
        <f t="shared" si="74"/>
        <v>#N/A</v>
      </c>
      <c r="AE131" t="e">
        <f t="shared" si="75"/>
        <v>#N/A</v>
      </c>
      <c r="AF131" t="e">
        <f t="shared" si="76"/>
        <v>#N/A</v>
      </c>
      <c r="AG131" t="e">
        <f t="shared" ref="AG131:AG165" si="97">AF131&lt;=0</f>
        <v>#N/A</v>
      </c>
      <c r="AH131" t="b">
        <f t="shared" ref="AH131:AH165" si="98">COUNTIF(AA131:AE131,TRUE)=5</f>
        <v>0</v>
      </c>
    </row>
    <row r="132" spans="1:34">
      <c r="A132">
        <v>67</v>
      </c>
      <c r="B132" t="e">
        <f t="shared" si="57"/>
        <v>#N/A</v>
      </c>
      <c r="C132" t="e">
        <f t="shared" si="58"/>
        <v>#N/A</v>
      </c>
      <c r="D132" t="e">
        <f t="shared" si="59"/>
        <v>#N/A</v>
      </c>
      <c r="E132" t="e">
        <f t="shared" si="60"/>
        <v>#N/A</v>
      </c>
      <c r="F132" t="e">
        <f t="shared" si="61"/>
        <v>#N/A</v>
      </c>
      <c r="G132" t="str">
        <f t="shared" si="87"/>
        <v>DPS</v>
      </c>
      <c r="H132" t="str">
        <f t="shared" si="88"/>
        <v>DPS</v>
      </c>
      <c r="I132" t="str">
        <f t="shared" si="89"/>
        <v>DPS</v>
      </c>
      <c r="J132" t="str">
        <f t="shared" si="90"/>
        <v>DPS</v>
      </c>
      <c r="K132" t="str">
        <f t="shared" si="91"/>
        <v>HPS</v>
      </c>
      <c r="L132" t="e">
        <f t="shared" si="92"/>
        <v>#N/A</v>
      </c>
      <c r="M132" t="e">
        <f t="shared" si="93"/>
        <v>#N/A</v>
      </c>
      <c r="N132" t="e">
        <f t="shared" si="94"/>
        <v>#N/A</v>
      </c>
      <c r="O132" t="e">
        <f t="shared" si="95"/>
        <v>#N/A</v>
      </c>
      <c r="P132" t="e">
        <f t="shared" si="96"/>
        <v>#N/A</v>
      </c>
      <c r="Q132" t="e">
        <f t="shared" si="62"/>
        <v>#N/A</v>
      </c>
      <c r="R132" t="e">
        <f t="shared" si="63"/>
        <v>#N/A</v>
      </c>
      <c r="S132" t="e">
        <f t="shared" si="64"/>
        <v>#N/A</v>
      </c>
      <c r="T132">
        <f t="shared" ref="T132:T165" si="99">INDEX($R$3:$R$23,MATCH($B$29,$A$3:$A$23,0))</f>
        <v>1250</v>
      </c>
      <c r="U132" t="e">
        <f t="shared" si="65"/>
        <v>#NUM!</v>
      </c>
      <c r="V132" t="e">
        <f t="shared" si="66"/>
        <v>#N/A</v>
      </c>
      <c r="W132" t="e">
        <f t="shared" si="67"/>
        <v>#N/A</v>
      </c>
      <c r="X132" t="e">
        <f t="shared" si="68"/>
        <v>#N/A</v>
      </c>
      <c r="Y132" t="e">
        <f t="shared" si="69"/>
        <v>#N/A</v>
      </c>
      <c r="Z132" t="e">
        <f t="shared" si="70"/>
        <v>#N/A</v>
      </c>
      <c r="AA132" t="e">
        <f t="shared" si="71"/>
        <v>#N/A</v>
      </c>
      <c r="AB132" t="e">
        <f t="shared" si="72"/>
        <v>#N/A</v>
      </c>
      <c r="AC132" t="e">
        <f t="shared" si="73"/>
        <v>#N/A</v>
      </c>
      <c r="AD132" t="e">
        <f t="shared" si="74"/>
        <v>#N/A</v>
      </c>
      <c r="AE132" t="e">
        <f t="shared" si="75"/>
        <v>#N/A</v>
      </c>
      <c r="AF132" t="e">
        <f t="shared" si="76"/>
        <v>#N/A</v>
      </c>
      <c r="AG132" t="e">
        <f t="shared" si="97"/>
        <v>#N/A</v>
      </c>
      <c r="AH132" t="b">
        <f t="shared" si="98"/>
        <v>0</v>
      </c>
    </row>
    <row r="133" spans="1:34">
      <c r="A133">
        <v>68</v>
      </c>
      <c r="B133" t="e">
        <f t="shared" si="57"/>
        <v>#N/A</v>
      </c>
      <c r="C133" t="e">
        <f t="shared" si="58"/>
        <v>#N/A</v>
      </c>
      <c r="D133" t="e">
        <f t="shared" si="59"/>
        <v>#N/A</v>
      </c>
      <c r="E133" t="e">
        <f t="shared" si="60"/>
        <v>#N/A</v>
      </c>
      <c r="F133" t="e">
        <f t="shared" si="61"/>
        <v>#N/A</v>
      </c>
      <c r="G133" t="str">
        <f t="shared" si="87"/>
        <v>DPS</v>
      </c>
      <c r="H133" t="str">
        <f t="shared" si="88"/>
        <v>DPS</v>
      </c>
      <c r="I133" t="str">
        <f t="shared" si="89"/>
        <v>DPS</v>
      </c>
      <c r="J133" t="str">
        <f t="shared" si="90"/>
        <v>DPS</v>
      </c>
      <c r="K133" t="str">
        <f t="shared" si="91"/>
        <v>HPS</v>
      </c>
      <c r="L133" t="e">
        <f t="shared" si="92"/>
        <v>#N/A</v>
      </c>
      <c r="M133" t="e">
        <f t="shared" si="93"/>
        <v>#N/A</v>
      </c>
      <c r="N133" t="e">
        <f t="shared" si="94"/>
        <v>#N/A</v>
      </c>
      <c r="O133" t="e">
        <f t="shared" si="95"/>
        <v>#N/A</v>
      </c>
      <c r="P133" t="e">
        <f t="shared" si="96"/>
        <v>#N/A</v>
      </c>
      <c r="Q133" t="e">
        <f t="shared" si="62"/>
        <v>#N/A</v>
      </c>
      <c r="R133" t="e">
        <f t="shared" si="63"/>
        <v>#N/A</v>
      </c>
      <c r="S133" t="e">
        <f t="shared" si="64"/>
        <v>#N/A</v>
      </c>
      <c r="T133">
        <f t="shared" si="99"/>
        <v>1250</v>
      </c>
      <c r="U133" t="e">
        <f t="shared" si="65"/>
        <v>#NUM!</v>
      </c>
      <c r="V133" t="e">
        <f t="shared" si="66"/>
        <v>#N/A</v>
      </c>
      <c r="W133" t="e">
        <f t="shared" si="67"/>
        <v>#N/A</v>
      </c>
      <c r="X133" t="e">
        <f t="shared" si="68"/>
        <v>#N/A</v>
      </c>
      <c r="Y133" t="e">
        <f t="shared" si="69"/>
        <v>#N/A</v>
      </c>
      <c r="Z133" t="e">
        <f t="shared" si="70"/>
        <v>#N/A</v>
      </c>
      <c r="AA133" t="e">
        <f t="shared" si="71"/>
        <v>#N/A</v>
      </c>
      <c r="AB133" t="e">
        <f t="shared" si="72"/>
        <v>#N/A</v>
      </c>
      <c r="AC133" t="e">
        <f t="shared" si="73"/>
        <v>#N/A</v>
      </c>
      <c r="AD133" t="e">
        <f t="shared" si="74"/>
        <v>#N/A</v>
      </c>
      <c r="AE133" t="e">
        <f t="shared" si="75"/>
        <v>#N/A</v>
      </c>
      <c r="AF133" t="e">
        <f t="shared" si="76"/>
        <v>#N/A</v>
      </c>
      <c r="AG133" t="e">
        <f t="shared" si="97"/>
        <v>#N/A</v>
      </c>
      <c r="AH133" t="b">
        <f t="shared" si="98"/>
        <v>0</v>
      </c>
    </row>
    <row r="134" spans="1:34">
      <c r="A134">
        <v>69</v>
      </c>
      <c r="B134" t="e">
        <f t="shared" si="57"/>
        <v>#N/A</v>
      </c>
      <c r="C134" t="e">
        <f t="shared" si="58"/>
        <v>#N/A</v>
      </c>
      <c r="D134" t="e">
        <f t="shared" si="59"/>
        <v>#N/A</v>
      </c>
      <c r="E134" t="e">
        <f t="shared" si="60"/>
        <v>#N/A</v>
      </c>
      <c r="F134" t="e">
        <f t="shared" si="61"/>
        <v>#N/A</v>
      </c>
      <c r="G134" t="str">
        <f t="shared" si="87"/>
        <v>DPS</v>
      </c>
      <c r="H134" t="str">
        <f t="shared" si="88"/>
        <v>DPS</v>
      </c>
      <c r="I134" t="str">
        <f t="shared" si="89"/>
        <v>DPS</v>
      </c>
      <c r="J134" t="str">
        <f t="shared" si="90"/>
        <v>DPS</v>
      </c>
      <c r="K134" t="str">
        <f t="shared" si="91"/>
        <v>HPS</v>
      </c>
      <c r="L134" t="e">
        <f t="shared" si="92"/>
        <v>#N/A</v>
      </c>
      <c r="M134" t="e">
        <f t="shared" si="93"/>
        <v>#N/A</v>
      </c>
      <c r="N134" t="e">
        <f t="shared" si="94"/>
        <v>#N/A</v>
      </c>
      <c r="O134" t="e">
        <f t="shared" si="95"/>
        <v>#N/A</v>
      </c>
      <c r="P134" t="e">
        <f t="shared" si="96"/>
        <v>#N/A</v>
      </c>
      <c r="Q134" t="e">
        <f t="shared" si="62"/>
        <v>#N/A</v>
      </c>
      <c r="R134" t="e">
        <f t="shared" si="63"/>
        <v>#N/A</v>
      </c>
      <c r="S134" t="e">
        <f t="shared" si="64"/>
        <v>#N/A</v>
      </c>
      <c r="T134">
        <f t="shared" si="99"/>
        <v>1250</v>
      </c>
      <c r="U134" t="e">
        <f t="shared" si="65"/>
        <v>#NUM!</v>
      </c>
      <c r="V134" t="e">
        <f t="shared" si="66"/>
        <v>#N/A</v>
      </c>
      <c r="W134" t="e">
        <f t="shared" si="67"/>
        <v>#N/A</v>
      </c>
      <c r="X134" t="e">
        <f t="shared" si="68"/>
        <v>#N/A</v>
      </c>
      <c r="Y134" t="e">
        <f t="shared" si="69"/>
        <v>#N/A</v>
      </c>
      <c r="Z134" t="e">
        <f t="shared" si="70"/>
        <v>#N/A</v>
      </c>
      <c r="AA134" t="e">
        <f t="shared" si="71"/>
        <v>#N/A</v>
      </c>
      <c r="AB134" t="e">
        <f t="shared" si="72"/>
        <v>#N/A</v>
      </c>
      <c r="AC134" t="e">
        <f t="shared" si="73"/>
        <v>#N/A</v>
      </c>
      <c r="AD134" t="e">
        <f t="shared" si="74"/>
        <v>#N/A</v>
      </c>
      <c r="AE134" t="e">
        <f t="shared" si="75"/>
        <v>#N/A</v>
      </c>
      <c r="AF134" t="e">
        <f t="shared" si="76"/>
        <v>#N/A</v>
      </c>
      <c r="AG134" t="e">
        <f t="shared" si="97"/>
        <v>#N/A</v>
      </c>
      <c r="AH134" t="b">
        <f t="shared" si="98"/>
        <v>0</v>
      </c>
    </row>
    <row r="135" spans="1:34">
      <c r="A135">
        <v>70</v>
      </c>
      <c r="B135" t="e">
        <f t="shared" si="57"/>
        <v>#N/A</v>
      </c>
      <c r="C135" t="e">
        <f t="shared" si="58"/>
        <v>#N/A</v>
      </c>
      <c r="D135" t="e">
        <f t="shared" si="59"/>
        <v>#N/A</v>
      </c>
      <c r="E135" t="e">
        <f t="shared" si="60"/>
        <v>#N/A</v>
      </c>
      <c r="F135" t="e">
        <f t="shared" si="61"/>
        <v>#N/A</v>
      </c>
      <c r="G135" t="str">
        <f t="shared" si="87"/>
        <v>DPS</v>
      </c>
      <c r="H135" t="str">
        <f t="shared" si="88"/>
        <v>DPS</v>
      </c>
      <c r="I135" t="str">
        <f t="shared" si="89"/>
        <v>DPS</v>
      </c>
      <c r="J135" t="str">
        <f t="shared" si="90"/>
        <v>DPS</v>
      </c>
      <c r="K135" t="str">
        <f t="shared" si="91"/>
        <v>HPS</v>
      </c>
      <c r="L135" t="e">
        <f t="shared" si="92"/>
        <v>#N/A</v>
      </c>
      <c r="M135" t="e">
        <f t="shared" si="93"/>
        <v>#N/A</v>
      </c>
      <c r="N135" t="e">
        <f t="shared" si="94"/>
        <v>#N/A</v>
      </c>
      <c r="O135" t="e">
        <f t="shared" si="95"/>
        <v>#N/A</v>
      </c>
      <c r="P135" t="e">
        <f t="shared" si="96"/>
        <v>#N/A</v>
      </c>
      <c r="Q135" t="e">
        <f t="shared" si="62"/>
        <v>#N/A</v>
      </c>
      <c r="R135" t="e">
        <f t="shared" si="63"/>
        <v>#N/A</v>
      </c>
      <c r="S135" t="e">
        <f t="shared" si="64"/>
        <v>#N/A</v>
      </c>
      <c r="T135">
        <f t="shared" si="99"/>
        <v>1250</v>
      </c>
      <c r="U135" t="e">
        <f t="shared" si="65"/>
        <v>#NUM!</v>
      </c>
      <c r="V135" t="e">
        <f t="shared" si="66"/>
        <v>#N/A</v>
      </c>
      <c r="W135" t="e">
        <f t="shared" si="67"/>
        <v>#N/A</v>
      </c>
      <c r="X135" t="e">
        <f t="shared" si="68"/>
        <v>#N/A</v>
      </c>
      <c r="Y135" t="e">
        <f t="shared" si="69"/>
        <v>#N/A</v>
      </c>
      <c r="Z135" t="e">
        <f t="shared" si="70"/>
        <v>#N/A</v>
      </c>
      <c r="AA135" t="e">
        <f t="shared" si="71"/>
        <v>#N/A</v>
      </c>
      <c r="AB135" t="e">
        <f t="shared" si="72"/>
        <v>#N/A</v>
      </c>
      <c r="AC135" t="e">
        <f t="shared" si="73"/>
        <v>#N/A</v>
      </c>
      <c r="AD135" t="e">
        <f t="shared" si="74"/>
        <v>#N/A</v>
      </c>
      <c r="AE135" t="e">
        <f t="shared" si="75"/>
        <v>#N/A</v>
      </c>
      <c r="AF135" t="e">
        <f t="shared" si="76"/>
        <v>#N/A</v>
      </c>
      <c r="AG135" t="e">
        <f t="shared" si="97"/>
        <v>#N/A</v>
      </c>
      <c r="AH135" t="b">
        <f t="shared" si="98"/>
        <v>0</v>
      </c>
    </row>
    <row r="136" spans="1:34">
      <c r="A136">
        <v>71</v>
      </c>
      <c r="B136" t="e">
        <f t="shared" ref="B136:B165" si="100">IF(AA135,0,V135)</f>
        <v>#N/A</v>
      </c>
      <c r="C136" t="e">
        <f t="shared" ref="C136:C165" si="101">IF(AB135,0,W135)</f>
        <v>#N/A</v>
      </c>
      <c r="D136" t="e">
        <f t="shared" ref="D136:D165" si="102">IF(AC135,0,X135)</f>
        <v>#N/A</v>
      </c>
      <c r="E136" t="e">
        <f t="shared" ref="E136:E165" si="103">IF(AD135,0,Y135)</f>
        <v>#N/A</v>
      </c>
      <c r="F136" t="e">
        <f t="shared" ref="F136:F165" si="104">IF(AE135,0,Z135)</f>
        <v>#N/A</v>
      </c>
      <c r="G136" t="str">
        <f t="shared" si="87"/>
        <v>DPS</v>
      </c>
      <c r="H136" t="str">
        <f t="shared" si="88"/>
        <v>DPS</v>
      </c>
      <c r="I136" t="str">
        <f t="shared" si="89"/>
        <v>DPS</v>
      </c>
      <c r="J136" t="str">
        <f t="shared" si="90"/>
        <v>DPS</v>
      </c>
      <c r="K136" t="str">
        <f t="shared" si="91"/>
        <v>HPS</v>
      </c>
      <c r="L136" t="e">
        <f t="shared" si="92"/>
        <v>#N/A</v>
      </c>
      <c r="M136" t="e">
        <f t="shared" si="93"/>
        <v>#N/A</v>
      </c>
      <c r="N136" t="e">
        <f t="shared" si="94"/>
        <v>#N/A</v>
      </c>
      <c r="O136" t="e">
        <f t="shared" si="95"/>
        <v>#N/A</v>
      </c>
      <c r="P136" t="e">
        <f t="shared" si="96"/>
        <v>#N/A</v>
      </c>
      <c r="Q136" t="e">
        <f t="shared" ref="Q136:Q165" si="105">SUMPRODUCT((G136:K136="DPS")*(L136:P136))</f>
        <v>#N/A</v>
      </c>
      <c r="R136" t="e">
        <f t="shared" ref="R136:R165" si="106">SUMPRODUCT((G136:K136="HPS")*(L136:P136))</f>
        <v>#N/A</v>
      </c>
      <c r="S136" t="e">
        <f t="shared" ref="S136:S165" si="107">AF135</f>
        <v>#N/A</v>
      </c>
      <c r="T136">
        <f t="shared" si="99"/>
        <v>1250</v>
      </c>
      <c r="U136" t="e">
        <f t="shared" ref="U136:U165" si="108">INDEX($B$62:$F$62,1,_xlfn.AGGREGATE(15,6,COLUMN(B132:F132)/(B136:F136&gt;0),1)-1)</f>
        <v>#NUM!</v>
      </c>
      <c r="V136" t="e">
        <f t="shared" ref="V136:V165" si="109">B136-IF($U136=V$62,$T136,0)+IF($U136=V$62,$R136,0)</f>
        <v>#N/A</v>
      </c>
      <c r="W136" t="e">
        <f t="shared" ref="W136:W165" si="110">C136-IF($U136=W$62,$T136,0)+IF($U136=W$62,$R136,0)</f>
        <v>#N/A</v>
      </c>
      <c r="X136" t="e">
        <f t="shared" ref="X136:X165" si="111">D136-IF($U136=X$62,$T136,0)+IF($U136=X$62,$R136,0)</f>
        <v>#N/A</v>
      </c>
      <c r="Y136" t="e">
        <f t="shared" ref="Y136:Y165" si="112">E136-IF($U136=Y$62,$T136,0)+IF($U136=Y$62,$R136,0)</f>
        <v>#N/A</v>
      </c>
      <c r="Z136" t="e">
        <f t="shared" ref="Z136:Z165" si="113">F136-IF($U136=Z$62,$T136,0)+IF($U136=Z$62,$R136,0)</f>
        <v>#N/A</v>
      </c>
      <c r="AA136" t="e">
        <f t="shared" ref="AA136:AA165" si="114">V136&lt;=0</f>
        <v>#N/A</v>
      </c>
      <c r="AB136" t="e">
        <f t="shared" ref="AB136:AB165" si="115">W136&lt;=0</f>
        <v>#N/A</v>
      </c>
      <c r="AC136" t="e">
        <f t="shared" ref="AC136:AC165" si="116">X136&lt;=0</f>
        <v>#N/A</v>
      </c>
      <c r="AD136" t="e">
        <f t="shared" ref="AD136:AD165" si="117">Y136&lt;=0</f>
        <v>#N/A</v>
      </c>
      <c r="AE136" t="e">
        <f t="shared" ref="AE136:AE165" si="118">Z136&lt;=0</f>
        <v>#N/A</v>
      </c>
      <c r="AF136" t="e">
        <f t="shared" ref="AF136:AF165" si="119">S136-Q136</f>
        <v>#N/A</v>
      </c>
      <c r="AG136" t="e">
        <f t="shared" si="97"/>
        <v>#N/A</v>
      </c>
      <c r="AH136" t="b">
        <f t="shared" si="98"/>
        <v>0</v>
      </c>
    </row>
    <row r="137" spans="1:34">
      <c r="A137">
        <v>72</v>
      </c>
      <c r="B137" t="e">
        <f t="shared" si="100"/>
        <v>#N/A</v>
      </c>
      <c r="C137" t="e">
        <f t="shared" si="101"/>
        <v>#N/A</v>
      </c>
      <c r="D137" t="e">
        <f t="shared" si="102"/>
        <v>#N/A</v>
      </c>
      <c r="E137" t="e">
        <f t="shared" si="103"/>
        <v>#N/A</v>
      </c>
      <c r="F137" t="e">
        <f t="shared" si="104"/>
        <v>#N/A</v>
      </c>
      <c r="G137" t="str">
        <f t="shared" si="87"/>
        <v>DPS</v>
      </c>
      <c r="H137" t="str">
        <f t="shared" si="88"/>
        <v>DPS</v>
      </c>
      <c r="I137" t="str">
        <f t="shared" si="89"/>
        <v>DPS</v>
      </c>
      <c r="J137" t="str">
        <f t="shared" si="90"/>
        <v>DPS</v>
      </c>
      <c r="K137" t="str">
        <f t="shared" si="91"/>
        <v>HPS</v>
      </c>
      <c r="L137" t="e">
        <f t="shared" si="92"/>
        <v>#N/A</v>
      </c>
      <c r="M137" t="e">
        <f t="shared" si="93"/>
        <v>#N/A</v>
      </c>
      <c r="N137" t="e">
        <f t="shared" si="94"/>
        <v>#N/A</v>
      </c>
      <c r="O137" t="e">
        <f t="shared" si="95"/>
        <v>#N/A</v>
      </c>
      <c r="P137" t="e">
        <f t="shared" si="96"/>
        <v>#N/A</v>
      </c>
      <c r="Q137" t="e">
        <f t="shared" si="105"/>
        <v>#N/A</v>
      </c>
      <c r="R137" t="e">
        <f t="shared" si="106"/>
        <v>#N/A</v>
      </c>
      <c r="S137" t="e">
        <f t="shared" si="107"/>
        <v>#N/A</v>
      </c>
      <c r="T137">
        <f t="shared" si="99"/>
        <v>1250</v>
      </c>
      <c r="U137" t="e">
        <f t="shared" si="108"/>
        <v>#NUM!</v>
      </c>
      <c r="V137" t="e">
        <f t="shared" si="109"/>
        <v>#N/A</v>
      </c>
      <c r="W137" t="e">
        <f t="shared" si="110"/>
        <v>#N/A</v>
      </c>
      <c r="X137" t="e">
        <f t="shared" si="111"/>
        <v>#N/A</v>
      </c>
      <c r="Y137" t="e">
        <f t="shared" si="112"/>
        <v>#N/A</v>
      </c>
      <c r="Z137" t="e">
        <f t="shared" si="113"/>
        <v>#N/A</v>
      </c>
      <c r="AA137" t="e">
        <f t="shared" si="114"/>
        <v>#N/A</v>
      </c>
      <c r="AB137" t="e">
        <f t="shared" si="115"/>
        <v>#N/A</v>
      </c>
      <c r="AC137" t="e">
        <f t="shared" si="116"/>
        <v>#N/A</v>
      </c>
      <c r="AD137" t="e">
        <f t="shared" si="117"/>
        <v>#N/A</v>
      </c>
      <c r="AE137" t="e">
        <f t="shared" si="118"/>
        <v>#N/A</v>
      </c>
      <c r="AF137" t="e">
        <f t="shared" si="119"/>
        <v>#N/A</v>
      </c>
      <c r="AG137" t="e">
        <f t="shared" si="97"/>
        <v>#N/A</v>
      </c>
      <c r="AH137" t="b">
        <f t="shared" si="98"/>
        <v>0</v>
      </c>
    </row>
    <row r="138" spans="1:34">
      <c r="A138">
        <v>73</v>
      </c>
      <c r="B138" t="e">
        <f t="shared" si="100"/>
        <v>#N/A</v>
      </c>
      <c r="C138" t="e">
        <f t="shared" si="101"/>
        <v>#N/A</v>
      </c>
      <c r="D138" t="e">
        <f t="shared" si="102"/>
        <v>#N/A</v>
      </c>
      <c r="E138" t="e">
        <f t="shared" si="103"/>
        <v>#N/A</v>
      </c>
      <c r="F138" t="e">
        <f t="shared" si="104"/>
        <v>#N/A</v>
      </c>
      <c r="G138" t="str">
        <f t="shared" si="87"/>
        <v>DPS</v>
      </c>
      <c r="H138" t="str">
        <f t="shared" si="88"/>
        <v>DPS</v>
      </c>
      <c r="I138" t="str">
        <f t="shared" si="89"/>
        <v>DPS</v>
      </c>
      <c r="J138" t="str">
        <f t="shared" si="90"/>
        <v>DPS</v>
      </c>
      <c r="K138" t="str">
        <f t="shared" si="91"/>
        <v>HPS</v>
      </c>
      <c r="L138" t="e">
        <f t="shared" si="92"/>
        <v>#N/A</v>
      </c>
      <c r="M138" t="e">
        <f t="shared" si="93"/>
        <v>#N/A</v>
      </c>
      <c r="N138" t="e">
        <f t="shared" si="94"/>
        <v>#N/A</v>
      </c>
      <c r="O138" t="e">
        <f t="shared" si="95"/>
        <v>#N/A</v>
      </c>
      <c r="P138" t="e">
        <f t="shared" si="96"/>
        <v>#N/A</v>
      </c>
      <c r="Q138" t="e">
        <f t="shared" si="105"/>
        <v>#N/A</v>
      </c>
      <c r="R138" t="e">
        <f t="shared" si="106"/>
        <v>#N/A</v>
      </c>
      <c r="S138" t="e">
        <f t="shared" si="107"/>
        <v>#N/A</v>
      </c>
      <c r="T138">
        <f t="shared" si="99"/>
        <v>1250</v>
      </c>
      <c r="U138" t="e">
        <f t="shared" si="108"/>
        <v>#NUM!</v>
      </c>
      <c r="V138" t="e">
        <f t="shared" si="109"/>
        <v>#N/A</v>
      </c>
      <c r="W138" t="e">
        <f t="shared" si="110"/>
        <v>#N/A</v>
      </c>
      <c r="X138" t="e">
        <f t="shared" si="111"/>
        <v>#N/A</v>
      </c>
      <c r="Y138" t="e">
        <f t="shared" si="112"/>
        <v>#N/A</v>
      </c>
      <c r="Z138" t="e">
        <f t="shared" si="113"/>
        <v>#N/A</v>
      </c>
      <c r="AA138" t="e">
        <f t="shared" si="114"/>
        <v>#N/A</v>
      </c>
      <c r="AB138" t="e">
        <f t="shared" si="115"/>
        <v>#N/A</v>
      </c>
      <c r="AC138" t="e">
        <f t="shared" si="116"/>
        <v>#N/A</v>
      </c>
      <c r="AD138" t="e">
        <f t="shared" si="117"/>
        <v>#N/A</v>
      </c>
      <c r="AE138" t="e">
        <f t="shared" si="118"/>
        <v>#N/A</v>
      </c>
      <c r="AF138" t="e">
        <f t="shared" si="119"/>
        <v>#N/A</v>
      </c>
      <c r="AG138" t="e">
        <f t="shared" si="97"/>
        <v>#N/A</v>
      </c>
      <c r="AH138" t="b">
        <f t="shared" si="98"/>
        <v>0</v>
      </c>
    </row>
    <row r="139" spans="1:34">
      <c r="A139">
        <v>74</v>
      </c>
      <c r="B139" t="e">
        <f t="shared" si="100"/>
        <v>#N/A</v>
      </c>
      <c r="C139" t="e">
        <f t="shared" si="101"/>
        <v>#N/A</v>
      </c>
      <c r="D139" t="e">
        <f t="shared" si="102"/>
        <v>#N/A</v>
      </c>
      <c r="E139" t="e">
        <f t="shared" si="103"/>
        <v>#N/A</v>
      </c>
      <c r="F139" t="e">
        <f t="shared" si="104"/>
        <v>#N/A</v>
      </c>
      <c r="G139" t="str">
        <f t="shared" si="87"/>
        <v>DPS</v>
      </c>
      <c r="H139" t="str">
        <f t="shared" si="88"/>
        <v>DPS</v>
      </c>
      <c r="I139" t="str">
        <f t="shared" si="89"/>
        <v>DPS</v>
      </c>
      <c r="J139" t="str">
        <f t="shared" si="90"/>
        <v>DPS</v>
      </c>
      <c r="K139" t="str">
        <f t="shared" si="91"/>
        <v>HPS</v>
      </c>
      <c r="L139" t="e">
        <f t="shared" si="92"/>
        <v>#N/A</v>
      </c>
      <c r="M139" t="e">
        <f t="shared" si="93"/>
        <v>#N/A</v>
      </c>
      <c r="N139" t="e">
        <f t="shared" si="94"/>
        <v>#N/A</v>
      </c>
      <c r="O139" t="e">
        <f t="shared" si="95"/>
        <v>#N/A</v>
      </c>
      <c r="P139" t="e">
        <f t="shared" si="96"/>
        <v>#N/A</v>
      </c>
      <c r="Q139" t="e">
        <f t="shared" si="105"/>
        <v>#N/A</v>
      </c>
      <c r="R139" t="e">
        <f t="shared" si="106"/>
        <v>#N/A</v>
      </c>
      <c r="S139" t="e">
        <f t="shared" si="107"/>
        <v>#N/A</v>
      </c>
      <c r="T139">
        <f t="shared" si="99"/>
        <v>1250</v>
      </c>
      <c r="U139" t="e">
        <f t="shared" si="108"/>
        <v>#NUM!</v>
      </c>
      <c r="V139" t="e">
        <f t="shared" si="109"/>
        <v>#N/A</v>
      </c>
      <c r="W139" t="e">
        <f t="shared" si="110"/>
        <v>#N/A</v>
      </c>
      <c r="X139" t="e">
        <f t="shared" si="111"/>
        <v>#N/A</v>
      </c>
      <c r="Y139" t="e">
        <f t="shared" si="112"/>
        <v>#N/A</v>
      </c>
      <c r="Z139" t="e">
        <f t="shared" si="113"/>
        <v>#N/A</v>
      </c>
      <c r="AA139" t="e">
        <f t="shared" si="114"/>
        <v>#N/A</v>
      </c>
      <c r="AB139" t="e">
        <f t="shared" si="115"/>
        <v>#N/A</v>
      </c>
      <c r="AC139" t="e">
        <f t="shared" si="116"/>
        <v>#N/A</v>
      </c>
      <c r="AD139" t="e">
        <f t="shared" si="117"/>
        <v>#N/A</v>
      </c>
      <c r="AE139" t="e">
        <f t="shared" si="118"/>
        <v>#N/A</v>
      </c>
      <c r="AF139" t="e">
        <f t="shared" si="119"/>
        <v>#N/A</v>
      </c>
      <c r="AG139" t="e">
        <f t="shared" si="97"/>
        <v>#N/A</v>
      </c>
      <c r="AH139" t="b">
        <f t="shared" si="98"/>
        <v>0</v>
      </c>
    </row>
    <row r="140" spans="1:34">
      <c r="A140">
        <v>75</v>
      </c>
      <c r="B140" t="e">
        <f t="shared" si="100"/>
        <v>#N/A</v>
      </c>
      <c r="C140" t="e">
        <f t="shared" si="101"/>
        <v>#N/A</v>
      </c>
      <c r="D140" t="e">
        <f t="shared" si="102"/>
        <v>#N/A</v>
      </c>
      <c r="E140" t="e">
        <f t="shared" si="103"/>
        <v>#N/A</v>
      </c>
      <c r="F140" t="e">
        <f t="shared" si="104"/>
        <v>#N/A</v>
      </c>
      <c r="G140" t="str">
        <f t="shared" si="87"/>
        <v>DPS</v>
      </c>
      <c r="H140" t="str">
        <f t="shared" si="88"/>
        <v>DPS</v>
      </c>
      <c r="I140" t="str">
        <f t="shared" si="89"/>
        <v>DPS</v>
      </c>
      <c r="J140" t="str">
        <f t="shared" si="90"/>
        <v>DPS</v>
      </c>
      <c r="K140" t="str">
        <f t="shared" si="91"/>
        <v>HPS</v>
      </c>
      <c r="L140" t="e">
        <f t="shared" si="92"/>
        <v>#N/A</v>
      </c>
      <c r="M140" t="e">
        <f t="shared" si="93"/>
        <v>#N/A</v>
      </c>
      <c r="N140" t="e">
        <f t="shared" si="94"/>
        <v>#N/A</v>
      </c>
      <c r="O140" t="e">
        <f t="shared" si="95"/>
        <v>#N/A</v>
      </c>
      <c r="P140" t="e">
        <f t="shared" si="96"/>
        <v>#N/A</v>
      </c>
      <c r="Q140" t="e">
        <f t="shared" si="105"/>
        <v>#N/A</v>
      </c>
      <c r="R140" t="e">
        <f t="shared" si="106"/>
        <v>#N/A</v>
      </c>
      <c r="S140" t="e">
        <f t="shared" si="107"/>
        <v>#N/A</v>
      </c>
      <c r="T140">
        <f t="shared" si="99"/>
        <v>1250</v>
      </c>
      <c r="U140" t="e">
        <f t="shared" si="108"/>
        <v>#NUM!</v>
      </c>
      <c r="V140" t="e">
        <f t="shared" si="109"/>
        <v>#N/A</v>
      </c>
      <c r="W140" t="e">
        <f t="shared" si="110"/>
        <v>#N/A</v>
      </c>
      <c r="X140" t="e">
        <f t="shared" si="111"/>
        <v>#N/A</v>
      </c>
      <c r="Y140" t="e">
        <f t="shared" si="112"/>
        <v>#N/A</v>
      </c>
      <c r="Z140" t="e">
        <f t="shared" si="113"/>
        <v>#N/A</v>
      </c>
      <c r="AA140" t="e">
        <f t="shared" si="114"/>
        <v>#N/A</v>
      </c>
      <c r="AB140" t="e">
        <f t="shared" si="115"/>
        <v>#N/A</v>
      </c>
      <c r="AC140" t="e">
        <f t="shared" si="116"/>
        <v>#N/A</v>
      </c>
      <c r="AD140" t="e">
        <f t="shared" si="117"/>
        <v>#N/A</v>
      </c>
      <c r="AE140" t="e">
        <f t="shared" si="118"/>
        <v>#N/A</v>
      </c>
      <c r="AF140" t="e">
        <f t="shared" si="119"/>
        <v>#N/A</v>
      </c>
      <c r="AG140" t="e">
        <f t="shared" si="97"/>
        <v>#N/A</v>
      </c>
      <c r="AH140" t="b">
        <f t="shared" si="98"/>
        <v>0</v>
      </c>
    </row>
    <row r="141" spans="1:34">
      <c r="A141">
        <v>76</v>
      </c>
      <c r="B141" t="e">
        <f t="shared" si="100"/>
        <v>#N/A</v>
      </c>
      <c r="C141" t="e">
        <f t="shared" si="101"/>
        <v>#N/A</v>
      </c>
      <c r="D141" t="e">
        <f t="shared" si="102"/>
        <v>#N/A</v>
      </c>
      <c r="E141" t="e">
        <f t="shared" si="103"/>
        <v>#N/A</v>
      </c>
      <c r="F141" t="e">
        <f t="shared" si="104"/>
        <v>#N/A</v>
      </c>
      <c r="G141" t="str">
        <f t="shared" si="87"/>
        <v>DPS</v>
      </c>
      <c r="H141" t="str">
        <f t="shared" si="88"/>
        <v>DPS</v>
      </c>
      <c r="I141" t="str">
        <f t="shared" si="89"/>
        <v>DPS</v>
      </c>
      <c r="J141" t="str">
        <f t="shared" si="90"/>
        <v>DPS</v>
      </c>
      <c r="K141" t="str">
        <f t="shared" si="91"/>
        <v>HPS</v>
      </c>
      <c r="L141" t="e">
        <f t="shared" si="92"/>
        <v>#N/A</v>
      </c>
      <c r="M141" t="e">
        <f t="shared" si="93"/>
        <v>#N/A</v>
      </c>
      <c r="N141" t="e">
        <f t="shared" si="94"/>
        <v>#N/A</v>
      </c>
      <c r="O141" t="e">
        <f t="shared" si="95"/>
        <v>#N/A</v>
      </c>
      <c r="P141" t="e">
        <f t="shared" si="96"/>
        <v>#N/A</v>
      </c>
      <c r="Q141" t="e">
        <f t="shared" si="105"/>
        <v>#N/A</v>
      </c>
      <c r="R141" t="e">
        <f t="shared" si="106"/>
        <v>#N/A</v>
      </c>
      <c r="S141" t="e">
        <f t="shared" si="107"/>
        <v>#N/A</v>
      </c>
      <c r="T141">
        <f t="shared" si="99"/>
        <v>1250</v>
      </c>
      <c r="U141" t="e">
        <f t="shared" si="108"/>
        <v>#NUM!</v>
      </c>
      <c r="V141" t="e">
        <f t="shared" si="109"/>
        <v>#N/A</v>
      </c>
      <c r="W141" t="e">
        <f t="shared" si="110"/>
        <v>#N/A</v>
      </c>
      <c r="X141" t="e">
        <f t="shared" si="111"/>
        <v>#N/A</v>
      </c>
      <c r="Y141" t="e">
        <f t="shared" si="112"/>
        <v>#N/A</v>
      </c>
      <c r="Z141" t="e">
        <f t="shared" si="113"/>
        <v>#N/A</v>
      </c>
      <c r="AA141" t="e">
        <f t="shared" si="114"/>
        <v>#N/A</v>
      </c>
      <c r="AB141" t="e">
        <f t="shared" si="115"/>
        <v>#N/A</v>
      </c>
      <c r="AC141" t="e">
        <f t="shared" si="116"/>
        <v>#N/A</v>
      </c>
      <c r="AD141" t="e">
        <f t="shared" si="117"/>
        <v>#N/A</v>
      </c>
      <c r="AE141" t="e">
        <f t="shared" si="118"/>
        <v>#N/A</v>
      </c>
      <c r="AF141" t="e">
        <f t="shared" si="119"/>
        <v>#N/A</v>
      </c>
      <c r="AG141" t="e">
        <f t="shared" si="97"/>
        <v>#N/A</v>
      </c>
      <c r="AH141" t="b">
        <f t="shared" si="98"/>
        <v>0</v>
      </c>
    </row>
    <row r="142" spans="1:34">
      <c r="A142">
        <v>77</v>
      </c>
      <c r="B142" t="e">
        <f t="shared" si="100"/>
        <v>#N/A</v>
      </c>
      <c r="C142" t="e">
        <f t="shared" si="101"/>
        <v>#N/A</v>
      </c>
      <c r="D142" t="e">
        <f t="shared" si="102"/>
        <v>#N/A</v>
      </c>
      <c r="E142" t="e">
        <f t="shared" si="103"/>
        <v>#N/A</v>
      </c>
      <c r="F142" t="e">
        <f t="shared" si="104"/>
        <v>#N/A</v>
      </c>
      <c r="G142" t="str">
        <f t="shared" si="87"/>
        <v>DPS</v>
      </c>
      <c r="H142" t="str">
        <f t="shared" si="88"/>
        <v>DPS</v>
      </c>
      <c r="I142" t="str">
        <f t="shared" si="89"/>
        <v>DPS</v>
      </c>
      <c r="J142" t="str">
        <f t="shared" si="90"/>
        <v>DPS</v>
      </c>
      <c r="K142" t="str">
        <f t="shared" si="91"/>
        <v>HPS</v>
      </c>
      <c r="L142" t="e">
        <f t="shared" si="92"/>
        <v>#N/A</v>
      </c>
      <c r="M142" t="e">
        <f t="shared" si="93"/>
        <v>#N/A</v>
      </c>
      <c r="N142" t="e">
        <f t="shared" si="94"/>
        <v>#N/A</v>
      </c>
      <c r="O142" t="e">
        <f t="shared" si="95"/>
        <v>#N/A</v>
      </c>
      <c r="P142" t="e">
        <f t="shared" si="96"/>
        <v>#N/A</v>
      </c>
      <c r="Q142" t="e">
        <f t="shared" si="105"/>
        <v>#N/A</v>
      </c>
      <c r="R142" t="e">
        <f t="shared" si="106"/>
        <v>#N/A</v>
      </c>
      <c r="S142" t="e">
        <f t="shared" si="107"/>
        <v>#N/A</v>
      </c>
      <c r="T142">
        <f t="shared" si="99"/>
        <v>1250</v>
      </c>
      <c r="U142" t="e">
        <f t="shared" si="108"/>
        <v>#NUM!</v>
      </c>
      <c r="V142" t="e">
        <f t="shared" si="109"/>
        <v>#N/A</v>
      </c>
      <c r="W142" t="e">
        <f t="shared" si="110"/>
        <v>#N/A</v>
      </c>
      <c r="X142" t="e">
        <f t="shared" si="111"/>
        <v>#N/A</v>
      </c>
      <c r="Y142" t="e">
        <f t="shared" si="112"/>
        <v>#N/A</v>
      </c>
      <c r="Z142" t="e">
        <f t="shared" si="113"/>
        <v>#N/A</v>
      </c>
      <c r="AA142" t="e">
        <f t="shared" si="114"/>
        <v>#N/A</v>
      </c>
      <c r="AB142" t="e">
        <f t="shared" si="115"/>
        <v>#N/A</v>
      </c>
      <c r="AC142" t="e">
        <f t="shared" si="116"/>
        <v>#N/A</v>
      </c>
      <c r="AD142" t="e">
        <f t="shared" si="117"/>
        <v>#N/A</v>
      </c>
      <c r="AE142" t="e">
        <f t="shared" si="118"/>
        <v>#N/A</v>
      </c>
      <c r="AF142" t="e">
        <f t="shared" si="119"/>
        <v>#N/A</v>
      </c>
      <c r="AG142" t="e">
        <f t="shared" si="97"/>
        <v>#N/A</v>
      </c>
      <c r="AH142" t="b">
        <f t="shared" si="98"/>
        <v>0</v>
      </c>
    </row>
    <row r="143" spans="1:34">
      <c r="A143">
        <v>78</v>
      </c>
      <c r="B143" t="e">
        <f t="shared" si="100"/>
        <v>#N/A</v>
      </c>
      <c r="C143" t="e">
        <f t="shared" si="101"/>
        <v>#N/A</v>
      </c>
      <c r="D143" t="e">
        <f t="shared" si="102"/>
        <v>#N/A</v>
      </c>
      <c r="E143" t="e">
        <f t="shared" si="103"/>
        <v>#N/A</v>
      </c>
      <c r="F143" t="e">
        <f t="shared" si="104"/>
        <v>#N/A</v>
      </c>
      <c r="G143" t="str">
        <f t="shared" si="87"/>
        <v>DPS</v>
      </c>
      <c r="H143" t="str">
        <f t="shared" si="88"/>
        <v>DPS</v>
      </c>
      <c r="I143" t="str">
        <f t="shared" si="89"/>
        <v>DPS</v>
      </c>
      <c r="J143" t="str">
        <f t="shared" si="90"/>
        <v>DPS</v>
      </c>
      <c r="K143" t="str">
        <f t="shared" si="91"/>
        <v>HPS</v>
      </c>
      <c r="L143" t="e">
        <f t="shared" si="92"/>
        <v>#N/A</v>
      </c>
      <c r="M143" t="e">
        <f t="shared" si="93"/>
        <v>#N/A</v>
      </c>
      <c r="N143" t="e">
        <f t="shared" si="94"/>
        <v>#N/A</v>
      </c>
      <c r="O143" t="e">
        <f t="shared" si="95"/>
        <v>#N/A</v>
      </c>
      <c r="P143" t="e">
        <f t="shared" si="96"/>
        <v>#N/A</v>
      </c>
      <c r="Q143" t="e">
        <f t="shared" si="105"/>
        <v>#N/A</v>
      </c>
      <c r="R143" t="e">
        <f t="shared" si="106"/>
        <v>#N/A</v>
      </c>
      <c r="S143" t="e">
        <f t="shared" si="107"/>
        <v>#N/A</v>
      </c>
      <c r="T143">
        <f t="shared" si="99"/>
        <v>1250</v>
      </c>
      <c r="U143" t="e">
        <f t="shared" si="108"/>
        <v>#NUM!</v>
      </c>
      <c r="V143" t="e">
        <f t="shared" si="109"/>
        <v>#N/A</v>
      </c>
      <c r="W143" t="e">
        <f t="shared" si="110"/>
        <v>#N/A</v>
      </c>
      <c r="X143" t="e">
        <f t="shared" si="111"/>
        <v>#N/A</v>
      </c>
      <c r="Y143" t="e">
        <f t="shared" si="112"/>
        <v>#N/A</v>
      </c>
      <c r="Z143" t="e">
        <f t="shared" si="113"/>
        <v>#N/A</v>
      </c>
      <c r="AA143" t="e">
        <f t="shared" si="114"/>
        <v>#N/A</v>
      </c>
      <c r="AB143" t="e">
        <f t="shared" si="115"/>
        <v>#N/A</v>
      </c>
      <c r="AC143" t="e">
        <f t="shared" si="116"/>
        <v>#N/A</v>
      </c>
      <c r="AD143" t="e">
        <f t="shared" si="117"/>
        <v>#N/A</v>
      </c>
      <c r="AE143" t="e">
        <f t="shared" si="118"/>
        <v>#N/A</v>
      </c>
      <c r="AF143" t="e">
        <f t="shared" si="119"/>
        <v>#N/A</v>
      </c>
      <c r="AG143" t="e">
        <f t="shared" si="97"/>
        <v>#N/A</v>
      </c>
      <c r="AH143" t="b">
        <f t="shared" si="98"/>
        <v>0</v>
      </c>
    </row>
    <row r="144" spans="1:34">
      <c r="A144">
        <v>79</v>
      </c>
      <c r="B144" t="e">
        <f t="shared" si="100"/>
        <v>#N/A</v>
      </c>
      <c r="C144" t="e">
        <f t="shared" si="101"/>
        <v>#N/A</v>
      </c>
      <c r="D144" t="e">
        <f t="shared" si="102"/>
        <v>#N/A</v>
      </c>
      <c r="E144" t="e">
        <f t="shared" si="103"/>
        <v>#N/A</v>
      </c>
      <c r="F144" t="e">
        <f t="shared" si="104"/>
        <v>#N/A</v>
      </c>
      <c r="G144" t="str">
        <f t="shared" si="87"/>
        <v>DPS</v>
      </c>
      <c r="H144" t="str">
        <f t="shared" si="88"/>
        <v>DPS</v>
      </c>
      <c r="I144" t="str">
        <f t="shared" si="89"/>
        <v>DPS</v>
      </c>
      <c r="J144" t="str">
        <f t="shared" si="90"/>
        <v>DPS</v>
      </c>
      <c r="K144" t="str">
        <f t="shared" si="91"/>
        <v>HPS</v>
      </c>
      <c r="L144" t="e">
        <f t="shared" si="92"/>
        <v>#N/A</v>
      </c>
      <c r="M144" t="e">
        <f t="shared" si="93"/>
        <v>#N/A</v>
      </c>
      <c r="N144" t="e">
        <f t="shared" si="94"/>
        <v>#N/A</v>
      </c>
      <c r="O144" t="e">
        <f t="shared" si="95"/>
        <v>#N/A</v>
      </c>
      <c r="P144" t="e">
        <f t="shared" si="96"/>
        <v>#N/A</v>
      </c>
      <c r="Q144" t="e">
        <f t="shared" si="105"/>
        <v>#N/A</v>
      </c>
      <c r="R144" t="e">
        <f t="shared" si="106"/>
        <v>#N/A</v>
      </c>
      <c r="S144" t="e">
        <f t="shared" si="107"/>
        <v>#N/A</v>
      </c>
      <c r="T144">
        <f t="shared" si="99"/>
        <v>1250</v>
      </c>
      <c r="U144" t="e">
        <f t="shared" si="108"/>
        <v>#NUM!</v>
      </c>
      <c r="V144" t="e">
        <f t="shared" si="109"/>
        <v>#N/A</v>
      </c>
      <c r="W144" t="e">
        <f t="shared" si="110"/>
        <v>#N/A</v>
      </c>
      <c r="X144" t="e">
        <f t="shared" si="111"/>
        <v>#N/A</v>
      </c>
      <c r="Y144" t="e">
        <f t="shared" si="112"/>
        <v>#N/A</v>
      </c>
      <c r="Z144" t="e">
        <f t="shared" si="113"/>
        <v>#N/A</v>
      </c>
      <c r="AA144" t="e">
        <f t="shared" si="114"/>
        <v>#N/A</v>
      </c>
      <c r="AB144" t="e">
        <f t="shared" si="115"/>
        <v>#N/A</v>
      </c>
      <c r="AC144" t="e">
        <f t="shared" si="116"/>
        <v>#N/A</v>
      </c>
      <c r="AD144" t="e">
        <f t="shared" si="117"/>
        <v>#N/A</v>
      </c>
      <c r="AE144" t="e">
        <f t="shared" si="118"/>
        <v>#N/A</v>
      </c>
      <c r="AF144" t="e">
        <f t="shared" si="119"/>
        <v>#N/A</v>
      </c>
      <c r="AG144" t="e">
        <f t="shared" si="97"/>
        <v>#N/A</v>
      </c>
      <c r="AH144" t="b">
        <f t="shared" si="98"/>
        <v>0</v>
      </c>
    </row>
    <row r="145" spans="1:34">
      <c r="A145">
        <v>80</v>
      </c>
      <c r="B145" t="e">
        <f t="shared" si="100"/>
        <v>#N/A</v>
      </c>
      <c r="C145" t="e">
        <f t="shared" si="101"/>
        <v>#N/A</v>
      </c>
      <c r="D145" t="e">
        <f t="shared" si="102"/>
        <v>#N/A</v>
      </c>
      <c r="E145" t="e">
        <f t="shared" si="103"/>
        <v>#N/A</v>
      </c>
      <c r="F145" t="e">
        <f t="shared" si="104"/>
        <v>#N/A</v>
      </c>
      <c r="G145" t="str">
        <f t="shared" si="87"/>
        <v>DPS</v>
      </c>
      <c r="H145" t="str">
        <f t="shared" si="88"/>
        <v>DPS</v>
      </c>
      <c r="I145" t="str">
        <f t="shared" si="89"/>
        <v>DPS</v>
      </c>
      <c r="J145" t="str">
        <f t="shared" si="90"/>
        <v>DPS</v>
      </c>
      <c r="K145" t="str">
        <f t="shared" si="91"/>
        <v>HPS</v>
      </c>
      <c r="L145" t="e">
        <f t="shared" si="92"/>
        <v>#N/A</v>
      </c>
      <c r="M145" t="e">
        <f t="shared" si="93"/>
        <v>#N/A</v>
      </c>
      <c r="N145" t="e">
        <f t="shared" si="94"/>
        <v>#N/A</v>
      </c>
      <c r="O145" t="e">
        <f t="shared" si="95"/>
        <v>#N/A</v>
      </c>
      <c r="P145" t="e">
        <f t="shared" si="96"/>
        <v>#N/A</v>
      </c>
      <c r="Q145" t="e">
        <f t="shared" si="105"/>
        <v>#N/A</v>
      </c>
      <c r="R145" t="e">
        <f t="shared" si="106"/>
        <v>#N/A</v>
      </c>
      <c r="S145" t="e">
        <f t="shared" si="107"/>
        <v>#N/A</v>
      </c>
      <c r="T145">
        <f t="shared" si="99"/>
        <v>1250</v>
      </c>
      <c r="U145" t="e">
        <f t="shared" si="108"/>
        <v>#NUM!</v>
      </c>
      <c r="V145" t="e">
        <f t="shared" si="109"/>
        <v>#N/A</v>
      </c>
      <c r="W145" t="e">
        <f t="shared" si="110"/>
        <v>#N/A</v>
      </c>
      <c r="X145" t="e">
        <f t="shared" si="111"/>
        <v>#N/A</v>
      </c>
      <c r="Y145" t="e">
        <f t="shared" si="112"/>
        <v>#N/A</v>
      </c>
      <c r="Z145" t="e">
        <f t="shared" si="113"/>
        <v>#N/A</v>
      </c>
      <c r="AA145" t="e">
        <f t="shared" si="114"/>
        <v>#N/A</v>
      </c>
      <c r="AB145" t="e">
        <f t="shared" si="115"/>
        <v>#N/A</v>
      </c>
      <c r="AC145" t="e">
        <f t="shared" si="116"/>
        <v>#N/A</v>
      </c>
      <c r="AD145" t="e">
        <f t="shared" si="117"/>
        <v>#N/A</v>
      </c>
      <c r="AE145" t="e">
        <f t="shared" si="118"/>
        <v>#N/A</v>
      </c>
      <c r="AF145" t="e">
        <f t="shared" si="119"/>
        <v>#N/A</v>
      </c>
      <c r="AG145" t="e">
        <f t="shared" si="97"/>
        <v>#N/A</v>
      </c>
      <c r="AH145" t="b">
        <f t="shared" si="98"/>
        <v>0</v>
      </c>
    </row>
    <row r="146" spans="1:34">
      <c r="A146">
        <v>81</v>
      </c>
      <c r="B146" t="e">
        <f t="shared" si="100"/>
        <v>#N/A</v>
      </c>
      <c r="C146" t="e">
        <f t="shared" si="101"/>
        <v>#N/A</v>
      </c>
      <c r="D146" t="e">
        <f t="shared" si="102"/>
        <v>#N/A</v>
      </c>
      <c r="E146" t="e">
        <f t="shared" si="103"/>
        <v>#N/A</v>
      </c>
      <c r="F146" t="e">
        <f t="shared" si="104"/>
        <v>#N/A</v>
      </c>
      <c r="G146" t="str">
        <f t="shared" si="87"/>
        <v>DPS</v>
      </c>
      <c r="H146" t="str">
        <f t="shared" si="88"/>
        <v>DPS</v>
      </c>
      <c r="I146" t="str">
        <f t="shared" si="89"/>
        <v>DPS</v>
      </c>
      <c r="J146" t="str">
        <f t="shared" si="90"/>
        <v>DPS</v>
      </c>
      <c r="K146" t="str">
        <f t="shared" si="91"/>
        <v>HPS</v>
      </c>
      <c r="L146" t="e">
        <f t="shared" si="92"/>
        <v>#N/A</v>
      </c>
      <c r="M146" t="e">
        <f t="shared" si="93"/>
        <v>#N/A</v>
      </c>
      <c r="N146" t="e">
        <f t="shared" si="94"/>
        <v>#N/A</v>
      </c>
      <c r="O146" t="e">
        <f t="shared" si="95"/>
        <v>#N/A</v>
      </c>
      <c r="P146" t="e">
        <f t="shared" si="96"/>
        <v>#N/A</v>
      </c>
      <c r="Q146" t="e">
        <f t="shared" si="105"/>
        <v>#N/A</v>
      </c>
      <c r="R146" t="e">
        <f t="shared" si="106"/>
        <v>#N/A</v>
      </c>
      <c r="S146" t="e">
        <f t="shared" si="107"/>
        <v>#N/A</v>
      </c>
      <c r="T146">
        <f t="shared" si="99"/>
        <v>1250</v>
      </c>
      <c r="U146" t="e">
        <f t="shared" si="108"/>
        <v>#NUM!</v>
      </c>
      <c r="V146" t="e">
        <f t="shared" si="109"/>
        <v>#N/A</v>
      </c>
      <c r="W146" t="e">
        <f t="shared" si="110"/>
        <v>#N/A</v>
      </c>
      <c r="X146" t="e">
        <f t="shared" si="111"/>
        <v>#N/A</v>
      </c>
      <c r="Y146" t="e">
        <f t="shared" si="112"/>
        <v>#N/A</v>
      </c>
      <c r="Z146" t="e">
        <f t="shared" si="113"/>
        <v>#N/A</v>
      </c>
      <c r="AA146" t="e">
        <f t="shared" si="114"/>
        <v>#N/A</v>
      </c>
      <c r="AB146" t="e">
        <f t="shared" si="115"/>
        <v>#N/A</v>
      </c>
      <c r="AC146" t="e">
        <f t="shared" si="116"/>
        <v>#N/A</v>
      </c>
      <c r="AD146" t="e">
        <f t="shared" si="117"/>
        <v>#N/A</v>
      </c>
      <c r="AE146" t="e">
        <f t="shared" si="118"/>
        <v>#N/A</v>
      </c>
      <c r="AF146" t="e">
        <f t="shared" si="119"/>
        <v>#N/A</v>
      </c>
      <c r="AG146" t="e">
        <f t="shared" si="97"/>
        <v>#N/A</v>
      </c>
      <c r="AH146" t="b">
        <f t="shared" si="98"/>
        <v>0</v>
      </c>
    </row>
    <row r="147" spans="1:34">
      <c r="A147">
        <v>82</v>
      </c>
      <c r="B147" t="e">
        <f t="shared" si="100"/>
        <v>#N/A</v>
      </c>
      <c r="C147" t="e">
        <f t="shared" si="101"/>
        <v>#N/A</v>
      </c>
      <c r="D147" t="e">
        <f t="shared" si="102"/>
        <v>#N/A</v>
      </c>
      <c r="E147" t="e">
        <f t="shared" si="103"/>
        <v>#N/A</v>
      </c>
      <c r="F147" t="e">
        <f t="shared" si="104"/>
        <v>#N/A</v>
      </c>
      <c r="G147" t="str">
        <f t="shared" si="87"/>
        <v>DPS</v>
      </c>
      <c r="H147" t="str">
        <f t="shared" si="88"/>
        <v>DPS</v>
      </c>
      <c r="I147" t="str">
        <f t="shared" si="89"/>
        <v>DPS</v>
      </c>
      <c r="J147" t="str">
        <f t="shared" si="90"/>
        <v>DPS</v>
      </c>
      <c r="K147" t="str">
        <f t="shared" si="91"/>
        <v>HPS</v>
      </c>
      <c r="L147" t="e">
        <f t="shared" si="92"/>
        <v>#N/A</v>
      </c>
      <c r="M147" t="e">
        <f t="shared" si="93"/>
        <v>#N/A</v>
      </c>
      <c r="N147" t="e">
        <f t="shared" si="94"/>
        <v>#N/A</v>
      </c>
      <c r="O147" t="e">
        <f t="shared" si="95"/>
        <v>#N/A</v>
      </c>
      <c r="P147" t="e">
        <f t="shared" si="96"/>
        <v>#N/A</v>
      </c>
      <c r="Q147" t="e">
        <f t="shared" si="105"/>
        <v>#N/A</v>
      </c>
      <c r="R147" t="e">
        <f t="shared" si="106"/>
        <v>#N/A</v>
      </c>
      <c r="S147" t="e">
        <f t="shared" si="107"/>
        <v>#N/A</v>
      </c>
      <c r="T147">
        <f t="shared" si="99"/>
        <v>1250</v>
      </c>
      <c r="U147" t="e">
        <f t="shared" si="108"/>
        <v>#NUM!</v>
      </c>
      <c r="V147" t="e">
        <f t="shared" si="109"/>
        <v>#N/A</v>
      </c>
      <c r="W147" t="e">
        <f t="shared" si="110"/>
        <v>#N/A</v>
      </c>
      <c r="X147" t="e">
        <f t="shared" si="111"/>
        <v>#N/A</v>
      </c>
      <c r="Y147" t="e">
        <f t="shared" si="112"/>
        <v>#N/A</v>
      </c>
      <c r="Z147" t="e">
        <f t="shared" si="113"/>
        <v>#N/A</v>
      </c>
      <c r="AA147" t="e">
        <f t="shared" si="114"/>
        <v>#N/A</v>
      </c>
      <c r="AB147" t="e">
        <f t="shared" si="115"/>
        <v>#N/A</v>
      </c>
      <c r="AC147" t="e">
        <f t="shared" si="116"/>
        <v>#N/A</v>
      </c>
      <c r="AD147" t="e">
        <f t="shared" si="117"/>
        <v>#N/A</v>
      </c>
      <c r="AE147" t="e">
        <f t="shared" si="118"/>
        <v>#N/A</v>
      </c>
      <c r="AF147" t="e">
        <f t="shared" si="119"/>
        <v>#N/A</v>
      </c>
      <c r="AG147" t="e">
        <f t="shared" si="97"/>
        <v>#N/A</v>
      </c>
      <c r="AH147" t="b">
        <f t="shared" si="98"/>
        <v>0</v>
      </c>
    </row>
    <row r="148" spans="1:34">
      <c r="A148">
        <v>83</v>
      </c>
      <c r="B148" t="e">
        <f t="shared" si="100"/>
        <v>#N/A</v>
      </c>
      <c r="C148" t="e">
        <f t="shared" si="101"/>
        <v>#N/A</v>
      </c>
      <c r="D148" t="e">
        <f t="shared" si="102"/>
        <v>#N/A</v>
      </c>
      <c r="E148" t="e">
        <f t="shared" si="103"/>
        <v>#N/A</v>
      </c>
      <c r="F148" t="e">
        <f t="shared" si="104"/>
        <v>#N/A</v>
      </c>
      <c r="G148" t="str">
        <f t="shared" si="87"/>
        <v>DPS</v>
      </c>
      <c r="H148" t="str">
        <f t="shared" si="88"/>
        <v>DPS</v>
      </c>
      <c r="I148" t="str">
        <f t="shared" si="89"/>
        <v>DPS</v>
      </c>
      <c r="J148" t="str">
        <f t="shared" si="90"/>
        <v>DPS</v>
      </c>
      <c r="K148" t="str">
        <f t="shared" si="91"/>
        <v>HPS</v>
      </c>
      <c r="L148" t="e">
        <f t="shared" si="92"/>
        <v>#N/A</v>
      </c>
      <c r="M148" t="e">
        <f t="shared" si="93"/>
        <v>#N/A</v>
      </c>
      <c r="N148" t="e">
        <f t="shared" si="94"/>
        <v>#N/A</v>
      </c>
      <c r="O148" t="e">
        <f t="shared" si="95"/>
        <v>#N/A</v>
      </c>
      <c r="P148" t="e">
        <f t="shared" si="96"/>
        <v>#N/A</v>
      </c>
      <c r="Q148" t="e">
        <f t="shared" si="105"/>
        <v>#N/A</v>
      </c>
      <c r="R148" t="e">
        <f t="shared" si="106"/>
        <v>#N/A</v>
      </c>
      <c r="S148" t="e">
        <f t="shared" si="107"/>
        <v>#N/A</v>
      </c>
      <c r="T148">
        <f t="shared" si="99"/>
        <v>1250</v>
      </c>
      <c r="U148" t="e">
        <f t="shared" si="108"/>
        <v>#NUM!</v>
      </c>
      <c r="V148" t="e">
        <f t="shared" si="109"/>
        <v>#N/A</v>
      </c>
      <c r="W148" t="e">
        <f t="shared" si="110"/>
        <v>#N/A</v>
      </c>
      <c r="X148" t="e">
        <f t="shared" si="111"/>
        <v>#N/A</v>
      </c>
      <c r="Y148" t="e">
        <f t="shared" si="112"/>
        <v>#N/A</v>
      </c>
      <c r="Z148" t="e">
        <f t="shared" si="113"/>
        <v>#N/A</v>
      </c>
      <c r="AA148" t="e">
        <f t="shared" si="114"/>
        <v>#N/A</v>
      </c>
      <c r="AB148" t="e">
        <f t="shared" si="115"/>
        <v>#N/A</v>
      </c>
      <c r="AC148" t="e">
        <f t="shared" si="116"/>
        <v>#N/A</v>
      </c>
      <c r="AD148" t="e">
        <f t="shared" si="117"/>
        <v>#N/A</v>
      </c>
      <c r="AE148" t="e">
        <f t="shared" si="118"/>
        <v>#N/A</v>
      </c>
      <c r="AF148" t="e">
        <f t="shared" si="119"/>
        <v>#N/A</v>
      </c>
      <c r="AG148" t="e">
        <f t="shared" si="97"/>
        <v>#N/A</v>
      </c>
      <c r="AH148" t="b">
        <f t="shared" si="98"/>
        <v>0</v>
      </c>
    </row>
    <row r="149" spans="1:34">
      <c r="A149">
        <v>84</v>
      </c>
      <c r="B149" t="e">
        <f t="shared" si="100"/>
        <v>#N/A</v>
      </c>
      <c r="C149" t="e">
        <f t="shared" si="101"/>
        <v>#N/A</v>
      </c>
      <c r="D149" t="e">
        <f t="shared" si="102"/>
        <v>#N/A</v>
      </c>
      <c r="E149" t="e">
        <f t="shared" si="103"/>
        <v>#N/A</v>
      </c>
      <c r="F149" t="e">
        <f t="shared" si="104"/>
        <v>#N/A</v>
      </c>
      <c r="G149" t="str">
        <f t="shared" si="87"/>
        <v>DPS</v>
      </c>
      <c r="H149" t="str">
        <f t="shared" si="88"/>
        <v>DPS</v>
      </c>
      <c r="I149" t="str">
        <f t="shared" si="89"/>
        <v>DPS</v>
      </c>
      <c r="J149" t="str">
        <f t="shared" si="90"/>
        <v>DPS</v>
      </c>
      <c r="K149" t="str">
        <f t="shared" si="91"/>
        <v>HPS</v>
      </c>
      <c r="L149" t="e">
        <f t="shared" si="92"/>
        <v>#N/A</v>
      </c>
      <c r="M149" t="e">
        <f t="shared" si="93"/>
        <v>#N/A</v>
      </c>
      <c r="N149" t="e">
        <f t="shared" si="94"/>
        <v>#N/A</v>
      </c>
      <c r="O149" t="e">
        <f t="shared" si="95"/>
        <v>#N/A</v>
      </c>
      <c r="P149" t="e">
        <f t="shared" si="96"/>
        <v>#N/A</v>
      </c>
      <c r="Q149" t="e">
        <f t="shared" si="105"/>
        <v>#N/A</v>
      </c>
      <c r="R149" t="e">
        <f t="shared" si="106"/>
        <v>#N/A</v>
      </c>
      <c r="S149" t="e">
        <f t="shared" si="107"/>
        <v>#N/A</v>
      </c>
      <c r="T149">
        <f t="shared" si="99"/>
        <v>1250</v>
      </c>
      <c r="U149" t="e">
        <f t="shared" si="108"/>
        <v>#NUM!</v>
      </c>
      <c r="V149" t="e">
        <f t="shared" si="109"/>
        <v>#N/A</v>
      </c>
      <c r="W149" t="e">
        <f t="shared" si="110"/>
        <v>#N/A</v>
      </c>
      <c r="X149" t="e">
        <f t="shared" si="111"/>
        <v>#N/A</v>
      </c>
      <c r="Y149" t="e">
        <f t="shared" si="112"/>
        <v>#N/A</v>
      </c>
      <c r="Z149" t="e">
        <f t="shared" si="113"/>
        <v>#N/A</v>
      </c>
      <c r="AA149" t="e">
        <f t="shared" si="114"/>
        <v>#N/A</v>
      </c>
      <c r="AB149" t="e">
        <f t="shared" si="115"/>
        <v>#N/A</v>
      </c>
      <c r="AC149" t="e">
        <f t="shared" si="116"/>
        <v>#N/A</v>
      </c>
      <c r="AD149" t="e">
        <f t="shared" si="117"/>
        <v>#N/A</v>
      </c>
      <c r="AE149" t="e">
        <f t="shared" si="118"/>
        <v>#N/A</v>
      </c>
      <c r="AF149" t="e">
        <f t="shared" si="119"/>
        <v>#N/A</v>
      </c>
      <c r="AG149" t="e">
        <f t="shared" si="97"/>
        <v>#N/A</v>
      </c>
      <c r="AH149" t="b">
        <f t="shared" si="98"/>
        <v>0</v>
      </c>
    </row>
    <row r="150" spans="1:34">
      <c r="A150">
        <v>85</v>
      </c>
      <c r="B150" t="e">
        <f t="shared" si="100"/>
        <v>#N/A</v>
      </c>
      <c r="C150" t="e">
        <f t="shared" si="101"/>
        <v>#N/A</v>
      </c>
      <c r="D150" t="e">
        <f t="shared" si="102"/>
        <v>#N/A</v>
      </c>
      <c r="E150" t="e">
        <f t="shared" si="103"/>
        <v>#N/A</v>
      </c>
      <c r="F150" t="e">
        <f t="shared" si="104"/>
        <v>#N/A</v>
      </c>
      <c r="G150" t="str">
        <f t="shared" si="87"/>
        <v>DPS</v>
      </c>
      <c r="H150" t="str">
        <f t="shared" si="88"/>
        <v>DPS</v>
      </c>
      <c r="I150" t="str">
        <f t="shared" si="89"/>
        <v>DPS</v>
      </c>
      <c r="J150" t="str">
        <f t="shared" si="90"/>
        <v>DPS</v>
      </c>
      <c r="K150" t="str">
        <f t="shared" si="91"/>
        <v>HPS</v>
      </c>
      <c r="L150" t="e">
        <f t="shared" si="92"/>
        <v>#N/A</v>
      </c>
      <c r="M150" t="e">
        <f t="shared" si="93"/>
        <v>#N/A</v>
      </c>
      <c r="N150" t="e">
        <f t="shared" si="94"/>
        <v>#N/A</v>
      </c>
      <c r="O150" t="e">
        <f t="shared" si="95"/>
        <v>#N/A</v>
      </c>
      <c r="P150" t="e">
        <f t="shared" si="96"/>
        <v>#N/A</v>
      </c>
      <c r="Q150" t="e">
        <f t="shared" si="105"/>
        <v>#N/A</v>
      </c>
      <c r="R150" t="e">
        <f t="shared" si="106"/>
        <v>#N/A</v>
      </c>
      <c r="S150" t="e">
        <f t="shared" si="107"/>
        <v>#N/A</v>
      </c>
      <c r="T150">
        <f t="shared" si="99"/>
        <v>1250</v>
      </c>
      <c r="U150" t="e">
        <f t="shared" si="108"/>
        <v>#NUM!</v>
      </c>
      <c r="V150" t="e">
        <f t="shared" si="109"/>
        <v>#N/A</v>
      </c>
      <c r="W150" t="e">
        <f t="shared" si="110"/>
        <v>#N/A</v>
      </c>
      <c r="X150" t="e">
        <f t="shared" si="111"/>
        <v>#N/A</v>
      </c>
      <c r="Y150" t="e">
        <f t="shared" si="112"/>
        <v>#N/A</v>
      </c>
      <c r="Z150" t="e">
        <f t="shared" si="113"/>
        <v>#N/A</v>
      </c>
      <c r="AA150" t="e">
        <f t="shared" si="114"/>
        <v>#N/A</v>
      </c>
      <c r="AB150" t="e">
        <f t="shared" si="115"/>
        <v>#N/A</v>
      </c>
      <c r="AC150" t="e">
        <f t="shared" si="116"/>
        <v>#N/A</v>
      </c>
      <c r="AD150" t="e">
        <f t="shared" si="117"/>
        <v>#N/A</v>
      </c>
      <c r="AE150" t="e">
        <f t="shared" si="118"/>
        <v>#N/A</v>
      </c>
      <c r="AF150" t="e">
        <f t="shared" si="119"/>
        <v>#N/A</v>
      </c>
      <c r="AG150" t="e">
        <f t="shared" si="97"/>
        <v>#N/A</v>
      </c>
      <c r="AH150" t="b">
        <f t="shared" si="98"/>
        <v>0</v>
      </c>
    </row>
    <row r="151" spans="1:34">
      <c r="A151">
        <v>86</v>
      </c>
      <c r="B151" t="e">
        <f t="shared" si="100"/>
        <v>#N/A</v>
      </c>
      <c r="C151" t="e">
        <f t="shared" si="101"/>
        <v>#N/A</v>
      </c>
      <c r="D151" t="e">
        <f t="shared" si="102"/>
        <v>#N/A</v>
      </c>
      <c r="E151" t="e">
        <f t="shared" si="103"/>
        <v>#N/A</v>
      </c>
      <c r="F151" t="e">
        <f t="shared" si="104"/>
        <v>#N/A</v>
      </c>
      <c r="G151" t="str">
        <f t="shared" si="87"/>
        <v>DPS</v>
      </c>
      <c r="H151" t="str">
        <f t="shared" si="88"/>
        <v>DPS</v>
      </c>
      <c r="I151" t="str">
        <f t="shared" si="89"/>
        <v>DPS</v>
      </c>
      <c r="J151" t="str">
        <f t="shared" si="90"/>
        <v>DPS</v>
      </c>
      <c r="K151" t="str">
        <f t="shared" si="91"/>
        <v>HPS</v>
      </c>
      <c r="L151" t="e">
        <f t="shared" si="92"/>
        <v>#N/A</v>
      </c>
      <c r="M151" t="e">
        <f t="shared" si="93"/>
        <v>#N/A</v>
      </c>
      <c r="N151" t="e">
        <f t="shared" si="94"/>
        <v>#N/A</v>
      </c>
      <c r="O151" t="e">
        <f t="shared" si="95"/>
        <v>#N/A</v>
      </c>
      <c r="P151" t="e">
        <f t="shared" si="96"/>
        <v>#N/A</v>
      </c>
      <c r="Q151" t="e">
        <f t="shared" si="105"/>
        <v>#N/A</v>
      </c>
      <c r="R151" t="e">
        <f t="shared" si="106"/>
        <v>#N/A</v>
      </c>
      <c r="S151" t="e">
        <f t="shared" si="107"/>
        <v>#N/A</v>
      </c>
      <c r="T151">
        <f t="shared" si="99"/>
        <v>1250</v>
      </c>
      <c r="U151" t="e">
        <f t="shared" si="108"/>
        <v>#NUM!</v>
      </c>
      <c r="V151" t="e">
        <f t="shared" si="109"/>
        <v>#N/A</v>
      </c>
      <c r="W151" t="e">
        <f t="shared" si="110"/>
        <v>#N/A</v>
      </c>
      <c r="X151" t="e">
        <f t="shared" si="111"/>
        <v>#N/A</v>
      </c>
      <c r="Y151" t="e">
        <f t="shared" si="112"/>
        <v>#N/A</v>
      </c>
      <c r="Z151" t="e">
        <f t="shared" si="113"/>
        <v>#N/A</v>
      </c>
      <c r="AA151" t="e">
        <f t="shared" si="114"/>
        <v>#N/A</v>
      </c>
      <c r="AB151" t="e">
        <f t="shared" si="115"/>
        <v>#N/A</v>
      </c>
      <c r="AC151" t="e">
        <f t="shared" si="116"/>
        <v>#N/A</v>
      </c>
      <c r="AD151" t="e">
        <f t="shared" si="117"/>
        <v>#N/A</v>
      </c>
      <c r="AE151" t="e">
        <f t="shared" si="118"/>
        <v>#N/A</v>
      </c>
      <c r="AF151" t="e">
        <f t="shared" si="119"/>
        <v>#N/A</v>
      </c>
      <c r="AG151" t="e">
        <f t="shared" si="97"/>
        <v>#N/A</v>
      </c>
      <c r="AH151" t="b">
        <f t="shared" si="98"/>
        <v>0</v>
      </c>
    </row>
    <row r="152" spans="1:34">
      <c r="A152">
        <v>87</v>
      </c>
      <c r="B152" t="e">
        <f t="shared" si="100"/>
        <v>#N/A</v>
      </c>
      <c r="C152" t="e">
        <f t="shared" si="101"/>
        <v>#N/A</v>
      </c>
      <c r="D152" t="e">
        <f t="shared" si="102"/>
        <v>#N/A</v>
      </c>
      <c r="E152" t="e">
        <f t="shared" si="103"/>
        <v>#N/A</v>
      </c>
      <c r="F152" t="e">
        <f t="shared" si="104"/>
        <v>#N/A</v>
      </c>
      <c r="G152" t="str">
        <f t="shared" si="87"/>
        <v>DPS</v>
      </c>
      <c r="H152" t="str">
        <f t="shared" si="88"/>
        <v>DPS</v>
      </c>
      <c r="I152" t="str">
        <f t="shared" si="89"/>
        <v>DPS</v>
      </c>
      <c r="J152" t="str">
        <f t="shared" si="90"/>
        <v>DPS</v>
      </c>
      <c r="K152" t="str">
        <f t="shared" si="91"/>
        <v>HPS</v>
      </c>
      <c r="L152" t="e">
        <f t="shared" si="92"/>
        <v>#N/A</v>
      </c>
      <c r="M152" t="e">
        <f t="shared" si="93"/>
        <v>#N/A</v>
      </c>
      <c r="N152" t="e">
        <f t="shared" si="94"/>
        <v>#N/A</v>
      </c>
      <c r="O152" t="e">
        <f t="shared" si="95"/>
        <v>#N/A</v>
      </c>
      <c r="P152" t="e">
        <f t="shared" si="96"/>
        <v>#N/A</v>
      </c>
      <c r="Q152" t="e">
        <f t="shared" si="105"/>
        <v>#N/A</v>
      </c>
      <c r="R152" t="e">
        <f t="shared" si="106"/>
        <v>#N/A</v>
      </c>
      <c r="S152" t="e">
        <f t="shared" si="107"/>
        <v>#N/A</v>
      </c>
      <c r="T152">
        <f t="shared" si="99"/>
        <v>1250</v>
      </c>
      <c r="U152" t="e">
        <f t="shared" si="108"/>
        <v>#NUM!</v>
      </c>
      <c r="V152" t="e">
        <f t="shared" si="109"/>
        <v>#N/A</v>
      </c>
      <c r="W152" t="e">
        <f t="shared" si="110"/>
        <v>#N/A</v>
      </c>
      <c r="X152" t="e">
        <f t="shared" si="111"/>
        <v>#N/A</v>
      </c>
      <c r="Y152" t="e">
        <f t="shared" si="112"/>
        <v>#N/A</v>
      </c>
      <c r="Z152" t="e">
        <f t="shared" si="113"/>
        <v>#N/A</v>
      </c>
      <c r="AA152" t="e">
        <f t="shared" si="114"/>
        <v>#N/A</v>
      </c>
      <c r="AB152" t="e">
        <f t="shared" si="115"/>
        <v>#N/A</v>
      </c>
      <c r="AC152" t="e">
        <f t="shared" si="116"/>
        <v>#N/A</v>
      </c>
      <c r="AD152" t="e">
        <f t="shared" si="117"/>
        <v>#N/A</v>
      </c>
      <c r="AE152" t="e">
        <f t="shared" si="118"/>
        <v>#N/A</v>
      </c>
      <c r="AF152" t="e">
        <f t="shared" si="119"/>
        <v>#N/A</v>
      </c>
      <c r="AG152" t="e">
        <f t="shared" si="97"/>
        <v>#N/A</v>
      </c>
      <c r="AH152" t="b">
        <f t="shared" si="98"/>
        <v>0</v>
      </c>
    </row>
    <row r="153" spans="1:34">
      <c r="A153">
        <v>88</v>
      </c>
      <c r="B153" t="e">
        <f t="shared" si="100"/>
        <v>#N/A</v>
      </c>
      <c r="C153" t="e">
        <f t="shared" si="101"/>
        <v>#N/A</v>
      </c>
      <c r="D153" t="e">
        <f t="shared" si="102"/>
        <v>#N/A</v>
      </c>
      <c r="E153" t="e">
        <f t="shared" si="103"/>
        <v>#N/A</v>
      </c>
      <c r="F153" t="e">
        <f t="shared" si="104"/>
        <v>#N/A</v>
      </c>
      <c r="G153" t="str">
        <f t="shared" si="87"/>
        <v>DPS</v>
      </c>
      <c r="H153" t="str">
        <f t="shared" si="88"/>
        <v>DPS</v>
      </c>
      <c r="I153" t="str">
        <f t="shared" si="89"/>
        <v>DPS</v>
      </c>
      <c r="J153" t="str">
        <f t="shared" si="90"/>
        <v>DPS</v>
      </c>
      <c r="K153" t="str">
        <f t="shared" si="91"/>
        <v>HPS</v>
      </c>
      <c r="L153" t="e">
        <f t="shared" si="92"/>
        <v>#N/A</v>
      </c>
      <c r="M153" t="e">
        <f t="shared" si="93"/>
        <v>#N/A</v>
      </c>
      <c r="N153" t="e">
        <f t="shared" si="94"/>
        <v>#N/A</v>
      </c>
      <c r="O153" t="e">
        <f t="shared" si="95"/>
        <v>#N/A</v>
      </c>
      <c r="P153" t="e">
        <f t="shared" si="96"/>
        <v>#N/A</v>
      </c>
      <c r="Q153" t="e">
        <f t="shared" si="105"/>
        <v>#N/A</v>
      </c>
      <c r="R153" t="e">
        <f t="shared" si="106"/>
        <v>#N/A</v>
      </c>
      <c r="S153" t="e">
        <f t="shared" si="107"/>
        <v>#N/A</v>
      </c>
      <c r="T153">
        <f t="shared" si="99"/>
        <v>1250</v>
      </c>
      <c r="U153" t="e">
        <f t="shared" si="108"/>
        <v>#NUM!</v>
      </c>
      <c r="V153" t="e">
        <f t="shared" si="109"/>
        <v>#N/A</v>
      </c>
      <c r="W153" t="e">
        <f t="shared" si="110"/>
        <v>#N/A</v>
      </c>
      <c r="X153" t="e">
        <f t="shared" si="111"/>
        <v>#N/A</v>
      </c>
      <c r="Y153" t="e">
        <f t="shared" si="112"/>
        <v>#N/A</v>
      </c>
      <c r="Z153" t="e">
        <f t="shared" si="113"/>
        <v>#N/A</v>
      </c>
      <c r="AA153" t="e">
        <f t="shared" si="114"/>
        <v>#N/A</v>
      </c>
      <c r="AB153" t="e">
        <f t="shared" si="115"/>
        <v>#N/A</v>
      </c>
      <c r="AC153" t="e">
        <f t="shared" si="116"/>
        <v>#N/A</v>
      </c>
      <c r="AD153" t="e">
        <f t="shared" si="117"/>
        <v>#N/A</v>
      </c>
      <c r="AE153" t="e">
        <f t="shared" si="118"/>
        <v>#N/A</v>
      </c>
      <c r="AF153" t="e">
        <f t="shared" si="119"/>
        <v>#N/A</v>
      </c>
      <c r="AG153" t="e">
        <f t="shared" si="97"/>
        <v>#N/A</v>
      </c>
      <c r="AH153" t="b">
        <f t="shared" si="98"/>
        <v>0</v>
      </c>
    </row>
    <row r="154" spans="1:34">
      <c r="A154">
        <v>89</v>
      </c>
      <c r="B154" t="e">
        <f t="shared" si="100"/>
        <v>#N/A</v>
      </c>
      <c r="C154" t="e">
        <f t="shared" si="101"/>
        <v>#N/A</v>
      </c>
      <c r="D154" t="e">
        <f t="shared" si="102"/>
        <v>#N/A</v>
      </c>
      <c r="E154" t="e">
        <f t="shared" si="103"/>
        <v>#N/A</v>
      </c>
      <c r="F154" t="e">
        <f t="shared" si="104"/>
        <v>#N/A</v>
      </c>
      <c r="G154" t="str">
        <f t="shared" si="87"/>
        <v>DPS</v>
      </c>
      <c r="H154" t="str">
        <f t="shared" si="88"/>
        <v>DPS</v>
      </c>
      <c r="I154" t="str">
        <f t="shared" si="89"/>
        <v>DPS</v>
      </c>
      <c r="J154" t="str">
        <f t="shared" si="90"/>
        <v>DPS</v>
      </c>
      <c r="K154" t="str">
        <f t="shared" si="91"/>
        <v>HPS</v>
      </c>
      <c r="L154" t="e">
        <f t="shared" si="92"/>
        <v>#N/A</v>
      </c>
      <c r="M154" t="e">
        <f t="shared" si="93"/>
        <v>#N/A</v>
      </c>
      <c r="N154" t="e">
        <f t="shared" si="94"/>
        <v>#N/A</v>
      </c>
      <c r="O154" t="e">
        <f t="shared" si="95"/>
        <v>#N/A</v>
      </c>
      <c r="P154" t="e">
        <f t="shared" si="96"/>
        <v>#N/A</v>
      </c>
      <c r="Q154" t="e">
        <f t="shared" si="105"/>
        <v>#N/A</v>
      </c>
      <c r="R154" t="e">
        <f t="shared" si="106"/>
        <v>#N/A</v>
      </c>
      <c r="S154" t="e">
        <f t="shared" si="107"/>
        <v>#N/A</v>
      </c>
      <c r="T154">
        <f t="shared" si="99"/>
        <v>1250</v>
      </c>
      <c r="U154" t="e">
        <f t="shared" si="108"/>
        <v>#NUM!</v>
      </c>
      <c r="V154" t="e">
        <f t="shared" si="109"/>
        <v>#N/A</v>
      </c>
      <c r="W154" t="e">
        <f t="shared" si="110"/>
        <v>#N/A</v>
      </c>
      <c r="X154" t="e">
        <f t="shared" si="111"/>
        <v>#N/A</v>
      </c>
      <c r="Y154" t="e">
        <f t="shared" si="112"/>
        <v>#N/A</v>
      </c>
      <c r="Z154" t="e">
        <f t="shared" si="113"/>
        <v>#N/A</v>
      </c>
      <c r="AA154" t="e">
        <f t="shared" si="114"/>
        <v>#N/A</v>
      </c>
      <c r="AB154" t="e">
        <f t="shared" si="115"/>
        <v>#N/A</v>
      </c>
      <c r="AC154" t="e">
        <f t="shared" si="116"/>
        <v>#N/A</v>
      </c>
      <c r="AD154" t="e">
        <f t="shared" si="117"/>
        <v>#N/A</v>
      </c>
      <c r="AE154" t="e">
        <f t="shared" si="118"/>
        <v>#N/A</v>
      </c>
      <c r="AF154" t="e">
        <f t="shared" si="119"/>
        <v>#N/A</v>
      </c>
      <c r="AG154" t="e">
        <f t="shared" si="97"/>
        <v>#N/A</v>
      </c>
      <c r="AH154" t="b">
        <f t="shared" si="98"/>
        <v>0</v>
      </c>
    </row>
    <row r="155" spans="1:34">
      <c r="A155">
        <v>90</v>
      </c>
      <c r="B155" t="e">
        <f t="shared" si="100"/>
        <v>#N/A</v>
      </c>
      <c r="C155" t="e">
        <f t="shared" si="101"/>
        <v>#N/A</v>
      </c>
      <c r="D155" t="e">
        <f t="shared" si="102"/>
        <v>#N/A</v>
      </c>
      <c r="E155" t="e">
        <f t="shared" si="103"/>
        <v>#N/A</v>
      </c>
      <c r="F155" t="e">
        <f t="shared" si="104"/>
        <v>#N/A</v>
      </c>
      <c r="G155" t="str">
        <f t="shared" si="87"/>
        <v>DPS</v>
      </c>
      <c r="H155" t="str">
        <f t="shared" si="88"/>
        <v>DPS</v>
      </c>
      <c r="I155" t="str">
        <f t="shared" si="89"/>
        <v>DPS</v>
      </c>
      <c r="J155" t="str">
        <f t="shared" si="90"/>
        <v>DPS</v>
      </c>
      <c r="K155" t="str">
        <f t="shared" si="91"/>
        <v>HPS</v>
      </c>
      <c r="L155" t="e">
        <f t="shared" si="92"/>
        <v>#N/A</v>
      </c>
      <c r="M155" t="e">
        <f t="shared" si="93"/>
        <v>#N/A</v>
      </c>
      <c r="N155" t="e">
        <f t="shared" si="94"/>
        <v>#N/A</v>
      </c>
      <c r="O155" t="e">
        <f t="shared" si="95"/>
        <v>#N/A</v>
      </c>
      <c r="P155" t="e">
        <f t="shared" si="96"/>
        <v>#N/A</v>
      </c>
      <c r="Q155" t="e">
        <f t="shared" si="105"/>
        <v>#N/A</v>
      </c>
      <c r="R155" t="e">
        <f t="shared" si="106"/>
        <v>#N/A</v>
      </c>
      <c r="S155" t="e">
        <f t="shared" si="107"/>
        <v>#N/A</v>
      </c>
      <c r="T155">
        <f t="shared" si="99"/>
        <v>1250</v>
      </c>
      <c r="U155" t="e">
        <f t="shared" si="108"/>
        <v>#NUM!</v>
      </c>
      <c r="V155" t="e">
        <f t="shared" si="109"/>
        <v>#N/A</v>
      </c>
      <c r="W155" t="e">
        <f t="shared" si="110"/>
        <v>#N/A</v>
      </c>
      <c r="X155" t="e">
        <f t="shared" si="111"/>
        <v>#N/A</v>
      </c>
      <c r="Y155" t="e">
        <f t="shared" si="112"/>
        <v>#N/A</v>
      </c>
      <c r="Z155" t="e">
        <f t="shared" si="113"/>
        <v>#N/A</v>
      </c>
      <c r="AA155" t="e">
        <f t="shared" si="114"/>
        <v>#N/A</v>
      </c>
      <c r="AB155" t="e">
        <f t="shared" si="115"/>
        <v>#N/A</v>
      </c>
      <c r="AC155" t="e">
        <f t="shared" si="116"/>
        <v>#N/A</v>
      </c>
      <c r="AD155" t="e">
        <f t="shared" si="117"/>
        <v>#N/A</v>
      </c>
      <c r="AE155" t="e">
        <f t="shared" si="118"/>
        <v>#N/A</v>
      </c>
      <c r="AF155" t="e">
        <f t="shared" si="119"/>
        <v>#N/A</v>
      </c>
      <c r="AG155" t="e">
        <f t="shared" si="97"/>
        <v>#N/A</v>
      </c>
      <c r="AH155" t="b">
        <f t="shared" si="98"/>
        <v>0</v>
      </c>
    </row>
    <row r="156" spans="1:34">
      <c r="A156">
        <v>91</v>
      </c>
      <c r="B156" t="e">
        <f t="shared" si="100"/>
        <v>#N/A</v>
      </c>
      <c r="C156" t="e">
        <f t="shared" si="101"/>
        <v>#N/A</v>
      </c>
      <c r="D156" t="e">
        <f t="shared" si="102"/>
        <v>#N/A</v>
      </c>
      <c r="E156" t="e">
        <f t="shared" si="103"/>
        <v>#N/A</v>
      </c>
      <c r="F156" t="e">
        <f t="shared" si="104"/>
        <v>#N/A</v>
      </c>
      <c r="G156" t="str">
        <f t="shared" si="87"/>
        <v>DPS</v>
      </c>
      <c r="H156" t="str">
        <f t="shared" si="88"/>
        <v>DPS</v>
      </c>
      <c r="I156" t="str">
        <f t="shared" si="89"/>
        <v>DPS</v>
      </c>
      <c r="J156" t="str">
        <f t="shared" si="90"/>
        <v>DPS</v>
      </c>
      <c r="K156" t="str">
        <f t="shared" si="91"/>
        <v>HPS</v>
      </c>
      <c r="L156" t="e">
        <f t="shared" si="92"/>
        <v>#N/A</v>
      </c>
      <c r="M156" t="e">
        <f t="shared" si="93"/>
        <v>#N/A</v>
      </c>
      <c r="N156" t="e">
        <f t="shared" si="94"/>
        <v>#N/A</v>
      </c>
      <c r="O156" t="e">
        <f t="shared" si="95"/>
        <v>#N/A</v>
      </c>
      <c r="P156" t="e">
        <f t="shared" si="96"/>
        <v>#N/A</v>
      </c>
      <c r="Q156" t="e">
        <f t="shared" si="105"/>
        <v>#N/A</v>
      </c>
      <c r="R156" t="e">
        <f t="shared" si="106"/>
        <v>#N/A</v>
      </c>
      <c r="S156" t="e">
        <f t="shared" si="107"/>
        <v>#N/A</v>
      </c>
      <c r="T156">
        <f t="shared" si="99"/>
        <v>1250</v>
      </c>
      <c r="U156" t="e">
        <f t="shared" si="108"/>
        <v>#NUM!</v>
      </c>
      <c r="V156" t="e">
        <f t="shared" si="109"/>
        <v>#N/A</v>
      </c>
      <c r="W156" t="e">
        <f t="shared" si="110"/>
        <v>#N/A</v>
      </c>
      <c r="X156" t="e">
        <f t="shared" si="111"/>
        <v>#N/A</v>
      </c>
      <c r="Y156" t="e">
        <f t="shared" si="112"/>
        <v>#N/A</v>
      </c>
      <c r="Z156" t="e">
        <f t="shared" si="113"/>
        <v>#N/A</v>
      </c>
      <c r="AA156" t="e">
        <f t="shared" si="114"/>
        <v>#N/A</v>
      </c>
      <c r="AB156" t="e">
        <f t="shared" si="115"/>
        <v>#N/A</v>
      </c>
      <c r="AC156" t="e">
        <f t="shared" si="116"/>
        <v>#N/A</v>
      </c>
      <c r="AD156" t="e">
        <f t="shared" si="117"/>
        <v>#N/A</v>
      </c>
      <c r="AE156" t="e">
        <f t="shared" si="118"/>
        <v>#N/A</v>
      </c>
      <c r="AF156" t="e">
        <f t="shared" si="119"/>
        <v>#N/A</v>
      </c>
      <c r="AG156" t="e">
        <f t="shared" si="97"/>
        <v>#N/A</v>
      </c>
      <c r="AH156" t="b">
        <f t="shared" si="98"/>
        <v>0</v>
      </c>
    </row>
    <row r="157" spans="1:34">
      <c r="A157">
        <v>92</v>
      </c>
      <c r="B157" t="e">
        <f t="shared" si="100"/>
        <v>#N/A</v>
      </c>
      <c r="C157" t="e">
        <f t="shared" si="101"/>
        <v>#N/A</v>
      </c>
      <c r="D157" t="e">
        <f t="shared" si="102"/>
        <v>#N/A</v>
      </c>
      <c r="E157" t="e">
        <f t="shared" si="103"/>
        <v>#N/A</v>
      </c>
      <c r="F157" t="e">
        <f t="shared" si="104"/>
        <v>#N/A</v>
      </c>
      <c r="G157" t="str">
        <f t="shared" si="87"/>
        <v>DPS</v>
      </c>
      <c r="H157" t="str">
        <f t="shared" si="88"/>
        <v>DPS</v>
      </c>
      <c r="I157" t="str">
        <f t="shared" si="89"/>
        <v>DPS</v>
      </c>
      <c r="J157" t="str">
        <f t="shared" si="90"/>
        <v>DPS</v>
      </c>
      <c r="K157" t="str">
        <f t="shared" si="91"/>
        <v>HPS</v>
      </c>
      <c r="L157" t="e">
        <f t="shared" si="92"/>
        <v>#N/A</v>
      </c>
      <c r="M157" t="e">
        <f t="shared" si="93"/>
        <v>#N/A</v>
      </c>
      <c r="N157" t="e">
        <f t="shared" si="94"/>
        <v>#N/A</v>
      </c>
      <c r="O157" t="e">
        <f t="shared" si="95"/>
        <v>#N/A</v>
      </c>
      <c r="P157" t="e">
        <f t="shared" si="96"/>
        <v>#N/A</v>
      </c>
      <c r="Q157" t="e">
        <f t="shared" si="105"/>
        <v>#N/A</v>
      </c>
      <c r="R157" t="e">
        <f t="shared" si="106"/>
        <v>#N/A</v>
      </c>
      <c r="S157" t="e">
        <f t="shared" si="107"/>
        <v>#N/A</v>
      </c>
      <c r="T157">
        <f t="shared" si="99"/>
        <v>1250</v>
      </c>
      <c r="U157" t="e">
        <f t="shared" si="108"/>
        <v>#NUM!</v>
      </c>
      <c r="V157" t="e">
        <f t="shared" si="109"/>
        <v>#N/A</v>
      </c>
      <c r="W157" t="e">
        <f t="shared" si="110"/>
        <v>#N/A</v>
      </c>
      <c r="X157" t="e">
        <f t="shared" si="111"/>
        <v>#N/A</v>
      </c>
      <c r="Y157" t="e">
        <f t="shared" si="112"/>
        <v>#N/A</v>
      </c>
      <c r="Z157" t="e">
        <f t="shared" si="113"/>
        <v>#N/A</v>
      </c>
      <c r="AA157" t="e">
        <f t="shared" si="114"/>
        <v>#N/A</v>
      </c>
      <c r="AB157" t="e">
        <f t="shared" si="115"/>
        <v>#N/A</v>
      </c>
      <c r="AC157" t="e">
        <f t="shared" si="116"/>
        <v>#N/A</v>
      </c>
      <c r="AD157" t="e">
        <f t="shared" si="117"/>
        <v>#N/A</v>
      </c>
      <c r="AE157" t="e">
        <f t="shared" si="118"/>
        <v>#N/A</v>
      </c>
      <c r="AF157" t="e">
        <f t="shared" si="119"/>
        <v>#N/A</v>
      </c>
      <c r="AG157" t="e">
        <f t="shared" si="97"/>
        <v>#N/A</v>
      </c>
      <c r="AH157" t="b">
        <f t="shared" si="98"/>
        <v>0</v>
      </c>
    </row>
    <row r="158" spans="1:34">
      <c r="A158">
        <v>93</v>
      </c>
      <c r="B158" t="e">
        <f t="shared" si="100"/>
        <v>#N/A</v>
      </c>
      <c r="C158" t="e">
        <f t="shared" si="101"/>
        <v>#N/A</v>
      </c>
      <c r="D158" t="e">
        <f t="shared" si="102"/>
        <v>#N/A</v>
      </c>
      <c r="E158" t="e">
        <f t="shared" si="103"/>
        <v>#N/A</v>
      </c>
      <c r="F158" t="e">
        <f t="shared" si="104"/>
        <v>#N/A</v>
      </c>
      <c r="G158" t="str">
        <f t="shared" si="87"/>
        <v>DPS</v>
      </c>
      <c r="H158" t="str">
        <f t="shared" si="88"/>
        <v>DPS</v>
      </c>
      <c r="I158" t="str">
        <f t="shared" si="89"/>
        <v>DPS</v>
      </c>
      <c r="J158" t="str">
        <f t="shared" si="90"/>
        <v>DPS</v>
      </c>
      <c r="K158" t="str">
        <f t="shared" si="91"/>
        <v>HPS</v>
      </c>
      <c r="L158" t="e">
        <f t="shared" si="92"/>
        <v>#N/A</v>
      </c>
      <c r="M158" t="e">
        <f t="shared" si="93"/>
        <v>#N/A</v>
      </c>
      <c r="N158" t="e">
        <f t="shared" si="94"/>
        <v>#N/A</v>
      </c>
      <c r="O158" t="e">
        <f t="shared" si="95"/>
        <v>#N/A</v>
      </c>
      <c r="P158" t="e">
        <f t="shared" si="96"/>
        <v>#N/A</v>
      </c>
      <c r="Q158" t="e">
        <f t="shared" si="105"/>
        <v>#N/A</v>
      </c>
      <c r="R158" t="e">
        <f t="shared" si="106"/>
        <v>#N/A</v>
      </c>
      <c r="S158" t="e">
        <f t="shared" si="107"/>
        <v>#N/A</v>
      </c>
      <c r="T158">
        <f t="shared" si="99"/>
        <v>1250</v>
      </c>
      <c r="U158" t="e">
        <f t="shared" si="108"/>
        <v>#NUM!</v>
      </c>
      <c r="V158" t="e">
        <f t="shared" si="109"/>
        <v>#N/A</v>
      </c>
      <c r="W158" t="e">
        <f t="shared" si="110"/>
        <v>#N/A</v>
      </c>
      <c r="X158" t="e">
        <f t="shared" si="111"/>
        <v>#N/A</v>
      </c>
      <c r="Y158" t="e">
        <f t="shared" si="112"/>
        <v>#N/A</v>
      </c>
      <c r="Z158" t="e">
        <f t="shared" si="113"/>
        <v>#N/A</v>
      </c>
      <c r="AA158" t="e">
        <f t="shared" si="114"/>
        <v>#N/A</v>
      </c>
      <c r="AB158" t="e">
        <f t="shared" si="115"/>
        <v>#N/A</v>
      </c>
      <c r="AC158" t="e">
        <f t="shared" si="116"/>
        <v>#N/A</v>
      </c>
      <c r="AD158" t="e">
        <f t="shared" si="117"/>
        <v>#N/A</v>
      </c>
      <c r="AE158" t="e">
        <f t="shared" si="118"/>
        <v>#N/A</v>
      </c>
      <c r="AF158" t="e">
        <f t="shared" si="119"/>
        <v>#N/A</v>
      </c>
      <c r="AG158" t="e">
        <f t="shared" si="97"/>
        <v>#N/A</v>
      </c>
      <c r="AH158" t="b">
        <f t="shared" si="98"/>
        <v>0</v>
      </c>
    </row>
    <row r="159" spans="1:34">
      <c r="A159">
        <v>94</v>
      </c>
      <c r="B159" t="e">
        <f t="shared" si="100"/>
        <v>#N/A</v>
      </c>
      <c r="C159" t="e">
        <f t="shared" si="101"/>
        <v>#N/A</v>
      </c>
      <c r="D159" t="e">
        <f t="shared" si="102"/>
        <v>#N/A</v>
      </c>
      <c r="E159" t="e">
        <f t="shared" si="103"/>
        <v>#N/A</v>
      </c>
      <c r="F159" t="e">
        <f t="shared" si="104"/>
        <v>#N/A</v>
      </c>
      <c r="G159" t="str">
        <f t="shared" si="87"/>
        <v>DPS</v>
      </c>
      <c r="H159" t="str">
        <f t="shared" si="88"/>
        <v>DPS</v>
      </c>
      <c r="I159" t="str">
        <f t="shared" si="89"/>
        <v>DPS</v>
      </c>
      <c r="J159" t="str">
        <f t="shared" si="90"/>
        <v>DPS</v>
      </c>
      <c r="K159" t="str">
        <f t="shared" si="91"/>
        <v>HPS</v>
      </c>
      <c r="L159" t="e">
        <f t="shared" si="92"/>
        <v>#N/A</v>
      </c>
      <c r="M159" t="e">
        <f t="shared" si="93"/>
        <v>#N/A</v>
      </c>
      <c r="N159" t="e">
        <f t="shared" si="94"/>
        <v>#N/A</v>
      </c>
      <c r="O159" t="e">
        <f t="shared" si="95"/>
        <v>#N/A</v>
      </c>
      <c r="P159" t="e">
        <f t="shared" si="96"/>
        <v>#N/A</v>
      </c>
      <c r="Q159" t="e">
        <f t="shared" si="105"/>
        <v>#N/A</v>
      </c>
      <c r="R159" t="e">
        <f t="shared" si="106"/>
        <v>#N/A</v>
      </c>
      <c r="S159" t="e">
        <f t="shared" si="107"/>
        <v>#N/A</v>
      </c>
      <c r="T159">
        <f t="shared" si="99"/>
        <v>1250</v>
      </c>
      <c r="U159" t="e">
        <f t="shared" si="108"/>
        <v>#NUM!</v>
      </c>
      <c r="V159" t="e">
        <f t="shared" si="109"/>
        <v>#N/A</v>
      </c>
      <c r="W159" t="e">
        <f t="shared" si="110"/>
        <v>#N/A</v>
      </c>
      <c r="X159" t="e">
        <f t="shared" si="111"/>
        <v>#N/A</v>
      </c>
      <c r="Y159" t="e">
        <f t="shared" si="112"/>
        <v>#N/A</v>
      </c>
      <c r="Z159" t="e">
        <f t="shared" si="113"/>
        <v>#N/A</v>
      </c>
      <c r="AA159" t="e">
        <f t="shared" si="114"/>
        <v>#N/A</v>
      </c>
      <c r="AB159" t="e">
        <f t="shared" si="115"/>
        <v>#N/A</v>
      </c>
      <c r="AC159" t="e">
        <f t="shared" si="116"/>
        <v>#N/A</v>
      </c>
      <c r="AD159" t="e">
        <f t="shared" si="117"/>
        <v>#N/A</v>
      </c>
      <c r="AE159" t="e">
        <f t="shared" si="118"/>
        <v>#N/A</v>
      </c>
      <c r="AF159" t="e">
        <f t="shared" si="119"/>
        <v>#N/A</v>
      </c>
      <c r="AG159" t="e">
        <f t="shared" si="97"/>
        <v>#N/A</v>
      </c>
      <c r="AH159" t="b">
        <f t="shared" si="98"/>
        <v>0</v>
      </c>
    </row>
    <row r="160" spans="1:34">
      <c r="A160">
        <v>95</v>
      </c>
      <c r="B160" t="e">
        <f t="shared" si="100"/>
        <v>#N/A</v>
      </c>
      <c r="C160" t="e">
        <f t="shared" si="101"/>
        <v>#N/A</v>
      </c>
      <c r="D160" t="e">
        <f t="shared" si="102"/>
        <v>#N/A</v>
      </c>
      <c r="E160" t="e">
        <f t="shared" si="103"/>
        <v>#N/A</v>
      </c>
      <c r="F160" t="e">
        <f t="shared" si="104"/>
        <v>#N/A</v>
      </c>
      <c r="G160" t="str">
        <f t="shared" si="87"/>
        <v>DPS</v>
      </c>
      <c r="H160" t="str">
        <f t="shared" si="88"/>
        <v>DPS</v>
      </c>
      <c r="I160" t="str">
        <f t="shared" si="89"/>
        <v>DPS</v>
      </c>
      <c r="J160" t="str">
        <f t="shared" si="90"/>
        <v>DPS</v>
      </c>
      <c r="K160" t="str">
        <f t="shared" si="91"/>
        <v>HPS</v>
      </c>
      <c r="L160" t="e">
        <f t="shared" si="92"/>
        <v>#N/A</v>
      </c>
      <c r="M160" t="e">
        <f t="shared" si="93"/>
        <v>#N/A</v>
      </c>
      <c r="N160" t="e">
        <f t="shared" si="94"/>
        <v>#N/A</v>
      </c>
      <c r="O160" t="e">
        <f t="shared" si="95"/>
        <v>#N/A</v>
      </c>
      <c r="P160" t="e">
        <f t="shared" si="96"/>
        <v>#N/A</v>
      </c>
      <c r="Q160" t="e">
        <f t="shared" si="105"/>
        <v>#N/A</v>
      </c>
      <c r="R160" t="e">
        <f t="shared" si="106"/>
        <v>#N/A</v>
      </c>
      <c r="S160" t="e">
        <f t="shared" si="107"/>
        <v>#N/A</v>
      </c>
      <c r="T160">
        <f t="shared" si="99"/>
        <v>1250</v>
      </c>
      <c r="U160" t="e">
        <f t="shared" si="108"/>
        <v>#NUM!</v>
      </c>
      <c r="V160" t="e">
        <f t="shared" si="109"/>
        <v>#N/A</v>
      </c>
      <c r="W160" t="e">
        <f t="shared" si="110"/>
        <v>#N/A</v>
      </c>
      <c r="X160" t="e">
        <f t="shared" si="111"/>
        <v>#N/A</v>
      </c>
      <c r="Y160" t="e">
        <f t="shared" si="112"/>
        <v>#N/A</v>
      </c>
      <c r="Z160" t="e">
        <f t="shared" si="113"/>
        <v>#N/A</v>
      </c>
      <c r="AA160" t="e">
        <f t="shared" si="114"/>
        <v>#N/A</v>
      </c>
      <c r="AB160" t="e">
        <f t="shared" si="115"/>
        <v>#N/A</v>
      </c>
      <c r="AC160" t="e">
        <f t="shared" si="116"/>
        <v>#N/A</v>
      </c>
      <c r="AD160" t="e">
        <f t="shared" si="117"/>
        <v>#N/A</v>
      </c>
      <c r="AE160" t="e">
        <f t="shared" si="118"/>
        <v>#N/A</v>
      </c>
      <c r="AF160" t="e">
        <f t="shared" si="119"/>
        <v>#N/A</v>
      </c>
      <c r="AG160" t="e">
        <f t="shared" si="97"/>
        <v>#N/A</v>
      </c>
      <c r="AH160" t="b">
        <f t="shared" si="98"/>
        <v>0</v>
      </c>
    </row>
    <row r="161" spans="1:34">
      <c r="A161">
        <v>96</v>
      </c>
      <c r="B161" t="e">
        <f t="shared" si="100"/>
        <v>#N/A</v>
      </c>
      <c r="C161" t="e">
        <f t="shared" si="101"/>
        <v>#N/A</v>
      </c>
      <c r="D161" t="e">
        <f t="shared" si="102"/>
        <v>#N/A</v>
      </c>
      <c r="E161" t="e">
        <f t="shared" si="103"/>
        <v>#N/A</v>
      </c>
      <c r="F161" t="e">
        <f t="shared" si="104"/>
        <v>#N/A</v>
      </c>
      <c r="G161" t="str">
        <f t="shared" si="87"/>
        <v>DPS</v>
      </c>
      <c r="H161" t="str">
        <f t="shared" si="88"/>
        <v>DPS</v>
      </c>
      <c r="I161" t="str">
        <f t="shared" si="89"/>
        <v>DPS</v>
      </c>
      <c r="J161" t="str">
        <f t="shared" si="90"/>
        <v>DPS</v>
      </c>
      <c r="K161" t="str">
        <f t="shared" si="91"/>
        <v>HPS</v>
      </c>
      <c r="L161" t="e">
        <f t="shared" si="92"/>
        <v>#N/A</v>
      </c>
      <c r="M161" t="e">
        <f t="shared" si="93"/>
        <v>#N/A</v>
      </c>
      <c r="N161" t="e">
        <f t="shared" si="94"/>
        <v>#N/A</v>
      </c>
      <c r="O161" t="e">
        <f t="shared" si="95"/>
        <v>#N/A</v>
      </c>
      <c r="P161" t="e">
        <f t="shared" si="96"/>
        <v>#N/A</v>
      </c>
      <c r="Q161" t="e">
        <f t="shared" si="105"/>
        <v>#N/A</v>
      </c>
      <c r="R161" t="e">
        <f t="shared" si="106"/>
        <v>#N/A</v>
      </c>
      <c r="S161" t="e">
        <f t="shared" si="107"/>
        <v>#N/A</v>
      </c>
      <c r="T161">
        <f t="shared" si="99"/>
        <v>1250</v>
      </c>
      <c r="U161" t="e">
        <f t="shared" si="108"/>
        <v>#NUM!</v>
      </c>
      <c r="V161" t="e">
        <f t="shared" si="109"/>
        <v>#N/A</v>
      </c>
      <c r="W161" t="e">
        <f t="shared" si="110"/>
        <v>#N/A</v>
      </c>
      <c r="X161" t="e">
        <f t="shared" si="111"/>
        <v>#N/A</v>
      </c>
      <c r="Y161" t="e">
        <f t="shared" si="112"/>
        <v>#N/A</v>
      </c>
      <c r="Z161" t="e">
        <f t="shared" si="113"/>
        <v>#N/A</v>
      </c>
      <c r="AA161" t="e">
        <f t="shared" si="114"/>
        <v>#N/A</v>
      </c>
      <c r="AB161" t="e">
        <f t="shared" si="115"/>
        <v>#N/A</v>
      </c>
      <c r="AC161" t="e">
        <f t="shared" si="116"/>
        <v>#N/A</v>
      </c>
      <c r="AD161" t="e">
        <f t="shared" si="117"/>
        <v>#N/A</v>
      </c>
      <c r="AE161" t="e">
        <f t="shared" si="118"/>
        <v>#N/A</v>
      </c>
      <c r="AF161" t="e">
        <f t="shared" si="119"/>
        <v>#N/A</v>
      </c>
      <c r="AG161" t="e">
        <f t="shared" si="97"/>
        <v>#N/A</v>
      </c>
      <c r="AH161" t="b">
        <f t="shared" si="98"/>
        <v>0</v>
      </c>
    </row>
    <row r="162" spans="1:34">
      <c r="A162">
        <v>97</v>
      </c>
      <c r="B162" t="e">
        <f t="shared" si="100"/>
        <v>#N/A</v>
      </c>
      <c r="C162" t="e">
        <f t="shared" si="101"/>
        <v>#N/A</v>
      </c>
      <c r="D162" t="e">
        <f t="shared" si="102"/>
        <v>#N/A</v>
      </c>
      <c r="E162" t="e">
        <f t="shared" si="103"/>
        <v>#N/A</v>
      </c>
      <c r="F162" t="e">
        <f t="shared" si="104"/>
        <v>#N/A</v>
      </c>
      <c r="G162" t="str">
        <f t="shared" si="87"/>
        <v>DPS</v>
      </c>
      <c r="H162" t="str">
        <f t="shared" si="88"/>
        <v>DPS</v>
      </c>
      <c r="I162" t="str">
        <f t="shared" si="89"/>
        <v>DPS</v>
      </c>
      <c r="J162" t="str">
        <f t="shared" si="90"/>
        <v>DPS</v>
      </c>
      <c r="K162" t="str">
        <f t="shared" si="91"/>
        <v>HPS</v>
      </c>
      <c r="L162" t="e">
        <f t="shared" si="92"/>
        <v>#N/A</v>
      </c>
      <c r="M162" t="e">
        <f t="shared" si="93"/>
        <v>#N/A</v>
      </c>
      <c r="N162" t="e">
        <f t="shared" si="94"/>
        <v>#N/A</v>
      </c>
      <c r="O162" t="e">
        <f t="shared" si="95"/>
        <v>#N/A</v>
      </c>
      <c r="P162" t="e">
        <f t="shared" si="96"/>
        <v>#N/A</v>
      </c>
      <c r="Q162" t="e">
        <f t="shared" si="105"/>
        <v>#N/A</v>
      </c>
      <c r="R162" t="e">
        <f t="shared" si="106"/>
        <v>#N/A</v>
      </c>
      <c r="S162" t="e">
        <f t="shared" si="107"/>
        <v>#N/A</v>
      </c>
      <c r="T162">
        <f t="shared" si="99"/>
        <v>1250</v>
      </c>
      <c r="U162" t="e">
        <f t="shared" si="108"/>
        <v>#NUM!</v>
      </c>
      <c r="V162" t="e">
        <f t="shared" si="109"/>
        <v>#N/A</v>
      </c>
      <c r="W162" t="e">
        <f t="shared" si="110"/>
        <v>#N/A</v>
      </c>
      <c r="X162" t="e">
        <f t="shared" si="111"/>
        <v>#N/A</v>
      </c>
      <c r="Y162" t="e">
        <f t="shared" si="112"/>
        <v>#N/A</v>
      </c>
      <c r="Z162" t="e">
        <f t="shared" si="113"/>
        <v>#N/A</v>
      </c>
      <c r="AA162" t="e">
        <f t="shared" si="114"/>
        <v>#N/A</v>
      </c>
      <c r="AB162" t="e">
        <f t="shared" si="115"/>
        <v>#N/A</v>
      </c>
      <c r="AC162" t="e">
        <f t="shared" si="116"/>
        <v>#N/A</v>
      </c>
      <c r="AD162" t="e">
        <f t="shared" si="117"/>
        <v>#N/A</v>
      </c>
      <c r="AE162" t="e">
        <f t="shared" si="118"/>
        <v>#N/A</v>
      </c>
      <c r="AF162" t="e">
        <f t="shared" si="119"/>
        <v>#N/A</v>
      </c>
      <c r="AG162" t="e">
        <f t="shared" si="97"/>
        <v>#N/A</v>
      </c>
      <c r="AH162" t="b">
        <f t="shared" si="98"/>
        <v>0</v>
      </c>
    </row>
    <row r="163" spans="1:34">
      <c r="A163">
        <v>98</v>
      </c>
      <c r="B163" t="e">
        <f t="shared" si="100"/>
        <v>#N/A</v>
      </c>
      <c r="C163" t="e">
        <f t="shared" si="101"/>
        <v>#N/A</v>
      </c>
      <c r="D163" t="e">
        <f t="shared" si="102"/>
        <v>#N/A</v>
      </c>
      <c r="E163" t="e">
        <f t="shared" si="103"/>
        <v>#N/A</v>
      </c>
      <c r="F163" t="e">
        <f t="shared" si="104"/>
        <v>#N/A</v>
      </c>
      <c r="G163" t="str">
        <f t="shared" si="87"/>
        <v>DPS</v>
      </c>
      <c r="H163" t="str">
        <f t="shared" si="88"/>
        <v>DPS</v>
      </c>
      <c r="I163" t="str">
        <f t="shared" si="89"/>
        <v>DPS</v>
      </c>
      <c r="J163" t="str">
        <f t="shared" si="90"/>
        <v>DPS</v>
      </c>
      <c r="K163" t="str">
        <f t="shared" si="91"/>
        <v>HPS</v>
      </c>
      <c r="L163" t="e">
        <f t="shared" si="92"/>
        <v>#N/A</v>
      </c>
      <c r="M163" t="e">
        <f t="shared" si="93"/>
        <v>#N/A</v>
      </c>
      <c r="N163" t="e">
        <f t="shared" si="94"/>
        <v>#N/A</v>
      </c>
      <c r="O163" t="e">
        <f t="shared" si="95"/>
        <v>#N/A</v>
      </c>
      <c r="P163" t="e">
        <f t="shared" si="96"/>
        <v>#N/A</v>
      </c>
      <c r="Q163" t="e">
        <f t="shared" si="105"/>
        <v>#N/A</v>
      </c>
      <c r="R163" t="e">
        <f t="shared" si="106"/>
        <v>#N/A</v>
      </c>
      <c r="S163" t="e">
        <f t="shared" si="107"/>
        <v>#N/A</v>
      </c>
      <c r="T163">
        <f t="shared" si="99"/>
        <v>1250</v>
      </c>
      <c r="U163" t="e">
        <f t="shared" si="108"/>
        <v>#NUM!</v>
      </c>
      <c r="V163" t="e">
        <f t="shared" si="109"/>
        <v>#N/A</v>
      </c>
      <c r="W163" t="e">
        <f t="shared" si="110"/>
        <v>#N/A</v>
      </c>
      <c r="X163" t="e">
        <f t="shared" si="111"/>
        <v>#N/A</v>
      </c>
      <c r="Y163" t="e">
        <f t="shared" si="112"/>
        <v>#N/A</v>
      </c>
      <c r="Z163" t="e">
        <f t="shared" si="113"/>
        <v>#N/A</v>
      </c>
      <c r="AA163" t="e">
        <f t="shared" si="114"/>
        <v>#N/A</v>
      </c>
      <c r="AB163" t="e">
        <f t="shared" si="115"/>
        <v>#N/A</v>
      </c>
      <c r="AC163" t="e">
        <f t="shared" si="116"/>
        <v>#N/A</v>
      </c>
      <c r="AD163" t="e">
        <f t="shared" si="117"/>
        <v>#N/A</v>
      </c>
      <c r="AE163" t="e">
        <f t="shared" si="118"/>
        <v>#N/A</v>
      </c>
      <c r="AF163" t="e">
        <f t="shared" si="119"/>
        <v>#N/A</v>
      </c>
      <c r="AG163" t="e">
        <f t="shared" si="97"/>
        <v>#N/A</v>
      </c>
      <c r="AH163" t="b">
        <f t="shared" si="98"/>
        <v>0</v>
      </c>
    </row>
    <row r="164" spans="1:34">
      <c r="A164">
        <v>99</v>
      </c>
      <c r="B164" t="e">
        <f t="shared" si="100"/>
        <v>#N/A</v>
      </c>
      <c r="C164" t="e">
        <f t="shared" si="101"/>
        <v>#N/A</v>
      </c>
      <c r="D164" t="e">
        <f t="shared" si="102"/>
        <v>#N/A</v>
      </c>
      <c r="E164" t="e">
        <f t="shared" si="103"/>
        <v>#N/A</v>
      </c>
      <c r="F164" t="e">
        <f t="shared" si="104"/>
        <v>#N/A</v>
      </c>
      <c r="G164" t="str">
        <f t="shared" si="87"/>
        <v>DPS</v>
      </c>
      <c r="H164" t="str">
        <f t="shared" si="88"/>
        <v>DPS</v>
      </c>
      <c r="I164" t="str">
        <f t="shared" si="89"/>
        <v>DPS</v>
      </c>
      <c r="J164" t="str">
        <f t="shared" si="90"/>
        <v>DPS</v>
      </c>
      <c r="K164" t="str">
        <f t="shared" si="91"/>
        <v>HPS</v>
      </c>
      <c r="L164" t="e">
        <f t="shared" si="92"/>
        <v>#N/A</v>
      </c>
      <c r="M164" t="e">
        <f t="shared" si="93"/>
        <v>#N/A</v>
      </c>
      <c r="N164" t="e">
        <f t="shared" si="94"/>
        <v>#N/A</v>
      </c>
      <c r="O164" t="e">
        <f t="shared" si="95"/>
        <v>#N/A</v>
      </c>
      <c r="P164" t="e">
        <f t="shared" si="96"/>
        <v>#N/A</v>
      </c>
      <c r="Q164" t="e">
        <f t="shared" si="105"/>
        <v>#N/A</v>
      </c>
      <c r="R164" t="e">
        <f t="shared" si="106"/>
        <v>#N/A</v>
      </c>
      <c r="S164" t="e">
        <f t="shared" si="107"/>
        <v>#N/A</v>
      </c>
      <c r="T164">
        <f t="shared" si="99"/>
        <v>1250</v>
      </c>
      <c r="U164" t="e">
        <f t="shared" si="108"/>
        <v>#NUM!</v>
      </c>
      <c r="V164" t="e">
        <f t="shared" si="109"/>
        <v>#N/A</v>
      </c>
      <c r="W164" t="e">
        <f t="shared" si="110"/>
        <v>#N/A</v>
      </c>
      <c r="X164" t="e">
        <f t="shared" si="111"/>
        <v>#N/A</v>
      </c>
      <c r="Y164" t="e">
        <f t="shared" si="112"/>
        <v>#N/A</v>
      </c>
      <c r="Z164" t="e">
        <f t="shared" si="113"/>
        <v>#N/A</v>
      </c>
      <c r="AA164" t="e">
        <f t="shared" si="114"/>
        <v>#N/A</v>
      </c>
      <c r="AB164" t="e">
        <f t="shared" si="115"/>
        <v>#N/A</v>
      </c>
      <c r="AC164" t="e">
        <f t="shared" si="116"/>
        <v>#N/A</v>
      </c>
      <c r="AD164" t="e">
        <f t="shared" si="117"/>
        <v>#N/A</v>
      </c>
      <c r="AE164" t="e">
        <f t="shared" si="118"/>
        <v>#N/A</v>
      </c>
      <c r="AF164" t="e">
        <f t="shared" si="119"/>
        <v>#N/A</v>
      </c>
      <c r="AG164" t="e">
        <f t="shared" si="97"/>
        <v>#N/A</v>
      </c>
      <c r="AH164" t="b">
        <f t="shared" si="98"/>
        <v>0</v>
      </c>
    </row>
    <row r="165" spans="1:34">
      <c r="A165">
        <v>100</v>
      </c>
      <c r="B165" t="e">
        <f t="shared" si="100"/>
        <v>#N/A</v>
      </c>
      <c r="C165" t="e">
        <f t="shared" si="101"/>
        <v>#N/A</v>
      </c>
      <c r="D165" t="e">
        <f t="shared" si="102"/>
        <v>#N/A</v>
      </c>
      <c r="E165" t="e">
        <f t="shared" si="103"/>
        <v>#N/A</v>
      </c>
      <c r="F165" t="e">
        <f t="shared" si="104"/>
        <v>#N/A</v>
      </c>
      <c r="G165" t="str">
        <f t="shared" si="87"/>
        <v>DPS</v>
      </c>
      <c r="H165" t="str">
        <f t="shared" si="88"/>
        <v>DPS</v>
      </c>
      <c r="I165" t="str">
        <f t="shared" si="89"/>
        <v>DPS</v>
      </c>
      <c r="J165" t="str">
        <f t="shared" si="90"/>
        <v>DPS</v>
      </c>
      <c r="K165" t="str">
        <f t="shared" si="91"/>
        <v>HPS</v>
      </c>
      <c r="L165" t="e">
        <f t="shared" si="92"/>
        <v>#N/A</v>
      </c>
      <c r="M165" t="e">
        <f t="shared" si="93"/>
        <v>#N/A</v>
      </c>
      <c r="N165" t="e">
        <f t="shared" si="94"/>
        <v>#N/A</v>
      </c>
      <c r="O165" t="e">
        <f t="shared" si="95"/>
        <v>#N/A</v>
      </c>
      <c r="P165" t="e">
        <f t="shared" si="96"/>
        <v>#N/A</v>
      </c>
      <c r="Q165" t="e">
        <f t="shared" si="105"/>
        <v>#N/A</v>
      </c>
      <c r="R165" t="e">
        <f t="shared" si="106"/>
        <v>#N/A</v>
      </c>
      <c r="S165" t="e">
        <f t="shared" si="107"/>
        <v>#N/A</v>
      </c>
      <c r="T165">
        <f t="shared" si="99"/>
        <v>1250</v>
      </c>
      <c r="U165" t="e">
        <f t="shared" si="108"/>
        <v>#NUM!</v>
      </c>
      <c r="V165" t="e">
        <f t="shared" si="109"/>
        <v>#N/A</v>
      </c>
      <c r="W165" t="e">
        <f t="shared" si="110"/>
        <v>#N/A</v>
      </c>
      <c r="X165" t="e">
        <f t="shared" si="111"/>
        <v>#N/A</v>
      </c>
      <c r="Y165" t="e">
        <f t="shared" si="112"/>
        <v>#N/A</v>
      </c>
      <c r="Z165" t="e">
        <f t="shared" si="113"/>
        <v>#N/A</v>
      </c>
      <c r="AA165" t="e">
        <f t="shared" si="114"/>
        <v>#N/A</v>
      </c>
      <c r="AB165" t="e">
        <f t="shared" si="115"/>
        <v>#N/A</v>
      </c>
      <c r="AC165" t="e">
        <f t="shared" si="116"/>
        <v>#N/A</v>
      </c>
      <c r="AD165" t="e">
        <f t="shared" si="117"/>
        <v>#N/A</v>
      </c>
      <c r="AE165" t="e">
        <f t="shared" si="118"/>
        <v>#N/A</v>
      </c>
      <c r="AF165" t="e">
        <f t="shared" si="119"/>
        <v>#N/A</v>
      </c>
      <c r="AG165" t="e">
        <f t="shared" si="97"/>
        <v>#N/A</v>
      </c>
      <c r="AH165" t="b">
        <f t="shared" si="98"/>
        <v>0</v>
      </c>
    </row>
  </sheetData>
  <conditionalFormatting sqref="L3:P23">
    <cfRule type="expression" dxfId="4" priority="1">
      <formula>INDEX($E$3:$E$23,MATCH(L3,$A$3:$A$23,0))="HPS"</formula>
    </cfRule>
  </conditionalFormatting>
  <conditionalFormatting sqref="AA66:AE165">
    <cfRule type="cellIs" dxfId="3" priority="3" operator="equal">
      <formula>TRUE</formula>
    </cfRule>
  </conditionalFormatting>
  <conditionalFormatting sqref="AG66:AH165">
    <cfRule type="cellIs" dxfId="2" priority="2" operator="equal">
      <formula>TRUE</formula>
    </cfRule>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206B-E3D2-4C0D-9262-007C0CE8A8C8}">
  <sheetPr>
    <tabColor theme="5" tint="0.79998168889431442"/>
  </sheetPr>
  <dimension ref="A1:DH191"/>
  <sheetViews>
    <sheetView topLeftCell="CI65" zoomScaleNormal="100" workbookViewId="0">
      <selection activeCell="DH66" sqref="DH66"/>
    </sheetView>
  </sheetViews>
  <sheetFormatPr defaultRowHeight="15" outlineLevelRow="1"/>
  <cols>
    <col min="1" max="1" width="14.7109375" bestFit="1" customWidth="1"/>
    <col min="2" max="2" width="15.28515625" bestFit="1" customWidth="1"/>
    <col min="5" max="5" width="13.140625" bestFit="1" customWidth="1"/>
    <col min="6" max="6" width="10.5703125" bestFit="1" customWidth="1"/>
    <col min="7" max="7" width="15.5703125" bestFit="1" customWidth="1"/>
    <col min="8" max="8" width="22.42578125" bestFit="1" customWidth="1"/>
    <col min="12" max="12" width="16.5703125" bestFit="1" customWidth="1"/>
    <col min="66" max="66" width="25.85546875" bestFit="1" customWidth="1"/>
  </cols>
  <sheetData>
    <row r="1" spans="1:13" ht="15.75" thickBot="1"/>
    <row r="2" spans="1:13" ht="15.75" thickBot="1">
      <c r="A2" s="42" t="s">
        <v>1056</v>
      </c>
      <c r="B2" s="42" t="s">
        <v>13</v>
      </c>
      <c r="C2" s="42" t="s">
        <v>14</v>
      </c>
      <c r="D2" s="1" t="s">
        <v>365</v>
      </c>
      <c r="E2" s="1" t="s">
        <v>300</v>
      </c>
      <c r="F2" s="1" t="s">
        <v>409</v>
      </c>
      <c r="I2" s="1" t="s">
        <v>364</v>
      </c>
      <c r="J2" s="1" t="s">
        <v>365</v>
      </c>
      <c r="K2" s="1" t="s">
        <v>308</v>
      </c>
      <c r="L2" s="1" t="s">
        <v>366</v>
      </c>
      <c r="M2" s="1" t="s">
        <v>367</v>
      </c>
    </row>
    <row r="3" spans="1:13">
      <c r="A3" s="132" t="s">
        <v>66</v>
      </c>
      <c r="B3" t="str">
        <f>INDEX(Case!$F$246:$F$267,MATCH(A3,Case!$E$246:$E$267,0))</f>
        <v>Orc</v>
      </c>
      <c r="C3" t="str">
        <f>INDEX(Case!$G$246:$G$267,MATCH(A3,Case!$E$246:$E$267,0))</f>
        <v>Warlock</v>
      </c>
      <c r="D3" t="e">
        <f>INDEX('L6 Calc'!$K$3:$K$23,MATCH(A3,'L6 Calc'!$A$3:$A$23,0))</f>
        <v>#N/A</v>
      </c>
      <c r="E3" t="str">
        <f>INDEX('L6 Calc'!$H$3:$H$23,MATCH(A3,'L6 Calc'!$A$3:$A$23,0))</f>
        <v>DPS</v>
      </c>
      <c r="F3" t="e">
        <f>INDEX('L6 Calc'!$L$3:$L$23,MATCH(A3,'L6 Calc'!$A$3:$A$23,0))</f>
        <v>#N/A</v>
      </c>
      <c r="I3" s="35" t="s">
        <v>385</v>
      </c>
      <c r="J3" s="110">
        <v>500000</v>
      </c>
      <c r="K3" s="110">
        <v>2650</v>
      </c>
      <c r="L3" s="110">
        <v>1000000</v>
      </c>
      <c r="M3" s="110">
        <v>5300</v>
      </c>
    </row>
    <row r="4" spans="1:13">
      <c r="A4" s="132">
        <v>1</v>
      </c>
      <c r="B4" t="str">
        <f>INDEX(Case!$F$246:$F$267,MATCH(A4,Case!$E$246:$E$267,0))</f>
        <v>Orc</v>
      </c>
      <c r="C4" t="str">
        <f>INDEX(Case!$G$246:$G$267,MATCH(A4,Case!$E$246:$E$267,0))</f>
        <v>Warrior</v>
      </c>
      <c r="D4" t="e">
        <f>INDEX('L6 Calc'!$K$3:$K$23,MATCH(A4,'L6 Calc'!$A$3:$A$23,0))</f>
        <v>#N/A</v>
      </c>
      <c r="E4" t="str">
        <f>INDEX('L6 Calc'!$H$3:$H$23,MATCH(A4,'L6 Calc'!$A$3:$A$23,0))</f>
        <v>DPS</v>
      </c>
      <c r="F4" t="e">
        <f>INDEX('L6 Calc'!$L$3:$L$23,MATCH(A4,'L6 Calc'!$A$3:$A$23,0))</f>
        <v>#N/A</v>
      </c>
    </row>
    <row r="5" spans="1:13">
      <c r="A5" s="132">
        <v>2</v>
      </c>
      <c r="B5" t="str">
        <f>INDEX(Case!$F$246:$F$267,MATCH(A5,Case!$E$246:$E$267,0))</f>
        <v>Troll</v>
      </c>
      <c r="C5" t="str">
        <f>INDEX(Case!$G$246:$G$267,MATCH(A5,Case!$E$246:$E$267,0))</f>
        <v>Priest</v>
      </c>
      <c r="D5" t="e">
        <f>INDEX('L6 Calc'!$K$3:$K$23,MATCH(A5,'L6 Calc'!$A$3:$A$23,0))</f>
        <v>#N/A</v>
      </c>
      <c r="E5" t="str">
        <f>INDEX('L6 Calc'!$H$3:$H$23,MATCH(A5,'L6 Calc'!$A$3:$A$23,0))</f>
        <v>HPS</v>
      </c>
      <c r="F5" t="e">
        <f>INDEX('L6 Calc'!$L$3:$L$23,MATCH(A5,'L6 Calc'!$A$3:$A$23,0))</f>
        <v>#N/A</v>
      </c>
    </row>
    <row r="6" spans="1:13">
      <c r="A6" s="132">
        <v>3</v>
      </c>
      <c r="B6" t="str">
        <f>INDEX(Case!$F$246:$F$267,MATCH(A6,Case!$E$246:$E$267,0))</f>
        <v>Undead</v>
      </c>
      <c r="C6" t="str">
        <f>INDEX(Case!$G$246:$G$267,MATCH(A6,Case!$E$246:$E$267,0))</f>
        <v>Warlock</v>
      </c>
      <c r="D6" t="e">
        <f>INDEX('L6 Calc'!$K$3:$K$23,MATCH(A6,'L6 Calc'!$A$3:$A$23,0))</f>
        <v>#N/A</v>
      </c>
      <c r="E6" t="str">
        <f>INDEX('L6 Calc'!$H$3:$H$23,MATCH(A6,'L6 Calc'!$A$3:$A$23,0))</f>
        <v>DPS</v>
      </c>
      <c r="F6" t="e">
        <f>INDEX('L6 Calc'!$L$3:$L$23,MATCH(A6,'L6 Calc'!$A$3:$A$23,0))</f>
        <v>#N/A</v>
      </c>
    </row>
    <row r="7" spans="1:13">
      <c r="A7" s="132">
        <v>4</v>
      </c>
      <c r="B7" t="str">
        <f>INDEX(Case!$F$246:$F$267,MATCH(A7,Case!$E$246:$E$267,0))</f>
        <v>Tauren</v>
      </c>
      <c r="C7" t="str">
        <f>INDEX(Case!$G$246:$G$267,MATCH(A7,Case!$E$246:$E$267,0))</f>
        <v>Warrior</v>
      </c>
      <c r="D7" t="e">
        <f>INDEX('L6 Calc'!$K$3:$K$23,MATCH(A7,'L6 Calc'!$A$3:$A$23,0))</f>
        <v>#N/A</v>
      </c>
      <c r="E7" t="str">
        <f>INDEX('L6 Calc'!$H$3:$H$23,MATCH(A7,'L6 Calc'!$A$3:$A$23,0))</f>
        <v>DPS</v>
      </c>
      <c r="F7" t="e">
        <f>INDEX('L6 Calc'!$L$3:$L$23,MATCH(A7,'L6 Calc'!$A$3:$A$23,0))</f>
        <v>#N/A</v>
      </c>
    </row>
    <row r="8" spans="1:13">
      <c r="A8" s="132">
        <v>5</v>
      </c>
      <c r="B8" t="str">
        <f>INDEX(Case!$F$246:$F$267,MATCH(A8,Case!$E$246:$E$267,0))</f>
        <v>Tauren</v>
      </c>
      <c r="C8" t="str">
        <f>INDEX(Case!$G$246:$G$267,MATCH(A8,Case!$E$246:$E$267,0))</f>
        <v>Hunter</v>
      </c>
      <c r="D8" t="e">
        <f>INDEX('L6 Calc'!$K$3:$K$23,MATCH(A8,'L6 Calc'!$A$3:$A$23,0))</f>
        <v>#N/A</v>
      </c>
      <c r="E8" t="str">
        <f>INDEX('L6 Calc'!$H$3:$H$23,MATCH(A8,'L6 Calc'!$A$3:$A$23,0))</f>
        <v>DPS</v>
      </c>
      <c r="F8" t="e">
        <f>INDEX('L6 Calc'!$L$3:$L$23,MATCH(A8,'L6 Calc'!$A$3:$A$23,0))</f>
        <v>#N/A</v>
      </c>
    </row>
    <row r="9" spans="1:13">
      <c r="A9" s="132">
        <v>6</v>
      </c>
      <c r="B9" t="str">
        <f>INDEX(Case!$F$246:$F$267,MATCH(A9,Case!$E$246:$E$267,0))</f>
        <v>Undead</v>
      </c>
      <c r="C9" t="str">
        <f>INDEX(Case!$G$246:$G$267,MATCH(A9,Case!$E$246:$E$267,0))</f>
        <v>Priest</v>
      </c>
      <c r="D9" t="e">
        <f>INDEX('L6 Calc'!$K$3:$K$23,MATCH(A9,'L6 Calc'!$A$3:$A$23,0))</f>
        <v>#N/A</v>
      </c>
      <c r="E9" t="str">
        <f>INDEX('L6 Calc'!$H$3:$H$23,MATCH(A9,'L6 Calc'!$A$3:$A$23,0))</f>
        <v>HPS</v>
      </c>
      <c r="F9" t="e">
        <f>INDEX('L6 Calc'!$L$3:$L$23,MATCH(A9,'L6 Calc'!$A$3:$A$23,0))</f>
        <v>#N/A</v>
      </c>
      <c r="I9" t="s">
        <v>54</v>
      </c>
    </row>
    <row r="10" spans="1:13">
      <c r="A10" s="132">
        <v>7</v>
      </c>
      <c r="B10" t="str">
        <f>INDEX(Case!$F$246:$F$267,MATCH(A10,Case!$E$246:$E$267,0))</f>
        <v>Troll</v>
      </c>
      <c r="C10" t="str">
        <f>INDEX(Case!$G$246:$G$267,MATCH(A10,Case!$E$246:$E$267,0))</f>
        <v>Hunter</v>
      </c>
      <c r="D10" t="e">
        <f>INDEX('L6 Calc'!$K$3:$K$23,MATCH(A10,'L6 Calc'!$A$3:$A$23,0))</f>
        <v>#N/A</v>
      </c>
      <c r="E10" t="str">
        <f>INDEX('L6 Calc'!$H$3:$H$23,MATCH(A10,'L6 Calc'!$A$3:$A$23,0))</f>
        <v>DPS</v>
      </c>
      <c r="F10" t="e">
        <f>INDEX('L6 Calc'!$L$3:$L$23,MATCH(A10,'L6 Calc'!$A$3:$A$23,0))</f>
        <v>#N/A</v>
      </c>
      <c r="I10" t="s">
        <v>1156</v>
      </c>
    </row>
    <row r="11" spans="1:13">
      <c r="A11" s="132">
        <v>8</v>
      </c>
      <c r="B11" t="str">
        <f>INDEX(Case!$F$246:$F$267,MATCH(A11,Case!$E$246:$E$267,0))</f>
        <v>Orc</v>
      </c>
      <c r="C11" t="str">
        <f>INDEX(Case!$G$246:$G$267,MATCH(A11,Case!$E$246:$E$267,0))</f>
        <v>Rogue</v>
      </c>
      <c r="D11" t="e">
        <f>INDEX('L6 Calc'!$K$3:$K$23,MATCH(A11,'L6 Calc'!$A$3:$A$23,0))</f>
        <v>#N/A</v>
      </c>
      <c r="E11" t="str">
        <f>INDEX('L6 Calc'!$H$3:$H$23,MATCH(A11,'L6 Calc'!$A$3:$A$23,0))</f>
        <v>DPS</v>
      </c>
      <c r="F11" t="e">
        <f>INDEX('L6 Calc'!$L$3:$L$23,MATCH(A11,'L6 Calc'!$A$3:$A$23,0))</f>
        <v>#N/A</v>
      </c>
    </row>
    <row r="12" spans="1:13">
      <c r="A12" s="132">
        <v>9</v>
      </c>
      <c r="B12" t="str">
        <f>INDEX(Case!$F$246:$F$267,MATCH(A12,Case!$E$246:$E$267,0))</f>
        <v>Orc</v>
      </c>
      <c r="C12" t="str">
        <f>INDEX(Case!$G$246:$G$267,MATCH(A12,Case!$E$246:$E$267,0))</f>
        <v>Shaman</v>
      </c>
      <c r="D12" t="e">
        <f>INDEX('L6 Calc'!$K$3:$K$23,MATCH(A12,'L6 Calc'!$A$3:$A$23,0))</f>
        <v>#N/A</v>
      </c>
      <c r="E12" t="str">
        <f>INDEX('L6 Calc'!$H$3:$H$23,MATCH(A12,'L6 Calc'!$A$3:$A$23,0))</f>
        <v>HPS</v>
      </c>
      <c r="F12" t="e">
        <f>INDEX('L6 Calc'!$L$3:$L$23,MATCH(A12,'L6 Calc'!$A$3:$A$23,0))</f>
        <v>#N/A</v>
      </c>
    </row>
    <row r="13" spans="1:13">
      <c r="A13" s="132">
        <v>10</v>
      </c>
      <c r="B13" t="str">
        <f>INDEX(Case!$F$246:$F$267,MATCH(A13,Case!$E$246:$E$267,0))</f>
        <v>Undead</v>
      </c>
      <c r="C13" t="str">
        <f>INDEX(Case!$G$246:$G$267,MATCH(A13,Case!$E$246:$E$267,0))</f>
        <v>Mage</v>
      </c>
      <c r="D13" t="e">
        <f>INDEX('L6 Calc'!$K$3:$K$23,MATCH(A13,'L6 Calc'!$A$3:$A$23,0))</f>
        <v>#N/A</v>
      </c>
      <c r="E13" t="str">
        <f>INDEX('L6 Calc'!$H$3:$H$23,MATCH(A13,'L6 Calc'!$A$3:$A$23,0))</f>
        <v>DPS</v>
      </c>
      <c r="F13" t="e">
        <f>INDEX('L6 Calc'!$L$3:$L$23,MATCH(A13,'L6 Calc'!$A$3:$A$23,0))</f>
        <v>#N/A</v>
      </c>
    </row>
    <row r="14" spans="1:13">
      <c r="A14" s="132">
        <v>11</v>
      </c>
      <c r="B14" t="str">
        <f>INDEX(Case!$F$246:$F$267,MATCH(A14,Case!$E$246:$E$267,0))</f>
        <v>Orc</v>
      </c>
      <c r="C14" t="str">
        <f>INDEX(Case!$G$246:$G$267,MATCH(A14,Case!$E$246:$E$267,0))</f>
        <v>Warlock</v>
      </c>
      <c r="D14" t="e">
        <f>INDEX('L6 Calc'!$K$3:$K$23,MATCH(A14,'L6 Calc'!$A$3:$A$23,0))</f>
        <v>#N/A</v>
      </c>
      <c r="E14" t="str">
        <f>INDEX('L6 Calc'!$H$3:$H$23,MATCH(A14,'L6 Calc'!$A$3:$A$23,0))</f>
        <v>DPS</v>
      </c>
      <c r="F14" t="e">
        <f>INDEX('L6 Calc'!$L$3:$L$23,MATCH(A14,'L6 Calc'!$A$3:$A$23,0))</f>
        <v>#N/A</v>
      </c>
    </row>
    <row r="15" spans="1:13">
      <c r="A15" s="132">
        <v>12</v>
      </c>
      <c r="B15" t="str">
        <f>INDEX(Case!$F$246:$F$267,MATCH(A15,Case!$E$246:$E$267,0))</f>
        <v>Troll</v>
      </c>
      <c r="C15" t="str">
        <f>INDEX(Case!$G$246:$G$267,MATCH(A15,Case!$E$246:$E$267,0))</f>
        <v>Warrior</v>
      </c>
      <c r="D15" t="e">
        <f>INDEX('L6 Calc'!$K$3:$K$23,MATCH(A15,'L6 Calc'!$A$3:$A$23,0))</f>
        <v>#N/A</v>
      </c>
      <c r="E15" t="str">
        <f>INDEX('L6 Calc'!$H$3:$H$23,MATCH(A15,'L6 Calc'!$A$3:$A$23,0))</f>
        <v>DPS</v>
      </c>
      <c r="F15" t="e">
        <f>INDEX('L6 Calc'!$L$3:$L$23,MATCH(A15,'L6 Calc'!$A$3:$A$23,0))</f>
        <v>#N/A</v>
      </c>
    </row>
    <row r="16" spans="1:13">
      <c r="A16" s="132">
        <v>13</v>
      </c>
      <c r="B16" t="str">
        <f>INDEX(Case!$F$246:$F$267,MATCH(A16,Case!$E$246:$E$267,0))</f>
        <v>Undead</v>
      </c>
      <c r="C16" t="str">
        <f>INDEX(Case!$G$246:$G$267,MATCH(A16,Case!$E$246:$E$267,0))</f>
        <v>Rogue</v>
      </c>
      <c r="D16" t="e">
        <f>INDEX('L6 Calc'!$K$3:$K$23,MATCH(A16,'L6 Calc'!$A$3:$A$23,0))</f>
        <v>#N/A</v>
      </c>
      <c r="E16" t="str">
        <f>INDEX('L6 Calc'!$H$3:$H$23,MATCH(A16,'L6 Calc'!$A$3:$A$23,0))</f>
        <v>DPS</v>
      </c>
      <c r="F16" t="e">
        <f>INDEX('L6 Calc'!$L$3:$L$23,MATCH(A16,'L6 Calc'!$A$3:$A$23,0))</f>
        <v>#N/A</v>
      </c>
    </row>
    <row r="17" spans="1:6">
      <c r="A17" s="132">
        <v>14</v>
      </c>
      <c r="B17" t="str">
        <f>INDEX(Case!$F$246:$F$267,MATCH(A17,Case!$E$246:$E$267,0))</f>
        <v>Troll</v>
      </c>
      <c r="C17" t="str">
        <f>INDEX(Case!$G$246:$G$267,MATCH(A17,Case!$E$246:$E$267,0))</f>
        <v>Mage</v>
      </c>
      <c r="D17" t="e">
        <f>INDEX('L6 Calc'!$K$3:$K$23,MATCH(A17,'L6 Calc'!$A$3:$A$23,0))</f>
        <v>#N/A</v>
      </c>
      <c r="E17" t="str">
        <f>INDEX('L6 Calc'!$H$3:$H$23,MATCH(A17,'L6 Calc'!$A$3:$A$23,0))</f>
        <v>DPS</v>
      </c>
      <c r="F17" t="e">
        <f>INDEX('L6 Calc'!$L$3:$L$23,MATCH(A17,'L6 Calc'!$A$3:$A$23,0))</f>
        <v>#N/A</v>
      </c>
    </row>
    <row r="18" spans="1:6">
      <c r="A18" s="132">
        <v>15</v>
      </c>
      <c r="B18" t="str">
        <f>INDEX(Case!$F$246:$F$267,MATCH(A18,Case!$E$246:$E$267,0))</f>
        <v>Tauren</v>
      </c>
      <c r="C18" t="str">
        <f>INDEX(Case!$G$246:$G$267,MATCH(A18,Case!$E$246:$E$267,0))</f>
        <v>Shaman</v>
      </c>
      <c r="D18" t="e">
        <f>INDEX('L6 Calc'!$K$3:$K$23,MATCH(A18,'L6 Calc'!$A$3:$A$23,0))</f>
        <v>#N/A</v>
      </c>
      <c r="E18" t="str">
        <f>INDEX('L6 Calc'!$H$3:$H$23,MATCH(A18,'L6 Calc'!$A$3:$A$23,0))</f>
        <v>HPS</v>
      </c>
      <c r="F18" t="e">
        <f>INDEX('L6 Calc'!$L$3:$L$23,MATCH(A18,'L6 Calc'!$A$3:$A$23,0))</f>
        <v>#N/A</v>
      </c>
    </row>
    <row r="19" spans="1:6">
      <c r="A19" s="132">
        <v>16</v>
      </c>
      <c r="B19" t="str">
        <f>INDEX(Case!$F$246:$F$267,MATCH(A19,Case!$E$246:$E$267,0))</f>
        <v>Troll</v>
      </c>
      <c r="C19" t="str">
        <f>INDEX(Case!$G$246:$G$267,MATCH(A19,Case!$E$246:$E$267,0))</f>
        <v>Shaman</v>
      </c>
      <c r="D19" t="e">
        <f>INDEX('L6 Calc'!$K$3:$K$23,MATCH(A19,'L6 Calc'!$A$3:$A$23,0))</f>
        <v>#N/A</v>
      </c>
      <c r="E19" t="str">
        <f>INDEX('L6 Calc'!$H$3:$H$23,MATCH(A19,'L6 Calc'!$A$3:$A$23,0))</f>
        <v>HPS</v>
      </c>
      <c r="F19" t="e">
        <f>INDEX('L6 Calc'!$L$3:$L$23,MATCH(A19,'L6 Calc'!$A$3:$A$23,0))</f>
        <v>#N/A</v>
      </c>
    </row>
    <row r="20" spans="1:6">
      <c r="A20" s="132">
        <v>17</v>
      </c>
      <c r="B20" t="str">
        <f>INDEX(Case!$F$246:$F$267,MATCH(A20,Case!$E$246:$E$267,0))</f>
        <v>Undead</v>
      </c>
      <c r="C20" t="str">
        <f>INDEX(Case!$G$246:$G$267,MATCH(A20,Case!$E$246:$E$267,0))</f>
        <v>Rogue</v>
      </c>
      <c r="D20" t="e">
        <f>INDEX('L6 Calc'!$K$3:$K$23,MATCH(A20,'L6 Calc'!$A$3:$A$23,0))</f>
        <v>#N/A</v>
      </c>
      <c r="E20" t="str">
        <f>INDEX('L6 Calc'!$H$3:$H$23,MATCH(A20,'L6 Calc'!$A$3:$A$23,0))</f>
        <v>DPS</v>
      </c>
      <c r="F20" t="e">
        <f>INDEX('L6 Calc'!$L$3:$L$23,MATCH(A20,'L6 Calc'!$A$3:$A$23,0))</f>
        <v>#N/A</v>
      </c>
    </row>
    <row r="21" spans="1:6">
      <c r="A21" s="132">
        <v>18</v>
      </c>
      <c r="B21" t="str">
        <f>INDEX(Case!$F$246:$F$267,MATCH(A21,Case!$E$246:$E$267,0))</f>
        <v>Troll</v>
      </c>
      <c r="C21" t="str">
        <f>INDEX(Case!$G$246:$G$267,MATCH(A21,Case!$E$246:$E$267,0))</f>
        <v>Priest</v>
      </c>
      <c r="D21" t="e">
        <f>INDEX('L6 Calc'!$K$3:$K$23,MATCH(A21,'L6 Calc'!$A$3:$A$23,0))</f>
        <v>#N/A</v>
      </c>
      <c r="E21" t="str">
        <f>INDEX('L6 Calc'!$H$3:$H$23,MATCH(A21,'L6 Calc'!$A$3:$A$23,0))</f>
        <v>HPS</v>
      </c>
      <c r="F21" t="e">
        <f>INDEX('L6 Calc'!$L$3:$L$23,MATCH(A21,'L6 Calc'!$A$3:$A$23,0))</f>
        <v>#N/A</v>
      </c>
    </row>
    <row r="22" spans="1:6">
      <c r="A22" s="132">
        <v>19</v>
      </c>
      <c r="B22" t="str">
        <f>INDEX(Case!$F$246:$F$267,MATCH(A22,Case!$E$246:$E$267,0))</f>
        <v>Troll</v>
      </c>
      <c r="C22" t="str">
        <f>INDEX(Case!$G$246:$G$267,MATCH(A22,Case!$E$246:$E$267,0))</f>
        <v>Priest</v>
      </c>
      <c r="D22" t="e">
        <f>INDEX('L6 Calc'!$K$3:$K$23,MATCH(A22,'L6 Calc'!$A$3:$A$23,0))</f>
        <v>#N/A</v>
      </c>
      <c r="E22" t="str">
        <f>INDEX('L6 Calc'!$H$3:$H$23,MATCH(A22,'L6 Calc'!$A$3:$A$23,0))</f>
        <v>HPS</v>
      </c>
      <c r="F22" t="e">
        <f>INDEX('L6 Calc'!$L$3:$L$23,MATCH(A22,'L6 Calc'!$A$3:$A$23,0))</f>
        <v>#N/A</v>
      </c>
    </row>
    <row r="23" spans="1:6">
      <c r="A23" s="132">
        <v>20</v>
      </c>
      <c r="B23" t="str">
        <f>INDEX(Case!$F$246:$F$267,MATCH(A23,Case!$E$246:$E$267,0))</f>
        <v>Tauren</v>
      </c>
      <c r="C23" t="str">
        <f>INDEX(Case!$G$246:$G$267,MATCH(A23,Case!$E$246:$E$267,0))</f>
        <v>Druid</v>
      </c>
      <c r="D23" t="e">
        <f>INDEX('L6 Calc'!$K$3:$K$23,MATCH(A23,'L6 Calc'!$A$3:$A$23,0))</f>
        <v>#N/A</v>
      </c>
      <c r="E23" t="str">
        <f>INDEX('L6 Calc'!$H$3:$H$23,MATCH(A23,'L6 Calc'!$A$3:$A$23,0))</f>
        <v>DPS</v>
      </c>
      <c r="F23" t="e">
        <f>INDEX('L6 Calc'!$L$3:$L$23,MATCH(A23,'L6 Calc'!$A$3:$A$23,0))</f>
        <v>#N/A</v>
      </c>
    </row>
    <row r="26" spans="1:6">
      <c r="A26" t="s">
        <v>1157</v>
      </c>
    </row>
    <row r="28" spans="1:6">
      <c r="A28" s="75" t="s">
        <v>380</v>
      </c>
    </row>
    <row r="29" spans="1:6">
      <c r="A29" s="75" t="s">
        <v>382</v>
      </c>
    </row>
    <row r="30" spans="1:6">
      <c r="A30" s="109" t="s">
        <v>384</v>
      </c>
    </row>
    <row r="31" spans="1:6">
      <c r="A31" s="109" t="s">
        <v>386</v>
      </c>
    </row>
    <row r="32" spans="1:6">
      <c r="A32" s="109" t="s">
        <v>387</v>
      </c>
    </row>
    <row r="33" spans="1:13">
      <c r="A33" s="109" t="s">
        <v>388</v>
      </c>
    </row>
    <row r="34" spans="1:13" outlineLevel="1"/>
    <row r="35" spans="1:13" outlineLevel="1"/>
    <row r="36" spans="1:13" outlineLevel="1"/>
    <row r="37" spans="1:13" ht="15.75" outlineLevel="1" thickBot="1">
      <c r="A37" t="s">
        <v>1135</v>
      </c>
      <c r="H37" t="s">
        <v>1136</v>
      </c>
    </row>
    <row r="38" spans="1:13" ht="15.75" outlineLevel="1" thickBot="1">
      <c r="B38" s="1" t="s">
        <v>365</v>
      </c>
      <c r="C38" s="1" t="s">
        <v>300</v>
      </c>
      <c r="D38" s="1" t="s">
        <v>409</v>
      </c>
      <c r="E38" t="s">
        <v>1137</v>
      </c>
      <c r="F38" t="s">
        <v>1138</v>
      </c>
      <c r="G38" t="s">
        <v>1139</v>
      </c>
      <c r="H38" t="s">
        <v>1140</v>
      </c>
      <c r="I38" t="s">
        <v>1141</v>
      </c>
      <c r="J38" t="s">
        <v>1142</v>
      </c>
      <c r="L38" t="s">
        <v>1158</v>
      </c>
      <c r="M38" t="s">
        <v>1056</v>
      </c>
    </row>
    <row r="39" spans="1:13" outlineLevel="1">
      <c r="A39">
        <v>1</v>
      </c>
      <c r="B39" t="e">
        <f t="shared" ref="B39:D58" si="0">INDEX($D$3:$F$23,MATCH($A39,$A$3:$A$23,0),MATCH(B$38,$D$2:$F$2,0))</f>
        <v>#N/A</v>
      </c>
      <c r="C39" t="str">
        <f t="shared" ref="C39:D53" si="1">INDEX($D$3:$F$23,MATCH($A39,$A$3:$A$23,0),MATCH(C$38,$D$2:$F$2,0))</f>
        <v>DPS</v>
      </c>
      <c r="D39" t="e">
        <f t="shared" si="1"/>
        <v>#N/A</v>
      </c>
      <c r="E39">
        <f>IF(C39="DPS",2,1)</f>
        <v>2</v>
      </c>
      <c r="F39">
        <f>COUNTIFS($C$39:$C$58,C39,$B$39:$B$58,"&lt;="&amp;B39)</f>
        <v>13</v>
      </c>
      <c r="G39">
        <f>COUNTIFS($C$39:$C$58,C39,D39:D58,"&gt;="&amp;D39)</f>
        <v>13</v>
      </c>
      <c r="H39">
        <v>1</v>
      </c>
      <c r="I39">
        <f>E39*1000+F39*100+G39*10+H39</f>
        <v>3431</v>
      </c>
      <c r="J39">
        <f>COUNTIF($I$39:$I$58,"&gt;="&amp;I39)</f>
        <v>1</v>
      </c>
      <c r="L39">
        <v>1</v>
      </c>
      <c r="M39">
        <f>INDEX($A$39:$A$58,MATCH(L39,$J$39:$J$58,0))</f>
        <v>1</v>
      </c>
    </row>
    <row r="40" spans="1:13" outlineLevel="1">
      <c r="A40">
        <v>2</v>
      </c>
      <c r="B40" t="e">
        <f t="shared" si="0"/>
        <v>#N/A</v>
      </c>
      <c r="C40" t="str">
        <f t="shared" si="1"/>
        <v>HPS</v>
      </c>
      <c r="D40" t="e">
        <f t="shared" si="1"/>
        <v>#N/A</v>
      </c>
      <c r="E40">
        <f t="shared" ref="E40:E58" si="2">IF(C40="DPS",2,1)</f>
        <v>1</v>
      </c>
      <c r="F40">
        <f t="shared" ref="F40:F58" si="3">COUNTIFS($C$39:$C$58,C40,$B$39:$B$58,"&lt;="&amp;B40)</f>
        <v>7</v>
      </c>
      <c r="G40">
        <f t="shared" ref="G40:G58" si="4">COUNTIFS($C$39:$C$58,C40,D40:D59,"&gt;="&amp;D40)</f>
        <v>7</v>
      </c>
      <c r="H40">
        <v>2</v>
      </c>
      <c r="I40">
        <f t="shared" ref="I40:I58" si="5">E40*1000+F40*100+G40*10+H40</f>
        <v>1772</v>
      </c>
      <c r="J40">
        <f t="shared" ref="J40:J58" si="6">COUNTIF($I$39:$I$58,"&gt;="&amp;I40)</f>
        <v>15</v>
      </c>
      <c r="L40">
        <v>2</v>
      </c>
      <c r="M40">
        <f t="shared" ref="M40:M58" si="7">INDEX($A$39:$A$58,MATCH(L40,$J$39:$J$58,0))</f>
        <v>4</v>
      </c>
    </row>
    <row r="41" spans="1:13" outlineLevel="1">
      <c r="A41">
        <v>3</v>
      </c>
      <c r="B41" t="e">
        <f t="shared" si="0"/>
        <v>#N/A</v>
      </c>
      <c r="C41" t="str">
        <f t="shared" si="1"/>
        <v>DPS</v>
      </c>
      <c r="D41" t="e">
        <f t="shared" si="1"/>
        <v>#N/A</v>
      </c>
      <c r="E41">
        <f t="shared" si="2"/>
        <v>2</v>
      </c>
      <c r="F41">
        <f t="shared" si="3"/>
        <v>13</v>
      </c>
      <c r="G41">
        <f t="shared" si="4"/>
        <v>12</v>
      </c>
      <c r="H41">
        <v>3</v>
      </c>
      <c r="I41">
        <f t="shared" si="5"/>
        <v>3423</v>
      </c>
      <c r="J41">
        <f t="shared" si="6"/>
        <v>3</v>
      </c>
      <c r="L41">
        <v>3</v>
      </c>
      <c r="M41">
        <f t="shared" si="7"/>
        <v>3</v>
      </c>
    </row>
    <row r="42" spans="1:13" outlineLevel="1">
      <c r="A42">
        <v>4</v>
      </c>
      <c r="B42" t="e">
        <f t="shared" si="0"/>
        <v>#N/A</v>
      </c>
      <c r="C42" t="str">
        <f t="shared" si="1"/>
        <v>DPS</v>
      </c>
      <c r="D42" t="e">
        <f t="shared" si="1"/>
        <v>#N/A</v>
      </c>
      <c r="E42">
        <f t="shared" si="2"/>
        <v>2</v>
      </c>
      <c r="F42">
        <f t="shared" si="3"/>
        <v>13</v>
      </c>
      <c r="G42">
        <f t="shared" si="4"/>
        <v>12</v>
      </c>
      <c r="H42">
        <v>4</v>
      </c>
      <c r="I42">
        <f t="shared" si="5"/>
        <v>3424</v>
      </c>
      <c r="J42">
        <f t="shared" si="6"/>
        <v>2</v>
      </c>
      <c r="L42">
        <v>4</v>
      </c>
      <c r="M42">
        <f t="shared" si="7"/>
        <v>7</v>
      </c>
    </row>
    <row r="43" spans="1:13" outlineLevel="1">
      <c r="A43">
        <v>5</v>
      </c>
      <c r="B43" t="e">
        <f t="shared" si="0"/>
        <v>#N/A</v>
      </c>
      <c r="C43" t="str">
        <f t="shared" si="1"/>
        <v>DPS</v>
      </c>
      <c r="D43" t="e">
        <f t="shared" si="1"/>
        <v>#N/A</v>
      </c>
      <c r="E43">
        <f t="shared" si="2"/>
        <v>2</v>
      </c>
      <c r="F43">
        <f t="shared" si="3"/>
        <v>13</v>
      </c>
      <c r="G43">
        <f t="shared" si="4"/>
        <v>11</v>
      </c>
      <c r="H43">
        <v>5</v>
      </c>
      <c r="I43">
        <f t="shared" si="5"/>
        <v>3415</v>
      </c>
      <c r="J43">
        <f t="shared" si="6"/>
        <v>5</v>
      </c>
      <c r="L43">
        <v>5</v>
      </c>
      <c r="M43">
        <f t="shared" si="7"/>
        <v>5</v>
      </c>
    </row>
    <row r="44" spans="1:13" outlineLevel="1">
      <c r="A44">
        <v>6</v>
      </c>
      <c r="B44" t="e">
        <f t="shared" si="0"/>
        <v>#N/A</v>
      </c>
      <c r="C44" t="str">
        <f t="shared" si="1"/>
        <v>HPS</v>
      </c>
      <c r="D44" t="e">
        <f t="shared" si="1"/>
        <v>#N/A</v>
      </c>
      <c r="E44">
        <f t="shared" si="2"/>
        <v>1</v>
      </c>
      <c r="F44">
        <f t="shared" si="3"/>
        <v>7</v>
      </c>
      <c r="G44">
        <f t="shared" si="4"/>
        <v>4</v>
      </c>
      <c r="H44">
        <v>6</v>
      </c>
      <c r="I44">
        <f t="shared" si="5"/>
        <v>1746</v>
      </c>
      <c r="J44">
        <f t="shared" si="6"/>
        <v>19</v>
      </c>
      <c r="L44">
        <v>6</v>
      </c>
      <c r="M44">
        <f t="shared" si="7"/>
        <v>8</v>
      </c>
    </row>
    <row r="45" spans="1:13" outlineLevel="1">
      <c r="A45">
        <v>7</v>
      </c>
      <c r="B45" t="e">
        <f t="shared" si="0"/>
        <v>#N/A</v>
      </c>
      <c r="C45" t="str">
        <f t="shared" si="1"/>
        <v>DPS</v>
      </c>
      <c r="D45" t="e">
        <f t="shared" si="1"/>
        <v>#N/A</v>
      </c>
      <c r="E45">
        <f t="shared" si="2"/>
        <v>2</v>
      </c>
      <c r="F45">
        <f t="shared" si="3"/>
        <v>13</v>
      </c>
      <c r="G45">
        <f t="shared" si="4"/>
        <v>11</v>
      </c>
      <c r="H45">
        <v>7</v>
      </c>
      <c r="I45">
        <f t="shared" si="5"/>
        <v>3417</v>
      </c>
      <c r="J45">
        <f t="shared" si="6"/>
        <v>4</v>
      </c>
      <c r="L45">
        <v>7</v>
      </c>
      <c r="M45" t="e">
        <f t="shared" si="7"/>
        <v>#N/A</v>
      </c>
    </row>
    <row r="46" spans="1:13" outlineLevel="1">
      <c r="A46">
        <v>8</v>
      </c>
      <c r="B46" t="e">
        <f t="shared" si="0"/>
        <v>#N/A</v>
      </c>
      <c r="C46" t="str">
        <f t="shared" si="1"/>
        <v>DPS</v>
      </c>
      <c r="D46" t="e">
        <f t="shared" si="1"/>
        <v>#N/A</v>
      </c>
      <c r="E46">
        <f t="shared" si="2"/>
        <v>2</v>
      </c>
      <c r="F46">
        <f t="shared" si="3"/>
        <v>13</v>
      </c>
      <c r="G46">
        <f t="shared" si="4"/>
        <v>10</v>
      </c>
      <c r="H46">
        <v>8</v>
      </c>
      <c r="I46">
        <f t="shared" si="5"/>
        <v>3408</v>
      </c>
      <c r="J46">
        <f t="shared" si="6"/>
        <v>6</v>
      </c>
      <c r="L46">
        <v>8</v>
      </c>
      <c r="M46">
        <f t="shared" si="7"/>
        <v>10</v>
      </c>
    </row>
    <row r="47" spans="1:13" outlineLevel="1">
      <c r="A47">
        <v>9</v>
      </c>
      <c r="B47" t="e">
        <f t="shared" si="0"/>
        <v>#N/A</v>
      </c>
      <c r="C47" t="str">
        <f t="shared" si="1"/>
        <v>HPS</v>
      </c>
      <c r="D47" t="e">
        <f t="shared" si="1"/>
        <v>#N/A</v>
      </c>
      <c r="E47">
        <f t="shared" si="2"/>
        <v>1</v>
      </c>
      <c r="F47">
        <f t="shared" si="3"/>
        <v>7</v>
      </c>
      <c r="G47">
        <f t="shared" si="4"/>
        <v>3</v>
      </c>
      <c r="H47">
        <v>9</v>
      </c>
      <c r="I47">
        <f t="shared" si="5"/>
        <v>1739</v>
      </c>
      <c r="J47">
        <f t="shared" si="6"/>
        <v>20</v>
      </c>
      <c r="L47">
        <v>9</v>
      </c>
      <c r="M47">
        <f t="shared" si="7"/>
        <v>17</v>
      </c>
    </row>
    <row r="48" spans="1:13" outlineLevel="1">
      <c r="A48">
        <v>10</v>
      </c>
      <c r="B48" t="e">
        <f t="shared" si="0"/>
        <v>#N/A</v>
      </c>
      <c r="C48" t="str">
        <f t="shared" si="1"/>
        <v>DPS</v>
      </c>
      <c r="D48" t="e">
        <f t="shared" si="1"/>
        <v>#N/A</v>
      </c>
      <c r="E48">
        <f t="shared" si="2"/>
        <v>2</v>
      </c>
      <c r="F48">
        <f t="shared" si="3"/>
        <v>13</v>
      </c>
      <c r="G48">
        <f t="shared" si="4"/>
        <v>9</v>
      </c>
      <c r="H48">
        <v>10</v>
      </c>
      <c r="I48">
        <f t="shared" si="5"/>
        <v>3400</v>
      </c>
      <c r="J48">
        <f t="shared" si="6"/>
        <v>8</v>
      </c>
      <c r="L48">
        <v>10</v>
      </c>
      <c r="M48">
        <f t="shared" si="7"/>
        <v>13</v>
      </c>
    </row>
    <row r="49" spans="1:86" outlineLevel="1">
      <c r="A49">
        <v>11</v>
      </c>
      <c r="B49" t="e">
        <f t="shared" si="0"/>
        <v>#N/A</v>
      </c>
      <c r="C49" t="str">
        <f t="shared" si="1"/>
        <v>DPS</v>
      </c>
      <c r="D49" t="e">
        <f t="shared" si="1"/>
        <v>#N/A</v>
      </c>
      <c r="E49">
        <f t="shared" si="2"/>
        <v>2</v>
      </c>
      <c r="F49">
        <f t="shared" si="3"/>
        <v>13</v>
      </c>
      <c r="G49">
        <f t="shared" si="4"/>
        <v>8</v>
      </c>
      <c r="H49">
        <v>11</v>
      </c>
      <c r="I49">
        <f t="shared" si="5"/>
        <v>3391</v>
      </c>
      <c r="J49">
        <f t="shared" si="6"/>
        <v>12</v>
      </c>
      <c r="L49">
        <v>11</v>
      </c>
      <c r="M49">
        <f t="shared" si="7"/>
        <v>12</v>
      </c>
    </row>
    <row r="50" spans="1:86" outlineLevel="1">
      <c r="A50">
        <v>12</v>
      </c>
      <c r="B50" t="e">
        <f t="shared" si="0"/>
        <v>#N/A</v>
      </c>
      <c r="C50" t="str">
        <f t="shared" si="1"/>
        <v>DPS</v>
      </c>
      <c r="D50" t="e">
        <f t="shared" si="1"/>
        <v>#N/A</v>
      </c>
      <c r="E50">
        <f t="shared" si="2"/>
        <v>2</v>
      </c>
      <c r="F50">
        <f t="shared" si="3"/>
        <v>13</v>
      </c>
      <c r="G50">
        <f t="shared" si="4"/>
        <v>8</v>
      </c>
      <c r="H50">
        <v>12</v>
      </c>
      <c r="I50">
        <f t="shared" si="5"/>
        <v>3392</v>
      </c>
      <c r="J50">
        <f t="shared" si="6"/>
        <v>11</v>
      </c>
      <c r="L50">
        <v>12</v>
      </c>
      <c r="M50">
        <f t="shared" si="7"/>
        <v>11</v>
      </c>
    </row>
    <row r="51" spans="1:86" outlineLevel="1">
      <c r="A51">
        <v>13</v>
      </c>
      <c r="B51" t="e">
        <f t="shared" si="0"/>
        <v>#N/A</v>
      </c>
      <c r="C51" t="str">
        <f t="shared" si="1"/>
        <v>DPS</v>
      </c>
      <c r="D51" t="e">
        <f t="shared" si="1"/>
        <v>#N/A</v>
      </c>
      <c r="E51">
        <f t="shared" si="2"/>
        <v>2</v>
      </c>
      <c r="F51">
        <f t="shared" si="3"/>
        <v>13</v>
      </c>
      <c r="G51">
        <f t="shared" si="4"/>
        <v>8</v>
      </c>
      <c r="H51">
        <v>13</v>
      </c>
      <c r="I51">
        <f t="shared" si="5"/>
        <v>3393</v>
      </c>
      <c r="J51">
        <f t="shared" si="6"/>
        <v>10</v>
      </c>
      <c r="L51">
        <v>13</v>
      </c>
      <c r="M51">
        <f t="shared" si="7"/>
        <v>14</v>
      </c>
    </row>
    <row r="52" spans="1:86" outlineLevel="1">
      <c r="A52">
        <v>14</v>
      </c>
      <c r="B52" t="e">
        <f t="shared" si="0"/>
        <v>#N/A</v>
      </c>
      <c r="C52" t="str">
        <f t="shared" si="1"/>
        <v>DPS</v>
      </c>
      <c r="D52" t="e">
        <f t="shared" si="1"/>
        <v>#N/A</v>
      </c>
      <c r="E52">
        <f t="shared" si="2"/>
        <v>2</v>
      </c>
      <c r="F52">
        <f t="shared" si="3"/>
        <v>13</v>
      </c>
      <c r="G52">
        <f t="shared" si="4"/>
        <v>7</v>
      </c>
      <c r="H52">
        <v>14</v>
      </c>
      <c r="I52">
        <f t="shared" si="5"/>
        <v>3384</v>
      </c>
      <c r="J52">
        <f t="shared" si="6"/>
        <v>13</v>
      </c>
      <c r="L52">
        <v>14</v>
      </c>
      <c r="M52">
        <f t="shared" si="7"/>
        <v>15</v>
      </c>
    </row>
    <row r="53" spans="1:86" outlineLevel="1">
      <c r="A53">
        <v>15</v>
      </c>
      <c r="B53" t="e">
        <f t="shared" si="0"/>
        <v>#N/A</v>
      </c>
      <c r="C53" t="str">
        <f t="shared" si="1"/>
        <v>HPS</v>
      </c>
      <c r="D53" t="e">
        <f t="shared" si="1"/>
        <v>#N/A</v>
      </c>
      <c r="E53">
        <f t="shared" si="2"/>
        <v>1</v>
      </c>
      <c r="F53">
        <f t="shared" si="3"/>
        <v>7</v>
      </c>
      <c r="G53">
        <f t="shared" si="4"/>
        <v>6</v>
      </c>
      <c r="H53">
        <v>15</v>
      </c>
      <c r="I53">
        <f t="shared" si="5"/>
        <v>1775</v>
      </c>
      <c r="J53">
        <f t="shared" si="6"/>
        <v>14</v>
      </c>
      <c r="L53">
        <v>15</v>
      </c>
      <c r="M53">
        <f t="shared" si="7"/>
        <v>2</v>
      </c>
    </row>
    <row r="54" spans="1:86" outlineLevel="1">
      <c r="A54">
        <v>16</v>
      </c>
      <c r="B54" t="e">
        <f t="shared" si="0"/>
        <v>#N/A</v>
      </c>
      <c r="C54" t="str">
        <f t="shared" si="0"/>
        <v>HPS</v>
      </c>
      <c r="D54" t="e">
        <f t="shared" si="0"/>
        <v>#N/A</v>
      </c>
      <c r="E54">
        <f t="shared" si="2"/>
        <v>1</v>
      </c>
      <c r="F54">
        <f t="shared" si="3"/>
        <v>7</v>
      </c>
      <c r="G54">
        <f t="shared" si="4"/>
        <v>5</v>
      </c>
      <c r="H54">
        <v>16</v>
      </c>
      <c r="I54">
        <f t="shared" si="5"/>
        <v>1766</v>
      </c>
      <c r="J54">
        <f t="shared" si="6"/>
        <v>18</v>
      </c>
      <c r="L54">
        <v>16</v>
      </c>
      <c r="M54">
        <f t="shared" si="7"/>
        <v>19</v>
      </c>
    </row>
    <row r="55" spans="1:86" outlineLevel="1">
      <c r="A55">
        <v>17</v>
      </c>
      <c r="B55" t="e">
        <f t="shared" si="0"/>
        <v>#N/A</v>
      </c>
      <c r="C55" t="str">
        <f t="shared" si="0"/>
        <v>DPS</v>
      </c>
      <c r="D55" t="e">
        <f t="shared" si="0"/>
        <v>#N/A</v>
      </c>
      <c r="E55">
        <f t="shared" si="2"/>
        <v>2</v>
      </c>
      <c r="F55">
        <f t="shared" si="3"/>
        <v>13</v>
      </c>
      <c r="G55">
        <f t="shared" si="4"/>
        <v>8</v>
      </c>
      <c r="H55">
        <v>17</v>
      </c>
      <c r="I55">
        <f t="shared" si="5"/>
        <v>3397</v>
      </c>
      <c r="J55">
        <f t="shared" si="6"/>
        <v>9</v>
      </c>
      <c r="L55">
        <v>17</v>
      </c>
      <c r="M55">
        <f t="shared" si="7"/>
        <v>18</v>
      </c>
    </row>
    <row r="56" spans="1:86" outlineLevel="1">
      <c r="A56">
        <v>18</v>
      </c>
      <c r="B56" t="e">
        <f t="shared" si="0"/>
        <v>#N/A</v>
      </c>
      <c r="C56" t="str">
        <f t="shared" si="0"/>
        <v>HPS</v>
      </c>
      <c r="D56" t="e">
        <f t="shared" si="0"/>
        <v>#N/A</v>
      </c>
      <c r="E56">
        <f t="shared" si="2"/>
        <v>1</v>
      </c>
      <c r="F56">
        <f t="shared" si="3"/>
        <v>7</v>
      </c>
      <c r="G56">
        <f t="shared" si="4"/>
        <v>5</v>
      </c>
      <c r="H56">
        <v>18</v>
      </c>
      <c r="I56">
        <f t="shared" si="5"/>
        <v>1768</v>
      </c>
      <c r="J56">
        <f t="shared" si="6"/>
        <v>17</v>
      </c>
      <c r="L56">
        <v>18</v>
      </c>
      <c r="M56">
        <f t="shared" si="7"/>
        <v>16</v>
      </c>
    </row>
    <row r="57" spans="1:86">
      <c r="A57">
        <v>19</v>
      </c>
      <c r="B57" t="e">
        <f t="shared" si="0"/>
        <v>#N/A</v>
      </c>
      <c r="C57" t="str">
        <f t="shared" si="0"/>
        <v>HPS</v>
      </c>
      <c r="D57" t="e">
        <f t="shared" si="0"/>
        <v>#N/A</v>
      </c>
      <c r="E57">
        <f t="shared" si="2"/>
        <v>1</v>
      </c>
      <c r="F57">
        <f t="shared" si="3"/>
        <v>7</v>
      </c>
      <c r="G57">
        <f t="shared" si="4"/>
        <v>5</v>
      </c>
      <c r="H57">
        <v>19</v>
      </c>
      <c r="I57">
        <f t="shared" si="5"/>
        <v>1769</v>
      </c>
      <c r="J57">
        <f t="shared" si="6"/>
        <v>16</v>
      </c>
      <c r="L57">
        <v>19</v>
      </c>
      <c r="M57">
        <f t="shared" si="7"/>
        <v>6</v>
      </c>
    </row>
    <row r="58" spans="1:86">
      <c r="A58">
        <v>20</v>
      </c>
      <c r="B58" t="e">
        <f t="shared" si="0"/>
        <v>#N/A</v>
      </c>
      <c r="C58" t="str">
        <f t="shared" si="0"/>
        <v>DPS</v>
      </c>
      <c r="D58" t="e">
        <f t="shared" si="0"/>
        <v>#N/A</v>
      </c>
      <c r="E58">
        <f t="shared" si="2"/>
        <v>2</v>
      </c>
      <c r="F58">
        <f t="shared" si="3"/>
        <v>13</v>
      </c>
      <c r="G58">
        <f t="shared" si="4"/>
        <v>8</v>
      </c>
      <c r="H58">
        <v>20</v>
      </c>
      <c r="I58">
        <f t="shared" si="5"/>
        <v>3400</v>
      </c>
      <c r="J58">
        <f t="shared" si="6"/>
        <v>8</v>
      </c>
      <c r="L58">
        <v>20</v>
      </c>
      <c r="M58">
        <f t="shared" si="7"/>
        <v>9</v>
      </c>
    </row>
    <row r="61" spans="1:86">
      <c r="B61" t="s">
        <v>1159</v>
      </c>
      <c r="BO61" t="s">
        <v>1159</v>
      </c>
    </row>
    <row r="62" spans="1:86">
      <c r="B62">
        <v>1</v>
      </c>
      <c r="C62">
        <v>4</v>
      </c>
      <c r="D62">
        <v>12</v>
      </c>
      <c r="E62">
        <v>5</v>
      </c>
      <c r="F62">
        <v>8</v>
      </c>
      <c r="G62">
        <v>7</v>
      </c>
      <c r="H62">
        <v>13</v>
      </c>
      <c r="I62">
        <v>20</v>
      </c>
      <c r="J62">
        <v>17</v>
      </c>
      <c r="K62">
        <v>3</v>
      </c>
      <c r="L62">
        <v>11</v>
      </c>
      <c r="M62">
        <v>10</v>
      </c>
      <c r="N62">
        <v>14</v>
      </c>
      <c r="O62">
        <v>9</v>
      </c>
      <c r="P62">
        <v>15</v>
      </c>
      <c r="Q62">
        <v>16</v>
      </c>
      <c r="R62">
        <v>2</v>
      </c>
      <c r="S62">
        <v>6</v>
      </c>
      <c r="T62">
        <v>19</v>
      </c>
      <c r="U62">
        <v>18</v>
      </c>
      <c r="BO62">
        <v>1</v>
      </c>
      <c r="BP62">
        <v>4</v>
      </c>
      <c r="BQ62">
        <v>12</v>
      </c>
      <c r="BR62">
        <v>5</v>
      </c>
      <c r="BS62">
        <v>8</v>
      </c>
      <c r="BT62">
        <v>7</v>
      </c>
      <c r="BU62">
        <v>13</v>
      </c>
      <c r="BV62">
        <v>20</v>
      </c>
      <c r="BW62">
        <v>17</v>
      </c>
      <c r="BX62">
        <v>3</v>
      </c>
      <c r="BY62">
        <v>11</v>
      </c>
      <c r="BZ62">
        <v>10</v>
      </c>
      <c r="CA62">
        <v>14</v>
      </c>
      <c r="CB62">
        <v>9</v>
      </c>
      <c r="CC62">
        <v>15</v>
      </c>
      <c r="CD62">
        <v>16</v>
      </c>
      <c r="CE62">
        <v>2</v>
      </c>
      <c r="CF62">
        <v>6</v>
      </c>
      <c r="CG62">
        <v>19</v>
      </c>
      <c r="CH62">
        <v>18</v>
      </c>
    </row>
    <row r="64" spans="1:86">
      <c r="B64" t="s">
        <v>1118</v>
      </c>
      <c r="BO64" t="s">
        <v>1119</v>
      </c>
    </row>
    <row r="65" spans="1:112">
      <c r="A65" t="s">
        <v>1148</v>
      </c>
      <c r="B65" s="140" t="s">
        <v>365</v>
      </c>
      <c r="C65" s="140" t="s">
        <v>365</v>
      </c>
      <c r="D65" s="140" t="s">
        <v>365</v>
      </c>
      <c r="E65" s="140" t="s">
        <v>365</v>
      </c>
      <c r="F65" s="140" t="s">
        <v>365</v>
      </c>
      <c r="G65" s="140" t="s">
        <v>365</v>
      </c>
      <c r="H65" s="140" t="s">
        <v>365</v>
      </c>
      <c r="I65" s="140" t="s">
        <v>365</v>
      </c>
      <c r="J65" s="140" t="s">
        <v>365</v>
      </c>
      <c r="K65" s="140" t="s">
        <v>365</v>
      </c>
      <c r="L65" s="140" t="s">
        <v>365</v>
      </c>
      <c r="M65" s="140" t="s">
        <v>365</v>
      </c>
      <c r="N65" s="140" t="s">
        <v>365</v>
      </c>
      <c r="O65" s="140" t="s">
        <v>365</v>
      </c>
      <c r="P65" s="140" t="s">
        <v>365</v>
      </c>
      <c r="Q65" s="140" t="s">
        <v>365</v>
      </c>
      <c r="R65" s="140" t="s">
        <v>365</v>
      </c>
      <c r="S65" s="140" t="s">
        <v>365</v>
      </c>
      <c r="T65" s="140" t="s">
        <v>365</v>
      </c>
      <c r="U65" s="140" t="s">
        <v>365</v>
      </c>
      <c r="V65" s="141" t="s">
        <v>300</v>
      </c>
      <c r="W65" s="141" t="s">
        <v>300</v>
      </c>
      <c r="X65" s="141" t="s">
        <v>300</v>
      </c>
      <c r="Y65" s="141" t="s">
        <v>300</v>
      </c>
      <c r="Z65" s="141" t="s">
        <v>300</v>
      </c>
      <c r="AA65" s="141" t="s">
        <v>300</v>
      </c>
      <c r="AB65" s="141" t="s">
        <v>300</v>
      </c>
      <c r="AC65" s="141" t="s">
        <v>300</v>
      </c>
      <c r="AD65" s="141" t="s">
        <v>300</v>
      </c>
      <c r="AE65" s="141" t="s">
        <v>300</v>
      </c>
      <c r="AF65" s="141" t="s">
        <v>300</v>
      </c>
      <c r="AG65" s="141" t="s">
        <v>300</v>
      </c>
      <c r="AH65" s="141" t="s">
        <v>300</v>
      </c>
      <c r="AI65" s="141" t="s">
        <v>300</v>
      </c>
      <c r="AJ65" s="141" t="s">
        <v>300</v>
      </c>
      <c r="AK65" s="141" t="s">
        <v>300</v>
      </c>
      <c r="AL65" s="141" t="s">
        <v>300</v>
      </c>
      <c r="AM65" s="141" t="s">
        <v>300</v>
      </c>
      <c r="AN65" s="141" t="s">
        <v>300</v>
      </c>
      <c r="AO65" s="141" t="s">
        <v>300</v>
      </c>
      <c r="AP65" s="134" t="s">
        <v>409</v>
      </c>
      <c r="AQ65" s="134" t="s">
        <v>409</v>
      </c>
      <c r="AR65" s="134" t="s">
        <v>409</v>
      </c>
      <c r="AS65" s="134" t="s">
        <v>409</v>
      </c>
      <c r="AT65" s="134" t="s">
        <v>409</v>
      </c>
      <c r="AU65" s="134" t="s">
        <v>409</v>
      </c>
      <c r="AV65" s="134" t="s">
        <v>409</v>
      </c>
      <c r="AW65" s="134" t="s">
        <v>409</v>
      </c>
      <c r="AX65" s="134" t="s">
        <v>409</v>
      </c>
      <c r="AY65" s="134" t="s">
        <v>409</v>
      </c>
      <c r="AZ65" s="134" t="s">
        <v>409</v>
      </c>
      <c r="BA65" s="134" t="s">
        <v>409</v>
      </c>
      <c r="BB65" s="134" t="s">
        <v>409</v>
      </c>
      <c r="BC65" s="134" t="s">
        <v>409</v>
      </c>
      <c r="BD65" s="134" t="s">
        <v>409</v>
      </c>
      <c r="BE65" s="134" t="s">
        <v>409</v>
      </c>
      <c r="BF65" s="134" t="s">
        <v>409</v>
      </c>
      <c r="BG65" s="134" t="s">
        <v>409</v>
      </c>
      <c r="BH65" s="134" t="s">
        <v>409</v>
      </c>
      <c r="BI65" s="134" t="s">
        <v>409</v>
      </c>
      <c r="BJ65" t="s">
        <v>1149</v>
      </c>
      <c r="BK65" t="s">
        <v>1150</v>
      </c>
      <c r="BL65" t="s">
        <v>1151</v>
      </c>
      <c r="BM65" t="s">
        <v>1152</v>
      </c>
      <c r="BN65" t="s">
        <v>1153</v>
      </c>
      <c r="BO65" s="139" t="s">
        <v>365</v>
      </c>
      <c r="BP65" s="139" t="s">
        <v>365</v>
      </c>
      <c r="BQ65" s="139" t="s">
        <v>365</v>
      </c>
      <c r="BR65" s="139" t="s">
        <v>365</v>
      </c>
      <c r="BS65" s="139" t="s">
        <v>365</v>
      </c>
      <c r="BT65" s="139" t="s">
        <v>365</v>
      </c>
      <c r="BU65" s="139" t="s">
        <v>365</v>
      </c>
      <c r="BV65" s="139" t="s">
        <v>365</v>
      </c>
      <c r="BW65" s="139" t="s">
        <v>365</v>
      </c>
      <c r="BX65" s="139" t="s">
        <v>365</v>
      </c>
      <c r="BY65" s="139" t="s">
        <v>365</v>
      </c>
      <c r="BZ65" s="139" t="s">
        <v>365</v>
      </c>
      <c r="CA65" s="139" t="s">
        <v>365</v>
      </c>
      <c r="CB65" s="139" t="s">
        <v>365</v>
      </c>
      <c r="CC65" s="139" t="s">
        <v>365</v>
      </c>
      <c r="CD65" s="139" t="s">
        <v>365</v>
      </c>
      <c r="CE65" s="139" t="s">
        <v>365</v>
      </c>
      <c r="CF65" s="139" t="s">
        <v>365</v>
      </c>
      <c r="CG65" s="139" t="s">
        <v>365</v>
      </c>
      <c r="CH65" s="139" t="s">
        <v>365</v>
      </c>
      <c r="CI65" t="s">
        <v>1154</v>
      </c>
      <c r="CJ65" t="s">
        <v>1154</v>
      </c>
      <c r="CK65" t="s">
        <v>1154</v>
      </c>
      <c r="CL65" t="s">
        <v>1154</v>
      </c>
      <c r="CM65" t="s">
        <v>1154</v>
      </c>
      <c r="CN65" t="s">
        <v>1154</v>
      </c>
      <c r="CO65" t="s">
        <v>1154</v>
      </c>
      <c r="CP65" t="s">
        <v>1154</v>
      </c>
      <c r="CQ65" t="s">
        <v>1154</v>
      </c>
      <c r="CR65" t="s">
        <v>1154</v>
      </c>
      <c r="CS65" t="s">
        <v>1154</v>
      </c>
      <c r="CT65" t="s">
        <v>1154</v>
      </c>
      <c r="CU65" t="s">
        <v>1154</v>
      </c>
      <c r="CV65" t="s">
        <v>1154</v>
      </c>
      <c r="CW65" t="s">
        <v>1154</v>
      </c>
      <c r="CX65" t="s">
        <v>1154</v>
      </c>
      <c r="CY65" t="s">
        <v>1154</v>
      </c>
      <c r="CZ65" t="s">
        <v>1154</v>
      </c>
      <c r="DA65" t="s">
        <v>1154</v>
      </c>
      <c r="DB65" t="s">
        <v>1154</v>
      </c>
      <c r="DC65" t="s">
        <v>1151</v>
      </c>
      <c r="DD65" t="s">
        <v>1147</v>
      </c>
      <c r="DE65" t="s">
        <v>1155</v>
      </c>
      <c r="DH65" t="s">
        <v>1146</v>
      </c>
    </row>
    <row r="66" spans="1:112">
      <c r="A66">
        <v>1</v>
      </c>
      <c r="B66" s="140" t="e">
        <f>INDEX($B$39:$B$58,MATCH(B$62,$A$39:$A$58,0))</f>
        <v>#N/A</v>
      </c>
      <c r="C66" s="140" t="e">
        <f t="shared" ref="C66:U66" si="8">INDEX($B$39:$B$58,MATCH(C$62,$A$39:$A$58,0))</f>
        <v>#N/A</v>
      </c>
      <c r="D66" s="140" t="e">
        <f t="shared" si="8"/>
        <v>#N/A</v>
      </c>
      <c r="E66" s="140" t="e">
        <f t="shared" si="8"/>
        <v>#N/A</v>
      </c>
      <c r="F66" s="140" t="e">
        <f t="shared" si="8"/>
        <v>#N/A</v>
      </c>
      <c r="G66" s="140" t="e">
        <f t="shared" si="8"/>
        <v>#N/A</v>
      </c>
      <c r="H66" s="140" t="e">
        <f t="shared" si="8"/>
        <v>#N/A</v>
      </c>
      <c r="I66" s="140" t="e">
        <f t="shared" si="8"/>
        <v>#N/A</v>
      </c>
      <c r="J66" s="140" t="e">
        <f t="shared" si="8"/>
        <v>#N/A</v>
      </c>
      <c r="K66" s="140" t="e">
        <f t="shared" si="8"/>
        <v>#N/A</v>
      </c>
      <c r="L66" s="140" t="e">
        <f t="shared" si="8"/>
        <v>#N/A</v>
      </c>
      <c r="M66" s="140" t="e">
        <f t="shared" si="8"/>
        <v>#N/A</v>
      </c>
      <c r="N66" s="140" t="e">
        <f t="shared" si="8"/>
        <v>#N/A</v>
      </c>
      <c r="O66" s="140" t="e">
        <f t="shared" si="8"/>
        <v>#N/A</v>
      </c>
      <c r="P66" s="140" t="e">
        <f t="shared" si="8"/>
        <v>#N/A</v>
      </c>
      <c r="Q66" s="140" t="e">
        <f t="shared" si="8"/>
        <v>#N/A</v>
      </c>
      <c r="R66" s="140" t="e">
        <f t="shared" si="8"/>
        <v>#N/A</v>
      </c>
      <c r="S66" s="140" t="e">
        <f t="shared" si="8"/>
        <v>#N/A</v>
      </c>
      <c r="T66" s="140" t="e">
        <f t="shared" si="8"/>
        <v>#N/A</v>
      </c>
      <c r="U66" s="140" t="e">
        <f t="shared" si="8"/>
        <v>#N/A</v>
      </c>
      <c r="V66" s="141" t="str">
        <f>INDEX($E$3:$E$23,MATCH(B$62,$A$3:$A$23,0))</f>
        <v>DPS</v>
      </c>
      <c r="W66" s="141" t="str">
        <f t="shared" ref="W66:AO66" si="9">INDEX($E$3:$E$23,MATCH(C$62,$A$3:$A$23,0))</f>
        <v>DPS</v>
      </c>
      <c r="X66" s="141" t="str">
        <f t="shared" si="9"/>
        <v>DPS</v>
      </c>
      <c r="Y66" s="141" t="str">
        <f t="shared" si="9"/>
        <v>DPS</v>
      </c>
      <c r="Z66" s="141" t="str">
        <f t="shared" si="9"/>
        <v>DPS</v>
      </c>
      <c r="AA66" s="141" t="str">
        <f t="shared" si="9"/>
        <v>DPS</v>
      </c>
      <c r="AB66" s="141" t="str">
        <f t="shared" si="9"/>
        <v>DPS</v>
      </c>
      <c r="AC66" s="141" t="str">
        <f t="shared" si="9"/>
        <v>DPS</v>
      </c>
      <c r="AD66" s="141" t="str">
        <f t="shared" si="9"/>
        <v>DPS</v>
      </c>
      <c r="AE66" s="141" t="str">
        <f t="shared" si="9"/>
        <v>DPS</v>
      </c>
      <c r="AF66" s="141" t="str">
        <f t="shared" si="9"/>
        <v>DPS</v>
      </c>
      <c r="AG66" s="141" t="str">
        <f t="shared" si="9"/>
        <v>DPS</v>
      </c>
      <c r="AH66" s="141" t="str">
        <f t="shared" si="9"/>
        <v>DPS</v>
      </c>
      <c r="AI66" s="141" t="str">
        <f t="shared" si="9"/>
        <v>HPS</v>
      </c>
      <c r="AJ66" s="141" t="str">
        <f t="shared" si="9"/>
        <v>HPS</v>
      </c>
      <c r="AK66" s="141" t="str">
        <f t="shared" si="9"/>
        <v>HPS</v>
      </c>
      <c r="AL66" s="141" t="str">
        <f t="shared" si="9"/>
        <v>HPS</v>
      </c>
      <c r="AM66" s="141" t="str">
        <f t="shared" si="9"/>
        <v>HPS</v>
      </c>
      <c r="AN66" s="141" t="str">
        <f t="shared" si="9"/>
        <v>HPS</v>
      </c>
      <c r="AO66" s="141" t="str">
        <f t="shared" si="9"/>
        <v>HPS</v>
      </c>
      <c r="AP66" s="134" t="e">
        <f>INDEX($F$3:$F$23,MATCH(B$62,$A$3:$A$23,0))</f>
        <v>#N/A</v>
      </c>
      <c r="AQ66" s="134" t="e">
        <f t="shared" ref="AQ66:BI66" si="10">INDEX($F$3:$F$23,MATCH(C$62,$A$3:$A$23,0))</f>
        <v>#N/A</v>
      </c>
      <c r="AR66" s="134" t="e">
        <f t="shared" si="10"/>
        <v>#N/A</v>
      </c>
      <c r="AS66" s="134" t="e">
        <f t="shared" si="10"/>
        <v>#N/A</v>
      </c>
      <c r="AT66" s="134" t="e">
        <f t="shared" si="10"/>
        <v>#N/A</v>
      </c>
      <c r="AU66" s="134" t="e">
        <f t="shared" si="10"/>
        <v>#N/A</v>
      </c>
      <c r="AV66" s="134" t="e">
        <f t="shared" si="10"/>
        <v>#N/A</v>
      </c>
      <c r="AW66" s="134" t="e">
        <f t="shared" si="10"/>
        <v>#N/A</v>
      </c>
      <c r="AX66" s="134" t="e">
        <f t="shared" si="10"/>
        <v>#N/A</v>
      </c>
      <c r="AY66" s="134" t="e">
        <f t="shared" si="10"/>
        <v>#N/A</v>
      </c>
      <c r="AZ66" s="134" t="e">
        <f t="shared" si="10"/>
        <v>#N/A</v>
      </c>
      <c r="BA66" s="134" t="e">
        <f t="shared" si="10"/>
        <v>#N/A</v>
      </c>
      <c r="BB66" s="134" t="e">
        <f t="shared" si="10"/>
        <v>#N/A</v>
      </c>
      <c r="BC66" s="134" t="e">
        <f t="shared" si="10"/>
        <v>#N/A</v>
      </c>
      <c r="BD66" s="134" t="e">
        <f t="shared" si="10"/>
        <v>#N/A</v>
      </c>
      <c r="BE66" s="134" t="e">
        <f t="shared" si="10"/>
        <v>#N/A</v>
      </c>
      <c r="BF66" s="134" t="e">
        <f t="shared" si="10"/>
        <v>#N/A</v>
      </c>
      <c r="BG66" s="134" t="e">
        <f t="shared" si="10"/>
        <v>#N/A</v>
      </c>
      <c r="BH66" s="134" t="e">
        <f t="shared" si="10"/>
        <v>#N/A</v>
      </c>
      <c r="BI66" s="134" t="e">
        <f t="shared" si="10"/>
        <v>#N/A</v>
      </c>
      <c r="BJ66" t="e">
        <f>SUMIF(V66:AO66,"DPS",AP66:BI66)</f>
        <v>#N/A</v>
      </c>
      <c r="BK66" t="e">
        <f>SUMIF(V66:AO66,"HPS",AP66:BI66)</f>
        <v>#N/A</v>
      </c>
      <c r="BL66" s="142">
        <f>$J$3</f>
        <v>500000</v>
      </c>
      <c r="BM66" s="142">
        <f>$K$3</f>
        <v>2650</v>
      </c>
      <c r="BN66" t="e">
        <f>INDEX($B$62:$U$62,1,_xlfn.AGGREGATE(15,6,COLUMN($B$62:$U$62)/(B66:U66&gt;0),1)-1)</f>
        <v>#NUM!</v>
      </c>
      <c r="BO66" s="143" t="e">
        <f>B66-IF($BN66=BO$62,$BM66,0)+IF($BN66=BO$62,$BK66,0)</f>
        <v>#N/A</v>
      </c>
      <c r="BP66" s="143" t="e">
        <f t="shared" ref="BP66:CH66" si="11">C66-IF($BN66=BP$62,$BM66,0)+IF($BN66=BP$62,$BK66,0)</f>
        <v>#N/A</v>
      </c>
      <c r="BQ66" s="143" t="e">
        <f t="shared" si="11"/>
        <v>#N/A</v>
      </c>
      <c r="BR66" s="143" t="e">
        <f t="shared" si="11"/>
        <v>#N/A</v>
      </c>
      <c r="BS66" s="143" t="e">
        <f t="shared" si="11"/>
        <v>#N/A</v>
      </c>
      <c r="BT66" s="143" t="e">
        <f t="shared" si="11"/>
        <v>#N/A</v>
      </c>
      <c r="BU66" s="143" t="e">
        <f t="shared" si="11"/>
        <v>#N/A</v>
      </c>
      <c r="BV66" s="143" t="e">
        <f t="shared" si="11"/>
        <v>#N/A</v>
      </c>
      <c r="BW66" s="143" t="e">
        <f t="shared" si="11"/>
        <v>#N/A</v>
      </c>
      <c r="BX66" s="143" t="e">
        <f t="shared" si="11"/>
        <v>#N/A</v>
      </c>
      <c r="BY66" s="143" t="e">
        <f t="shared" si="11"/>
        <v>#N/A</v>
      </c>
      <c r="BZ66" s="143" t="e">
        <f t="shared" si="11"/>
        <v>#N/A</v>
      </c>
      <c r="CA66" s="143" t="e">
        <f t="shared" si="11"/>
        <v>#N/A</v>
      </c>
      <c r="CB66" s="143" t="e">
        <f t="shared" si="11"/>
        <v>#N/A</v>
      </c>
      <c r="CC66" s="143" t="e">
        <f t="shared" si="11"/>
        <v>#N/A</v>
      </c>
      <c r="CD66" s="143" t="e">
        <f t="shared" si="11"/>
        <v>#N/A</v>
      </c>
      <c r="CE66" s="143" t="e">
        <f t="shared" si="11"/>
        <v>#N/A</v>
      </c>
      <c r="CF66" s="143" t="e">
        <f t="shared" si="11"/>
        <v>#N/A</v>
      </c>
      <c r="CG66" s="143" t="e">
        <f t="shared" si="11"/>
        <v>#N/A</v>
      </c>
      <c r="CH66" s="143" t="e">
        <f t="shared" si="11"/>
        <v>#N/A</v>
      </c>
      <c r="CI66" t="e">
        <f>BO66&lt;=0</f>
        <v>#N/A</v>
      </c>
      <c r="CJ66" t="e">
        <f t="shared" ref="CJ66:DB66" si="12">BP66&lt;=0</f>
        <v>#N/A</v>
      </c>
      <c r="CK66" t="e">
        <f t="shared" si="12"/>
        <v>#N/A</v>
      </c>
      <c r="CL66" t="e">
        <f t="shared" si="12"/>
        <v>#N/A</v>
      </c>
      <c r="CM66" t="e">
        <f t="shared" si="12"/>
        <v>#N/A</v>
      </c>
      <c r="CN66" t="e">
        <f t="shared" si="12"/>
        <v>#N/A</v>
      </c>
      <c r="CO66" t="e">
        <f t="shared" si="12"/>
        <v>#N/A</v>
      </c>
      <c r="CP66" t="e">
        <f t="shared" si="12"/>
        <v>#N/A</v>
      </c>
      <c r="CQ66" t="e">
        <f t="shared" si="12"/>
        <v>#N/A</v>
      </c>
      <c r="CR66" t="e">
        <f t="shared" si="12"/>
        <v>#N/A</v>
      </c>
      <c r="CS66" t="e">
        <f t="shared" si="12"/>
        <v>#N/A</v>
      </c>
      <c r="CT66" t="e">
        <f t="shared" si="12"/>
        <v>#N/A</v>
      </c>
      <c r="CU66" t="e">
        <f t="shared" si="12"/>
        <v>#N/A</v>
      </c>
      <c r="CV66" t="e">
        <f t="shared" si="12"/>
        <v>#N/A</v>
      </c>
      <c r="CW66" t="e">
        <f t="shared" si="12"/>
        <v>#N/A</v>
      </c>
      <c r="CX66" t="e">
        <f t="shared" si="12"/>
        <v>#N/A</v>
      </c>
      <c r="CY66" t="e">
        <f t="shared" si="12"/>
        <v>#N/A</v>
      </c>
      <c r="CZ66" t="e">
        <f t="shared" si="12"/>
        <v>#N/A</v>
      </c>
      <c r="DA66" t="e">
        <f t="shared" si="12"/>
        <v>#N/A</v>
      </c>
      <c r="DB66" t="e">
        <f t="shared" si="12"/>
        <v>#N/A</v>
      </c>
      <c r="DC66" s="142" t="e">
        <f>BL66-BJ66</f>
        <v>#N/A</v>
      </c>
      <c r="DD66" t="e">
        <f>DC66&lt;=0</f>
        <v>#N/A</v>
      </c>
      <c r="DE66" t="b">
        <f>COUNTIF(CI66:DB66,TRUE)=20</f>
        <v>0</v>
      </c>
      <c r="DH66">
        <f>MIN(IFERROR(MATCH(TRUE,DD66:DD191,0),1000),IFERROR(MATCH(TRUE,DE66:DE191,0),1000))</f>
        <v>1000</v>
      </c>
    </row>
    <row r="67" spans="1:112">
      <c r="A67">
        <f>A66+1</f>
        <v>2</v>
      </c>
      <c r="B67" s="140" t="e">
        <f>BO66</f>
        <v>#N/A</v>
      </c>
      <c r="C67" s="140" t="e">
        <f t="shared" ref="C67:U67" si="13">BP66</f>
        <v>#N/A</v>
      </c>
      <c r="D67" s="140" t="e">
        <f t="shared" si="13"/>
        <v>#N/A</v>
      </c>
      <c r="E67" s="140" t="e">
        <f t="shared" si="13"/>
        <v>#N/A</v>
      </c>
      <c r="F67" s="140" t="e">
        <f t="shared" si="13"/>
        <v>#N/A</v>
      </c>
      <c r="G67" s="140" t="e">
        <f t="shared" si="13"/>
        <v>#N/A</v>
      </c>
      <c r="H67" s="140" t="e">
        <f t="shared" si="13"/>
        <v>#N/A</v>
      </c>
      <c r="I67" s="140" t="e">
        <f t="shared" si="13"/>
        <v>#N/A</v>
      </c>
      <c r="J67" s="140" t="e">
        <f t="shared" si="13"/>
        <v>#N/A</v>
      </c>
      <c r="K67" s="140" t="e">
        <f t="shared" si="13"/>
        <v>#N/A</v>
      </c>
      <c r="L67" s="140" t="e">
        <f t="shared" si="13"/>
        <v>#N/A</v>
      </c>
      <c r="M67" s="140" t="e">
        <f t="shared" si="13"/>
        <v>#N/A</v>
      </c>
      <c r="N67" s="140" t="e">
        <f t="shared" si="13"/>
        <v>#N/A</v>
      </c>
      <c r="O67" s="140" t="e">
        <f t="shared" si="13"/>
        <v>#N/A</v>
      </c>
      <c r="P67" s="140" t="e">
        <f t="shared" si="13"/>
        <v>#N/A</v>
      </c>
      <c r="Q67" s="140" t="e">
        <f t="shared" si="13"/>
        <v>#N/A</v>
      </c>
      <c r="R67" s="140" t="e">
        <f t="shared" si="13"/>
        <v>#N/A</v>
      </c>
      <c r="S67" s="140" t="e">
        <f t="shared" si="13"/>
        <v>#N/A</v>
      </c>
      <c r="T67" s="140" t="e">
        <f t="shared" si="13"/>
        <v>#N/A</v>
      </c>
      <c r="U67" s="140" t="e">
        <f t="shared" si="13"/>
        <v>#N/A</v>
      </c>
      <c r="V67" s="141" t="str">
        <f t="shared" ref="V67:V115" si="14">INDEX($E$3:$E$23,MATCH(B$62,$A$3:$A$23,0))</f>
        <v>DPS</v>
      </c>
      <c r="W67" s="141" t="str">
        <f t="shared" ref="W67:W115" si="15">INDEX($E$3:$E$23,MATCH(C$62,$A$3:$A$23,0))</f>
        <v>DPS</v>
      </c>
      <c r="X67" s="141" t="str">
        <f t="shared" ref="X67:X115" si="16">INDEX($E$3:$E$23,MATCH(D$62,$A$3:$A$23,0))</f>
        <v>DPS</v>
      </c>
      <c r="Y67" s="141" t="str">
        <f t="shared" ref="Y67:Y115" si="17">INDEX($E$3:$E$23,MATCH(E$62,$A$3:$A$23,0))</f>
        <v>DPS</v>
      </c>
      <c r="Z67" s="141" t="str">
        <f t="shared" ref="Z67:Z115" si="18">INDEX($E$3:$E$23,MATCH(F$62,$A$3:$A$23,0))</f>
        <v>DPS</v>
      </c>
      <c r="AA67" s="141" t="str">
        <f t="shared" ref="AA67:AA115" si="19">INDEX($E$3:$E$23,MATCH(G$62,$A$3:$A$23,0))</f>
        <v>DPS</v>
      </c>
      <c r="AB67" s="141" t="str">
        <f t="shared" ref="AB67:AB115" si="20">INDEX($E$3:$E$23,MATCH(H$62,$A$3:$A$23,0))</f>
        <v>DPS</v>
      </c>
      <c r="AC67" s="141" t="str">
        <f t="shared" ref="AC67:AC115" si="21">INDEX($E$3:$E$23,MATCH(I$62,$A$3:$A$23,0))</f>
        <v>DPS</v>
      </c>
      <c r="AD67" s="141" t="str">
        <f t="shared" ref="AD67:AD115" si="22">INDEX($E$3:$E$23,MATCH(J$62,$A$3:$A$23,0))</f>
        <v>DPS</v>
      </c>
      <c r="AE67" s="141" t="str">
        <f t="shared" ref="AE67:AE115" si="23">INDEX($E$3:$E$23,MATCH(K$62,$A$3:$A$23,0))</f>
        <v>DPS</v>
      </c>
      <c r="AF67" s="141" t="str">
        <f t="shared" ref="AF67:AF115" si="24">INDEX($E$3:$E$23,MATCH(L$62,$A$3:$A$23,0))</f>
        <v>DPS</v>
      </c>
      <c r="AG67" s="141" t="str">
        <f t="shared" ref="AG67:AG115" si="25">INDEX($E$3:$E$23,MATCH(M$62,$A$3:$A$23,0))</f>
        <v>DPS</v>
      </c>
      <c r="AH67" s="141" t="str">
        <f t="shared" ref="AH67:AH115" si="26">INDEX($E$3:$E$23,MATCH(N$62,$A$3:$A$23,0))</f>
        <v>DPS</v>
      </c>
      <c r="AI67" s="141" t="str">
        <f t="shared" ref="AI67:AI115" si="27">INDEX($E$3:$E$23,MATCH(O$62,$A$3:$A$23,0))</f>
        <v>HPS</v>
      </c>
      <c r="AJ67" s="141" t="str">
        <f t="shared" ref="AJ67:AJ115" si="28">INDEX($E$3:$E$23,MATCH(P$62,$A$3:$A$23,0))</f>
        <v>HPS</v>
      </c>
      <c r="AK67" s="141" t="str">
        <f t="shared" ref="AK67:AK115" si="29">INDEX($E$3:$E$23,MATCH(Q$62,$A$3:$A$23,0))</f>
        <v>HPS</v>
      </c>
      <c r="AL67" s="141" t="str">
        <f t="shared" ref="AL67:AL115" si="30">INDEX($E$3:$E$23,MATCH(R$62,$A$3:$A$23,0))</f>
        <v>HPS</v>
      </c>
      <c r="AM67" s="141" t="str">
        <f t="shared" ref="AM67:AM115" si="31">INDEX($E$3:$E$23,MATCH(S$62,$A$3:$A$23,0))</f>
        <v>HPS</v>
      </c>
      <c r="AN67" s="141" t="str">
        <f t="shared" ref="AN67:AN115" si="32">INDEX($E$3:$E$23,MATCH(T$62,$A$3:$A$23,0))</f>
        <v>HPS</v>
      </c>
      <c r="AO67" s="141" t="str">
        <f t="shared" ref="AO67:AO115" si="33">INDEX($E$3:$E$23,MATCH(U$62,$A$3:$A$23,0))</f>
        <v>HPS</v>
      </c>
      <c r="AP67" s="134" t="e">
        <f>IF(CI66=TRUE,0,AP66)</f>
        <v>#N/A</v>
      </c>
      <c r="AQ67" s="134" t="e">
        <f t="shared" ref="AQ67:BI67" si="34">IF(CJ66=TRUE,0,AQ66)</f>
        <v>#N/A</v>
      </c>
      <c r="AR67" s="134" t="e">
        <f t="shared" si="34"/>
        <v>#N/A</v>
      </c>
      <c r="AS67" s="134" t="e">
        <f t="shared" si="34"/>
        <v>#N/A</v>
      </c>
      <c r="AT67" s="134" t="e">
        <f t="shared" si="34"/>
        <v>#N/A</v>
      </c>
      <c r="AU67" s="134" t="e">
        <f t="shared" si="34"/>
        <v>#N/A</v>
      </c>
      <c r="AV67" s="134" t="e">
        <f t="shared" si="34"/>
        <v>#N/A</v>
      </c>
      <c r="AW67" s="134" t="e">
        <f t="shared" si="34"/>
        <v>#N/A</v>
      </c>
      <c r="AX67" s="134" t="e">
        <f t="shared" si="34"/>
        <v>#N/A</v>
      </c>
      <c r="AY67" s="134" t="e">
        <f t="shared" si="34"/>
        <v>#N/A</v>
      </c>
      <c r="AZ67" s="134" t="e">
        <f t="shared" si="34"/>
        <v>#N/A</v>
      </c>
      <c r="BA67" s="134" t="e">
        <f t="shared" si="34"/>
        <v>#N/A</v>
      </c>
      <c r="BB67" s="134" t="e">
        <f t="shared" si="34"/>
        <v>#N/A</v>
      </c>
      <c r="BC67" s="134" t="e">
        <f t="shared" si="34"/>
        <v>#N/A</v>
      </c>
      <c r="BD67" s="134" t="e">
        <f t="shared" si="34"/>
        <v>#N/A</v>
      </c>
      <c r="BE67" s="134" t="e">
        <f t="shared" si="34"/>
        <v>#N/A</v>
      </c>
      <c r="BF67" s="134" t="e">
        <f t="shared" si="34"/>
        <v>#N/A</v>
      </c>
      <c r="BG67" s="134" t="e">
        <f t="shared" si="34"/>
        <v>#N/A</v>
      </c>
      <c r="BH67" s="134" t="e">
        <f t="shared" si="34"/>
        <v>#N/A</v>
      </c>
      <c r="BI67" s="134" t="e">
        <f t="shared" si="34"/>
        <v>#N/A</v>
      </c>
      <c r="BJ67" t="e">
        <f t="shared" ref="BJ67:BJ115" si="35">SUMIF(V67:AO67,"DPS",AP67:BI67)</f>
        <v>#N/A</v>
      </c>
      <c r="BK67" t="e">
        <f t="shared" ref="BK67:BK115" si="36">SUMIF(V67:AO67,"HPS",AP67:BI67)</f>
        <v>#N/A</v>
      </c>
      <c r="BL67" s="142" t="e">
        <f>DC66</f>
        <v>#N/A</v>
      </c>
      <c r="BM67" s="142">
        <f t="shared" ref="BM67:BM130" si="37">$K$3</f>
        <v>2650</v>
      </c>
      <c r="BN67" t="e">
        <f t="shared" ref="BN67:BN115" si="38">INDEX($B$62:$U$62,1,_xlfn.AGGREGATE(15,6,COLUMN($B$62:$U$62)/(B67:U67&gt;0),1)-1)</f>
        <v>#NUM!</v>
      </c>
      <c r="BO67" s="143" t="e">
        <f t="shared" ref="BO67:BO115" si="39">B67-IF($BN67=BO$62,$BM67,0)+IF($BN67=BO$62,$BK67,0)</f>
        <v>#N/A</v>
      </c>
      <c r="BP67" s="143" t="e">
        <f t="shared" ref="BP67:BP115" si="40">C67-IF($BN67=BP$62,$BM67,0)+IF($BN67=BP$62,$BK67,0)</f>
        <v>#N/A</v>
      </c>
      <c r="BQ67" s="143" t="e">
        <f t="shared" ref="BQ67:BQ115" si="41">D67-IF($BN67=BQ$62,$BM67,0)+IF($BN67=BQ$62,$BK67,0)</f>
        <v>#N/A</v>
      </c>
      <c r="BR67" s="143" t="e">
        <f t="shared" ref="BR67:BR115" si="42">E67-IF($BN67=BR$62,$BM67,0)+IF($BN67=BR$62,$BK67,0)</f>
        <v>#N/A</v>
      </c>
      <c r="BS67" s="143" t="e">
        <f t="shared" ref="BS67:BS115" si="43">F67-IF($BN67=BS$62,$BM67,0)+IF($BN67=BS$62,$BK67,0)</f>
        <v>#N/A</v>
      </c>
      <c r="BT67" s="143" t="e">
        <f t="shared" ref="BT67:BT115" si="44">G67-IF($BN67=BT$62,$BM67,0)+IF($BN67=BT$62,$BK67,0)</f>
        <v>#N/A</v>
      </c>
      <c r="BU67" s="143" t="e">
        <f t="shared" ref="BU67:BU115" si="45">H67-IF($BN67=BU$62,$BM67,0)+IF($BN67=BU$62,$BK67,0)</f>
        <v>#N/A</v>
      </c>
      <c r="BV67" s="143" t="e">
        <f t="shared" ref="BV67:BV115" si="46">I67-IF($BN67=BV$62,$BM67,0)+IF($BN67=BV$62,$BK67,0)</f>
        <v>#N/A</v>
      </c>
      <c r="BW67" s="143" t="e">
        <f t="shared" ref="BW67:BW115" si="47">J67-IF($BN67=BW$62,$BM67,0)+IF($BN67=BW$62,$BK67,0)</f>
        <v>#N/A</v>
      </c>
      <c r="BX67" s="143" t="e">
        <f t="shared" ref="BX67:BX115" si="48">K67-IF($BN67=BX$62,$BM67,0)+IF($BN67=BX$62,$BK67,0)</f>
        <v>#N/A</v>
      </c>
      <c r="BY67" s="143" t="e">
        <f t="shared" ref="BY67:BY115" si="49">L67-IF($BN67=BY$62,$BM67,0)+IF($BN67=BY$62,$BK67,0)</f>
        <v>#N/A</v>
      </c>
      <c r="BZ67" s="143" t="e">
        <f t="shared" ref="BZ67:BZ115" si="50">M67-IF($BN67=BZ$62,$BM67,0)+IF($BN67=BZ$62,$BK67,0)</f>
        <v>#N/A</v>
      </c>
      <c r="CA67" s="143" t="e">
        <f t="shared" ref="CA67:CA115" si="51">N67-IF($BN67=CA$62,$BM67,0)+IF($BN67=CA$62,$BK67,0)</f>
        <v>#N/A</v>
      </c>
      <c r="CB67" s="143" t="e">
        <f t="shared" ref="CB67:CB115" si="52">O67-IF($BN67=CB$62,$BM67,0)+IF($BN67=CB$62,$BK67,0)</f>
        <v>#N/A</v>
      </c>
      <c r="CC67" s="143" t="e">
        <f t="shared" ref="CC67:CC115" si="53">P67-IF($BN67=CC$62,$BM67,0)+IF($BN67=CC$62,$BK67,0)</f>
        <v>#N/A</v>
      </c>
      <c r="CD67" s="143" t="e">
        <f t="shared" ref="CD67:CD115" si="54">Q67-IF($BN67=CD$62,$BM67,0)+IF($BN67=CD$62,$BK67,0)</f>
        <v>#N/A</v>
      </c>
      <c r="CE67" s="143" t="e">
        <f t="shared" ref="CE67:CE115" si="55">R67-IF($BN67=CE$62,$BM67,0)+IF($BN67=CE$62,$BK67,0)</f>
        <v>#N/A</v>
      </c>
      <c r="CF67" s="143" t="e">
        <f t="shared" ref="CF67:CF115" si="56">S67-IF($BN67=CF$62,$BM67,0)+IF($BN67=CF$62,$BK67,0)</f>
        <v>#N/A</v>
      </c>
      <c r="CG67" s="143" t="e">
        <f t="shared" ref="CG67:CG115" si="57">T67-IF($BN67=CG$62,$BM67,0)+IF($BN67=CG$62,$BK67,0)</f>
        <v>#N/A</v>
      </c>
      <c r="CH67" s="143" t="e">
        <f t="shared" ref="CH67:CH115" si="58">U67-IF($BN67=CH$62,$BM67,0)+IF($BN67=CH$62,$BK67,0)</f>
        <v>#N/A</v>
      </c>
      <c r="CI67" t="e">
        <f t="shared" ref="CI67:CI115" si="59">BO67&lt;=0</f>
        <v>#N/A</v>
      </c>
      <c r="CJ67" t="e">
        <f t="shared" ref="CJ67:CJ115" si="60">BP67&lt;=0</f>
        <v>#N/A</v>
      </c>
      <c r="CK67" t="e">
        <f t="shared" ref="CK67:CK115" si="61">BQ67&lt;=0</f>
        <v>#N/A</v>
      </c>
      <c r="CL67" t="e">
        <f t="shared" ref="CL67:CL115" si="62">BR67&lt;=0</f>
        <v>#N/A</v>
      </c>
      <c r="CM67" t="e">
        <f t="shared" ref="CM67:CM115" si="63">BS67&lt;=0</f>
        <v>#N/A</v>
      </c>
      <c r="CN67" t="e">
        <f t="shared" ref="CN67:CN115" si="64">BT67&lt;=0</f>
        <v>#N/A</v>
      </c>
      <c r="CO67" t="e">
        <f t="shared" ref="CO67:CO115" si="65">BU67&lt;=0</f>
        <v>#N/A</v>
      </c>
      <c r="CP67" t="e">
        <f t="shared" ref="CP67:CP115" si="66">BV67&lt;=0</f>
        <v>#N/A</v>
      </c>
      <c r="CQ67" t="e">
        <f t="shared" ref="CQ67:CQ115" si="67">BW67&lt;=0</f>
        <v>#N/A</v>
      </c>
      <c r="CR67" t="e">
        <f t="shared" ref="CR67:CR115" si="68">BX67&lt;=0</f>
        <v>#N/A</v>
      </c>
      <c r="CS67" t="e">
        <f t="shared" ref="CS67:CS115" si="69">BY67&lt;=0</f>
        <v>#N/A</v>
      </c>
      <c r="CT67" t="e">
        <f t="shared" ref="CT67:CT115" si="70">BZ67&lt;=0</f>
        <v>#N/A</v>
      </c>
      <c r="CU67" t="e">
        <f t="shared" ref="CU67:CU115" si="71">CA67&lt;=0</f>
        <v>#N/A</v>
      </c>
      <c r="CV67" t="e">
        <f t="shared" ref="CV67:CV115" si="72">CB67&lt;=0</f>
        <v>#N/A</v>
      </c>
      <c r="CW67" t="e">
        <f t="shared" ref="CW67:CW115" si="73">CC67&lt;=0</f>
        <v>#N/A</v>
      </c>
      <c r="CX67" t="e">
        <f t="shared" ref="CX67:CX115" si="74">CD67&lt;=0</f>
        <v>#N/A</v>
      </c>
      <c r="CY67" t="e">
        <f t="shared" ref="CY67:CY115" si="75">CE67&lt;=0</f>
        <v>#N/A</v>
      </c>
      <c r="CZ67" t="e">
        <f t="shared" ref="CZ67:CZ115" si="76">CF67&lt;=0</f>
        <v>#N/A</v>
      </c>
      <c r="DA67" t="e">
        <f t="shared" ref="DA67:DA115" si="77">CG67&lt;=0</f>
        <v>#N/A</v>
      </c>
      <c r="DB67" t="e">
        <f t="shared" ref="DB67:DB115" si="78">CH67&lt;=0</f>
        <v>#N/A</v>
      </c>
      <c r="DC67" s="142" t="e">
        <f t="shared" ref="DC67:DC115" si="79">BL67-BJ67</f>
        <v>#N/A</v>
      </c>
      <c r="DD67" t="e">
        <f t="shared" ref="DD67:DD130" si="80">DC67&lt;=0</f>
        <v>#N/A</v>
      </c>
      <c r="DE67" t="b">
        <f t="shared" ref="DE67:DE115" si="81">COUNTIF(CI67:DB67,TRUE)=20</f>
        <v>0</v>
      </c>
    </row>
    <row r="68" spans="1:112">
      <c r="A68">
        <f t="shared" ref="A68:A131" si="82">A67+1</f>
        <v>3</v>
      </c>
      <c r="B68" s="140" t="e">
        <f t="shared" ref="B68:B131" si="83">BO67</f>
        <v>#N/A</v>
      </c>
      <c r="C68" s="140" t="e">
        <f t="shared" ref="C68:C131" si="84">BP67</f>
        <v>#N/A</v>
      </c>
      <c r="D68" s="140" t="e">
        <f t="shared" ref="D68:D131" si="85">BQ67</f>
        <v>#N/A</v>
      </c>
      <c r="E68" s="140" t="e">
        <f t="shared" ref="E68:E131" si="86">BR67</f>
        <v>#N/A</v>
      </c>
      <c r="F68" s="140" t="e">
        <f t="shared" ref="F68:F131" si="87">BS67</f>
        <v>#N/A</v>
      </c>
      <c r="G68" s="140" t="e">
        <f t="shared" ref="G68:G131" si="88">BT67</f>
        <v>#N/A</v>
      </c>
      <c r="H68" s="140" t="e">
        <f t="shared" ref="H68:H131" si="89">BU67</f>
        <v>#N/A</v>
      </c>
      <c r="I68" s="140" t="e">
        <f t="shared" ref="I68:I131" si="90">BV67</f>
        <v>#N/A</v>
      </c>
      <c r="J68" s="140" t="e">
        <f t="shared" ref="J68:J131" si="91">BW67</f>
        <v>#N/A</v>
      </c>
      <c r="K68" s="140" t="e">
        <f t="shared" ref="K68:K131" si="92">BX67</f>
        <v>#N/A</v>
      </c>
      <c r="L68" s="140" t="e">
        <f t="shared" ref="L68:L131" si="93">BY67</f>
        <v>#N/A</v>
      </c>
      <c r="M68" s="140" t="e">
        <f t="shared" ref="M68:M131" si="94">BZ67</f>
        <v>#N/A</v>
      </c>
      <c r="N68" s="140" t="e">
        <f t="shared" ref="N68:N131" si="95">CA67</f>
        <v>#N/A</v>
      </c>
      <c r="O68" s="140" t="e">
        <f t="shared" ref="O68:O131" si="96">CB67</f>
        <v>#N/A</v>
      </c>
      <c r="P68" s="140" t="e">
        <f t="shared" ref="P68:P131" si="97">CC67</f>
        <v>#N/A</v>
      </c>
      <c r="Q68" s="140" t="e">
        <f t="shared" ref="Q68:Q131" si="98">CD67</f>
        <v>#N/A</v>
      </c>
      <c r="R68" s="140" t="e">
        <f t="shared" ref="R68:R131" si="99">CE67</f>
        <v>#N/A</v>
      </c>
      <c r="S68" s="140" t="e">
        <f t="shared" ref="S68:S131" si="100">CF67</f>
        <v>#N/A</v>
      </c>
      <c r="T68" s="140" t="e">
        <f t="shared" ref="T68:T131" si="101">CG67</f>
        <v>#N/A</v>
      </c>
      <c r="U68" s="140" t="e">
        <f t="shared" ref="U68:U131" si="102">CH67</f>
        <v>#N/A</v>
      </c>
      <c r="V68" s="141" t="str">
        <f t="shared" si="14"/>
        <v>DPS</v>
      </c>
      <c r="W68" s="141" t="str">
        <f t="shared" si="15"/>
        <v>DPS</v>
      </c>
      <c r="X68" s="141" t="str">
        <f t="shared" si="16"/>
        <v>DPS</v>
      </c>
      <c r="Y68" s="141" t="str">
        <f t="shared" si="17"/>
        <v>DPS</v>
      </c>
      <c r="Z68" s="141" t="str">
        <f t="shared" si="18"/>
        <v>DPS</v>
      </c>
      <c r="AA68" s="141" t="str">
        <f t="shared" si="19"/>
        <v>DPS</v>
      </c>
      <c r="AB68" s="141" t="str">
        <f t="shared" si="20"/>
        <v>DPS</v>
      </c>
      <c r="AC68" s="141" t="str">
        <f t="shared" si="21"/>
        <v>DPS</v>
      </c>
      <c r="AD68" s="141" t="str">
        <f t="shared" si="22"/>
        <v>DPS</v>
      </c>
      <c r="AE68" s="141" t="str">
        <f t="shared" si="23"/>
        <v>DPS</v>
      </c>
      <c r="AF68" s="141" t="str">
        <f t="shared" si="24"/>
        <v>DPS</v>
      </c>
      <c r="AG68" s="141" t="str">
        <f t="shared" si="25"/>
        <v>DPS</v>
      </c>
      <c r="AH68" s="141" t="str">
        <f t="shared" si="26"/>
        <v>DPS</v>
      </c>
      <c r="AI68" s="141" t="str">
        <f t="shared" si="27"/>
        <v>HPS</v>
      </c>
      <c r="AJ68" s="141" t="str">
        <f t="shared" si="28"/>
        <v>HPS</v>
      </c>
      <c r="AK68" s="141" t="str">
        <f t="shared" si="29"/>
        <v>HPS</v>
      </c>
      <c r="AL68" s="141" t="str">
        <f t="shared" si="30"/>
        <v>HPS</v>
      </c>
      <c r="AM68" s="141" t="str">
        <f t="shared" si="31"/>
        <v>HPS</v>
      </c>
      <c r="AN68" s="141" t="str">
        <f t="shared" si="32"/>
        <v>HPS</v>
      </c>
      <c r="AO68" s="141" t="str">
        <f t="shared" si="33"/>
        <v>HPS</v>
      </c>
      <c r="AP68" s="134" t="e">
        <f t="shared" ref="AP68:AP131" si="103">IF(CI67=TRUE,0,AP67)</f>
        <v>#N/A</v>
      </c>
      <c r="AQ68" s="134" t="e">
        <f t="shared" ref="AQ68:AQ131" si="104">IF(CJ67=TRUE,0,AQ67)</f>
        <v>#N/A</v>
      </c>
      <c r="AR68" s="134" t="e">
        <f t="shared" ref="AR68:AR131" si="105">IF(CK67=TRUE,0,AR67)</f>
        <v>#N/A</v>
      </c>
      <c r="AS68" s="134" t="e">
        <f t="shared" ref="AS68:AS131" si="106">IF(CL67=TRUE,0,AS67)</f>
        <v>#N/A</v>
      </c>
      <c r="AT68" s="134" t="e">
        <f t="shared" ref="AT68:AT131" si="107">IF(CM67=TRUE,0,AT67)</f>
        <v>#N/A</v>
      </c>
      <c r="AU68" s="134" t="e">
        <f t="shared" ref="AU68:AU131" si="108">IF(CN67=TRUE,0,AU67)</f>
        <v>#N/A</v>
      </c>
      <c r="AV68" s="134" t="e">
        <f t="shared" ref="AV68:AV131" si="109">IF(CO67=TRUE,0,AV67)</f>
        <v>#N/A</v>
      </c>
      <c r="AW68" s="134" t="e">
        <f t="shared" ref="AW68:AW131" si="110">IF(CP67=TRUE,0,AW67)</f>
        <v>#N/A</v>
      </c>
      <c r="AX68" s="134" t="e">
        <f t="shared" ref="AX68:AX131" si="111">IF(CQ67=TRUE,0,AX67)</f>
        <v>#N/A</v>
      </c>
      <c r="AY68" s="134" t="e">
        <f t="shared" ref="AY68:AY131" si="112">IF(CR67=TRUE,0,AY67)</f>
        <v>#N/A</v>
      </c>
      <c r="AZ68" s="134" t="e">
        <f t="shared" ref="AZ68:AZ131" si="113">IF(CS67=TRUE,0,AZ67)</f>
        <v>#N/A</v>
      </c>
      <c r="BA68" s="134" t="e">
        <f t="shared" ref="BA68:BA131" si="114">IF(CT67=TRUE,0,BA67)</f>
        <v>#N/A</v>
      </c>
      <c r="BB68" s="134" t="e">
        <f t="shared" ref="BB68:BB131" si="115">IF(CU67=TRUE,0,BB67)</f>
        <v>#N/A</v>
      </c>
      <c r="BC68" s="134" t="e">
        <f t="shared" ref="BC68:BC131" si="116">IF(CV67=TRUE,0,BC67)</f>
        <v>#N/A</v>
      </c>
      <c r="BD68" s="134" t="e">
        <f t="shared" ref="BD68:BD131" si="117">IF(CW67=TRUE,0,BD67)</f>
        <v>#N/A</v>
      </c>
      <c r="BE68" s="134" t="e">
        <f t="shared" ref="BE68:BE131" si="118">IF(CX67=TRUE,0,BE67)</f>
        <v>#N/A</v>
      </c>
      <c r="BF68" s="134" t="e">
        <f t="shared" ref="BF68:BF131" si="119">IF(CY67=TRUE,0,BF67)</f>
        <v>#N/A</v>
      </c>
      <c r="BG68" s="134" t="e">
        <f t="shared" ref="BG68:BG131" si="120">IF(CZ67=TRUE,0,BG67)</f>
        <v>#N/A</v>
      </c>
      <c r="BH68" s="134" t="e">
        <f t="shared" ref="BH68:BH131" si="121">IF(DA67=TRUE,0,BH67)</f>
        <v>#N/A</v>
      </c>
      <c r="BI68" s="134" t="e">
        <f t="shared" ref="BI68:BI131" si="122">IF(DB67=TRUE,0,BI67)</f>
        <v>#N/A</v>
      </c>
      <c r="BJ68" t="e">
        <f t="shared" si="35"/>
        <v>#N/A</v>
      </c>
      <c r="BK68" t="e">
        <f t="shared" si="36"/>
        <v>#N/A</v>
      </c>
      <c r="BL68" s="142" t="e">
        <f t="shared" ref="BL68:BL115" si="123">DC67</f>
        <v>#N/A</v>
      </c>
      <c r="BM68" s="142">
        <f t="shared" si="37"/>
        <v>2650</v>
      </c>
      <c r="BN68" t="e">
        <f t="shared" si="38"/>
        <v>#NUM!</v>
      </c>
      <c r="BO68" s="143" t="e">
        <f t="shared" si="39"/>
        <v>#N/A</v>
      </c>
      <c r="BP68" s="143" t="e">
        <f t="shared" si="40"/>
        <v>#N/A</v>
      </c>
      <c r="BQ68" s="143" t="e">
        <f t="shared" si="41"/>
        <v>#N/A</v>
      </c>
      <c r="BR68" s="143" t="e">
        <f t="shared" si="42"/>
        <v>#N/A</v>
      </c>
      <c r="BS68" s="143" t="e">
        <f t="shared" si="43"/>
        <v>#N/A</v>
      </c>
      <c r="BT68" s="143" t="e">
        <f t="shared" si="44"/>
        <v>#N/A</v>
      </c>
      <c r="BU68" s="143" t="e">
        <f t="shared" si="45"/>
        <v>#N/A</v>
      </c>
      <c r="BV68" s="143" t="e">
        <f t="shared" si="46"/>
        <v>#N/A</v>
      </c>
      <c r="BW68" s="143" t="e">
        <f t="shared" si="47"/>
        <v>#N/A</v>
      </c>
      <c r="BX68" s="143" t="e">
        <f t="shared" si="48"/>
        <v>#N/A</v>
      </c>
      <c r="BY68" s="143" t="e">
        <f t="shared" si="49"/>
        <v>#N/A</v>
      </c>
      <c r="BZ68" s="143" t="e">
        <f t="shared" si="50"/>
        <v>#N/A</v>
      </c>
      <c r="CA68" s="143" t="e">
        <f t="shared" si="51"/>
        <v>#N/A</v>
      </c>
      <c r="CB68" s="143" t="e">
        <f t="shared" si="52"/>
        <v>#N/A</v>
      </c>
      <c r="CC68" s="143" t="e">
        <f t="shared" si="53"/>
        <v>#N/A</v>
      </c>
      <c r="CD68" s="143" t="e">
        <f t="shared" si="54"/>
        <v>#N/A</v>
      </c>
      <c r="CE68" s="143" t="e">
        <f t="shared" si="55"/>
        <v>#N/A</v>
      </c>
      <c r="CF68" s="143" t="e">
        <f t="shared" si="56"/>
        <v>#N/A</v>
      </c>
      <c r="CG68" s="143" t="e">
        <f t="shared" si="57"/>
        <v>#N/A</v>
      </c>
      <c r="CH68" s="143" t="e">
        <f t="shared" si="58"/>
        <v>#N/A</v>
      </c>
      <c r="CI68" t="e">
        <f t="shared" si="59"/>
        <v>#N/A</v>
      </c>
      <c r="CJ68" t="e">
        <f t="shared" si="60"/>
        <v>#N/A</v>
      </c>
      <c r="CK68" t="e">
        <f t="shared" si="61"/>
        <v>#N/A</v>
      </c>
      <c r="CL68" t="e">
        <f t="shared" si="62"/>
        <v>#N/A</v>
      </c>
      <c r="CM68" t="e">
        <f t="shared" si="63"/>
        <v>#N/A</v>
      </c>
      <c r="CN68" t="e">
        <f t="shared" si="64"/>
        <v>#N/A</v>
      </c>
      <c r="CO68" t="e">
        <f t="shared" si="65"/>
        <v>#N/A</v>
      </c>
      <c r="CP68" t="e">
        <f t="shared" si="66"/>
        <v>#N/A</v>
      </c>
      <c r="CQ68" t="e">
        <f t="shared" si="67"/>
        <v>#N/A</v>
      </c>
      <c r="CR68" t="e">
        <f t="shared" si="68"/>
        <v>#N/A</v>
      </c>
      <c r="CS68" t="e">
        <f t="shared" si="69"/>
        <v>#N/A</v>
      </c>
      <c r="CT68" t="e">
        <f t="shared" si="70"/>
        <v>#N/A</v>
      </c>
      <c r="CU68" t="e">
        <f t="shared" si="71"/>
        <v>#N/A</v>
      </c>
      <c r="CV68" t="e">
        <f t="shared" si="72"/>
        <v>#N/A</v>
      </c>
      <c r="CW68" t="e">
        <f t="shared" si="73"/>
        <v>#N/A</v>
      </c>
      <c r="CX68" t="e">
        <f t="shared" si="74"/>
        <v>#N/A</v>
      </c>
      <c r="CY68" t="e">
        <f t="shared" si="75"/>
        <v>#N/A</v>
      </c>
      <c r="CZ68" t="e">
        <f t="shared" si="76"/>
        <v>#N/A</v>
      </c>
      <c r="DA68" t="e">
        <f t="shared" si="77"/>
        <v>#N/A</v>
      </c>
      <c r="DB68" t="e">
        <f t="shared" si="78"/>
        <v>#N/A</v>
      </c>
      <c r="DC68" s="142" t="e">
        <f t="shared" si="79"/>
        <v>#N/A</v>
      </c>
      <c r="DD68" t="e">
        <f t="shared" si="80"/>
        <v>#N/A</v>
      </c>
      <c r="DE68" t="b">
        <f t="shared" si="81"/>
        <v>0</v>
      </c>
    </row>
    <row r="69" spans="1:112">
      <c r="A69">
        <f t="shared" si="82"/>
        <v>4</v>
      </c>
      <c r="B69" s="140" t="e">
        <f t="shared" si="83"/>
        <v>#N/A</v>
      </c>
      <c r="C69" s="140" t="e">
        <f t="shared" si="84"/>
        <v>#N/A</v>
      </c>
      <c r="D69" s="140" t="e">
        <f t="shared" si="85"/>
        <v>#N/A</v>
      </c>
      <c r="E69" s="140" t="e">
        <f t="shared" si="86"/>
        <v>#N/A</v>
      </c>
      <c r="F69" s="140" t="e">
        <f t="shared" si="87"/>
        <v>#N/A</v>
      </c>
      <c r="G69" s="140" t="e">
        <f t="shared" si="88"/>
        <v>#N/A</v>
      </c>
      <c r="H69" s="140" t="e">
        <f t="shared" si="89"/>
        <v>#N/A</v>
      </c>
      <c r="I69" s="140" t="e">
        <f t="shared" si="90"/>
        <v>#N/A</v>
      </c>
      <c r="J69" s="140" t="e">
        <f t="shared" si="91"/>
        <v>#N/A</v>
      </c>
      <c r="K69" s="140" t="e">
        <f t="shared" si="92"/>
        <v>#N/A</v>
      </c>
      <c r="L69" s="140" t="e">
        <f t="shared" si="93"/>
        <v>#N/A</v>
      </c>
      <c r="M69" s="140" t="e">
        <f t="shared" si="94"/>
        <v>#N/A</v>
      </c>
      <c r="N69" s="140" t="e">
        <f t="shared" si="95"/>
        <v>#N/A</v>
      </c>
      <c r="O69" s="140" t="e">
        <f t="shared" si="96"/>
        <v>#N/A</v>
      </c>
      <c r="P69" s="140" t="e">
        <f t="shared" si="97"/>
        <v>#N/A</v>
      </c>
      <c r="Q69" s="140" t="e">
        <f t="shared" si="98"/>
        <v>#N/A</v>
      </c>
      <c r="R69" s="140" t="e">
        <f t="shared" si="99"/>
        <v>#N/A</v>
      </c>
      <c r="S69" s="140" t="e">
        <f t="shared" si="100"/>
        <v>#N/A</v>
      </c>
      <c r="T69" s="140" t="e">
        <f t="shared" si="101"/>
        <v>#N/A</v>
      </c>
      <c r="U69" s="140" t="e">
        <f t="shared" si="102"/>
        <v>#N/A</v>
      </c>
      <c r="V69" s="141" t="str">
        <f t="shared" si="14"/>
        <v>DPS</v>
      </c>
      <c r="W69" s="141" t="str">
        <f t="shared" si="15"/>
        <v>DPS</v>
      </c>
      <c r="X69" s="141" t="str">
        <f t="shared" si="16"/>
        <v>DPS</v>
      </c>
      <c r="Y69" s="141" t="str">
        <f t="shared" si="17"/>
        <v>DPS</v>
      </c>
      <c r="Z69" s="141" t="str">
        <f t="shared" si="18"/>
        <v>DPS</v>
      </c>
      <c r="AA69" s="141" t="str">
        <f t="shared" si="19"/>
        <v>DPS</v>
      </c>
      <c r="AB69" s="141" t="str">
        <f t="shared" si="20"/>
        <v>DPS</v>
      </c>
      <c r="AC69" s="141" t="str">
        <f t="shared" si="21"/>
        <v>DPS</v>
      </c>
      <c r="AD69" s="141" t="str">
        <f t="shared" si="22"/>
        <v>DPS</v>
      </c>
      <c r="AE69" s="141" t="str">
        <f t="shared" si="23"/>
        <v>DPS</v>
      </c>
      <c r="AF69" s="141" t="str">
        <f t="shared" si="24"/>
        <v>DPS</v>
      </c>
      <c r="AG69" s="141" t="str">
        <f t="shared" si="25"/>
        <v>DPS</v>
      </c>
      <c r="AH69" s="141" t="str">
        <f t="shared" si="26"/>
        <v>DPS</v>
      </c>
      <c r="AI69" s="141" t="str">
        <f t="shared" si="27"/>
        <v>HPS</v>
      </c>
      <c r="AJ69" s="141" t="str">
        <f t="shared" si="28"/>
        <v>HPS</v>
      </c>
      <c r="AK69" s="141" t="str">
        <f t="shared" si="29"/>
        <v>HPS</v>
      </c>
      <c r="AL69" s="141" t="str">
        <f t="shared" si="30"/>
        <v>HPS</v>
      </c>
      <c r="AM69" s="141" t="str">
        <f t="shared" si="31"/>
        <v>HPS</v>
      </c>
      <c r="AN69" s="141" t="str">
        <f t="shared" si="32"/>
        <v>HPS</v>
      </c>
      <c r="AO69" s="141" t="str">
        <f t="shared" si="33"/>
        <v>HPS</v>
      </c>
      <c r="AP69" s="134" t="e">
        <f t="shared" si="103"/>
        <v>#N/A</v>
      </c>
      <c r="AQ69" s="134" t="e">
        <f t="shared" si="104"/>
        <v>#N/A</v>
      </c>
      <c r="AR69" s="134" t="e">
        <f t="shared" si="105"/>
        <v>#N/A</v>
      </c>
      <c r="AS69" s="134" t="e">
        <f t="shared" si="106"/>
        <v>#N/A</v>
      </c>
      <c r="AT69" s="134" t="e">
        <f t="shared" si="107"/>
        <v>#N/A</v>
      </c>
      <c r="AU69" s="134" t="e">
        <f t="shared" si="108"/>
        <v>#N/A</v>
      </c>
      <c r="AV69" s="134" t="e">
        <f t="shared" si="109"/>
        <v>#N/A</v>
      </c>
      <c r="AW69" s="134" t="e">
        <f t="shared" si="110"/>
        <v>#N/A</v>
      </c>
      <c r="AX69" s="134" t="e">
        <f t="shared" si="111"/>
        <v>#N/A</v>
      </c>
      <c r="AY69" s="134" t="e">
        <f t="shared" si="112"/>
        <v>#N/A</v>
      </c>
      <c r="AZ69" s="134" t="e">
        <f t="shared" si="113"/>
        <v>#N/A</v>
      </c>
      <c r="BA69" s="134" t="e">
        <f t="shared" si="114"/>
        <v>#N/A</v>
      </c>
      <c r="BB69" s="134" t="e">
        <f t="shared" si="115"/>
        <v>#N/A</v>
      </c>
      <c r="BC69" s="134" t="e">
        <f t="shared" si="116"/>
        <v>#N/A</v>
      </c>
      <c r="BD69" s="134" t="e">
        <f t="shared" si="117"/>
        <v>#N/A</v>
      </c>
      <c r="BE69" s="134" t="e">
        <f t="shared" si="118"/>
        <v>#N/A</v>
      </c>
      <c r="BF69" s="134" t="e">
        <f t="shared" si="119"/>
        <v>#N/A</v>
      </c>
      <c r="BG69" s="134" t="e">
        <f t="shared" si="120"/>
        <v>#N/A</v>
      </c>
      <c r="BH69" s="134" t="e">
        <f t="shared" si="121"/>
        <v>#N/A</v>
      </c>
      <c r="BI69" s="134" t="e">
        <f t="shared" si="122"/>
        <v>#N/A</v>
      </c>
      <c r="BJ69" t="e">
        <f t="shared" si="35"/>
        <v>#N/A</v>
      </c>
      <c r="BK69" t="e">
        <f t="shared" si="36"/>
        <v>#N/A</v>
      </c>
      <c r="BL69" s="142" t="e">
        <f t="shared" si="123"/>
        <v>#N/A</v>
      </c>
      <c r="BM69" s="142">
        <f t="shared" si="37"/>
        <v>2650</v>
      </c>
      <c r="BN69" t="e">
        <f t="shared" si="38"/>
        <v>#NUM!</v>
      </c>
      <c r="BO69" s="143" t="e">
        <f t="shared" si="39"/>
        <v>#N/A</v>
      </c>
      <c r="BP69" s="143" t="e">
        <f t="shared" si="40"/>
        <v>#N/A</v>
      </c>
      <c r="BQ69" s="143" t="e">
        <f t="shared" si="41"/>
        <v>#N/A</v>
      </c>
      <c r="BR69" s="143" t="e">
        <f t="shared" si="42"/>
        <v>#N/A</v>
      </c>
      <c r="BS69" s="143" t="e">
        <f t="shared" si="43"/>
        <v>#N/A</v>
      </c>
      <c r="BT69" s="143" t="e">
        <f t="shared" si="44"/>
        <v>#N/A</v>
      </c>
      <c r="BU69" s="143" t="e">
        <f t="shared" si="45"/>
        <v>#N/A</v>
      </c>
      <c r="BV69" s="143" t="e">
        <f t="shared" si="46"/>
        <v>#N/A</v>
      </c>
      <c r="BW69" s="143" t="e">
        <f t="shared" si="47"/>
        <v>#N/A</v>
      </c>
      <c r="BX69" s="143" t="e">
        <f t="shared" si="48"/>
        <v>#N/A</v>
      </c>
      <c r="BY69" s="143" t="e">
        <f t="shared" si="49"/>
        <v>#N/A</v>
      </c>
      <c r="BZ69" s="143" t="e">
        <f t="shared" si="50"/>
        <v>#N/A</v>
      </c>
      <c r="CA69" s="143" t="e">
        <f t="shared" si="51"/>
        <v>#N/A</v>
      </c>
      <c r="CB69" s="143" t="e">
        <f t="shared" si="52"/>
        <v>#N/A</v>
      </c>
      <c r="CC69" s="143" t="e">
        <f t="shared" si="53"/>
        <v>#N/A</v>
      </c>
      <c r="CD69" s="143" t="e">
        <f t="shared" si="54"/>
        <v>#N/A</v>
      </c>
      <c r="CE69" s="143" t="e">
        <f t="shared" si="55"/>
        <v>#N/A</v>
      </c>
      <c r="CF69" s="143" t="e">
        <f t="shared" si="56"/>
        <v>#N/A</v>
      </c>
      <c r="CG69" s="143" t="e">
        <f t="shared" si="57"/>
        <v>#N/A</v>
      </c>
      <c r="CH69" s="143" t="e">
        <f t="shared" si="58"/>
        <v>#N/A</v>
      </c>
      <c r="CI69" t="e">
        <f t="shared" si="59"/>
        <v>#N/A</v>
      </c>
      <c r="CJ69" t="e">
        <f t="shared" si="60"/>
        <v>#N/A</v>
      </c>
      <c r="CK69" t="e">
        <f t="shared" si="61"/>
        <v>#N/A</v>
      </c>
      <c r="CL69" t="e">
        <f t="shared" si="62"/>
        <v>#N/A</v>
      </c>
      <c r="CM69" t="e">
        <f t="shared" si="63"/>
        <v>#N/A</v>
      </c>
      <c r="CN69" t="e">
        <f t="shared" si="64"/>
        <v>#N/A</v>
      </c>
      <c r="CO69" t="e">
        <f t="shared" si="65"/>
        <v>#N/A</v>
      </c>
      <c r="CP69" t="e">
        <f t="shared" si="66"/>
        <v>#N/A</v>
      </c>
      <c r="CQ69" t="e">
        <f t="shared" si="67"/>
        <v>#N/A</v>
      </c>
      <c r="CR69" t="e">
        <f t="shared" si="68"/>
        <v>#N/A</v>
      </c>
      <c r="CS69" t="e">
        <f t="shared" si="69"/>
        <v>#N/A</v>
      </c>
      <c r="CT69" t="e">
        <f t="shared" si="70"/>
        <v>#N/A</v>
      </c>
      <c r="CU69" t="e">
        <f t="shared" si="71"/>
        <v>#N/A</v>
      </c>
      <c r="CV69" t="e">
        <f t="shared" si="72"/>
        <v>#N/A</v>
      </c>
      <c r="CW69" t="e">
        <f t="shared" si="73"/>
        <v>#N/A</v>
      </c>
      <c r="CX69" t="e">
        <f t="shared" si="74"/>
        <v>#N/A</v>
      </c>
      <c r="CY69" t="e">
        <f t="shared" si="75"/>
        <v>#N/A</v>
      </c>
      <c r="CZ69" t="e">
        <f t="shared" si="76"/>
        <v>#N/A</v>
      </c>
      <c r="DA69" t="e">
        <f t="shared" si="77"/>
        <v>#N/A</v>
      </c>
      <c r="DB69" t="e">
        <f t="shared" si="78"/>
        <v>#N/A</v>
      </c>
      <c r="DC69" s="142" t="e">
        <f t="shared" si="79"/>
        <v>#N/A</v>
      </c>
      <c r="DD69" t="e">
        <f t="shared" si="80"/>
        <v>#N/A</v>
      </c>
      <c r="DE69" t="b">
        <f t="shared" si="81"/>
        <v>0</v>
      </c>
    </row>
    <row r="70" spans="1:112">
      <c r="A70">
        <f t="shared" si="82"/>
        <v>5</v>
      </c>
      <c r="B70" s="140" t="e">
        <f t="shared" si="83"/>
        <v>#N/A</v>
      </c>
      <c r="C70" s="140" t="e">
        <f t="shared" si="84"/>
        <v>#N/A</v>
      </c>
      <c r="D70" s="140" t="e">
        <f t="shared" si="85"/>
        <v>#N/A</v>
      </c>
      <c r="E70" s="140" t="e">
        <f t="shared" si="86"/>
        <v>#N/A</v>
      </c>
      <c r="F70" s="140" t="e">
        <f t="shared" si="87"/>
        <v>#N/A</v>
      </c>
      <c r="G70" s="140" t="e">
        <f t="shared" si="88"/>
        <v>#N/A</v>
      </c>
      <c r="H70" s="140" t="e">
        <f t="shared" si="89"/>
        <v>#N/A</v>
      </c>
      <c r="I70" s="140" t="e">
        <f t="shared" si="90"/>
        <v>#N/A</v>
      </c>
      <c r="J70" s="140" t="e">
        <f t="shared" si="91"/>
        <v>#N/A</v>
      </c>
      <c r="K70" s="140" t="e">
        <f t="shared" si="92"/>
        <v>#N/A</v>
      </c>
      <c r="L70" s="140" t="e">
        <f t="shared" si="93"/>
        <v>#N/A</v>
      </c>
      <c r="M70" s="140" t="e">
        <f t="shared" si="94"/>
        <v>#N/A</v>
      </c>
      <c r="N70" s="140" t="e">
        <f t="shared" si="95"/>
        <v>#N/A</v>
      </c>
      <c r="O70" s="140" t="e">
        <f t="shared" si="96"/>
        <v>#N/A</v>
      </c>
      <c r="P70" s="140" t="e">
        <f t="shared" si="97"/>
        <v>#N/A</v>
      </c>
      <c r="Q70" s="140" t="e">
        <f t="shared" si="98"/>
        <v>#N/A</v>
      </c>
      <c r="R70" s="140" t="e">
        <f t="shared" si="99"/>
        <v>#N/A</v>
      </c>
      <c r="S70" s="140" t="e">
        <f t="shared" si="100"/>
        <v>#N/A</v>
      </c>
      <c r="T70" s="140" t="e">
        <f t="shared" si="101"/>
        <v>#N/A</v>
      </c>
      <c r="U70" s="140" t="e">
        <f t="shared" si="102"/>
        <v>#N/A</v>
      </c>
      <c r="V70" s="141" t="str">
        <f t="shared" si="14"/>
        <v>DPS</v>
      </c>
      <c r="W70" s="141" t="str">
        <f t="shared" si="15"/>
        <v>DPS</v>
      </c>
      <c r="X70" s="141" t="str">
        <f t="shared" si="16"/>
        <v>DPS</v>
      </c>
      <c r="Y70" s="141" t="str">
        <f t="shared" si="17"/>
        <v>DPS</v>
      </c>
      <c r="Z70" s="141" t="str">
        <f t="shared" si="18"/>
        <v>DPS</v>
      </c>
      <c r="AA70" s="141" t="str">
        <f t="shared" si="19"/>
        <v>DPS</v>
      </c>
      <c r="AB70" s="141" t="str">
        <f t="shared" si="20"/>
        <v>DPS</v>
      </c>
      <c r="AC70" s="141" t="str">
        <f t="shared" si="21"/>
        <v>DPS</v>
      </c>
      <c r="AD70" s="141" t="str">
        <f t="shared" si="22"/>
        <v>DPS</v>
      </c>
      <c r="AE70" s="141" t="str">
        <f t="shared" si="23"/>
        <v>DPS</v>
      </c>
      <c r="AF70" s="141" t="str">
        <f t="shared" si="24"/>
        <v>DPS</v>
      </c>
      <c r="AG70" s="141" t="str">
        <f t="shared" si="25"/>
        <v>DPS</v>
      </c>
      <c r="AH70" s="141" t="str">
        <f t="shared" si="26"/>
        <v>DPS</v>
      </c>
      <c r="AI70" s="141" t="str">
        <f t="shared" si="27"/>
        <v>HPS</v>
      </c>
      <c r="AJ70" s="141" t="str">
        <f t="shared" si="28"/>
        <v>HPS</v>
      </c>
      <c r="AK70" s="141" t="str">
        <f t="shared" si="29"/>
        <v>HPS</v>
      </c>
      <c r="AL70" s="141" t="str">
        <f t="shared" si="30"/>
        <v>HPS</v>
      </c>
      <c r="AM70" s="141" t="str">
        <f t="shared" si="31"/>
        <v>HPS</v>
      </c>
      <c r="AN70" s="141" t="str">
        <f t="shared" si="32"/>
        <v>HPS</v>
      </c>
      <c r="AO70" s="141" t="str">
        <f t="shared" si="33"/>
        <v>HPS</v>
      </c>
      <c r="AP70" s="134" t="e">
        <f t="shared" si="103"/>
        <v>#N/A</v>
      </c>
      <c r="AQ70" s="134" t="e">
        <f t="shared" si="104"/>
        <v>#N/A</v>
      </c>
      <c r="AR70" s="134" t="e">
        <f t="shared" si="105"/>
        <v>#N/A</v>
      </c>
      <c r="AS70" s="134" t="e">
        <f t="shared" si="106"/>
        <v>#N/A</v>
      </c>
      <c r="AT70" s="134" t="e">
        <f t="shared" si="107"/>
        <v>#N/A</v>
      </c>
      <c r="AU70" s="134" t="e">
        <f t="shared" si="108"/>
        <v>#N/A</v>
      </c>
      <c r="AV70" s="134" t="e">
        <f t="shared" si="109"/>
        <v>#N/A</v>
      </c>
      <c r="AW70" s="134" t="e">
        <f t="shared" si="110"/>
        <v>#N/A</v>
      </c>
      <c r="AX70" s="134" t="e">
        <f t="shared" si="111"/>
        <v>#N/A</v>
      </c>
      <c r="AY70" s="134" t="e">
        <f t="shared" si="112"/>
        <v>#N/A</v>
      </c>
      <c r="AZ70" s="134" t="e">
        <f t="shared" si="113"/>
        <v>#N/A</v>
      </c>
      <c r="BA70" s="134" t="e">
        <f t="shared" si="114"/>
        <v>#N/A</v>
      </c>
      <c r="BB70" s="134" t="e">
        <f t="shared" si="115"/>
        <v>#N/A</v>
      </c>
      <c r="BC70" s="134" t="e">
        <f t="shared" si="116"/>
        <v>#N/A</v>
      </c>
      <c r="BD70" s="134" t="e">
        <f t="shared" si="117"/>
        <v>#N/A</v>
      </c>
      <c r="BE70" s="134" t="e">
        <f t="shared" si="118"/>
        <v>#N/A</v>
      </c>
      <c r="BF70" s="134" t="e">
        <f t="shared" si="119"/>
        <v>#N/A</v>
      </c>
      <c r="BG70" s="134" t="e">
        <f t="shared" si="120"/>
        <v>#N/A</v>
      </c>
      <c r="BH70" s="134" t="e">
        <f t="shared" si="121"/>
        <v>#N/A</v>
      </c>
      <c r="BI70" s="134" t="e">
        <f t="shared" si="122"/>
        <v>#N/A</v>
      </c>
      <c r="BJ70" t="e">
        <f t="shared" si="35"/>
        <v>#N/A</v>
      </c>
      <c r="BK70" t="e">
        <f t="shared" si="36"/>
        <v>#N/A</v>
      </c>
      <c r="BL70" s="142" t="e">
        <f t="shared" si="123"/>
        <v>#N/A</v>
      </c>
      <c r="BM70" s="142">
        <f t="shared" si="37"/>
        <v>2650</v>
      </c>
      <c r="BN70" t="e">
        <f t="shared" si="38"/>
        <v>#NUM!</v>
      </c>
      <c r="BO70" s="143" t="e">
        <f t="shared" si="39"/>
        <v>#N/A</v>
      </c>
      <c r="BP70" s="143" t="e">
        <f t="shared" si="40"/>
        <v>#N/A</v>
      </c>
      <c r="BQ70" s="143" t="e">
        <f t="shared" si="41"/>
        <v>#N/A</v>
      </c>
      <c r="BR70" s="143" t="e">
        <f t="shared" si="42"/>
        <v>#N/A</v>
      </c>
      <c r="BS70" s="143" t="e">
        <f t="shared" si="43"/>
        <v>#N/A</v>
      </c>
      <c r="BT70" s="143" t="e">
        <f t="shared" si="44"/>
        <v>#N/A</v>
      </c>
      <c r="BU70" s="143" t="e">
        <f t="shared" si="45"/>
        <v>#N/A</v>
      </c>
      <c r="BV70" s="143" t="e">
        <f t="shared" si="46"/>
        <v>#N/A</v>
      </c>
      <c r="BW70" s="143" t="e">
        <f t="shared" si="47"/>
        <v>#N/A</v>
      </c>
      <c r="BX70" s="143" t="e">
        <f t="shared" si="48"/>
        <v>#N/A</v>
      </c>
      <c r="BY70" s="143" t="e">
        <f t="shared" si="49"/>
        <v>#N/A</v>
      </c>
      <c r="BZ70" s="143" t="e">
        <f t="shared" si="50"/>
        <v>#N/A</v>
      </c>
      <c r="CA70" s="143" t="e">
        <f t="shared" si="51"/>
        <v>#N/A</v>
      </c>
      <c r="CB70" s="143" t="e">
        <f t="shared" si="52"/>
        <v>#N/A</v>
      </c>
      <c r="CC70" s="143" t="e">
        <f t="shared" si="53"/>
        <v>#N/A</v>
      </c>
      <c r="CD70" s="143" t="e">
        <f t="shared" si="54"/>
        <v>#N/A</v>
      </c>
      <c r="CE70" s="143" t="e">
        <f t="shared" si="55"/>
        <v>#N/A</v>
      </c>
      <c r="CF70" s="143" t="e">
        <f t="shared" si="56"/>
        <v>#N/A</v>
      </c>
      <c r="CG70" s="143" t="e">
        <f t="shared" si="57"/>
        <v>#N/A</v>
      </c>
      <c r="CH70" s="143" t="e">
        <f t="shared" si="58"/>
        <v>#N/A</v>
      </c>
      <c r="CI70" t="e">
        <f t="shared" si="59"/>
        <v>#N/A</v>
      </c>
      <c r="CJ70" t="e">
        <f t="shared" si="60"/>
        <v>#N/A</v>
      </c>
      <c r="CK70" t="e">
        <f t="shared" si="61"/>
        <v>#N/A</v>
      </c>
      <c r="CL70" t="e">
        <f t="shared" si="62"/>
        <v>#N/A</v>
      </c>
      <c r="CM70" t="e">
        <f t="shared" si="63"/>
        <v>#N/A</v>
      </c>
      <c r="CN70" t="e">
        <f t="shared" si="64"/>
        <v>#N/A</v>
      </c>
      <c r="CO70" t="e">
        <f t="shared" si="65"/>
        <v>#N/A</v>
      </c>
      <c r="CP70" t="e">
        <f t="shared" si="66"/>
        <v>#N/A</v>
      </c>
      <c r="CQ70" t="e">
        <f t="shared" si="67"/>
        <v>#N/A</v>
      </c>
      <c r="CR70" t="e">
        <f t="shared" si="68"/>
        <v>#N/A</v>
      </c>
      <c r="CS70" t="e">
        <f t="shared" si="69"/>
        <v>#N/A</v>
      </c>
      <c r="CT70" t="e">
        <f t="shared" si="70"/>
        <v>#N/A</v>
      </c>
      <c r="CU70" t="e">
        <f t="shared" si="71"/>
        <v>#N/A</v>
      </c>
      <c r="CV70" t="e">
        <f t="shared" si="72"/>
        <v>#N/A</v>
      </c>
      <c r="CW70" t="e">
        <f t="shared" si="73"/>
        <v>#N/A</v>
      </c>
      <c r="CX70" t="e">
        <f t="shared" si="74"/>
        <v>#N/A</v>
      </c>
      <c r="CY70" t="e">
        <f t="shared" si="75"/>
        <v>#N/A</v>
      </c>
      <c r="CZ70" t="e">
        <f t="shared" si="76"/>
        <v>#N/A</v>
      </c>
      <c r="DA70" t="e">
        <f t="shared" si="77"/>
        <v>#N/A</v>
      </c>
      <c r="DB70" t="e">
        <f t="shared" si="78"/>
        <v>#N/A</v>
      </c>
      <c r="DC70" s="142" t="e">
        <f t="shared" si="79"/>
        <v>#N/A</v>
      </c>
      <c r="DD70" t="e">
        <f t="shared" si="80"/>
        <v>#N/A</v>
      </c>
      <c r="DE70" t="b">
        <f t="shared" si="81"/>
        <v>0</v>
      </c>
    </row>
    <row r="71" spans="1:112">
      <c r="A71">
        <f t="shared" si="82"/>
        <v>6</v>
      </c>
      <c r="B71" s="140" t="e">
        <f t="shared" si="83"/>
        <v>#N/A</v>
      </c>
      <c r="C71" s="140" t="e">
        <f t="shared" si="84"/>
        <v>#N/A</v>
      </c>
      <c r="D71" s="140" t="e">
        <f t="shared" si="85"/>
        <v>#N/A</v>
      </c>
      <c r="E71" s="140" t="e">
        <f t="shared" si="86"/>
        <v>#N/A</v>
      </c>
      <c r="F71" s="140" t="e">
        <f t="shared" si="87"/>
        <v>#N/A</v>
      </c>
      <c r="G71" s="140" t="e">
        <f t="shared" si="88"/>
        <v>#N/A</v>
      </c>
      <c r="H71" s="140" t="e">
        <f t="shared" si="89"/>
        <v>#N/A</v>
      </c>
      <c r="I71" s="140" t="e">
        <f t="shared" si="90"/>
        <v>#N/A</v>
      </c>
      <c r="J71" s="140" t="e">
        <f t="shared" si="91"/>
        <v>#N/A</v>
      </c>
      <c r="K71" s="140" t="e">
        <f t="shared" si="92"/>
        <v>#N/A</v>
      </c>
      <c r="L71" s="140" t="e">
        <f t="shared" si="93"/>
        <v>#N/A</v>
      </c>
      <c r="M71" s="140" t="e">
        <f t="shared" si="94"/>
        <v>#N/A</v>
      </c>
      <c r="N71" s="140" t="e">
        <f t="shared" si="95"/>
        <v>#N/A</v>
      </c>
      <c r="O71" s="140" t="e">
        <f t="shared" si="96"/>
        <v>#N/A</v>
      </c>
      <c r="P71" s="140" t="e">
        <f t="shared" si="97"/>
        <v>#N/A</v>
      </c>
      <c r="Q71" s="140" t="e">
        <f t="shared" si="98"/>
        <v>#N/A</v>
      </c>
      <c r="R71" s="140" t="e">
        <f t="shared" si="99"/>
        <v>#N/A</v>
      </c>
      <c r="S71" s="140" t="e">
        <f t="shared" si="100"/>
        <v>#N/A</v>
      </c>
      <c r="T71" s="140" t="e">
        <f t="shared" si="101"/>
        <v>#N/A</v>
      </c>
      <c r="U71" s="140" t="e">
        <f t="shared" si="102"/>
        <v>#N/A</v>
      </c>
      <c r="V71" s="141" t="str">
        <f t="shared" si="14"/>
        <v>DPS</v>
      </c>
      <c r="W71" s="141" t="str">
        <f t="shared" si="15"/>
        <v>DPS</v>
      </c>
      <c r="X71" s="141" t="str">
        <f t="shared" si="16"/>
        <v>DPS</v>
      </c>
      <c r="Y71" s="141" t="str">
        <f t="shared" si="17"/>
        <v>DPS</v>
      </c>
      <c r="Z71" s="141" t="str">
        <f t="shared" si="18"/>
        <v>DPS</v>
      </c>
      <c r="AA71" s="141" t="str">
        <f t="shared" si="19"/>
        <v>DPS</v>
      </c>
      <c r="AB71" s="141" t="str">
        <f t="shared" si="20"/>
        <v>DPS</v>
      </c>
      <c r="AC71" s="141" t="str">
        <f t="shared" si="21"/>
        <v>DPS</v>
      </c>
      <c r="AD71" s="141" t="str">
        <f t="shared" si="22"/>
        <v>DPS</v>
      </c>
      <c r="AE71" s="141" t="str">
        <f t="shared" si="23"/>
        <v>DPS</v>
      </c>
      <c r="AF71" s="141" t="str">
        <f t="shared" si="24"/>
        <v>DPS</v>
      </c>
      <c r="AG71" s="141" t="str">
        <f t="shared" si="25"/>
        <v>DPS</v>
      </c>
      <c r="AH71" s="141" t="str">
        <f t="shared" si="26"/>
        <v>DPS</v>
      </c>
      <c r="AI71" s="141" t="str">
        <f t="shared" si="27"/>
        <v>HPS</v>
      </c>
      <c r="AJ71" s="141" t="str">
        <f t="shared" si="28"/>
        <v>HPS</v>
      </c>
      <c r="AK71" s="141" t="str">
        <f t="shared" si="29"/>
        <v>HPS</v>
      </c>
      <c r="AL71" s="141" t="str">
        <f t="shared" si="30"/>
        <v>HPS</v>
      </c>
      <c r="AM71" s="141" t="str">
        <f t="shared" si="31"/>
        <v>HPS</v>
      </c>
      <c r="AN71" s="141" t="str">
        <f t="shared" si="32"/>
        <v>HPS</v>
      </c>
      <c r="AO71" s="141" t="str">
        <f t="shared" si="33"/>
        <v>HPS</v>
      </c>
      <c r="AP71" s="134" t="e">
        <f t="shared" si="103"/>
        <v>#N/A</v>
      </c>
      <c r="AQ71" s="134" t="e">
        <f t="shared" si="104"/>
        <v>#N/A</v>
      </c>
      <c r="AR71" s="134" t="e">
        <f t="shared" si="105"/>
        <v>#N/A</v>
      </c>
      <c r="AS71" s="134" t="e">
        <f t="shared" si="106"/>
        <v>#N/A</v>
      </c>
      <c r="AT71" s="134" t="e">
        <f t="shared" si="107"/>
        <v>#N/A</v>
      </c>
      <c r="AU71" s="134" t="e">
        <f t="shared" si="108"/>
        <v>#N/A</v>
      </c>
      <c r="AV71" s="134" t="e">
        <f t="shared" si="109"/>
        <v>#N/A</v>
      </c>
      <c r="AW71" s="134" t="e">
        <f t="shared" si="110"/>
        <v>#N/A</v>
      </c>
      <c r="AX71" s="134" t="e">
        <f t="shared" si="111"/>
        <v>#N/A</v>
      </c>
      <c r="AY71" s="134" t="e">
        <f t="shared" si="112"/>
        <v>#N/A</v>
      </c>
      <c r="AZ71" s="134" t="e">
        <f t="shared" si="113"/>
        <v>#N/A</v>
      </c>
      <c r="BA71" s="134" t="e">
        <f t="shared" si="114"/>
        <v>#N/A</v>
      </c>
      <c r="BB71" s="134" t="e">
        <f t="shared" si="115"/>
        <v>#N/A</v>
      </c>
      <c r="BC71" s="134" t="e">
        <f t="shared" si="116"/>
        <v>#N/A</v>
      </c>
      <c r="BD71" s="134" t="e">
        <f t="shared" si="117"/>
        <v>#N/A</v>
      </c>
      <c r="BE71" s="134" t="e">
        <f t="shared" si="118"/>
        <v>#N/A</v>
      </c>
      <c r="BF71" s="134" t="e">
        <f t="shared" si="119"/>
        <v>#N/A</v>
      </c>
      <c r="BG71" s="134" t="e">
        <f t="shared" si="120"/>
        <v>#N/A</v>
      </c>
      <c r="BH71" s="134" t="e">
        <f t="shared" si="121"/>
        <v>#N/A</v>
      </c>
      <c r="BI71" s="134" t="e">
        <f t="shared" si="122"/>
        <v>#N/A</v>
      </c>
      <c r="BJ71" t="e">
        <f t="shared" si="35"/>
        <v>#N/A</v>
      </c>
      <c r="BK71" t="e">
        <f t="shared" si="36"/>
        <v>#N/A</v>
      </c>
      <c r="BL71" s="142" t="e">
        <f t="shared" si="123"/>
        <v>#N/A</v>
      </c>
      <c r="BM71" s="142">
        <f t="shared" si="37"/>
        <v>2650</v>
      </c>
      <c r="BN71" t="e">
        <f t="shared" si="38"/>
        <v>#NUM!</v>
      </c>
      <c r="BO71" s="143" t="e">
        <f t="shared" si="39"/>
        <v>#N/A</v>
      </c>
      <c r="BP71" s="143" t="e">
        <f t="shared" si="40"/>
        <v>#N/A</v>
      </c>
      <c r="BQ71" s="143" t="e">
        <f t="shared" si="41"/>
        <v>#N/A</v>
      </c>
      <c r="BR71" s="143" t="e">
        <f t="shared" si="42"/>
        <v>#N/A</v>
      </c>
      <c r="BS71" s="143" t="e">
        <f t="shared" si="43"/>
        <v>#N/A</v>
      </c>
      <c r="BT71" s="143" t="e">
        <f t="shared" si="44"/>
        <v>#N/A</v>
      </c>
      <c r="BU71" s="143" t="e">
        <f t="shared" si="45"/>
        <v>#N/A</v>
      </c>
      <c r="BV71" s="143" t="e">
        <f t="shared" si="46"/>
        <v>#N/A</v>
      </c>
      <c r="BW71" s="143" t="e">
        <f t="shared" si="47"/>
        <v>#N/A</v>
      </c>
      <c r="BX71" s="143" t="e">
        <f t="shared" si="48"/>
        <v>#N/A</v>
      </c>
      <c r="BY71" s="143" t="e">
        <f t="shared" si="49"/>
        <v>#N/A</v>
      </c>
      <c r="BZ71" s="143" t="e">
        <f t="shared" si="50"/>
        <v>#N/A</v>
      </c>
      <c r="CA71" s="143" t="e">
        <f t="shared" si="51"/>
        <v>#N/A</v>
      </c>
      <c r="CB71" s="143" t="e">
        <f t="shared" si="52"/>
        <v>#N/A</v>
      </c>
      <c r="CC71" s="143" t="e">
        <f t="shared" si="53"/>
        <v>#N/A</v>
      </c>
      <c r="CD71" s="143" t="e">
        <f t="shared" si="54"/>
        <v>#N/A</v>
      </c>
      <c r="CE71" s="143" t="e">
        <f t="shared" si="55"/>
        <v>#N/A</v>
      </c>
      <c r="CF71" s="143" t="e">
        <f t="shared" si="56"/>
        <v>#N/A</v>
      </c>
      <c r="CG71" s="143" t="e">
        <f t="shared" si="57"/>
        <v>#N/A</v>
      </c>
      <c r="CH71" s="143" t="e">
        <f t="shared" si="58"/>
        <v>#N/A</v>
      </c>
      <c r="CI71" t="e">
        <f t="shared" si="59"/>
        <v>#N/A</v>
      </c>
      <c r="CJ71" t="e">
        <f t="shared" si="60"/>
        <v>#N/A</v>
      </c>
      <c r="CK71" t="e">
        <f t="shared" si="61"/>
        <v>#N/A</v>
      </c>
      <c r="CL71" t="e">
        <f t="shared" si="62"/>
        <v>#N/A</v>
      </c>
      <c r="CM71" t="e">
        <f t="shared" si="63"/>
        <v>#N/A</v>
      </c>
      <c r="CN71" t="e">
        <f t="shared" si="64"/>
        <v>#N/A</v>
      </c>
      <c r="CO71" t="e">
        <f t="shared" si="65"/>
        <v>#N/A</v>
      </c>
      <c r="CP71" t="e">
        <f t="shared" si="66"/>
        <v>#N/A</v>
      </c>
      <c r="CQ71" t="e">
        <f t="shared" si="67"/>
        <v>#N/A</v>
      </c>
      <c r="CR71" t="e">
        <f t="shared" si="68"/>
        <v>#N/A</v>
      </c>
      <c r="CS71" t="e">
        <f t="shared" si="69"/>
        <v>#N/A</v>
      </c>
      <c r="CT71" t="e">
        <f t="shared" si="70"/>
        <v>#N/A</v>
      </c>
      <c r="CU71" t="e">
        <f t="shared" si="71"/>
        <v>#N/A</v>
      </c>
      <c r="CV71" t="e">
        <f t="shared" si="72"/>
        <v>#N/A</v>
      </c>
      <c r="CW71" t="e">
        <f t="shared" si="73"/>
        <v>#N/A</v>
      </c>
      <c r="CX71" t="e">
        <f t="shared" si="74"/>
        <v>#N/A</v>
      </c>
      <c r="CY71" t="e">
        <f t="shared" si="75"/>
        <v>#N/A</v>
      </c>
      <c r="CZ71" t="e">
        <f t="shared" si="76"/>
        <v>#N/A</v>
      </c>
      <c r="DA71" t="e">
        <f t="shared" si="77"/>
        <v>#N/A</v>
      </c>
      <c r="DB71" t="e">
        <f t="shared" si="78"/>
        <v>#N/A</v>
      </c>
      <c r="DC71" s="142" t="e">
        <f t="shared" si="79"/>
        <v>#N/A</v>
      </c>
      <c r="DD71" t="e">
        <f t="shared" si="80"/>
        <v>#N/A</v>
      </c>
      <c r="DE71" t="b">
        <f t="shared" si="81"/>
        <v>0</v>
      </c>
    </row>
    <row r="72" spans="1:112">
      <c r="A72">
        <f t="shared" si="82"/>
        <v>7</v>
      </c>
      <c r="B72" s="140" t="e">
        <f t="shared" si="83"/>
        <v>#N/A</v>
      </c>
      <c r="C72" s="140" t="e">
        <f t="shared" si="84"/>
        <v>#N/A</v>
      </c>
      <c r="D72" s="140" t="e">
        <f t="shared" si="85"/>
        <v>#N/A</v>
      </c>
      <c r="E72" s="140" t="e">
        <f t="shared" si="86"/>
        <v>#N/A</v>
      </c>
      <c r="F72" s="140" t="e">
        <f t="shared" si="87"/>
        <v>#N/A</v>
      </c>
      <c r="G72" s="140" t="e">
        <f t="shared" si="88"/>
        <v>#N/A</v>
      </c>
      <c r="H72" s="140" t="e">
        <f t="shared" si="89"/>
        <v>#N/A</v>
      </c>
      <c r="I72" s="140" t="e">
        <f t="shared" si="90"/>
        <v>#N/A</v>
      </c>
      <c r="J72" s="140" t="e">
        <f t="shared" si="91"/>
        <v>#N/A</v>
      </c>
      <c r="K72" s="140" t="e">
        <f t="shared" si="92"/>
        <v>#N/A</v>
      </c>
      <c r="L72" s="140" t="e">
        <f t="shared" si="93"/>
        <v>#N/A</v>
      </c>
      <c r="M72" s="140" t="e">
        <f t="shared" si="94"/>
        <v>#N/A</v>
      </c>
      <c r="N72" s="140" t="e">
        <f t="shared" si="95"/>
        <v>#N/A</v>
      </c>
      <c r="O72" s="140" t="e">
        <f t="shared" si="96"/>
        <v>#N/A</v>
      </c>
      <c r="P72" s="140" t="e">
        <f t="shared" si="97"/>
        <v>#N/A</v>
      </c>
      <c r="Q72" s="140" t="e">
        <f t="shared" si="98"/>
        <v>#N/A</v>
      </c>
      <c r="R72" s="140" t="e">
        <f t="shared" si="99"/>
        <v>#N/A</v>
      </c>
      <c r="S72" s="140" t="e">
        <f t="shared" si="100"/>
        <v>#N/A</v>
      </c>
      <c r="T72" s="140" t="e">
        <f t="shared" si="101"/>
        <v>#N/A</v>
      </c>
      <c r="U72" s="140" t="e">
        <f t="shared" si="102"/>
        <v>#N/A</v>
      </c>
      <c r="V72" s="141" t="str">
        <f t="shared" si="14"/>
        <v>DPS</v>
      </c>
      <c r="W72" s="141" t="str">
        <f t="shared" si="15"/>
        <v>DPS</v>
      </c>
      <c r="X72" s="141" t="str">
        <f t="shared" si="16"/>
        <v>DPS</v>
      </c>
      <c r="Y72" s="141" t="str">
        <f t="shared" si="17"/>
        <v>DPS</v>
      </c>
      <c r="Z72" s="141" t="str">
        <f t="shared" si="18"/>
        <v>DPS</v>
      </c>
      <c r="AA72" s="141" t="str">
        <f t="shared" si="19"/>
        <v>DPS</v>
      </c>
      <c r="AB72" s="141" t="str">
        <f t="shared" si="20"/>
        <v>DPS</v>
      </c>
      <c r="AC72" s="141" t="str">
        <f t="shared" si="21"/>
        <v>DPS</v>
      </c>
      <c r="AD72" s="141" t="str">
        <f t="shared" si="22"/>
        <v>DPS</v>
      </c>
      <c r="AE72" s="141" t="str">
        <f t="shared" si="23"/>
        <v>DPS</v>
      </c>
      <c r="AF72" s="141" t="str">
        <f t="shared" si="24"/>
        <v>DPS</v>
      </c>
      <c r="AG72" s="141" t="str">
        <f t="shared" si="25"/>
        <v>DPS</v>
      </c>
      <c r="AH72" s="141" t="str">
        <f t="shared" si="26"/>
        <v>DPS</v>
      </c>
      <c r="AI72" s="141" t="str">
        <f t="shared" si="27"/>
        <v>HPS</v>
      </c>
      <c r="AJ72" s="141" t="str">
        <f t="shared" si="28"/>
        <v>HPS</v>
      </c>
      <c r="AK72" s="141" t="str">
        <f t="shared" si="29"/>
        <v>HPS</v>
      </c>
      <c r="AL72" s="141" t="str">
        <f t="shared" si="30"/>
        <v>HPS</v>
      </c>
      <c r="AM72" s="141" t="str">
        <f t="shared" si="31"/>
        <v>HPS</v>
      </c>
      <c r="AN72" s="141" t="str">
        <f t="shared" si="32"/>
        <v>HPS</v>
      </c>
      <c r="AO72" s="141" t="str">
        <f t="shared" si="33"/>
        <v>HPS</v>
      </c>
      <c r="AP72" s="134" t="e">
        <f t="shared" si="103"/>
        <v>#N/A</v>
      </c>
      <c r="AQ72" s="134" t="e">
        <f t="shared" si="104"/>
        <v>#N/A</v>
      </c>
      <c r="AR72" s="134" t="e">
        <f t="shared" si="105"/>
        <v>#N/A</v>
      </c>
      <c r="AS72" s="134" t="e">
        <f t="shared" si="106"/>
        <v>#N/A</v>
      </c>
      <c r="AT72" s="134" t="e">
        <f t="shared" si="107"/>
        <v>#N/A</v>
      </c>
      <c r="AU72" s="134" t="e">
        <f t="shared" si="108"/>
        <v>#N/A</v>
      </c>
      <c r="AV72" s="134" t="e">
        <f t="shared" si="109"/>
        <v>#N/A</v>
      </c>
      <c r="AW72" s="134" t="e">
        <f t="shared" si="110"/>
        <v>#N/A</v>
      </c>
      <c r="AX72" s="134" t="e">
        <f t="shared" si="111"/>
        <v>#N/A</v>
      </c>
      <c r="AY72" s="134" t="e">
        <f t="shared" si="112"/>
        <v>#N/A</v>
      </c>
      <c r="AZ72" s="134" t="e">
        <f t="shared" si="113"/>
        <v>#N/A</v>
      </c>
      <c r="BA72" s="134" t="e">
        <f t="shared" si="114"/>
        <v>#N/A</v>
      </c>
      <c r="BB72" s="134" t="e">
        <f t="shared" si="115"/>
        <v>#N/A</v>
      </c>
      <c r="BC72" s="134" t="e">
        <f t="shared" si="116"/>
        <v>#N/A</v>
      </c>
      <c r="BD72" s="134" t="e">
        <f t="shared" si="117"/>
        <v>#N/A</v>
      </c>
      <c r="BE72" s="134" t="e">
        <f t="shared" si="118"/>
        <v>#N/A</v>
      </c>
      <c r="BF72" s="134" t="e">
        <f t="shared" si="119"/>
        <v>#N/A</v>
      </c>
      <c r="BG72" s="134" t="e">
        <f t="shared" si="120"/>
        <v>#N/A</v>
      </c>
      <c r="BH72" s="134" t="e">
        <f t="shared" si="121"/>
        <v>#N/A</v>
      </c>
      <c r="BI72" s="134" t="e">
        <f t="shared" si="122"/>
        <v>#N/A</v>
      </c>
      <c r="BJ72" t="e">
        <f t="shared" si="35"/>
        <v>#N/A</v>
      </c>
      <c r="BK72" t="e">
        <f t="shared" si="36"/>
        <v>#N/A</v>
      </c>
      <c r="BL72" s="142" t="e">
        <f t="shared" si="123"/>
        <v>#N/A</v>
      </c>
      <c r="BM72" s="142">
        <f t="shared" si="37"/>
        <v>2650</v>
      </c>
      <c r="BN72" t="e">
        <f t="shared" si="38"/>
        <v>#NUM!</v>
      </c>
      <c r="BO72" s="143" t="e">
        <f t="shared" si="39"/>
        <v>#N/A</v>
      </c>
      <c r="BP72" s="143" t="e">
        <f t="shared" si="40"/>
        <v>#N/A</v>
      </c>
      <c r="BQ72" s="143" t="e">
        <f t="shared" si="41"/>
        <v>#N/A</v>
      </c>
      <c r="BR72" s="143" t="e">
        <f t="shared" si="42"/>
        <v>#N/A</v>
      </c>
      <c r="BS72" s="143" t="e">
        <f t="shared" si="43"/>
        <v>#N/A</v>
      </c>
      <c r="BT72" s="143" t="e">
        <f t="shared" si="44"/>
        <v>#N/A</v>
      </c>
      <c r="BU72" s="143" t="e">
        <f t="shared" si="45"/>
        <v>#N/A</v>
      </c>
      <c r="BV72" s="143" t="e">
        <f t="shared" si="46"/>
        <v>#N/A</v>
      </c>
      <c r="BW72" s="143" t="e">
        <f t="shared" si="47"/>
        <v>#N/A</v>
      </c>
      <c r="BX72" s="143" t="e">
        <f t="shared" si="48"/>
        <v>#N/A</v>
      </c>
      <c r="BY72" s="143" t="e">
        <f t="shared" si="49"/>
        <v>#N/A</v>
      </c>
      <c r="BZ72" s="143" t="e">
        <f t="shared" si="50"/>
        <v>#N/A</v>
      </c>
      <c r="CA72" s="143" t="e">
        <f t="shared" si="51"/>
        <v>#N/A</v>
      </c>
      <c r="CB72" s="143" t="e">
        <f t="shared" si="52"/>
        <v>#N/A</v>
      </c>
      <c r="CC72" s="143" t="e">
        <f t="shared" si="53"/>
        <v>#N/A</v>
      </c>
      <c r="CD72" s="143" t="e">
        <f t="shared" si="54"/>
        <v>#N/A</v>
      </c>
      <c r="CE72" s="143" t="e">
        <f t="shared" si="55"/>
        <v>#N/A</v>
      </c>
      <c r="CF72" s="143" t="e">
        <f t="shared" si="56"/>
        <v>#N/A</v>
      </c>
      <c r="CG72" s="143" t="e">
        <f t="shared" si="57"/>
        <v>#N/A</v>
      </c>
      <c r="CH72" s="143" t="e">
        <f t="shared" si="58"/>
        <v>#N/A</v>
      </c>
      <c r="CI72" t="e">
        <f t="shared" si="59"/>
        <v>#N/A</v>
      </c>
      <c r="CJ72" t="e">
        <f t="shared" si="60"/>
        <v>#N/A</v>
      </c>
      <c r="CK72" t="e">
        <f t="shared" si="61"/>
        <v>#N/A</v>
      </c>
      <c r="CL72" t="e">
        <f t="shared" si="62"/>
        <v>#N/A</v>
      </c>
      <c r="CM72" t="e">
        <f t="shared" si="63"/>
        <v>#N/A</v>
      </c>
      <c r="CN72" t="e">
        <f t="shared" si="64"/>
        <v>#N/A</v>
      </c>
      <c r="CO72" t="e">
        <f t="shared" si="65"/>
        <v>#N/A</v>
      </c>
      <c r="CP72" t="e">
        <f t="shared" si="66"/>
        <v>#N/A</v>
      </c>
      <c r="CQ72" t="e">
        <f t="shared" si="67"/>
        <v>#N/A</v>
      </c>
      <c r="CR72" t="e">
        <f t="shared" si="68"/>
        <v>#N/A</v>
      </c>
      <c r="CS72" t="e">
        <f t="shared" si="69"/>
        <v>#N/A</v>
      </c>
      <c r="CT72" t="e">
        <f t="shared" si="70"/>
        <v>#N/A</v>
      </c>
      <c r="CU72" t="e">
        <f t="shared" si="71"/>
        <v>#N/A</v>
      </c>
      <c r="CV72" t="e">
        <f t="shared" si="72"/>
        <v>#N/A</v>
      </c>
      <c r="CW72" t="e">
        <f t="shared" si="73"/>
        <v>#N/A</v>
      </c>
      <c r="CX72" t="e">
        <f t="shared" si="74"/>
        <v>#N/A</v>
      </c>
      <c r="CY72" t="e">
        <f t="shared" si="75"/>
        <v>#N/A</v>
      </c>
      <c r="CZ72" t="e">
        <f t="shared" si="76"/>
        <v>#N/A</v>
      </c>
      <c r="DA72" t="e">
        <f t="shared" si="77"/>
        <v>#N/A</v>
      </c>
      <c r="DB72" t="e">
        <f t="shared" si="78"/>
        <v>#N/A</v>
      </c>
      <c r="DC72" s="142" t="e">
        <f t="shared" si="79"/>
        <v>#N/A</v>
      </c>
      <c r="DD72" t="e">
        <f t="shared" si="80"/>
        <v>#N/A</v>
      </c>
      <c r="DE72" t="b">
        <f t="shared" si="81"/>
        <v>0</v>
      </c>
    </row>
    <row r="73" spans="1:112">
      <c r="A73">
        <f t="shared" si="82"/>
        <v>8</v>
      </c>
      <c r="B73" s="140" t="e">
        <f t="shared" si="83"/>
        <v>#N/A</v>
      </c>
      <c r="C73" s="140" t="e">
        <f t="shared" si="84"/>
        <v>#N/A</v>
      </c>
      <c r="D73" s="140" t="e">
        <f t="shared" si="85"/>
        <v>#N/A</v>
      </c>
      <c r="E73" s="140" t="e">
        <f t="shared" si="86"/>
        <v>#N/A</v>
      </c>
      <c r="F73" s="140" t="e">
        <f t="shared" si="87"/>
        <v>#N/A</v>
      </c>
      <c r="G73" s="140" t="e">
        <f t="shared" si="88"/>
        <v>#N/A</v>
      </c>
      <c r="H73" s="140" t="e">
        <f t="shared" si="89"/>
        <v>#N/A</v>
      </c>
      <c r="I73" s="140" t="e">
        <f t="shared" si="90"/>
        <v>#N/A</v>
      </c>
      <c r="J73" s="140" t="e">
        <f t="shared" si="91"/>
        <v>#N/A</v>
      </c>
      <c r="K73" s="140" t="e">
        <f t="shared" si="92"/>
        <v>#N/A</v>
      </c>
      <c r="L73" s="140" t="e">
        <f t="shared" si="93"/>
        <v>#N/A</v>
      </c>
      <c r="M73" s="140" t="e">
        <f t="shared" si="94"/>
        <v>#N/A</v>
      </c>
      <c r="N73" s="140" t="e">
        <f t="shared" si="95"/>
        <v>#N/A</v>
      </c>
      <c r="O73" s="140" t="e">
        <f t="shared" si="96"/>
        <v>#N/A</v>
      </c>
      <c r="P73" s="140" t="e">
        <f t="shared" si="97"/>
        <v>#N/A</v>
      </c>
      <c r="Q73" s="140" t="e">
        <f t="shared" si="98"/>
        <v>#N/A</v>
      </c>
      <c r="R73" s="140" t="e">
        <f t="shared" si="99"/>
        <v>#N/A</v>
      </c>
      <c r="S73" s="140" t="e">
        <f t="shared" si="100"/>
        <v>#N/A</v>
      </c>
      <c r="T73" s="140" t="e">
        <f t="shared" si="101"/>
        <v>#N/A</v>
      </c>
      <c r="U73" s="140" t="e">
        <f t="shared" si="102"/>
        <v>#N/A</v>
      </c>
      <c r="V73" s="141" t="str">
        <f t="shared" si="14"/>
        <v>DPS</v>
      </c>
      <c r="W73" s="141" t="str">
        <f t="shared" si="15"/>
        <v>DPS</v>
      </c>
      <c r="X73" s="141" t="str">
        <f t="shared" si="16"/>
        <v>DPS</v>
      </c>
      <c r="Y73" s="141" t="str">
        <f t="shared" si="17"/>
        <v>DPS</v>
      </c>
      <c r="Z73" s="141" t="str">
        <f t="shared" si="18"/>
        <v>DPS</v>
      </c>
      <c r="AA73" s="141" t="str">
        <f t="shared" si="19"/>
        <v>DPS</v>
      </c>
      <c r="AB73" s="141" t="str">
        <f t="shared" si="20"/>
        <v>DPS</v>
      </c>
      <c r="AC73" s="141" t="str">
        <f t="shared" si="21"/>
        <v>DPS</v>
      </c>
      <c r="AD73" s="141" t="str">
        <f t="shared" si="22"/>
        <v>DPS</v>
      </c>
      <c r="AE73" s="141" t="str">
        <f t="shared" si="23"/>
        <v>DPS</v>
      </c>
      <c r="AF73" s="141" t="str">
        <f t="shared" si="24"/>
        <v>DPS</v>
      </c>
      <c r="AG73" s="141" t="str">
        <f t="shared" si="25"/>
        <v>DPS</v>
      </c>
      <c r="AH73" s="141" t="str">
        <f t="shared" si="26"/>
        <v>DPS</v>
      </c>
      <c r="AI73" s="141" t="str">
        <f t="shared" si="27"/>
        <v>HPS</v>
      </c>
      <c r="AJ73" s="141" t="str">
        <f t="shared" si="28"/>
        <v>HPS</v>
      </c>
      <c r="AK73" s="141" t="str">
        <f t="shared" si="29"/>
        <v>HPS</v>
      </c>
      <c r="AL73" s="141" t="str">
        <f t="shared" si="30"/>
        <v>HPS</v>
      </c>
      <c r="AM73" s="141" t="str">
        <f t="shared" si="31"/>
        <v>HPS</v>
      </c>
      <c r="AN73" s="141" t="str">
        <f t="shared" si="32"/>
        <v>HPS</v>
      </c>
      <c r="AO73" s="141" t="str">
        <f t="shared" si="33"/>
        <v>HPS</v>
      </c>
      <c r="AP73" s="134" t="e">
        <f t="shared" si="103"/>
        <v>#N/A</v>
      </c>
      <c r="AQ73" s="134" t="e">
        <f t="shared" si="104"/>
        <v>#N/A</v>
      </c>
      <c r="AR73" s="134" t="e">
        <f t="shared" si="105"/>
        <v>#N/A</v>
      </c>
      <c r="AS73" s="134" t="e">
        <f t="shared" si="106"/>
        <v>#N/A</v>
      </c>
      <c r="AT73" s="134" t="e">
        <f t="shared" si="107"/>
        <v>#N/A</v>
      </c>
      <c r="AU73" s="134" t="e">
        <f t="shared" si="108"/>
        <v>#N/A</v>
      </c>
      <c r="AV73" s="134" t="e">
        <f t="shared" si="109"/>
        <v>#N/A</v>
      </c>
      <c r="AW73" s="134" t="e">
        <f t="shared" si="110"/>
        <v>#N/A</v>
      </c>
      <c r="AX73" s="134" t="e">
        <f t="shared" si="111"/>
        <v>#N/A</v>
      </c>
      <c r="AY73" s="134" t="e">
        <f t="shared" si="112"/>
        <v>#N/A</v>
      </c>
      <c r="AZ73" s="134" t="e">
        <f t="shared" si="113"/>
        <v>#N/A</v>
      </c>
      <c r="BA73" s="134" t="e">
        <f t="shared" si="114"/>
        <v>#N/A</v>
      </c>
      <c r="BB73" s="134" t="e">
        <f t="shared" si="115"/>
        <v>#N/A</v>
      </c>
      <c r="BC73" s="134" t="e">
        <f t="shared" si="116"/>
        <v>#N/A</v>
      </c>
      <c r="BD73" s="134" t="e">
        <f t="shared" si="117"/>
        <v>#N/A</v>
      </c>
      <c r="BE73" s="134" t="e">
        <f t="shared" si="118"/>
        <v>#N/A</v>
      </c>
      <c r="BF73" s="134" t="e">
        <f t="shared" si="119"/>
        <v>#N/A</v>
      </c>
      <c r="BG73" s="134" t="e">
        <f t="shared" si="120"/>
        <v>#N/A</v>
      </c>
      <c r="BH73" s="134" t="e">
        <f t="shared" si="121"/>
        <v>#N/A</v>
      </c>
      <c r="BI73" s="134" t="e">
        <f t="shared" si="122"/>
        <v>#N/A</v>
      </c>
      <c r="BJ73" t="e">
        <f t="shared" si="35"/>
        <v>#N/A</v>
      </c>
      <c r="BK73" t="e">
        <f t="shared" si="36"/>
        <v>#N/A</v>
      </c>
      <c r="BL73" s="142" t="e">
        <f t="shared" si="123"/>
        <v>#N/A</v>
      </c>
      <c r="BM73" s="142">
        <f t="shared" si="37"/>
        <v>2650</v>
      </c>
      <c r="BN73" t="e">
        <f t="shared" si="38"/>
        <v>#NUM!</v>
      </c>
      <c r="BO73" s="143" t="e">
        <f t="shared" si="39"/>
        <v>#N/A</v>
      </c>
      <c r="BP73" s="143" t="e">
        <f t="shared" si="40"/>
        <v>#N/A</v>
      </c>
      <c r="BQ73" s="143" t="e">
        <f t="shared" si="41"/>
        <v>#N/A</v>
      </c>
      <c r="BR73" s="143" t="e">
        <f t="shared" si="42"/>
        <v>#N/A</v>
      </c>
      <c r="BS73" s="143" t="e">
        <f t="shared" si="43"/>
        <v>#N/A</v>
      </c>
      <c r="BT73" s="143" t="e">
        <f t="shared" si="44"/>
        <v>#N/A</v>
      </c>
      <c r="BU73" s="143" t="e">
        <f t="shared" si="45"/>
        <v>#N/A</v>
      </c>
      <c r="BV73" s="143" t="e">
        <f t="shared" si="46"/>
        <v>#N/A</v>
      </c>
      <c r="BW73" s="143" t="e">
        <f t="shared" si="47"/>
        <v>#N/A</v>
      </c>
      <c r="BX73" s="143" t="e">
        <f t="shared" si="48"/>
        <v>#N/A</v>
      </c>
      <c r="BY73" s="143" t="e">
        <f t="shared" si="49"/>
        <v>#N/A</v>
      </c>
      <c r="BZ73" s="143" t="e">
        <f t="shared" si="50"/>
        <v>#N/A</v>
      </c>
      <c r="CA73" s="143" t="e">
        <f t="shared" si="51"/>
        <v>#N/A</v>
      </c>
      <c r="CB73" s="143" t="e">
        <f t="shared" si="52"/>
        <v>#N/A</v>
      </c>
      <c r="CC73" s="143" t="e">
        <f t="shared" si="53"/>
        <v>#N/A</v>
      </c>
      <c r="CD73" s="143" t="e">
        <f t="shared" si="54"/>
        <v>#N/A</v>
      </c>
      <c r="CE73" s="143" t="e">
        <f t="shared" si="55"/>
        <v>#N/A</v>
      </c>
      <c r="CF73" s="143" t="e">
        <f t="shared" si="56"/>
        <v>#N/A</v>
      </c>
      <c r="CG73" s="143" t="e">
        <f t="shared" si="57"/>
        <v>#N/A</v>
      </c>
      <c r="CH73" s="143" t="e">
        <f t="shared" si="58"/>
        <v>#N/A</v>
      </c>
      <c r="CI73" t="e">
        <f t="shared" si="59"/>
        <v>#N/A</v>
      </c>
      <c r="CJ73" t="e">
        <f t="shared" si="60"/>
        <v>#N/A</v>
      </c>
      <c r="CK73" t="e">
        <f t="shared" si="61"/>
        <v>#N/A</v>
      </c>
      <c r="CL73" t="e">
        <f t="shared" si="62"/>
        <v>#N/A</v>
      </c>
      <c r="CM73" t="e">
        <f t="shared" si="63"/>
        <v>#N/A</v>
      </c>
      <c r="CN73" t="e">
        <f t="shared" si="64"/>
        <v>#N/A</v>
      </c>
      <c r="CO73" t="e">
        <f t="shared" si="65"/>
        <v>#N/A</v>
      </c>
      <c r="CP73" t="e">
        <f t="shared" si="66"/>
        <v>#N/A</v>
      </c>
      <c r="CQ73" t="e">
        <f t="shared" si="67"/>
        <v>#N/A</v>
      </c>
      <c r="CR73" t="e">
        <f t="shared" si="68"/>
        <v>#N/A</v>
      </c>
      <c r="CS73" t="e">
        <f t="shared" si="69"/>
        <v>#N/A</v>
      </c>
      <c r="CT73" t="e">
        <f t="shared" si="70"/>
        <v>#N/A</v>
      </c>
      <c r="CU73" t="e">
        <f t="shared" si="71"/>
        <v>#N/A</v>
      </c>
      <c r="CV73" t="e">
        <f t="shared" si="72"/>
        <v>#N/A</v>
      </c>
      <c r="CW73" t="e">
        <f t="shared" si="73"/>
        <v>#N/A</v>
      </c>
      <c r="CX73" t="e">
        <f t="shared" si="74"/>
        <v>#N/A</v>
      </c>
      <c r="CY73" t="e">
        <f t="shared" si="75"/>
        <v>#N/A</v>
      </c>
      <c r="CZ73" t="e">
        <f t="shared" si="76"/>
        <v>#N/A</v>
      </c>
      <c r="DA73" t="e">
        <f t="shared" si="77"/>
        <v>#N/A</v>
      </c>
      <c r="DB73" t="e">
        <f t="shared" si="78"/>
        <v>#N/A</v>
      </c>
      <c r="DC73" s="142" t="e">
        <f t="shared" si="79"/>
        <v>#N/A</v>
      </c>
      <c r="DD73" t="e">
        <f t="shared" si="80"/>
        <v>#N/A</v>
      </c>
      <c r="DE73" t="b">
        <f t="shared" si="81"/>
        <v>0</v>
      </c>
    </row>
    <row r="74" spans="1:112">
      <c r="A74">
        <f t="shared" si="82"/>
        <v>9</v>
      </c>
      <c r="B74" s="140" t="e">
        <f t="shared" si="83"/>
        <v>#N/A</v>
      </c>
      <c r="C74" s="140" t="e">
        <f t="shared" si="84"/>
        <v>#N/A</v>
      </c>
      <c r="D74" s="140" t="e">
        <f t="shared" si="85"/>
        <v>#N/A</v>
      </c>
      <c r="E74" s="140" t="e">
        <f t="shared" si="86"/>
        <v>#N/A</v>
      </c>
      <c r="F74" s="140" t="e">
        <f t="shared" si="87"/>
        <v>#N/A</v>
      </c>
      <c r="G74" s="140" t="e">
        <f t="shared" si="88"/>
        <v>#N/A</v>
      </c>
      <c r="H74" s="140" t="e">
        <f t="shared" si="89"/>
        <v>#N/A</v>
      </c>
      <c r="I74" s="140" t="e">
        <f t="shared" si="90"/>
        <v>#N/A</v>
      </c>
      <c r="J74" s="140" t="e">
        <f t="shared" si="91"/>
        <v>#N/A</v>
      </c>
      <c r="K74" s="140" t="e">
        <f t="shared" si="92"/>
        <v>#N/A</v>
      </c>
      <c r="L74" s="140" t="e">
        <f t="shared" si="93"/>
        <v>#N/A</v>
      </c>
      <c r="M74" s="140" t="e">
        <f t="shared" si="94"/>
        <v>#N/A</v>
      </c>
      <c r="N74" s="140" t="e">
        <f t="shared" si="95"/>
        <v>#N/A</v>
      </c>
      <c r="O74" s="140" t="e">
        <f t="shared" si="96"/>
        <v>#N/A</v>
      </c>
      <c r="P74" s="140" t="e">
        <f t="shared" si="97"/>
        <v>#N/A</v>
      </c>
      <c r="Q74" s="140" t="e">
        <f t="shared" si="98"/>
        <v>#N/A</v>
      </c>
      <c r="R74" s="140" t="e">
        <f t="shared" si="99"/>
        <v>#N/A</v>
      </c>
      <c r="S74" s="140" t="e">
        <f t="shared" si="100"/>
        <v>#N/A</v>
      </c>
      <c r="T74" s="140" t="e">
        <f t="shared" si="101"/>
        <v>#N/A</v>
      </c>
      <c r="U74" s="140" t="e">
        <f t="shared" si="102"/>
        <v>#N/A</v>
      </c>
      <c r="V74" s="141" t="str">
        <f t="shared" si="14"/>
        <v>DPS</v>
      </c>
      <c r="W74" s="141" t="str">
        <f t="shared" si="15"/>
        <v>DPS</v>
      </c>
      <c r="X74" s="141" t="str">
        <f t="shared" si="16"/>
        <v>DPS</v>
      </c>
      <c r="Y74" s="141" t="str">
        <f t="shared" si="17"/>
        <v>DPS</v>
      </c>
      <c r="Z74" s="141" t="str">
        <f t="shared" si="18"/>
        <v>DPS</v>
      </c>
      <c r="AA74" s="141" t="str">
        <f t="shared" si="19"/>
        <v>DPS</v>
      </c>
      <c r="AB74" s="141" t="str">
        <f t="shared" si="20"/>
        <v>DPS</v>
      </c>
      <c r="AC74" s="141" t="str">
        <f t="shared" si="21"/>
        <v>DPS</v>
      </c>
      <c r="AD74" s="141" t="str">
        <f t="shared" si="22"/>
        <v>DPS</v>
      </c>
      <c r="AE74" s="141" t="str">
        <f t="shared" si="23"/>
        <v>DPS</v>
      </c>
      <c r="AF74" s="141" t="str">
        <f t="shared" si="24"/>
        <v>DPS</v>
      </c>
      <c r="AG74" s="141" t="str">
        <f t="shared" si="25"/>
        <v>DPS</v>
      </c>
      <c r="AH74" s="141" t="str">
        <f t="shared" si="26"/>
        <v>DPS</v>
      </c>
      <c r="AI74" s="141" t="str">
        <f t="shared" si="27"/>
        <v>HPS</v>
      </c>
      <c r="AJ74" s="141" t="str">
        <f t="shared" si="28"/>
        <v>HPS</v>
      </c>
      <c r="AK74" s="141" t="str">
        <f t="shared" si="29"/>
        <v>HPS</v>
      </c>
      <c r="AL74" s="141" t="str">
        <f t="shared" si="30"/>
        <v>HPS</v>
      </c>
      <c r="AM74" s="141" t="str">
        <f t="shared" si="31"/>
        <v>HPS</v>
      </c>
      <c r="AN74" s="141" t="str">
        <f t="shared" si="32"/>
        <v>HPS</v>
      </c>
      <c r="AO74" s="141" t="str">
        <f t="shared" si="33"/>
        <v>HPS</v>
      </c>
      <c r="AP74" s="134" t="e">
        <f t="shared" si="103"/>
        <v>#N/A</v>
      </c>
      <c r="AQ74" s="134" t="e">
        <f t="shared" si="104"/>
        <v>#N/A</v>
      </c>
      <c r="AR74" s="134" t="e">
        <f t="shared" si="105"/>
        <v>#N/A</v>
      </c>
      <c r="AS74" s="134" t="e">
        <f t="shared" si="106"/>
        <v>#N/A</v>
      </c>
      <c r="AT74" s="134" t="e">
        <f t="shared" si="107"/>
        <v>#N/A</v>
      </c>
      <c r="AU74" s="134" t="e">
        <f t="shared" si="108"/>
        <v>#N/A</v>
      </c>
      <c r="AV74" s="134" t="e">
        <f t="shared" si="109"/>
        <v>#N/A</v>
      </c>
      <c r="AW74" s="134" t="e">
        <f t="shared" si="110"/>
        <v>#N/A</v>
      </c>
      <c r="AX74" s="134" t="e">
        <f t="shared" si="111"/>
        <v>#N/A</v>
      </c>
      <c r="AY74" s="134" t="e">
        <f t="shared" si="112"/>
        <v>#N/A</v>
      </c>
      <c r="AZ74" s="134" t="e">
        <f t="shared" si="113"/>
        <v>#N/A</v>
      </c>
      <c r="BA74" s="134" t="e">
        <f t="shared" si="114"/>
        <v>#N/A</v>
      </c>
      <c r="BB74" s="134" t="e">
        <f t="shared" si="115"/>
        <v>#N/A</v>
      </c>
      <c r="BC74" s="134" t="e">
        <f t="shared" si="116"/>
        <v>#N/A</v>
      </c>
      <c r="BD74" s="134" t="e">
        <f t="shared" si="117"/>
        <v>#N/A</v>
      </c>
      <c r="BE74" s="134" t="e">
        <f t="shared" si="118"/>
        <v>#N/A</v>
      </c>
      <c r="BF74" s="134" t="e">
        <f t="shared" si="119"/>
        <v>#N/A</v>
      </c>
      <c r="BG74" s="134" t="e">
        <f t="shared" si="120"/>
        <v>#N/A</v>
      </c>
      <c r="BH74" s="134" t="e">
        <f t="shared" si="121"/>
        <v>#N/A</v>
      </c>
      <c r="BI74" s="134" t="e">
        <f t="shared" si="122"/>
        <v>#N/A</v>
      </c>
      <c r="BJ74" t="e">
        <f t="shared" si="35"/>
        <v>#N/A</v>
      </c>
      <c r="BK74" t="e">
        <f t="shared" si="36"/>
        <v>#N/A</v>
      </c>
      <c r="BL74" s="142" t="e">
        <f t="shared" si="123"/>
        <v>#N/A</v>
      </c>
      <c r="BM74" s="142">
        <f t="shared" si="37"/>
        <v>2650</v>
      </c>
      <c r="BN74" t="e">
        <f t="shared" si="38"/>
        <v>#NUM!</v>
      </c>
      <c r="BO74" s="143" t="e">
        <f t="shared" si="39"/>
        <v>#N/A</v>
      </c>
      <c r="BP74" s="143" t="e">
        <f t="shared" si="40"/>
        <v>#N/A</v>
      </c>
      <c r="BQ74" s="143" t="e">
        <f t="shared" si="41"/>
        <v>#N/A</v>
      </c>
      <c r="BR74" s="143" t="e">
        <f t="shared" si="42"/>
        <v>#N/A</v>
      </c>
      <c r="BS74" s="143" t="e">
        <f t="shared" si="43"/>
        <v>#N/A</v>
      </c>
      <c r="BT74" s="143" t="e">
        <f t="shared" si="44"/>
        <v>#N/A</v>
      </c>
      <c r="BU74" s="143" t="e">
        <f t="shared" si="45"/>
        <v>#N/A</v>
      </c>
      <c r="BV74" s="143" t="e">
        <f t="shared" si="46"/>
        <v>#N/A</v>
      </c>
      <c r="BW74" s="143" t="e">
        <f t="shared" si="47"/>
        <v>#N/A</v>
      </c>
      <c r="BX74" s="143" t="e">
        <f t="shared" si="48"/>
        <v>#N/A</v>
      </c>
      <c r="BY74" s="143" t="e">
        <f t="shared" si="49"/>
        <v>#N/A</v>
      </c>
      <c r="BZ74" s="143" t="e">
        <f t="shared" si="50"/>
        <v>#N/A</v>
      </c>
      <c r="CA74" s="143" t="e">
        <f t="shared" si="51"/>
        <v>#N/A</v>
      </c>
      <c r="CB74" s="143" t="e">
        <f t="shared" si="52"/>
        <v>#N/A</v>
      </c>
      <c r="CC74" s="143" t="e">
        <f t="shared" si="53"/>
        <v>#N/A</v>
      </c>
      <c r="CD74" s="143" t="e">
        <f t="shared" si="54"/>
        <v>#N/A</v>
      </c>
      <c r="CE74" s="143" t="e">
        <f t="shared" si="55"/>
        <v>#N/A</v>
      </c>
      <c r="CF74" s="143" t="e">
        <f t="shared" si="56"/>
        <v>#N/A</v>
      </c>
      <c r="CG74" s="143" t="e">
        <f t="shared" si="57"/>
        <v>#N/A</v>
      </c>
      <c r="CH74" s="143" t="e">
        <f t="shared" si="58"/>
        <v>#N/A</v>
      </c>
      <c r="CI74" t="e">
        <f t="shared" si="59"/>
        <v>#N/A</v>
      </c>
      <c r="CJ74" t="e">
        <f t="shared" si="60"/>
        <v>#N/A</v>
      </c>
      <c r="CK74" t="e">
        <f t="shared" si="61"/>
        <v>#N/A</v>
      </c>
      <c r="CL74" t="e">
        <f t="shared" si="62"/>
        <v>#N/A</v>
      </c>
      <c r="CM74" t="e">
        <f t="shared" si="63"/>
        <v>#N/A</v>
      </c>
      <c r="CN74" t="e">
        <f t="shared" si="64"/>
        <v>#N/A</v>
      </c>
      <c r="CO74" t="e">
        <f t="shared" si="65"/>
        <v>#N/A</v>
      </c>
      <c r="CP74" t="e">
        <f t="shared" si="66"/>
        <v>#N/A</v>
      </c>
      <c r="CQ74" t="e">
        <f t="shared" si="67"/>
        <v>#N/A</v>
      </c>
      <c r="CR74" t="e">
        <f t="shared" si="68"/>
        <v>#N/A</v>
      </c>
      <c r="CS74" t="e">
        <f t="shared" si="69"/>
        <v>#N/A</v>
      </c>
      <c r="CT74" t="e">
        <f t="shared" si="70"/>
        <v>#N/A</v>
      </c>
      <c r="CU74" t="e">
        <f t="shared" si="71"/>
        <v>#N/A</v>
      </c>
      <c r="CV74" t="e">
        <f t="shared" si="72"/>
        <v>#N/A</v>
      </c>
      <c r="CW74" t="e">
        <f t="shared" si="73"/>
        <v>#N/A</v>
      </c>
      <c r="CX74" t="e">
        <f t="shared" si="74"/>
        <v>#N/A</v>
      </c>
      <c r="CY74" t="e">
        <f t="shared" si="75"/>
        <v>#N/A</v>
      </c>
      <c r="CZ74" t="e">
        <f t="shared" si="76"/>
        <v>#N/A</v>
      </c>
      <c r="DA74" t="e">
        <f t="shared" si="77"/>
        <v>#N/A</v>
      </c>
      <c r="DB74" t="e">
        <f t="shared" si="78"/>
        <v>#N/A</v>
      </c>
      <c r="DC74" s="142" t="e">
        <f t="shared" si="79"/>
        <v>#N/A</v>
      </c>
      <c r="DD74" t="e">
        <f t="shared" si="80"/>
        <v>#N/A</v>
      </c>
      <c r="DE74" t="b">
        <f t="shared" si="81"/>
        <v>0</v>
      </c>
    </row>
    <row r="75" spans="1:112">
      <c r="A75">
        <f t="shared" si="82"/>
        <v>10</v>
      </c>
      <c r="B75" s="140" t="e">
        <f t="shared" si="83"/>
        <v>#N/A</v>
      </c>
      <c r="C75" s="140" t="e">
        <f t="shared" si="84"/>
        <v>#N/A</v>
      </c>
      <c r="D75" s="140" t="e">
        <f t="shared" si="85"/>
        <v>#N/A</v>
      </c>
      <c r="E75" s="140" t="e">
        <f t="shared" si="86"/>
        <v>#N/A</v>
      </c>
      <c r="F75" s="140" t="e">
        <f t="shared" si="87"/>
        <v>#N/A</v>
      </c>
      <c r="G75" s="140" t="e">
        <f t="shared" si="88"/>
        <v>#N/A</v>
      </c>
      <c r="H75" s="140" t="e">
        <f t="shared" si="89"/>
        <v>#N/A</v>
      </c>
      <c r="I75" s="140" t="e">
        <f t="shared" si="90"/>
        <v>#N/A</v>
      </c>
      <c r="J75" s="140" t="e">
        <f t="shared" si="91"/>
        <v>#N/A</v>
      </c>
      <c r="K75" s="140" t="e">
        <f t="shared" si="92"/>
        <v>#N/A</v>
      </c>
      <c r="L75" s="140" t="e">
        <f t="shared" si="93"/>
        <v>#N/A</v>
      </c>
      <c r="M75" s="140" t="e">
        <f t="shared" si="94"/>
        <v>#N/A</v>
      </c>
      <c r="N75" s="140" t="e">
        <f t="shared" si="95"/>
        <v>#N/A</v>
      </c>
      <c r="O75" s="140" t="e">
        <f t="shared" si="96"/>
        <v>#N/A</v>
      </c>
      <c r="P75" s="140" t="e">
        <f t="shared" si="97"/>
        <v>#N/A</v>
      </c>
      <c r="Q75" s="140" t="e">
        <f t="shared" si="98"/>
        <v>#N/A</v>
      </c>
      <c r="R75" s="140" t="e">
        <f t="shared" si="99"/>
        <v>#N/A</v>
      </c>
      <c r="S75" s="140" t="e">
        <f t="shared" si="100"/>
        <v>#N/A</v>
      </c>
      <c r="T75" s="140" t="e">
        <f t="shared" si="101"/>
        <v>#N/A</v>
      </c>
      <c r="U75" s="140" t="e">
        <f t="shared" si="102"/>
        <v>#N/A</v>
      </c>
      <c r="V75" s="141" t="str">
        <f t="shared" si="14"/>
        <v>DPS</v>
      </c>
      <c r="W75" s="141" t="str">
        <f t="shared" si="15"/>
        <v>DPS</v>
      </c>
      <c r="X75" s="141" t="str">
        <f t="shared" si="16"/>
        <v>DPS</v>
      </c>
      <c r="Y75" s="141" t="str">
        <f t="shared" si="17"/>
        <v>DPS</v>
      </c>
      <c r="Z75" s="141" t="str">
        <f t="shared" si="18"/>
        <v>DPS</v>
      </c>
      <c r="AA75" s="141" t="str">
        <f t="shared" si="19"/>
        <v>DPS</v>
      </c>
      <c r="AB75" s="141" t="str">
        <f t="shared" si="20"/>
        <v>DPS</v>
      </c>
      <c r="AC75" s="141" t="str">
        <f t="shared" si="21"/>
        <v>DPS</v>
      </c>
      <c r="AD75" s="141" t="str">
        <f t="shared" si="22"/>
        <v>DPS</v>
      </c>
      <c r="AE75" s="141" t="str">
        <f t="shared" si="23"/>
        <v>DPS</v>
      </c>
      <c r="AF75" s="141" t="str">
        <f t="shared" si="24"/>
        <v>DPS</v>
      </c>
      <c r="AG75" s="141" t="str">
        <f t="shared" si="25"/>
        <v>DPS</v>
      </c>
      <c r="AH75" s="141" t="str">
        <f t="shared" si="26"/>
        <v>DPS</v>
      </c>
      <c r="AI75" s="141" t="str">
        <f t="shared" si="27"/>
        <v>HPS</v>
      </c>
      <c r="AJ75" s="141" t="str">
        <f t="shared" si="28"/>
        <v>HPS</v>
      </c>
      <c r="AK75" s="141" t="str">
        <f t="shared" si="29"/>
        <v>HPS</v>
      </c>
      <c r="AL75" s="141" t="str">
        <f t="shared" si="30"/>
        <v>HPS</v>
      </c>
      <c r="AM75" s="141" t="str">
        <f t="shared" si="31"/>
        <v>HPS</v>
      </c>
      <c r="AN75" s="141" t="str">
        <f t="shared" si="32"/>
        <v>HPS</v>
      </c>
      <c r="AO75" s="141" t="str">
        <f t="shared" si="33"/>
        <v>HPS</v>
      </c>
      <c r="AP75" s="134" t="e">
        <f t="shared" si="103"/>
        <v>#N/A</v>
      </c>
      <c r="AQ75" s="134" t="e">
        <f t="shared" si="104"/>
        <v>#N/A</v>
      </c>
      <c r="AR75" s="134" t="e">
        <f t="shared" si="105"/>
        <v>#N/A</v>
      </c>
      <c r="AS75" s="134" t="e">
        <f t="shared" si="106"/>
        <v>#N/A</v>
      </c>
      <c r="AT75" s="134" t="e">
        <f t="shared" si="107"/>
        <v>#N/A</v>
      </c>
      <c r="AU75" s="134" t="e">
        <f t="shared" si="108"/>
        <v>#N/A</v>
      </c>
      <c r="AV75" s="134" t="e">
        <f t="shared" si="109"/>
        <v>#N/A</v>
      </c>
      <c r="AW75" s="134" t="e">
        <f t="shared" si="110"/>
        <v>#N/A</v>
      </c>
      <c r="AX75" s="134" t="e">
        <f t="shared" si="111"/>
        <v>#N/A</v>
      </c>
      <c r="AY75" s="134" t="e">
        <f t="shared" si="112"/>
        <v>#N/A</v>
      </c>
      <c r="AZ75" s="134" t="e">
        <f t="shared" si="113"/>
        <v>#N/A</v>
      </c>
      <c r="BA75" s="134" t="e">
        <f t="shared" si="114"/>
        <v>#N/A</v>
      </c>
      <c r="BB75" s="134" t="e">
        <f t="shared" si="115"/>
        <v>#N/A</v>
      </c>
      <c r="BC75" s="134" t="e">
        <f t="shared" si="116"/>
        <v>#N/A</v>
      </c>
      <c r="BD75" s="134" t="e">
        <f t="shared" si="117"/>
        <v>#N/A</v>
      </c>
      <c r="BE75" s="134" t="e">
        <f t="shared" si="118"/>
        <v>#N/A</v>
      </c>
      <c r="BF75" s="134" t="e">
        <f t="shared" si="119"/>
        <v>#N/A</v>
      </c>
      <c r="BG75" s="134" t="e">
        <f t="shared" si="120"/>
        <v>#N/A</v>
      </c>
      <c r="BH75" s="134" t="e">
        <f t="shared" si="121"/>
        <v>#N/A</v>
      </c>
      <c r="BI75" s="134" t="e">
        <f t="shared" si="122"/>
        <v>#N/A</v>
      </c>
      <c r="BJ75" t="e">
        <f t="shared" si="35"/>
        <v>#N/A</v>
      </c>
      <c r="BK75" t="e">
        <f t="shared" si="36"/>
        <v>#N/A</v>
      </c>
      <c r="BL75" s="142" t="e">
        <f t="shared" si="123"/>
        <v>#N/A</v>
      </c>
      <c r="BM75" s="142">
        <f t="shared" si="37"/>
        <v>2650</v>
      </c>
      <c r="BN75" t="e">
        <f t="shared" si="38"/>
        <v>#NUM!</v>
      </c>
      <c r="BO75" s="143" t="e">
        <f t="shared" si="39"/>
        <v>#N/A</v>
      </c>
      <c r="BP75" s="143" t="e">
        <f t="shared" si="40"/>
        <v>#N/A</v>
      </c>
      <c r="BQ75" s="143" t="e">
        <f t="shared" si="41"/>
        <v>#N/A</v>
      </c>
      <c r="BR75" s="143" t="e">
        <f t="shared" si="42"/>
        <v>#N/A</v>
      </c>
      <c r="BS75" s="143" t="e">
        <f t="shared" si="43"/>
        <v>#N/A</v>
      </c>
      <c r="BT75" s="143" t="e">
        <f t="shared" si="44"/>
        <v>#N/A</v>
      </c>
      <c r="BU75" s="143" t="e">
        <f t="shared" si="45"/>
        <v>#N/A</v>
      </c>
      <c r="BV75" s="143" t="e">
        <f t="shared" si="46"/>
        <v>#N/A</v>
      </c>
      <c r="BW75" s="143" t="e">
        <f t="shared" si="47"/>
        <v>#N/A</v>
      </c>
      <c r="BX75" s="143" t="e">
        <f t="shared" si="48"/>
        <v>#N/A</v>
      </c>
      <c r="BY75" s="143" t="e">
        <f t="shared" si="49"/>
        <v>#N/A</v>
      </c>
      <c r="BZ75" s="143" t="e">
        <f t="shared" si="50"/>
        <v>#N/A</v>
      </c>
      <c r="CA75" s="143" t="e">
        <f t="shared" si="51"/>
        <v>#N/A</v>
      </c>
      <c r="CB75" s="143" t="e">
        <f t="shared" si="52"/>
        <v>#N/A</v>
      </c>
      <c r="CC75" s="143" t="e">
        <f t="shared" si="53"/>
        <v>#N/A</v>
      </c>
      <c r="CD75" s="143" t="e">
        <f t="shared" si="54"/>
        <v>#N/A</v>
      </c>
      <c r="CE75" s="143" t="e">
        <f t="shared" si="55"/>
        <v>#N/A</v>
      </c>
      <c r="CF75" s="143" t="e">
        <f t="shared" si="56"/>
        <v>#N/A</v>
      </c>
      <c r="CG75" s="143" t="e">
        <f t="shared" si="57"/>
        <v>#N/A</v>
      </c>
      <c r="CH75" s="143" t="e">
        <f t="shared" si="58"/>
        <v>#N/A</v>
      </c>
      <c r="CI75" t="e">
        <f t="shared" si="59"/>
        <v>#N/A</v>
      </c>
      <c r="CJ75" t="e">
        <f t="shared" si="60"/>
        <v>#N/A</v>
      </c>
      <c r="CK75" t="e">
        <f t="shared" si="61"/>
        <v>#N/A</v>
      </c>
      <c r="CL75" t="e">
        <f t="shared" si="62"/>
        <v>#N/A</v>
      </c>
      <c r="CM75" t="e">
        <f t="shared" si="63"/>
        <v>#N/A</v>
      </c>
      <c r="CN75" t="e">
        <f t="shared" si="64"/>
        <v>#N/A</v>
      </c>
      <c r="CO75" t="e">
        <f t="shared" si="65"/>
        <v>#N/A</v>
      </c>
      <c r="CP75" t="e">
        <f t="shared" si="66"/>
        <v>#N/A</v>
      </c>
      <c r="CQ75" t="e">
        <f t="shared" si="67"/>
        <v>#N/A</v>
      </c>
      <c r="CR75" t="e">
        <f t="shared" si="68"/>
        <v>#N/A</v>
      </c>
      <c r="CS75" t="e">
        <f t="shared" si="69"/>
        <v>#N/A</v>
      </c>
      <c r="CT75" t="e">
        <f t="shared" si="70"/>
        <v>#N/A</v>
      </c>
      <c r="CU75" t="e">
        <f t="shared" si="71"/>
        <v>#N/A</v>
      </c>
      <c r="CV75" t="e">
        <f t="shared" si="72"/>
        <v>#N/A</v>
      </c>
      <c r="CW75" t="e">
        <f t="shared" si="73"/>
        <v>#N/A</v>
      </c>
      <c r="CX75" t="e">
        <f t="shared" si="74"/>
        <v>#N/A</v>
      </c>
      <c r="CY75" t="e">
        <f t="shared" si="75"/>
        <v>#N/A</v>
      </c>
      <c r="CZ75" t="e">
        <f t="shared" si="76"/>
        <v>#N/A</v>
      </c>
      <c r="DA75" t="e">
        <f t="shared" si="77"/>
        <v>#N/A</v>
      </c>
      <c r="DB75" t="e">
        <f t="shared" si="78"/>
        <v>#N/A</v>
      </c>
      <c r="DC75" s="142" t="e">
        <f t="shared" si="79"/>
        <v>#N/A</v>
      </c>
      <c r="DD75" t="e">
        <f t="shared" si="80"/>
        <v>#N/A</v>
      </c>
      <c r="DE75" t="b">
        <f t="shared" si="81"/>
        <v>0</v>
      </c>
    </row>
    <row r="76" spans="1:112">
      <c r="A76">
        <f t="shared" si="82"/>
        <v>11</v>
      </c>
      <c r="B76" s="140" t="e">
        <f t="shared" si="83"/>
        <v>#N/A</v>
      </c>
      <c r="C76" s="140" t="e">
        <f t="shared" si="84"/>
        <v>#N/A</v>
      </c>
      <c r="D76" s="140" t="e">
        <f t="shared" si="85"/>
        <v>#N/A</v>
      </c>
      <c r="E76" s="140" t="e">
        <f t="shared" si="86"/>
        <v>#N/A</v>
      </c>
      <c r="F76" s="140" t="e">
        <f t="shared" si="87"/>
        <v>#N/A</v>
      </c>
      <c r="G76" s="140" t="e">
        <f t="shared" si="88"/>
        <v>#N/A</v>
      </c>
      <c r="H76" s="140" t="e">
        <f t="shared" si="89"/>
        <v>#N/A</v>
      </c>
      <c r="I76" s="140" t="e">
        <f t="shared" si="90"/>
        <v>#N/A</v>
      </c>
      <c r="J76" s="140" t="e">
        <f t="shared" si="91"/>
        <v>#N/A</v>
      </c>
      <c r="K76" s="140" t="e">
        <f t="shared" si="92"/>
        <v>#N/A</v>
      </c>
      <c r="L76" s="140" t="e">
        <f t="shared" si="93"/>
        <v>#N/A</v>
      </c>
      <c r="M76" s="140" t="e">
        <f t="shared" si="94"/>
        <v>#N/A</v>
      </c>
      <c r="N76" s="140" t="e">
        <f t="shared" si="95"/>
        <v>#N/A</v>
      </c>
      <c r="O76" s="140" t="e">
        <f t="shared" si="96"/>
        <v>#N/A</v>
      </c>
      <c r="P76" s="140" t="e">
        <f t="shared" si="97"/>
        <v>#N/A</v>
      </c>
      <c r="Q76" s="140" t="e">
        <f t="shared" si="98"/>
        <v>#N/A</v>
      </c>
      <c r="R76" s="140" t="e">
        <f t="shared" si="99"/>
        <v>#N/A</v>
      </c>
      <c r="S76" s="140" t="e">
        <f t="shared" si="100"/>
        <v>#N/A</v>
      </c>
      <c r="T76" s="140" t="e">
        <f t="shared" si="101"/>
        <v>#N/A</v>
      </c>
      <c r="U76" s="140" t="e">
        <f t="shared" si="102"/>
        <v>#N/A</v>
      </c>
      <c r="V76" s="141" t="str">
        <f t="shared" si="14"/>
        <v>DPS</v>
      </c>
      <c r="W76" s="141" t="str">
        <f t="shared" si="15"/>
        <v>DPS</v>
      </c>
      <c r="X76" s="141" t="str">
        <f t="shared" si="16"/>
        <v>DPS</v>
      </c>
      <c r="Y76" s="141" t="str">
        <f t="shared" si="17"/>
        <v>DPS</v>
      </c>
      <c r="Z76" s="141" t="str">
        <f t="shared" si="18"/>
        <v>DPS</v>
      </c>
      <c r="AA76" s="141" t="str">
        <f t="shared" si="19"/>
        <v>DPS</v>
      </c>
      <c r="AB76" s="141" t="str">
        <f t="shared" si="20"/>
        <v>DPS</v>
      </c>
      <c r="AC76" s="141" t="str">
        <f t="shared" si="21"/>
        <v>DPS</v>
      </c>
      <c r="AD76" s="141" t="str">
        <f t="shared" si="22"/>
        <v>DPS</v>
      </c>
      <c r="AE76" s="141" t="str">
        <f t="shared" si="23"/>
        <v>DPS</v>
      </c>
      <c r="AF76" s="141" t="str">
        <f t="shared" si="24"/>
        <v>DPS</v>
      </c>
      <c r="AG76" s="141" t="str">
        <f t="shared" si="25"/>
        <v>DPS</v>
      </c>
      <c r="AH76" s="141" t="str">
        <f t="shared" si="26"/>
        <v>DPS</v>
      </c>
      <c r="AI76" s="141" t="str">
        <f t="shared" si="27"/>
        <v>HPS</v>
      </c>
      <c r="AJ76" s="141" t="str">
        <f t="shared" si="28"/>
        <v>HPS</v>
      </c>
      <c r="AK76" s="141" t="str">
        <f t="shared" si="29"/>
        <v>HPS</v>
      </c>
      <c r="AL76" s="141" t="str">
        <f t="shared" si="30"/>
        <v>HPS</v>
      </c>
      <c r="AM76" s="141" t="str">
        <f t="shared" si="31"/>
        <v>HPS</v>
      </c>
      <c r="AN76" s="141" t="str">
        <f t="shared" si="32"/>
        <v>HPS</v>
      </c>
      <c r="AO76" s="141" t="str">
        <f t="shared" si="33"/>
        <v>HPS</v>
      </c>
      <c r="AP76" s="134" t="e">
        <f t="shared" si="103"/>
        <v>#N/A</v>
      </c>
      <c r="AQ76" s="134" t="e">
        <f t="shared" si="104"/>
        <v>#N/A</v>
      </c>
      <c r="AR76" s="134" t="e">
        <f t="shared" si="105"/>
        <v>#N/A</v>
      </c>
      <c r="AS76" s="134" t="e">
        <f t="shared" si="106"/>
        <v>#N/A</v>
      </c>
      <c r="AT76" s="134" t="e">
        <f t="shared" si="107"/>
        <v>#N/A</v>
      </c>
      <c r="AU76" s="134" t="e">
        <f t="shared" si="108"/>
        <v>#N/A</v>
      </c>
      <c r="AV76" s="134" t="e">
        <f t="shared" si="109"/>
        <v>#N/A</v>
      </c>
      <c r="AW76" s="134" t="e">
        <f t="shared" si="110"/>
        <v>#N/A</v>
      </c>
      <c r="AX76" s="134" t="e">
        <f t="shared" si="111"/>
        <v>#N/A</v>
      </c>
      <c r="AY76" s="134" t="e">
        <f t="shared" si="112"/>
        <v>#N/A</v>
      </c>
      <c r="AZ76" s="134" t="e">
        <f t="shared" si="113"/>
        <v>#N/A</v>
      </c>
      <c r="BA76" s="134" t="e">
        <f t="shared" si="114"/>
        <v>#N/A</v>
      </c>
      <c r="BB76" s="134" t="e">
        <f t="shared" si="115"/>
        <v>#N/A</v>
      </c>
      <c r="BC76" s="134" t="e">
        <f t="shared" si="116"/>
        <v>#N/A</v>
      </c>
      <c r="BD76" s="134" t="e">
        <f t="shared" si="117"/>
        <v>#N/A</v>
      </c>
      <c r="BE76" s="134" t="e">
        <f t="shared" si="118"/>
        <v>#N/A</v>
      </c>
      <c r="BF76" s="134" t="e">
        <f t="shared" si="119"/>
        <v>#N/A</v>
      </c>
      <c r="BG76" s="134" t="e">
        <f t="shared" si="120"/>
        <v>#N/A</v>
      </c>
      <c r="BH76" s="134" t="e">
        <f t="shared" si="121"/>
        <v>#N/A</v>
      </c>
      <c r="BI76" s="134" t="e">
        <f t="shared" si="122"/>
        <v>#N/A</v>
      </c>
      <c r="BJ76" t="e">
        <f t="shared" si="35"/>
        <v>#N/A</v>
      </c>
      <c r="BK76" t="e">
        <f t="shared" si="36"/>
        <v>#N/A</v>
      </c>
      <c r="BL76" s="142" t="e">
        <f t="shared" si="123"/>
        <v>#N/A</v>
      </c>
      <c r="BM76" s="142">
        <f t="shared" si="37"/>
        <v>2650</v>
      </c>
      <c r="BN76" t="e">
        <f t="shared" si="38"/>
        <v>#NUM!</v>
      </c>
      <c r="BO76" s="143" t="e">
        <f t="shared" si="39"/>
        <v>#N/A</v>
      </c>
      <c r="BP76" s="143" t="e">
        <f t="shared" si="40"/>
        <v>#N/A</v>
      </c>
      <c r="BQ76" s="143" t="e">
        <f t="shared" si="41"/>
        <v>#N/A</v>
      </c>
      <c r="BR76" s="143" t="e">
        <f t="shared" si="42"/>
        <v>#N/A</v>
      </c>
      <c r="BS76" s="143" t="e">
        <f t="shared" si="43"/>
        <v>#N/A</v>
      </c>
      <c r="BT76" s="143" t="e">
        <f t="shared" si="44"/>
        <v>#N/A</v>
      </c>
      <c r="BU76" s="143" t="e">
        <f t="shared" si="45"/>
        <v>#N/A</v>
      </c>
      <c r="BV76" s="143" t="e">
        <f t="shared" si="46"/>
        <v>#N/A</v>
      </c>
      <c r="BW76" s="143" t="e">
        <f t="shared" si="47"/>
        <v>#N/A</v>
      </c>
      <c r="BX76" s="143" t="e">
        <f t="shared" si="48"/>
        <v>#N/A</v>
      </c>
      <c r="BY76" s="143" t="e">
        <f t="shared" si="49"/>
        <v>#N/A</v>
      </c>
      <c r="BZ76" s="143" t="e">
        <f t="shared" si="50"/>
        <v>#N/A</v>
      </c>
      <c r="CA76" s="143" t="e">
        <f t="shared" si="51"/>
        <v>#N/A</v>
      </c>
      <c r="CB76" s="143" t="e">
        <f t="shared" si="52"/>
        <v>#N/A</v>
      </c>
      <c r="CC76" s="143" t="e">
        <f t="shared" si="53"/>
        <v>#N/A</v>
      </c>
      <c r="CD76" s="143" t="e">
        <f t="shared" si="54"/>
        <v>#N/A</v>
      </c>
      <c r="CE76" s="143" t="e">
        <f t="shared" si="55"/>
        <v>#N/A</v>
      </c>
      <c r="CF76" s="143" t="e">
        <f t="shared" si="56"/>
        <v>#N/A</v>
      </c>
      <c r="CG76" s="143" t="e">
        <f t="shared" si="57"/>
        <v>#N/A</v>
      </c>
      <c r="CH76" s="143" t="e">
        <f t="shared" si="58"/>
        <v>#N/A</v>
      </c>
      <c r="CI76" t="e">
        <f t="shared" si="59"/>
        <v>#N/A</v>
      </c>
      <c r="CJ76" t="e">
        <f t="shared" si="60"/>
        <v>#N/A</v>
      </c>
      <c r="CK76" t="e">
        <f t="shared" si="61"/>
        <v>#N/A</v>
      </c>
      <c r="CL76" t="e">
        <f t="shared" si="62"/>
        <v>#N/A</v>
      </c>
      <c r="CM76" t="e">
        <f t="shared" si="63"/>
        <v>#N/A</v>
      </c>
      <c r="CN76" t="e">
        <f t="shared" si="64"/>
        <v>#N/A</v>
      </c>
      <c r="CO76" t="e">
        <f t="shared" si="65"/>
        <v>#N/A</v>
      </c>
      <c r="CP76" t="e">
        <f t="shared" si="66"/>
        <v>#N/A</v>
      </c>
      <c r="CQ76" t="e">
        <f t="shared" si="67"/>
        <v>#N/A</v>
      </c>
      <c r="CR76" t="e">
        <f t="shared" si="68"/>
        <v>#N/A</v>
      </c>
      <c r="CS76" t="e">
        <f t="shared" si="69"/>
        <v>#N/A</v>
      </c>
      <c r="CT76" t="e">
        <f t="shared" si="70"/>
        <v>#N/A</v>
      </c>
      <c r="CU76" t="e">
        <f t="shared" si="71"/>
        <v>#N/A</v>
      </c>
      <c r="CV76" t="e">
        <f t="shared" si="72"/>
        <v>#N/A</v>
      </c>
      <c r="CW76" t="e">
        <f t="shared" si="73"/>
        <v>#N/A</v>
      </c>
      <c r="CX76" t="e">
        <f t="shared" si="74"/>
        <v>#N/A</v>
      </c>
      <c r="CY76" t="e">
        <f t="shared" si="75"/>
        <v>#N/A</v>
      </c>
      <c r="CZ76" t="e">
        <f t="shared" si="76"/>
        <v>#N/A</v>
      </c>
      <c r="DA76" t="e">
        <f t="shared" si="77"/>
        <v>#N/A</v>
      </c>
      <c r="DB76" t="e">
        <f t="shared" si="78"/>
        <v>#N/A</v>
      </c>
      <c r="DC76" s="142" t="e">
        <f t="shared" si="79"/>
        <v>#N/A</v>
      </c>
      <c r="DD76" t="e">
        <f t="shared" si="80"/>
        <v>#N/A</v>
      </c>
      <c r="DE76" t="b">
        <f t="shared" si="81"/>
        <v>0</v>
      </c>
    </row>
    <row r="77" spans="1:112">
      <c r="A77">
        <f t="shared" si="82"/>
        <v>12</v>
      </c>
      <c r="B77" s="140" t="e">
        <f t="shared" si="83"/>
        <v>#N/A</v>
      </c>
      <c r="C77" s="140" t="e">
        <f t="shared" si="84"/>
        <v>#N/A</v>
      </c>
      <c r="D77" s="140" t="e">
        <f t="shared" si="85"/>
        <v>#N/A</v>
      </c>
      <c r="E77" s="140" t="e">
        <f t="shared" si="86"/>
        <v>#N/A</v>
      </c>
      <c r="F77" s="140" t="e">
        <f t="shared" si="87"/>
        <v>#N/A</v>
      </c>
      <c r="G77" s="140" t="e">
        <f t="shared" si="88"/>
        <v>#N/A</v>
      </c>
      <c r="H77" s="140" t="e">
        <f t="shared" si="89"/>
        <v>#N/A</v>
      </c>
      <c r="I77" s="140" t="e">
        <f t="shared" si="90"/>
        <v>#N/A</v>
      </c>
      <c r="J77" s="140" t="e">
        <f t="shared" si="91"/>
        <v>#N/A</v>
      </c>
      <c r="K77" s="140" t="e">
        <f t="shared" si="92"/>
        <v>#N/A</v>
      </c>
      <c r="L77" s="140" t="e">
        <f t="shared" si="93"/>
        <v>#N/A</v>
      </c>
      <c r="M77" s="140" t="e">
        <f t="shared" si="94"/>
        <v>#N/A</v>
      </c>
      <c r="N77" s="140" t="e">
        <f t="shared" si="95"/>
        <v>#N/A</v>
      </c>
      <c r="O77" s="140" t="e">
        <f t="shared" si="96"/>
        <v>#N/A</v>
      </c>
      <c r="P77" s="140" t="e">
        <f t="shared" si="97"/>
        <v>#N/A</v>
      </c>
      <c r="Q77" s="140" t="e">
        <f t="shared" si="98"/>
        <v>#N/A</v>
      </c>
      <c r="R77" s="140" t="e">
        <f t="shared" si="99"/>
        <v>#N/A</v>
      </c>
      <c r="S77" s="140" t="e">
        <f t="shared" si="100"/>
        <v>#N/A</v>
      </c>
      <c r="T77" s="140" t="e">
        <f t="shared" si="101"/>
        <v>#N/A</v>
      </c>
      <c r="U77" s="140" t="e">
        <f t="shared" si="102"/>
        <v>#N/A</v>
      </c>
      <c r="V77" s="141" t="str">
        <f t="shared" si="14"/>
        <v>DPS</v>
      </c>
      <c r="W77" s="141" t="str">
        <f t="shared" si="15"/>
        <v>DPS</v>
      </c>
      <c r="X77" s="141" t="str">
        <f t="shared" si="16"/>
        <v>DPS</v>
      </c>
      <c r="Y77" s="141" t="str">
        <f t="shared" si="17"/>
        <v>DPS</v>
      </c>
      <c r="Z77" s="141" t="str">
        <f t="shared" si="18"/>
        <v>DPS</v>
      </c>
      <c r="AA77" s="141" t="str">
        <f t="shared" si="19"/>
        <v>DPS</v>
      </c>
      <c r="AB77" s="141" t="str">
        <f t="shared" si="20"/>
        <v>DPS</v>
      </c>
      <c r="AC77" s="141" t="str">
        <f t="shared" si="21"/>
        <v>DPS</v>
      </c>
      <c r="AD77" s="141" t="str">
        <f t="shared" si="22"/>
        <v>DPS</v>
      </c>
      <c r="AE77" s="141" t="str">
        <f t="shared" si="23"/>
        <v>DPS</v>
      </c>
      <c r="AF77" s="141" t="str">
        <f t="shared" si="24"/>
        <v>DPS</v>
      </c>
      <c r="AG77" s="141" t="str">
        <f t="shared" si="25"/>
        <v>DPS</v>
      </c>
      <c r="AH77" s="141" t="str">
        <f t="shared" si="26"/>
        <v>DPS</v>
      </c>
      <c r="AI77" s="141" t="str">
        <f t="shared" si="27"/>
        <v>HPS</v>
      </c>
      <c r="AJ77" s="141" t="str">
        <f t="shared" si="28"/>
        <v>HPS</v>
      </c>
      <c r="AK77" s="141" t="str">
        <f t="shared" si="29"/>
        <v>HPS</v>
      </c>
      <c r="AL77" s="141" t="str">
        <f t="shared" si="30"/>
        <v>HPS</v>
      </c>
      <c r="AM77" s="141" t="str">
        <f t="shared" si="31"/>
        <v>HPS</v>
      </c>
      <c r="AN77" s="141" t="str">
        <f t="shared" si="32"/>
        <v>HPS</v>
      </c>
      <c r="AO77" s="141" t="str">
        <f t="shared" si="33"/>
        <v>HPS</v>
      </c>
      <c r="AP77" s="134" t="e">
        <f t="shared" si="103"/>
        <v>#N/A</v>
      </c>
      <c r="AQ77" s="134" t="e">
        <f t="shared" si="104"/>
        <v>#N/A</v>
      </c>
      <c r="AR77" s="134" t="e">
        <f t="shared" si="105"/>
        <v>#N/A</v>
      </c>
      <c r="AS77" s="134" t="e">
        <f t="shared" si="106"/>
        <v>#N/A</v>
      </c>
      <c r="AT77" s="134" t="e">
        <f t="shared" si="107"/>
        <v>#N/A</v>
      </c>
      <c r="AU77" s="134" t="e">
        <f t="shared" si="108"/>
        <v>#N/A</v>
      </c>
      <c r="AV77" s="134" t="e">
        <f t="shared" si="109"/>
        <v>#N/A</v>
      </c>
      <c r="AW77" s="134" t="e">
        <f t="shared" si="110"/>
        <v>#N/A</v>
      </c>
      <c r="AX77" s="134" t="e">
        <f t="shared" si="111"/>
        <v>#N/A</v>
      </c>
      <c r="AY77" s="134" t="e">
        <f t="shared" si="112"/>
        <v>#N/A</v>
      </c>
      <c r="AZ77" s="134" t="e">
        <f t="shared" si="113"/>
        <v>#N/A</v>
      </c>
      <c r="BA77" s="134" t="e">
        <f t="shared" si="114"/>
        <v>#N/A</v>
      </c>
      <c r="BB77" s="134" t="e">
        <f t="shared" si="115"/>
        <v>#N/A</v>
      </c>
      <c r="BC77" s="134" t="e">
        <f t="shared" si="116"/>
        <v>#N/A</v>
      </c>
      <c r="BD77" s="134" t="e">
        <f t="shared" si="117"/>
        <v>#N/A</v>
      </c>
      <c r="BE77" s="134" t="e">
        <f t="shared" si="118"/>
        <v>#N/A</v>
      </c>
      <c r="BF77" s="134" t="e">
        <f t="shared" si="119"/>
        <v>#N/A</v>
      </c>
      <c r="BG77" s="134" t="e">
        <f t="shared" si="120"/>
        <v>#N/A</v>
      </c>
      <c r="BH77" s="134" t="e">
        <f t="shared" si="121"/>
        <v>#N/A</v>
      </c>
      <c r="BI77" s="134" t="e">
        <f t="shared" si="122"/>
        <v>#N/A</v>
      </c>
      <c r="BJ77" t="e">
        <f t="shared" si="35"/>
        <v>#N/A</v>
      </c>
      <c r="BK77" t="e">
        <f t="shared" si="36"/>
        <v>#N/A</v>
      </c>
      <c r="BL77" s="142" t="e">
        <f t="shared" si="123"/>
        <v>#N/A</v>
      </c>
      <c r="BM77" s="142">
        <f t="shared" si="37"/>
        <v>2650</v>
      </c>
      <c r="BN77" t="e">
        <f t="shared" si="38"/>
        <v>#NUM!</v>
      </c>
      <c r="BO77" s="143" t="e">
        <f t="shared" si="39"/>
        <v>#N/A</v>
      </c>
      <c r="BP77" s="143" t="e">
        <f t="shared" si="40"/>
        <v>#N/A</v>
      </c>
      <c r="BQ77" s="143" t="e">
        <f t="shared" si="41"/>
        <v>#N/A</v>
      </c>
      <c r="BR77" s="143" t="e">
        <f t="shared" si="42"/>
        <v>#N/A</v>
      </c>
      <c r="BS77" s="143" t="e">
        <f t="shared" si="43"/>
        <v>#N/A</v>
      </c>
      <c r="BT77" s="143" t="e">
        <f t="shared" si="44"/>
        <v>#N/A</v>
      </c>
      <c r="BU77" s="143" t="e">
        <f t="shared" si="45"/>
        <v>#N/A</v>
      </c>
      <c r="BV77" s="143" t="e">
        <f t="shared" si="46"/>
        <v>#N/A</v>
      </c>
      <c r="BW77" s="143" t="e">
        <f t="shared" si="47"/>
        <v>#N/A</v>
      </c>
      <c r="BX77" s="143" t="e">
        <f t="shared" si="48"/>
        <v>#N/A</v>
      </c>
      <c r="BY77" s="143" t="e">
        <f t="shared" si="49"/>
        <v>#N/A</v>
      </c>
      <c r="BZ77" s="143" t="e">
        <f t="shared" si="50"/>
        <v>#N/A</v>
      </c>
      <c r="CA77" s="143" t="e">
        <f t="shared" si="51"/>
        <v>#N/A</v>
      </c>
      <c r="CB77" s="143" t="e">
        <f t="shared" si="52"/>
        <v>#N/A</v>
      </c>
      <c r="CC77" s="143" t="e">
        <f t="shared" si="53"/>
        <v>#N/A</v>
      </c>
      <c r="CD77" s="143" t="e">
        <f t="shared" si="54"/>
        <v>#N/A</v>
      </c>
      <c r="CE77" s="143" t="e">
        <f t="shared" si="55"/>
        <v>#N/A</v>
      </c>
      <c r="CF77" s="143" t="e">
        <f t="shared" si="56"/>
        <v>#N/A</v>
      </c>
      <c r="CG77" s="143" t="e">
        <f t="shared" si="57"/>
        <v>#N/A</v>
      </c>
      <c r="CH77" s="143" t="e">
        <f t="shared" si="58"/>
        <v>#N/A</v>
      </c>
      <c r="CI77" t="e">
        <f t="shared" si="59"/>
        <v>#N/A</v>
      </c>
      <c r="CJ77" t="e">
        <f t="shared" si="60"/>
        <v>#N/A</v>
      </c>
      <c r="CK77" t="e">
        <f t="shared" si="61"/>
        <v>#N/A</v>
      </c>
      <c r="CL77" t="e">
        <f t="shared" si="62"/>
        <v>#N/A</v>
      </c>
      <c r="CM77" t="e">
        <f t="shared" si="63"/>
        <v>#N/A</v>
      </c>
      <c r="CN77" t="e">
        <f t="shared" si="64"/>
        <v>#N/A</v>
      </c>
      <c r="CO77" t="e">
        <f t="shared" si="65"/>
        <v>#N/A</v>
      </c>
      <c r="CP77" t="e">
        <f t="shared" si="66"/>
        <v>#N/A</v>
      </c>
      <c r="CQ77" t="e">
        <f t="shared" si="67"/>
        <v>#N/A</v>
      </c>
      <c r="CR77" t="e">
        <f t="shared" si="68"/>
        <v>#N/A</v>
      </c>
      <c r="CS77" t="e">
        <f t="shared" si="69"/>
        <v>#N/A</v>
      </c>
      <c r="CT77" t="e">
        <f t="shared" si="70"/>
        <v>#N/A</v>
      </c>
      <c r="CU77" t="e">
        <f t="shared" si="71"/>
        <v>#N/A</v>
      </c>
      <c r="CV77" t="e">
        <f t="shared" si="72"/>
        <v>#N/A</v>
      </c>
      <c r="CW77" t="e">
        <f t="shared" si="73"/>
        <v>#N/A</v>
      </c>
      <c r="CX77" t="e">
        <f t="shared" si="74"/>
        <v>#N/A</v>
      </c>
      <c r="CY77" t="e">
        <f t="shared" si="75"/>
        <v>#N/A</v>
      </c>
      <c r="CZ77" t="e">
        <f t="shared" si="76"/>
        <v>#N/A</v>
      </c>
      <c r="DA77" t="e">
        <f t="shared" si="77"/>
        <v>#N/A</v>
      </c>
      <c r="DB77" t="e">
        <f t="shared" si="78"/>
        <v>#N/A</v>
      </c>
      <c r="DC77" s="142" t="e">
        <f t="shared" si="79"/>
        <v>#N/A</v>
      </c>
      <c r="DD77" t="e">
        <f t="shared" si="80"/>
        <v>#N/A</v>
      </c>
      <c r="DE77" t="b">
        <f t="shared" si="81"/>
        <v>0</v>
      </c>
    </row>
    <row r="78" spans="1:112">
      <c r="A78">
        <f t="shared" si="82"/>
        <v>13</v>
      </c>
      <c r="B78" s="140" t="e">
        <f t="shared" si="83"/>
        <v>#N/A</v>
      </c>
      <c r="C78" s="140" t="e">
        <f t="shared" si="84"/>
        <v>#N/A</v>
      </c>
      <c r="D78" s="140" t="e">
        <f t="shared" si="85"/>
        <v>#N/A</v>
      </c>
      <c r="E78" s="140" t="e">
        <f t="shared" si="86"/>
        <v>#N/A</v>
      </c>
      <c r="F78" s="140" t="e">
        <f t="shared" si="87"/>
        <v>#N/A</v>
      </c>
      <c r="G78" s="140" t="e">
        <f t="shared" si="88"/>
        <v>#N/A</v>
      </c>
      <c r="H78" s="140" t="e">
        <f t="shared" si="89"/>
        <v>#N/A</v>
      </c>
      <c r="I78" s="140" t="e">
        <f t="shared" si="90"/>
        <v>#N/A</v>
      </c>
      <c r="J78" s="140" t="e">
        <f t="shared" si="91"/>
        <v>#N/A</v>
      </c>
      <c r="K78" s="140" t="e">
        <f t="shared" si="92"/>
        <v>#N/A</v>
      </c>
      <c r="L78" s="140" t="e">
        <f t="shared" si="93"/>
        <v>#N/A</v>
      </c>
      <c r="M78" s="140" t="e">
        <f t="shared" si="94"/>
        <v>#N/A</v>
      </c>
      <c r="N78" s="140" t="e">
        <f t="shared" si="95"/>
        <v>#N/A</v>
      </c>
      <c r="O78" s="140" t="e">
        <f t="shared" si="96"/>
        <v>#N/A</v>
      </c>
      <c r="P78" s="140" t="e">
        <f t="shared" si="97"/>
        <v>#N/A</v>
      </c>
      <c r="Q78" s="140" t="e">
        <f t="shared" si="98"/>
        <v>#N/A</v>
      </c>
      <c r="R78" s="140" t="e">
        <f t="shared" si="99"/>
        <v>#N/A</v>
      </c>
      <c r="S78" s="140" t="e">
        <f t="shared" si="100"/>
        <v>#N/A</v>
      </c>
      <c r="T78" s="140" t="e">
        <f t="shared" si="101"/>
        <v>#N/A</v>
      </c>
      <c r="U78" s="140" t="e">
        <f t="shared" si="102"/>
        <v>#N/A</v>
      </c>
      <c r="V78" s="141" t="str">
        <f t="shared" si="14"/>
        <v>DPS</v>
      </c>
      <c r="W78" s="141" t="str">
        <f t="shared" si="15"/>
        <v>DPS</v>
      </c>
      <c r="X78" s="141" t="str">
        <f t="shared" si="16"/>
        <v>DPS</v>
      </c>
      <c r="Y78" s="141" t="str">
        <f t="shared" si="17"/>
        <v>DPS</v>
      </c>
      <c r="Z78" s="141" t="str">
        <f t="shared" si="18"/>
        <v>DPS</v>
      </c>
      <c r="AA78" s="141" t="str">
        <f t="shared" si="19"/>
        <v>DPS</v>
      </c>
      <c r="AB78" s="141" t="str">
        <f t="shared" si="20"/>
        <v>DPS</v>
      </c>
      <c r="AC78" s="141" t="str">
        <f t="shared" si="21"/>
        <v>DPS</v>
      </c>
      <c r="AD78" s="141" t="str">
        <f t="shared" si="22"/>
        <v>DPS</v>
      </c>
      <c r="AE78" s="141" t="str">
        <f t="shared" si="23"/>
        <v>DPS</v>
      </c>
      <c r="AF78" s="141" t="str">
        <f t="shared" si="24"/>
        <v>DPS</v>
      </c>
      <c r="AG78" s="141" t="str">
        <f t="shared" si="25"/>
        <v>DPS</v>
      </c>
      <c r="AH78" s="141" t="str">
        <f t="shared" si="26"/>
        <v>DPS</v>
      </c>
      <c r="AI78" s="141" t="str">
        <f t="shared" si="27"/>
        <v>HPS</v>
      </c>
      <c r="AJ78" s="141" t="str">
        <f t="shared" si="28"/>
        <v>HPS</v>
      </c>
      <c r="AK78" s="141" t="str">
        <f t="shared" si="29"/>
        <v>HPS</v>
      </c>
      <c r="AL78" s="141" t="str">
        <f t="shared" si="30"/>
        <v>HPS</v>
      </c>
      <c r="AM78" s="141" t="str">
        <f t="shared" si="31"/>
        <v>HPS</v>
      </c>
      <c r="AN78" s="141" t="str">
        <f t="shared" si="32"/>
        <v>HPS</v>
      </c>
      <c r="AO78" s="141" t="str">
        <f t="shared" si="33"/>
        <v>HPS</v>
      </c>
      <c r="AP78" s="134" t="e">
        <f t="shared" si="103"/>
        <v>#N/A</v>
      </c>
      <c r="AQ78" s="134" t="e">
        <f t="shared" si="104"/>
        <v>#N/A</v>
      </c>
      <c r="AR78" s="134" t="e">
        <f t="shared" si="105"/>
        <v>#N/A</v>
      </c>
      <c r="AS78" s="134" t="e">
        <f t="shared" si="106"/>
        <v>#N/A</v>
      </c>
      <c r="AT78" s="134" t="e">
        <f t="shared" si="107"/>
        <v>#N/A</v>
      </c>
      <c r="AU78" s="134" t="e">
        <f t="shared" si="108"/>
        <v>#N/A</v>
      </c>
      <c r="AV78" s="134" t="e">
        <f t="shared" si="109"/>
        <v>#N/A</v>
      </c>
      <c r="AW78" s="134" t="e">
        <f t="shared" si="110"/>
        <v>#N/A</v>
      </c>
      <c r="AX78" s="134" t="e">
        <f t="shared" si="111"/>
        <v>#N/A</v>
      </c>
      <c r="AY78" s="134" t="e">
        <f t="shared" si="112"/>
        <v>#N/A</v>
      </c>
      <c r="AZ78" s="134" t="e">
        <f t="shared" si="113"/>
        <v>#N/A</v>
      </c>
      <c r="BA78" s="134" t="e">
        <f t="shared" si="114"/>
        <v>#N/A</v>
      </c>
      <c r="BB78" s="134" t="e">
        <f t="shared" si="115"/>
        <v>#N/A</v>
      </c>
      <c r="BC78" s="134" t="e">
        <f t="shared" si="116"/>
        <v>#N/A</v>
      </c>
      <c r="BD78" s="134" t="e">
        <f t="shared" si="117"/>
        <v>#N/A</v>
      </c>
      <c r="BE78" s="134" t="e">
        <f t="shared" si="118"/>
        <v>#N/A</v>
      </c>
      <c r="BF78" s="134" t="e">
        <f t="shared" si="119"/>
        <v>#N/A</v>
      </c>
      <c r="BG78" s="134" t="e">
        <f t="shared" si="120"/>
        <v>#N/A</v>
      </c>
      <c r="BH78" s="134" t="e">
        <f t="shared" si="121"/>
        <v>#N/A</v>
      </c>
      <c r="BI78" s="134" t="e">
        <f t="shared" si="122"/>
        <v>#N/A</v>
      </c>
      <c r="BJ78" t="e">
        <f t="shared" si="35"/>
        <v>#N/A</v>
      </c>
      <c r="BK78" t="e">
        <f t="shared" si="36"/>
        <v>#N/A</v>
      </c>
      <c r="BL78" s="142" t="e">
        <f t="shared" si="123"/>
        <v>#N/A</v>
      </c>
      <c r="BM78" s="142">
        <f t="shared" si="37"/>
        <v>2650</v>
      </c>
      <c r="BN78" t="e">
        <f t="shared" si="38"/>
        <v>#NUM!</v>
      </c>
      <c r="BO78" s="143" t="e">
        <f t="shared" si="39"/>
        <v>#N/A</v>
      </c>
      <c r="BP78" s="143" t="e">
        <f t="shared" si="40"/>
        <v>#N/A</v>
      </c>
      <c r="BQ78" s="143" t="e">
        <f t="shared" si="41"/>
        <v>#N/A</v>
      </c>
      <c r="BR78" s="143" t="e">
        <f t="shared" si="42"/>
        <v>#N/A</v>
      </c>
      <c r="BS78" s="143" t="e">
        <f t="shared" si="43"/>
        <v>#N/A</v>
      </c>
      <c r="BT78" s="143" t="e">
        <f t="shared" si="44"/>
        <v>#N/A</v>
      </c>
      <c r="BU78" s="143" t="e">
        <f t="shared" si="45"/>
        <v>#N/A</v>
      </c>
      <c r="BV78" s="143" t="e">
        <f t="shared" si="46"/>
        <v>#N/A</v>
      </c>
      <c r="BW78" s="143" t="e">
        <f t="shared" si="47"/>
        <v>#N/A</v>
      </c>
      <c r="BX78" s="143" t="e">
        <f t="shared" si="48"/>
        <v>#N/A</v>
      </c>
      <c r="BY78" s="143" t="e">
        <f t="shared" si="49"/>
        <v>#N/A</v>
      </c>
      <c r="BZ78" s="143" t="e">
        <f t="shared" si="50"/>
        <v>#N/A</v>
      </c>
      <c r="CA78" s="143" t="e">
        <f t="shared" si="51"/>
        <v>#N/A</v>
      </c>
      <c r="CB78" s="143" t="e">
        <f t="shared" si="52"/>
        <v>#N/A</v>
      </c>
      <c r="CC78" s="143" t="e">
        <f t="shared" si="53"/>
        <v>#N/A</v>
      </c>
      <c r="CD78" s="143" t="e">
        <f t="shared" si="54"/>
        <v>#N/A</v>
      </c>
      <c r="CE78" s="143" t="e">
        <f t="shared" si="55"/>
        <v>#N/A</v>
      </c>
      <c r="CF78" s="143" t="e">
        <f t="shared" si="56"/>
        <v>#N/A</v>
      </c>
      <c r="CG78" s="143" t="e">
        <f t="shared" si="57"/>
        <v>#N/A</v>
      </c>
      <c r="CH78" s="143" t="e">
        <f t="shared" si="58"/>
        <v>#N/A</v>
      </c>
      <c r="CI78" t="e">
        <f t="shared" si="59"/>
        <v>#N/A</v>
      </c>
      <c r="CJ78" t="e">
        <f t="shared" si="60"/>
        <v>#N/A</v>
      </c>
      <c r="CK78" t="e">
        <f t="shared" si="61"/>
        <v>#N/A</v>
      </c>
      <c r="CL78" t="e">
        <f t="shared" si="62"/>
        <v>#N/A</v>
      </c>
      <c r="CM78" t="e">
        <f t="shared" si="63"/>
        <v>#N/A</v>
      </c>
      <c r="CN78" t="e">
        <f t="shared" si="64"/>
        <v>#N/A</v>
      </c>
      <c r="CO78" t="e">
        <f t="shared" si="65"/>
        <v>#N/A</v>
      </c>
      <c r="CP78" t="e">
        <f t="shared" si="66"/>
        <v>#N/A</v>
      </c>
      <c r="CQ78" t="e">
        <f t="shared" si="67"/>
        <v>#N/A</v>
      </c>
      <c r="CR78" t="e">
        <f t="shared" si="68"/>
        <v>#N/A</v>
      </c>
      <c r="CS78" t="e">
        <f t="shared" si="69"/>
        <v>#N/A</v>
      </c>
      <c r="CT78" t="e">
        <f t="shared" si="70"/>
        <v>#N/A</v>
      </c>
      <c r="CU78" t="e">
        <f t="shared" si="71"/>
        <v>#N/A</v>
      </c>
      <c r="CV78" t="e">
        <f t="shared" si="72"/>
        <v>#N/A</v>
      </c>
      <c r="CW78" t="e">
        <f t="shared" si="73"/>
        <v>#N/A</v>
      </c>
      <c r="CX78" t="e">
        <f t="shared" si="74"/>
        <v>#N/A</v>
      </c>
      <c r="CY78" t="e">
        <f t="shared" si="75"/>
        <v>#N/A</v>
      </c>
      <c r="CZ78" t="e">
        <f t="shared" si="76"/>
        <v>#N/A</v>
      </c>
      <c r="DA78" t="e">
        <f t="shared" si="77"/>
        <v>#N/A</v>
      </c>
      <c r="DB78" t="e">
        <f t="shared" si="78"/>
        <v>#N/A</v>
      </c>
      <c r="DC78" s="142" t="e">
        <f t="shared" si="79"/>
        <v>#N/A</v>
      </c>
      <c r="DD78" t="e">
        <f t="shared" si="80"/>
        <v>#N/A</v>
      </c>
      <c r="DE78" t="b">
        <f t="shared" si="81"/>
        <v>0</v>
      </c>
    </row>
    <row r="79" spans="1:112">
      <c r="A79">
        <f t="shared" si="82"/>
        <v>14</v>
      </c>
      <c r="B79" s="140" t="e">
        <f t="shared" si="83"/>
        <v>#N/A</v>
      </c>
      <c r="C79" s="140" t="e">
        <f t="shared" si="84"/>
        <v>#N/A</v>
      </c>
      <c r="D79" s="140" t="e">
        <f t="shared" si="85"/>
        <v>#N/A</v>
      </c>
      <c r="E79" s="140" t="e">
        <f t="shared" si="86"/>
        <v>#N/A</v>
      </c>
      <c r="F79" s="140" t="e">
        <f t="shared" si="87"/>
        <v>#N/A</v>
      </c>
      <c r="G79" s="140" t="e">
        <f t="shared" si="88"/>
        <v>#N/A</v>
      </c>
      <c r="H79" s="140" t="e">
        <f t="shared" si="89"/>
        <v>#N/A</v>
      </c>
      <c r="I79" s="140" t="e">
        <f t="shared" si="90"/>
        <v>#N/A</v>
      </c>
      <c r="J79" s="140" t="e">
        <f t="shared" si="91"/>
        <v>#N/A</v>
      </c>
      <c r="K79" s="140" t="e">
        <f t="shared" si="92"/>
        <v>#N/A</v>
      </c>
      <c r="L79" s="140" t="e">
        <f t="shared" si="93"/>
        <v>#N/A</v>
      </c>
      <c r="M79" s="140" t="e">
        <f t="shared" si="94"/>
        <v>#N/A</v>
      </c>
      <c r="N79" s="140" t="e">
        <f t="shared" si="95"/>
        <v>#N/A</v>
      </c>
      <c r="O79" s="140" t="e">
        <f t="shared" si="96"/>
        <v>#N/A</v>
      </c>
      <c r="P79" s="140" t="e">
        <f t="shared" si="97"/>
        <v>#N/A</v>
      </c>
      <c r="Q79" s="140" t="e">
        <f t="shared" si="98"/>
        <v>#N/A</v>
      </c>
      <c r="R79" s="140" t="e">
        <f t="shared" si="99"/>
        <v>#N/A</v>
      </c>
      <c r="S79" s="140" t="e">
        <f t="shared" si="100"/>
        <v>#N/A</v>
      </c>
      <c r="T79" s="140" t="e">
        <f t="shared" si="101"/>
        <v>#N/A</v>
      </c>
      <c r="U79" s="140" t="e">
        <f t="shared" si="102"/>
        <v>#N/A</v>
      </c>
      <c r="V79" s="141" t="str">
        <f t="shared" si="14"/>
        <v>DPS</v>
      </c>
      <c r="W79" s="141" t="str">
        <f t="shared" si="15"/>
        <v>DPS</v>
      </c>
      <c r="X79" s="141" t="str">
        <f t="shared" si="16"/>
        <v>DPS</v>
      </c>
      <c r="Y79" s="141" t="str">
        <f t="shared" si="17"/>
        <v>DPS</v>
      </c>
      <c r="Z79" s="141" t="str">
        <f t="shared" si="18"/>
        <v>DPS</v>
      </c>
      <c r="AA79" s="141" t="str">
        <f t="shared" si="19"/>
        <v>DPS</v>
      </c>
      <c r="AB79" s="141" t="str">
        <f t="shared" si="20"/>
        <v>DPS</v>
      </c>
      <c r="AC79" s="141" t="str">
        <f t="shared" si="21"/>
        <v>DPS</v>
      </c>
      <c r="AD79" s="141" t="str">
        <f t="shared" si="22"/>
        <v>DPS</v>
      </c>
      <c r="AE79" s="141" t="str">
        <f t="shared" si="23"/>
        <v>DPS</v>
      </c>
      <c r="AF79" s="141" t="str">
        <f t="shared" si="24"/>
        <v>DPS</v>
      </c>
      <c r="AG79" s="141" t="str">
        <f t="shared" si="25"/>
        <v>DPS</v>
      </c>
      <c r="AH79" s="141" t="str">
        <f t="shared" si="26"/>
        <v>DPS</v>
      </c>
      <c r="AI79" s="141" t="str">
        <f t="shared" si="27"/>
        <v>HPS</v>
      </c>
      <c r="AJ79" s="141" t="str">
        <f t="shared" si="28"/>
        <v>HPS</v>
      </c>
      <c r="AK79" s="141" t="str">
        <f t="shared" si="29"/>
        <v>HPS</v>
      </c>
      <c r="AL79" s="141" t="str">
        <f t="shared" si="30"/>
        <v>HPS</v>
      </c>
      <c r="AM79" s="141" t="str">
        <f t="shared" si="31"/>
        <v>HPS</v>
      </c>
      <c r="AN79" s="141" t="str">
        <f t="shared" si="32"/>
        <v>HPS</v>
      </c>
      <c r="AO79" s="141" t="str">
        <f t="shared" si="33"/>
        <v>HPS</v>
      </c>
      <c r="AP79" s="134" t="e">
        <f t="shared" si="103"/>
        <v>#N/A</v>
      </c>
      <c r="AQ79" s="134" t="e">
        <f t="shared" si="104"/>
        <v>#N/A</v>
      </c>
      <c r="AR79" s="134" t="e">
        <f t="shared" si="105"/>
        <v>#N/A</v>
      </c>
      <c r="AS79" s="134" t="e">
        <f t="shared" si="106"/>
        <v>#N/A</v>
      </c>
      <c r="AT79" s="134" t="e">
        <f t="shared" si="107"/>
        <v>#N/A</v>
      </c>
      <c r="AU79" s="134" t="e">
        <f t="shared" si="108"/>
        <v>#N/A</v>
      </c>
      <c r="AV79" s="134" t="e">
        <f t="shared" si="109"/>
        <v>#N/A</v>
      </c>
      <c r="AW79" s="134" t="e">
        <f t="shared" si="110"/>
        <v>#N/A</v>
      </c>
      <c r="AX79" s="134" t="e">
        <f t="shared" si="111"/>
        <v>#N/A</v>
      </c>
      <c r="AY79" s="134" t="e">
        <f t="shared" si="112"/>
        <v>#N/A</v>
      </c>
      <c r="AZ79" s="134" t="e">
        <f t="shared" si="113"/>
        <v>#N/A</v>
      </c>
      <c r="BA79" s="134" t="e">
        <f t="shared" si="114"/>
        <v>#N/A</v>
      </c>
      <c r="BB79" s="134" t="e">
        <f t="shared" si="115"/>
        <v>#N/A</v>
      </c>
      <c r="BC79" s="134" t="e">
        <f t="shared" si="116"/>
        <v>#N/A</v>
      </c>
      <c r="BD79" s="134" t="e">
        <f t="shared" si="117"/>
        <v>#N/A</v>
      </c>
      <c r="BE79" s="134" t="e">
        <f t="shared" si="118"/>
        <v>#N/A</v>
      </c>
      <c r="BF79" s="134" t="e">
        <f t="shared" si="119"/>
        <v>#N/A</v>
      </c>
      <c r="BG79" s="134" t="e">
        <f t="shared" si="120"/>
        <v>#N/A</v>
      </c>
      <c r="BH79" s="134" t="e">
        <f t="shared" si="121"/>
        <v>#N/A</v>
      </c>
      <c r="BI79" s="134" t="e">
        <f t="shared" si="122"/>
        <v>#N/A</v>
      </c>
      <c r="BJ79" t="e">
        <f t="shared" si="35"/>
        <v>#N/A</v>
      </c>
      <c r="BK79" t="e">
        <f t="shared" si="36"/>
        <v>#N/A</v>
      </c>
      <c r="BL79" s="142" t="e">
        <f t="shared" si="123"/>
        <v>#N/A</v>
      </c>
      <c r="BM79" s="142">
        <f t="shared" si="37"/>
        <v>2650</v>
      </c>
      <c r="BN79" t="e">
        <f t="shared" si="38"/>
        <v>#NUM!</v>
      </c>
      <c r="BO79" s="143" t="e">
        <f t="shared" si="39"/>
        <v>#N/A</v>
      </c>
      <c r="BP79" s="143" t="e">
        <f t="shared" si="40"/>
        <v>#N/A</v>
      </c>
      <c r="BQ79" s="143" t="e">
        <f t="shared" si="41"/>
        <v>#N/A</v>
      </c>
      <c r="BR79" s="143" t="e">
        <f t="shared" si="42"/>
        <v>#N/A</v>
      </c>
      <c r="BS79" s="143" t="e">
        <f t="shared" si="43"/>
        <v>#N/A</v>
      </c>
      <c r="BT79" s="143" t="e">
        <f t="shared" si="44"/>
        <v>#N/A</v>
      </c>
      <c r="BU79" s="143" t="e">
        <f t="shared" si="45"/>
        <v>#N/A</v>
      </c>
      <c r="BV79" s="143" t="e">
        <f t="shared" si="46"/>
        <v>#N/A</v>
      </c>
      <c r="BW79" s="143" t="e">
        <f t="shared" si="47"/>
        <v>#N/A</v>
      </c>
      <c r="BX79" s="143" t="e">
        <f t="shared" si="48"/>
        <v>#N/A</v>
      </c>
      <c r="BY79" s="143" t="e">
        <f t="shared" si="49"/>
        <v>#N/A</v>
      </c>
      <c r="BZ79" s="143" t="e">
        <f t="shared" si="50"/>
        <v>#N/A</v>
      </c>
      <c r="CA79" s="143" t="e">
        <f t="shared" si="51"/>
        <v>#N/A</v>
      </c>
      <c r="CB79" s="143" t="e">
        <f t="shared" si="52"/>
        <v>#N/A</v>
      </c>
      <c r="CC79" s="143" t="e">
        <f t="shared" si="53"/>
        <v>#N/A</v>
      </c>
      <c r="CD79" s="143" t="e">
        <f t="shared" si="54"/>
        <v>#N/A</v>
      </c>
      <c r="CE79" s="143" t="e">
        <f t="shared" si="55"/>
        <v>#N/A</v>
      </c>
      <c r="CF79" s="143" t="e">
        <f t="shared" si="56"/>
        <v>#N/A</v>
      </c>
      <c r="CG79" s="143" t="e">
        <f t="shared" si="57"/>
        <v>#N/A</v>
      </c>
      <c r="CH79" s="143" t="e">
        <f t="shared" si="58"/>
        <v>#N/A</v>
      </c>
      <c r="CI79" t="e">
        <f t="shared" si="59"/>
        <v>#N/A</v>
      </c>
      <c r="CJ79" t="e">
        <f t="shared" si="60"/>
        <v>#N/A</v>
      </c>
      <c r="CK79" t="e">
        <f t="shared" si="61"/>
        <v>#N/A</v>
      </c>
      <c r="CL79" t="e">
        <f t="shared" si="62"/>
        <v>#N/A</v>
      </c>
      <c r="CM79" t="e">
        <f t="shared" si="63"/>
        <v>#N/A</v>
      </c>
      <c r="CN79" t="e">
        <f t="shared" si="64"/>
        <v>#N/A</v>
      </c>
      <c r="CO79" t="e">
        <f t="shared" si="65"/>
        <v>#N/A</v>
      </c>
      <c r="CP79" t="e">
        <f t="shared" si="66"/>
        <v>#N/A</v>
      </c>
      <c r="CQ79" t="e">
        <f t="shared" si="67"/>
        <v>#N/A</v>
      </c>
      <c r="CR79" t="e">
        <f t="shared" si="68"/>
        <v>#N/A</v>
      </c>
      <c r="CS79" t="e">
        <f t="shared" si="69"/>
        <v>#N/A</v>
      </c>
      <c r="CT79" t="e">
        <f t="shared" si="70"/>
        <v>#N/A</v>
      </c>
      <c r="CU79" t="e">
        <f t="shared" si="71"/>
        <v>#N/A</v>
      </c>
      <c r="CV79" t="e">
        <f t="shared" si="72"/>
        <v>#N/A</v>
      </c>
      <c r="CW79" t="e">
        <f t="shared" si="73"/>
        <v>#N/A</v>
      </c>
      <c r="CX79" t="e">
        <f t="shared" si="74"/>
        <v>#N/A</v>
      </c>
      <c r="CY79" t="e">
        <f t="shared" si="75"/>
        <v>#N/A</v>
      </c>
      <c r="CZ79" t="e">
        <f t="shared" si="76"/>
        <v>#N/A</v>
      </c>
      <c r="DA79" t="e">
        <f t="shared" si="77"/>
        <v>#N/A</v>
      </c>
      <c r="DB79" t="e">
        <f t="shared" si="78"/>
        <v>#N/A</v>
      </c>
      <c r="DC79" s="142" t="e">
        <f t="shared" si="79"/>
        <v>#N/A</v>
      </c>
      <c r="DD79" t="e">
        <f t="shared" si="80"/>
        <v>#N/A</v>
      </c>
      <c r="DE79" t="b">
        <f t="shared" si="81"/>
        <v>0</v>
      </c>
    </row>
    <row r="80" spans="1:112">
      <c r="A80">
        <f t="shared" si="82"/>
        <v>15</v>
      </c>
      <c r="B80" s="140" t="e">
        <f t="shared" si="83"/>
        <v>#N/A</v>
      </c>
      <c r="C80" s="140" t="e">
        <f t="shared" si="84"/>
        <v>#N/A</v>
      </c>
      <c r="D80" s="140" t="e">
        <f t="shared" si="85"/>
        <v>#N/A</v>
      </c>
      <c r="E80" s="140" t="e">
        <f t="shared" si="86"/>
        <v>#N/A</v>
      </c>
      <c r="F80" s="140" t="e">
        <f t="shared" si="87"/>
        <v>#N/A</v>
      </c>
      <c r="G80" s="140" t="e">
        <f t="shared" si="88"/>
        <v>#N/A</v>
      </c>
      <c r="H80" s="140" t="e">
        <f t="shared" si="89"/>
        <v>#N/A</v>
      </c>
      <c r="I80" s="140" t="e">
        <f t="shared" si="90"/>
        <v>#N/A</v>
      </c>
      <c r="J80" s="140" t="e">
        <f t="shared" si="91"/>
        <v>#N/A</v>
      </c>
      <c r="K80" s="140" t="e">
        <f t="shared" si="92"/>
        <v>#N/A</v>
      </c>
      <c r="L80" s="140" t="e">
        <f t="shared" si="93"/>
        <v>#N/A</v>
      </c>
      <c r="M80" s="140" t="e">
        <f t="shared" si="94"/>
        <v>#N/A</v>
      </c>
      <c r="N80" s="140" t="e">
        <f t="shared" si="95"/>
        <v>#N/A</v>
      </c>
      <c r="O80" s="140" t="e">
        <f t="shared" si="96"/>
        <v>#N/A</v>
      </c>
      <c r="P80" s="140" t="e">
        <f t="shared" si="97"/>
        <v>#N/A</v>
      </c>
      <c r="Q80" s="140" t="e">
        <f t="shared" si="98"/>
        <v>#N/A</v>
      </c>
      <c r="R80" s="140" t="e">
        <f t="shared" si="99"/>
        <v>#N/A</v>
      </c>
      <c r="S80" s="140" t="e">
        <f t="shared" si="100"/>
        <v>#N/A</v>
      </c>
      <c r="T80" s="140" t="e">
        <f t="shared" si="101"/>
        <v>#N/A</v>
      </c>
      <c r="U80" s="140" t="e">
        <f t="shared" si="102"/>
        <v>#N/A</v>
      </c>
      <c r="V80" s="141" t="str">
        <f t="shared" si="14"/>
        <v>DPS</v>
      </c>
      <c r="W80" s="141" t="str">
        <f t="shared" si="15"/>
        <v>DPS</v>
      </c>
      <c r="X80" s="141" t="str">
        <f t="shared" si="16"/>
        <v>DPS</v>
      </c>
      <c r="Y80" s="141" t="str">
        <f t="shared" si="17"/>
        <v>DPS</v>
      </c>
      <c r="Z80" s="141" t="str">
        <f t="shared" si="18"/>
        <v>DPS</v>
      </c>
      <c r="AA80" s="141" t="str">
        <f t="shared" si="19"/>
        <v>DPS</v>
      </c>
      <c r="AB80" s="141" t="str">
        <f t="shared" si="20"/>
        <v>DPS</v>
      </c>
      <c r="AC80" s="141" t="str">
        <f t="shared" si="21"/>
        <v>DPS</v>
      </c>
      <c r="AD80" s="141" t="str">
        <f t="shared" si="22"/>
        <v>DPS</v>
      </c>
      <c r="AE80" s="141" t="str">
        <f t="shared" si="23"/>
        <v>DPS</v>
      </c>
      <c r="AF80" s="141" t="str">
        <f t="shared" si="24"/>
        <v>DPS</v>
      </c>
      <c r="AG80" s="141" t="str">
        <f t="shared" si="25"/>
        <v>DPS</v>
      </c>
      <c r="AH80" s="141" t="str">
        <f t="shared" si="26"/>
        <v>DPS</v>
      </c>
      <c r="AI80" s="141" t="str">
        <f t="shared" si="27"/>
        <v>HPS</v>
      </c>
      <c r="AJ80" s="141" t="str">
        <f t="shared" si="28"/>
        <v>HPS</v>
      </c>
      <c r="AK80" s="141" t="str">
        <f t="shared" si="29"/>
        <v>HPS</v>
      </c>
      <c r="AL80" s="141" t="str">
        <f t="shared" si="30"/>
        <v>HPS</v>
      </c>
      <c r="AM80" s="141" t="str">
        <f t="shared" si="31"/>
        <v>HPS</v>
      </c>
      <c r="AN80" s="141" t="str">
        <f t="shared" si="32"/>
        <v>HPS</v>
      </c>
      <c r="AO80" s="141" t="str">
        <f t="shared" si="33"/>
        <v>HPS</v>
      </c>
      <c r="AP80" s="134" t="e">
        <f t="shared" si="103"/>
        <v>#N/A</v>
      </c>
      <c r="AQ80" s="134" t="e">
        <f t="shared" si="104"/>
        <v>#N/A</v>
      </c>
      <c r="AR80" s="134" t="e">
        <f t="shared" si="105"/>
        <v>#N/A</v>
      </c>
      <c r="AS80" s="134" t="e">
        <f t="shared" si="106"/>
        <v>#N/A</v>
      </c>
      <c r="AT80" s="134" t="e">
        <f t="shared" si="107"/>
        <v>#N/A</v>
      </c>
      <c r="AU80" s="134" t="e">
        <f t="shared" si="108"/>
        <v>#N/A</v>
      </c>
      <c r="AV80" s="134" t="e">
        <f t="shared" si="109"/>
        <v>#N/A</v>
      </c>
      <c r="AW80" s="134" t="e">
        <f t="shared" si="110"/>
        <v>#N/A</v>
      </c>
      <c r="AX80" s="134" t="e">
        <f t="shared" si="111"/>
        <v>#N/A</v>
      </c>
      <c r="AY80" s="134" t="e">
        <f t="shared" si="112"/>
        <v>#N/A</v>
      </c>
      <c r="AZ80" s="134" t="e">
        <f t="shared" si="113"/>
        <v>#N/A</v>
      </c>
      <c r="BA80" s="134" t="e">
        <f t="shared" si="114"/>
        <v>#N/A</v>
      </c>
      <c r="BB80" s="134" t="e">
        <f t="shared" si="115"/>
        <v>#N/A</v>
      </c>
      <c r="BC80" s="134" t="e">
        <f t="shared" si="116"/>
        <v>#N/A</v>
      </c>
      <c r="BD80" s="134" t="e">
        <f t="shared" si="117"/>
        <v>#N/A</v>
      </c>
      <c r="BE80" s="134" t="e">
        <f t="shared" si="118"/>
        <v>#N/A</v>
      </c>
      <c r="BF80" s="134" t="e">
        <f t="shared" si="119"/>
        <v>#N/A</v>
      </c>
      <c r="BG80" s="134" t="e">
        <f t="shared" si="120"/>
        <v>#N/A</v>
      </c>
      <c r="BH80" s="134" t="e">
        <f t="shared" si="121"/>
        <v>#N/A</v>
      </c>
      <c r="BI80" s="134" t="e">
        <f t="shared" si="122"/>
        <v>#N/A</v>
      </c>
      <c r="BJ80" t="e">
        <f t="shared" si="35"/>
        <v>#N/A</v>
      </c>
      <c r="BK80" t="e">
        <f t="shared" si="36"/>
        <v>#N/A</v>
      </c>
      <c r="BL80" s="142" t="e">
        <f t="shared" si="123"/>
        <v>#N/A</v>
      </c>
      <c r="BM80" s="142">
        <f t="shared" si="37"/>
        <v>2650</v>
      </c>
      <c r="BN80" t="e">
        <f t="shared" si="38"/>
        <v>#NUM!</v>
      </c>
      <c r="BO80" s="143" t="e">
        <f t="shared" si="39"/>
        <v>#N/A</v>
      </c>
      <c r="BP80" s="143" t="e">
        <f t="shared" si="40"/>
        <v>#N/A</v>
      </c>
      <c r="BQ80" s="143" t="e">
        <f t="shared" si="41"/>
        <v>#N/A</v>
      </c>
      <c r="BR80" s="143" t="e">
        <f t="shared" si="42"/>
        <v>#N/A</v>
      </c>
      <c r="BS80" s="143" t="e">
        <f t="shared" si="43"/>
        <v>#N/A</v>
      </c>
      <c r="BT80" s="143" t="e">
        <f t="shared" si="44"/>
        <v>#N/A</v>
      </c>
      <c r="BU80" s="143" t="e">
        <f t="shared" si="45"/>
        <v>#N/A</v>
      </c>
      <c r="BV80" s="143" t="e">
        <f t="shared" si="46"/>
        <v>#N/A</v>
      </c>
      <c r="BW80" s="143" t="e">
        <f t="shared" si="47"/>
        <v>#N/A</v>
      </c>
      <c r="BX80" s="143" t="e">
        <f t="shared" si="48"/>
        <v>#N/A</v>
      </c>
      <c r="BY80" s="143" t="e">
        <f t="shared" si="49"/>
        <v>#N/A</v>
      </c>
      <c r="BZ80" s="143" t="e">
        <f t="shared" si="50"/>
        <v>#N/A</v>
      </c>
      <c r="CA80" s="143" t="e">
        <f t="shared" si="51"/>
        <v>#N/A</v>
      </c>
      <c r="CB80" s="143" t="e">
        <f t="shared" si="52"/>
        <v>#N/A</v>
      </c>
      <c r="CC80" s="143" t="e">
        <f t="shared" si="53"/>
        <v>#N/A</v>
      </c>
      <c r="CD80" s="143" t="e">
        <f t="shared" si="54"/>
        <v>#N/A</v>
      </c>
      <c r="CE80" s="143" t="e">
        <f t="shared" si="55"/>
        <v>#N/A</v>
      </c>
      <c r="CF80" s="143" t="e">
        <f t="shared" si="56"/>
        <v>#N/A</v>
      </c>
      <c r="CG80" s="143" t="e">
        <f t="shared" si="57"/>
        <v>#N/A</v>
      </c>
      <c r="CH80" s="143" t="e">
        <f t="shared" si="58"/>
        <v>#N/A</v>
      </c>
      <c r="CI80" t="e">
        <f t="shared" si="59"/>
        <v>#N/A</v>
      </c>
      <c r="CJ80" t="e">
        <f t="shared" si="60"/>
        <v>#N/A</v>
      </c>
      <c r="CK80" t="e">
        <f t="shared" si="61"/>
        <v>#N/A</v>
      </c>
      <c r="CL80" t="e">
        <f t="shared" si="62"/>
        <v>#N/A</v>
      </c>
      <c r="CM80" t="e">
        <f t="shared" si="63"/>
        <v>#N/A</v>
      </c>
      <c r="CN80" t="e">
        <f t="shared" si="64"/>
        <v>#N/A</v>
      </c>
      <c r="CO80" t="e">
        <f t="shared" si="65"/>
        <v>#N/A</v>
      </c>
      <c r="CP80" t="e">
        <f t="shared" si="66"/>
        <v>#N/A</v>
      </c>
      <c r="CQ80" t="e">
        <f t="shared" si="67"/>
        <v>#N/A</v>
      </c>
      <c r="CR80" t="e">
        <f t="shared" si="68"/>
        <v>#N/A</v>
      </c>
      <c r="CS80" t="e">
        <f t="shared" si="69"/>
        <v>#N/A</v>
      </c>
      <c r="CT80" t="e">
        <f t="shared" si="70"/>
        <v>#N/A</v>
      </c>
      <c r="CU80" t="e">
        <f t="shared" si="71"/>
        <v>#N/A</v>
      </c>
      <c r="CV80" t="e">
        <f t="shared" si="72"/>
        <v>#N/A</v>
      </c>
      <c r="CW80" t="e">
        <f t="shared" si="73"/>
        <v>#N/A</v>
      </c>
      <c r="CX80" t="e">
        <f t="shared" si="74"/>
        <v>#N/A</v>
      </c>
      <c r="CY80" t="e">
        <f t="shared" si="75"/>
        <v>#N/A</v>
      </c>
      <c r="CZ80" t="e">
        <f t="shared" si="76"/>
        <v>#N/A</v>
      </c>
      <c r="DA80" t="e">
        <f t="shared" si="77"/>
        <v>#N/A</v>
      </c>
      <c r="DB80" t="e">
        <f t="shared" si="78"/>
        <v>#N/A</v>
      </c>
      <c r="DC80" s="142" t="e">
        <f t="shared" si="79"/>
        <v>#N/A</v>
      </c>
      <c r="DD80" t="e">
        <f t="shared" si="80"/>
        <v>#N/A</v>
      </c>
      <c r="DE80" t="b">
        <f t="shared" si="81"/>
        <v>0</v>
      </c>
    </row>
    <row r="81" spans="1:109">
      <c r="A81">
        <f t="shared" si="82"/>
        <v>16</v>
      </c>
      <c r="B81" s="140" t="e">
        <f t="shared" si="83"/>
        <v>#N/A</v>
      </c>
      <c r="C81" s="140" t="e">
        <f t="shared" si="84"/>
        <v>#N/A</v>
      </c>
      <c r="D81" s="140" t="e">
        <f t="shared" si="85"/>
        <v>#N/A</v>
      </c>
      <c r="E81" s="140" t="e">
        <f t="shared" si="86"/>
        <v>#N/A</v>
      </c>
      <c r="F81" s="140" t="e">
        <f t="shared" si="87"/>
        <v>#N/A</v>
      </c>
      <c r="G81" s="140" t="e">
        <f t="shared" si="88"/>
        <v>#N/A</v>
      </c>
      <c r="H81" s="140" t="e">
        <f t="shared" si="89"/>
        <v>#N/A</v>
      </c>
      <c r="I81" s="140" t="e">
        <f t="shared" si="90"/>
        <v>#N/A</v>
      </c>
      <c r="J81" s="140" t="e">
        <f t="shared" si="91"/>
        <v>#N/A</v>
      </c>
      <c r="K81" s="140" t="e">
        <f t="shared" si="92"/>
        <v>#N/A</v>
      </c>
      <c r="L81" s="140" t="e">
        <f t="shared" si="93"/>
        <v>#N/A</v>
      </c>
      <c r="M81" s="140" t="e">
        <f t="shared" si="94"/>
        <v>#N/A</v>
      </c>
      <c r="N81" s="140" t="e">
        <f t="shared" si="95"/>
        <v>#N/A</v>
      </c>
      <c r="O81" s="140" t="e">
        <f t="shared" si="96"/>
        <v>#N/A</v>
      </c>
      <c r="P81" s="140" t="e">
        <f t="shared" si="97"/>
        <v>#N/A</v>
      </c>
      <c r="Q81" s="140" t="e">
        <f t="shared" si="98"/>
        <v>#N/A</v>
      </c>
      <c r="R81" s="140" t="e">
        <f t="shared" si="99"/>
        <v>#N/A</v>
      </c>
      <c r="S81" s="140" t="e">
        <f t="shared" si="100"/>
        <v>#N/A</v>
      </c>
      <c r="T81" s="140" t="e">
        <f t="shared" si="101"/>
        <v>#N/A</v>
      </c>
      <c r="U81" s="140" t="e">
        <f t="shared" si="102"/>
        <v>#N/A</v>
      </c>
      <c r="V81" s="141" t="str">
        <f t="shared" si="14"/>
        <v>DPS</v>
      </c>
      <c r="W81" s="141" t="str">
        <f t="shared" si="15"/>
        <v>DPS</v>
      </c>
      <c r="X81" s="141" t="str">
        <f t="shared" si="16"/>
        <v>DPS</v>
      </c>
      <c r="Y81" s="141" t="str">
        <f t="shared" si="17"/>
        <v>DPS</v>
      </c>
      <c r="Z81" s="141" t="str">
        <f t="shared" si="18"/>
        <v>DPS</v>
      </c>
      <c r="AA81" s="141" t="str">
        <f t="shared" si="19"/>
        <v>DPS</v>
      </c>
      <c r="AB81" s="141" t="str">
        <f t="shared" si="20"/>
        <v>DPS</v>
      </c>
      <c r="AC81" s="141" t="str">
        <f t="shared" si="21"/>
        <v>DPS</v>
      </c>
      <c r="AD81" s="141" t="str">
        <f t="shared" si="22"/>
        <v>DPS</v>
      </c>
      <c r="AE81" s="141" t="str">
        <f t="shared" si="23"/>
        <v>DPS</v>
      </c>
      <c r="AF81" s="141" t="str">
        <f t="shared" si="24"/>
        <v>DPS</v>
      </c>
      <c r="AG81" s="141" t="str">
        <f t="shared" si="25"/>
        <v>DPS</v>
      </c>
      <c r="AH81" s="141" t="str">
        <f t="shared" si="26"/>
        <v>DPS</v>
      </c>
      <c r="AI81" s="141" t="str">
        <f t="shared" si="27"/>
        <v>HPS</v>
      </c>
      <c r="AJ81" s="141" t="str">
        <f t="shared" si="28"/>
        <v>HPS</v>
      </c>
      <c r="AK81" s="141" t="str">
        <f t="shared" si="29"/>
        <v>HPS</v>
      </c>
      <c r="AL81" s="141" t="str">
        <f t="shared" si="30"/>
        <v>HPS</v>
      </c>
      <c r="AM81" s="141" t="str">
        <f t="shared" si="31"/>
        <v>HPS</v>
      </c>
      <c r="AN81" s="141" t="str">
        <f t="shared" si="32"/>
        <v>HPS</v>
      </c>
      <c r="AO81" s="141" t="str">
        <f t="shared" si="33"/>
        <v>HPS</v>
      </c>
      <c r="AP81" s="134" t="e">
        <f t="shared" si="103"/>
        <v>#N/A</v>
      </c>
      <c r="AQ81" s="134" t="e">
        <f t="shared" si="104"/>
        <v>#N/A</v>
      </c>
      <c r="AR81" s="134" t="e">
        <f t="shared" si="105"/>
        <v>#N/A</v>
      </c>
      <c r="AS81" s="134" t="e">
        <f t="shared" si="106"/>
        <v>#N/A</v>
      </c>
      <c r="AT81" s="134" t="e">
        <f t="shared" si="107"/>
        <v>#N/A</v>
      </c>
      <c r="AU81" s="134" t="e">
        <f t="shared" si="108"/>
        <v>#N/A</v>
      </c>
      <c r="AV81" s="134" t="e">
        <f t="shared" si="109"/>
        <v>#N/A</v>
      </c>
      <c r="AW81" s="134" t="e">
        <f t="shared" si="110"/>
        <v>#N/A</v>
      </c>
      <c r="AX81" s="134" t="e">
        <f t="shared" si="111"/>
        <v>#N/A</v>
      </c>
      <c r="AY81" s="134" t="e">
        <f t="shared" si="112"/>
        <v>#N/A</v>
      </c>
      <c r="AZ81" s="134" t="e">
        <f t="shared" si="113"/>
        <v>#N/A</v>
      </c>
      <c r="BA81" s="134" t="e">
        <f t="shared" si="114"/>
        <v>#N/A</v>
      </c>
      <c r="BB81" s="134" t="e">
        <f t="shared" si="115"/>
        <v>#N/A</v>
      </c>
      <c r="BC81" s="134" t="e">
        <f t="shared" si="116"/>
        <v>#N/A</v>
      </c>
      <c r="BD81" s="134" t="e">
        <f t="shared" si="117"/>
        <v>#N/A</v>
      </c>
      <c r="BE81" s="134" t="e">
        <f t="shared" si="118"/>
        <v>#N/A</v>
      </c>
      <c r="BF81" s="134" t="e">
        <f t="shared" si="119"/>
        <v>#N/A</v>
      </c>
      <c r="BG81" s="134" t="e">
        <f t="shared" si="120"/>
        <v>#N/A</v>
      </c>
      <c r="BH81" s="134" t="e">
        <f t="shared" si="121"/>
        <v>#N/A</v>
      </c>
      <c r="BI81" s="134" t="e">
        <f t="shared" si="122"/>
        <v>#N/A</v>
      </c>
      <c r="BJ81" t="e">
        <f t="shared" si="35"/>
        <v>#N/A</v>
      </c>
      <c r="BK81" t="e">
        <f t="shared" si="36"/>
        <v>#N/A</v>
      </c>
      <c r="BL81" s="142" t="e">
        <f t="shared" si="123"/>
        <v>#N/A</v>
      </c>
      <c r="BM81" s="142">
        <f t="shared" si="37"/>
        <v>2650</v>
      </c>
      <c r="BN81" t="e">
        <f t="shared" si="38"/>
        <v>#NUM!</v>
      </c>
      <c r="BO81" s="143" t="e">
        <f t="shared" si="39"/>
        <v>#N/A</v>
      </c>
      <c r="BP81" s="143" t="e">
        <f t="shared" si="40"/>
        <v>#N/A</v>
      </c>
      <c r="BQ81" s="143" t="e">
        <f t="shared" si="41"/>
        <v>#N/A</v>
      </c>
      <c r="BR81" s="143" t="e">
        <f t="shared" si="42"/>
        <v>#N/A</v>
      </c>
      <c r="BS81" s="143" t="e">
        <f t="shared" si="43"/>
        <v>#N/A</v>
      </c>
      <c r="BT81" s="143" t="e">
        <f t="shared" si="44"/>
        <v>#N/A</v>
      </c>
      <c r="BU81" s="143" t="e">
        <f t="shared" si="45"/>
        <v>#N/A</v>
      </c>
      <c r="BV81" s="143" t="e">
        <f t="shared" si="46"/>
        <v>#N/A</v>
      </c>
      <c r="BW81" s="143" t="e">
        <f t="shared" si="47"/>
        <v>#N/A</v>
      </c>
      <c r="BX81" s="143" t="e">
        <f t="shared" si="48"/>
        <v>#N/A</v>
      </c>
      <c r="BY81" s="143" t="e">
        <f t="shared" si="49"/>
        <v>#N/A</v>
      </c>
      <c r="BZ81" s="143" t="e">
        <f t="shared" si="50"/>
        <v>#N/A</v>
      </c>
      <c r="CA81" s="143" t="e">
        <f t="shared" si="51"/>
        <v>#N/A</v>
      </c>
      <c r="CB81" s="143" t="e">
        <f t="shared" si="52"/>
        <v>#N/A</v>
      </c>
      <c r="CC81" s="143" t="e">
        <f t="shared" si="53"/>
        <v>#N/A</v>
      </c>
      <c r="CD81" s="143" t="e">
        <f t="shared" si="54"/>
        <v>#N/A</v>
      </c>
      <c r="CE81" s="143" t="e">
        <f t="shared" si="55"/>
        <v>#N/A</v>
      </c>
      <c r="CF81" s="143" t="e">
        <f t="shared" si="56"/>
        <v>#N/A</v>
      </c>
      <c r="CG81" s="143" t="e">
        <f t="shared" si="57"/>
        <v>#N/A</v>
      </c>
      <c r="CH81" s="143" t="e">
        <f t="shared" si="58"/>
        <v>#N/A</v>
      </c>
      <c r="CI81" t="e">
        <f t="shared" si="59"/>
        <v>#N/A</v>
      </c>
      <c r="CJ81" t="e">
        <f t="shared" si="60"/>
        <v>#N/A</v>
      </c>
      <c r="CK81" t="e">
        <f t="shared" si="61"/>
        <v>#N/A</v>
      </c>
      <c r="CL81" t="e">
        <f t="shared" si="62"/>
        <v>#N/A</v>
      </c>
      <c r="CM81" t="e">
        <f t="shared" si="63"/>
        <v>#N/A</v>
      </c>
      <c r="CN81" t="e">
        <f t="shared" si="64"/>
        <v>#N/A</v>
      </c>
      <c r="CO81" t="e">
        <f t="shared" si="65"/>
        <v>#N/A</v>
      </c>
      <c r="CP81" t="e">
        <f t="shared" si="66"/>
        <v>#N/A</v>
      </c>
      <c r="CQ81" t="e">
        <f t="shared" si="67"/>
        <v>#N/A</v>
      </c>
      <c r="CR81" t="e">
        <f t="shared" si="68"/>
        <v>#N/A</v>
      </c>
      <c r="CS81" t="e">
        <f t="shared" si="69"/>
        <v>#N/A</v>
      </c>
      <c r="CT81" t="e">
        <f t="shared" si="70"/>
        <v>#N/A</v>
      </c>
      <c r="CU81" t="e">
        <f t="shared" si="71"/>
        <v>#N/A</v>
      </c>
      <c r="CV81" t="e">
        <f t="shared" si="72"/>
        <v>#N/A</v>
      </c>
      <c r="CW81" t="e">
        <f t="shared" si="73"/>
        <v>#N/A</v>
      </c>
      <c r="CX81" t="e">
        <f t="shared" si="74"/>
        <v>#N/A</v>
      </c>
      <c r="CY81" t="e">
        <f t="shared" si="75"/>
        <v>#N/A</v>
      </c>
      <c r="CZ81" t="e">
        <f t="shared" si="76"/>
        <v>#N/A</v>
      </c>
      <c r="DA81" t="e">
        <f t="shared" si="77"/>
        <v>#N/A</v>
      </c>
      <c r="DB81" t="e">
        <f t="shared" si="78"/>
        <v>#N/A</v>
      </c>
      <c r="DC81" s="142" t="e">
        <f t="shared" si="79"/>
        <v>#N/A</v>
      </c>
      <c r="DD81" t="e">
        <f t="shared" si="80"/>
        <v>#N/A</v>
      </c>
      <c r="DE81" t="b">
        <f t="shared" si="81"/>
        <v>0</v>
      </c>
    </row>
    <row r="82" spans="1:109">
      <c r="A82">
        <f t="shared" si="82"/>
        <v>17</v>
      </c>
      <c r="B82" s="140" t="e">
        <f t="shared" si="83"/>
        <v>#N/A</v>
      </c>
      <c r="C82" s="140" t="e">
        <f t="shared" si="84"/>
        <v>#N/A</v>
      </c>
      <c r="D82" s="140" t="e">
        <f t="shared" si="85"/>
        <v>#N/A</v>
      </c>
      <c r="E82" s="140" t="e">
        <f t="shared" si="86"/>
        <v>#N/A</v>
      </c>
      <c r="F82" s="140" t="e">
        <f t="shared" si="87"/>
        <v>#N/A</v>
      </c>
      <c r="G82" s="140" t="e">
        <f t="shared" si="88"/>
        <v>#N/A</v>
      </c>
      <c r="H82" s="140" t="e">
        <f t="shared" si="89"/>
        <v>#N/A</v>
      </c>
      <c r="I82" s="140" t="e">
        <f t="shared" si="90"/>
        <v>#N/A</v>
      </c>
      <c r="J82" s="140" t="e">
        <f t="shared" si="91"/>
        <v>#N/A</v>
      </c>
      <c r="K82" s="140" t="e">
        <f t="shared" si="92"/>
        <v>#N/A</v>
      </c>
      <c r="L82" s="140" t="e">
        <f t="shared" si="93"/>
        <v>#N/A</v>
      </c>
      <c r="M82" s="140" t="e">
        <f t="shared" si="94"/>
        <v>#N/A</v>
      </c>
      <c r="N82" s="140" t="e">
        <f t="shared" si="95"/>
        <v>#N/A</v>
      </c>
      <c r="O82" s="140" t="e">
        <f t="shared" si="96"/>
        <v>#N/A</v>
      </c>
      <c r="P82" s="140" t="e">
        <f t="shared" si="97"/>
        <v>#N/A</v>
      </c>
      <c r="Q82" s="140" t="e">
        <f t="shared" si="98"/>
        <v>#N/A</v>
      </c>
      <c r="R82" s="140" t="e">
        <f t="shared" si="99"/>
        <v>#N/A</v>
      </c>
      <c r="S82" s="140" t="e">
        <f t="shared" si="100"/>
        <v>#N/A</v>
      </c>
      <c r="T82" s="140" t="e">
        <f t="shared" si="101"/>
        <v>#N/A</v>
      </c>
      <c r="U82" s="140" t="e">
        <f t="shared" si="102"/>
        <v>#N/A</v>
      </c>
      <c r="V82" s="141" t="str">
        <f t="shared" si="14"/>
        <v>DPS</v>
      </c>
      <c r="W82" s="141" t="str">
        <f t="shared" si="15"/>
        <v>DPS</v>
      </c>
      <c r="X82" s="141" t="str">
        <f t="shared" si="16"/>
        <v>DPS</v>
      </c>
      <c r="Y82" s="141" t="str">
        <f t="shared" si="17"/>
        <v>DPS</v>
      </c>
      <c r="Z82" s="141" t="str">
        <f t="shared" si="18"/>
        <v>DPS</v>
      </c>
      <c r="AA82" s="141" t="str">
        <f t="shared" si="19"/>
        <v>DPS</v>
      </c>
      <c r="AB82" s="141" t="str">
        <f t="shared" si="20"/>
        <v>DPS</v>
      </c>
      <c r="AC82" s="141" t="str">
        <f t="shared" si="21"/>
        <v>DPS</v>
      </c>
      <c r="AD82" s="141" t="str">
        <f t="shared" si="22"/>
        <v>DPS</v>
      </c>
      <c r="AE82" s="141" t="str">
        <f t="shared" si="23"/>
        <v>DPS</v>
      </c>
      <c r="AF82" s="141" t="str">
        <f t="shared" si="24"/>
        <v>DPS</v>
      </c>
      <c r="AG82" s="141" t="str">
        <f t="shared" si="25"/>
        <v>DPS</v>
      </c>
      <c r="AH82" s="141" t="str">
        <f t="shared" si="26"/>
        <v>DPS</v>
      </c>
      <c r="AI82" s="141" t="str">
        <f t="shared" si="27"/>
        <v>HPS</v>
      </c>
      <c r="AJ82" s="141" t="str">
        <f t="shared" si="28"/>
        <v>HPS</v>
      </c>
      <c r="AK82" s="141" t="str">
        <f t="shared" si="29"/>
        <v>HPS</v>
      </c>
      <c r="AL82" s="141" t="str">
        <f t="shared" si="30"/>
        <v>HPS</v>
      </c>
      <c r="AM82" s="141" t="str">
        <f t="shared" si="31"/>
        <v>HPS</v>
      </c>
      <c r="AN82" s="141" t="str">
        <f t="shared" si="32"/>
        <v>HPS</v>
      </c>
      <c r="AO82" s="141" t="str">
        <f t="shared" si="33"/>
        <v>HPS</v>
      </c>
      <c r="AP82" s="134" t="e">
        <f t="shared" si="103"/>
        <v>#N/A</v>
      </c>
      <c r="AQ82" s="134" t="e">
        <f t="shared" si="104"/>
        <v>#N/A</v>
      </c>
      <c r="AR82" s="134" t="e">
        <f t="shared" si="105"/>
        <v>#N/A</v>
      </c>
      <c r="AS82" s="134" t="e">
        <f t="shared" si="106"/>
        <v>#N/A</v>
      </c>
      <c r="AT82" s="134" t="e">
        <f t="shared" si="107"/>
        <v>#N/A</v>
      </c>
      <c r="AU82" s="134" t="e">
        <f t="shared" si="108"/>
        <v>#N/A</v>
      </c>
      <c r="AV82" s="134" t="e">
        <f t="shared" si="109"/>
        <v>#N/A</v>
      </c>
      <c r="AW82" s="134" t="e">
        <f t="shared" si="110"/>
        <v>#N/A</v>
      </c>
      <c r="AX82" s="134" t="e">
        <f t="shared" si="111"/>
        <v>#N/A</v>
      </c>
      <c r="AY82" s="134" t="e">
        <f t="shared" si="112"/>
        <v>#N/A</v>
      </c>
      <c r="AZ82" s="134" t="e">
        <f t="shared" si="113"/>
        <v>#N/A</v>
      </c>
      <c r="BA82" s="134" t="e">
        <f t="shared" si="114"/>
        <v>#N/A</v>
      </c>
      <c r="BB82" s="134" t="e">
        <f t="shared" si="115"/>
        <v>#N/A</v>
      </c>
      <c r="BC82" s="134" t="e">
        <f t="shared" si="116"/>
        <v>#N/A</v>
      </c>
      <c r="BD82" s="134" t="e">
        <f t="shared" si="117"/>
        <v>#N/A</v>
      </c>
      <c r="BE82" s="134" t="e">
        <f t="shared" si="118"/>
        <v>#N/A</v>
      </c>
      <c r="BF82" s="134" t="e">
        <f t="shared" si="119"/>
        <v>#N/A</v>
      </c>
      <c r="BG82" s="134" t="e">
        <f t="shared" si="120"/>
        <v>#N/A</v>
      </c>
      <c r="BH82" s="134" t="e">
        <f t="shared" si="121"/>
        <v>#N/A</v>
      </c>
      <c r="BI82" s="134" t="e">
        <f t="shared" si="122"/>
        <v>#N/A</v>
      </c>
      <c r="BJ82" t="e">
        <f t="shared" si="35"/>
        <v>#N/A</v>
      </c>
      <c r="BK82" t="e">
        <f t="shared" si="36"/>
        <v>#N/A</v>
      </c>
      <c r="BL82" s="142" t="e">
        <f t="shared" si="123"/>
        <v>#N/A</v>
      </c>
      <c r="BM82" s="142">
        <f t="shared" si="37"/>
        <v>2650</v>
      </c>
      <c r="BN82" t="e">
        <f t="shared" si="38"/>
        <v>#NUM!</v>
      </c>
      <c r="BO82" s="143" t="e">
        <f t="shared" si="39"/>
        <v>#N/A</v>
      </c>
      <c r="BP82" s="143" t="e">
        <f t="shared" si="40"/>
        <v>#N/A</v>
      </c>
      <c r="BQ82" s="143" t="e">
        <f t="shared" si="41"/>
        <v>#N/A</v>
      </c>
      <c r="BR82" s="143" t="e">
        <f t="shared" si="42"/>
        <v>#N/A</v>
      </c>
      <c r="BS82" s="143" t="e">
        <f t="shared" si="43"/>
        <v>#N/A</v>
      </c>
      <c r="BT82" s="143" t="e">
        <f t="shared" si="44"/>
        <v>#N/A</v>
      </c>
      <c r="BU82" s="143" t="e">
        <f t="shared" si="45"/>
        <v>#N/A</v>
      </c>
      <c r="BV82" s="143" t="e">
        <f t="shared" si="46"/>
        <v>#N/A</v>
      </c>
      <c r="BW82" s="143" t="e">
        <f t="shared" si="47"/>
        <v>#N/A</v>
      </c>
      <c r="BX82" s="143" t="e">
        <f t="shared" si="48"/>
        <v>#N/A</v>
      </c>
      <c r="BY82" s="143" t="e">
        <f t="shared" si="49"/>
        <v>#N/A</v>
      </c>
      <c r="BZ82" s="143" t="e">
        <f t="shared" si="50"/>
        <v>#N/A</v>
      </c>
      <c r="CA82" s="143" t="e">
        <f t="shared" si="51"/>
        <v>#N/A</v>
      </c>
      <c r="CB82" s="143" t="e">
        <f t="shared" si="52"/>
        <v>#N/A</v>
      </c>
      <c r="CC82" s="143" t="e">
        <f t="shared" si="53"/>
        <v>#N/A</v>
      </c>
      <c r="CD82" s="143" t="e">
        <f t="shared" si="54"/>
        <v>#N/A</v>
      </c>
      <c r="CE82" s="143" t="e">
        <f t="shared" si="55"/>
        <v>#N/A</v>
      </c>
      <c r="CF82" s="143" t="e">
        <f t="shared" si="56"/>
        <v>#N/A</v>
      </c>
      <c r="CG82" s="143" t="e">
        <f t="shared" si="57"/>
        <v>#N/A</v>
      </c>
      <c r="CH82" s="143" t="e">
        <f t="shared" si="58"/>
        <v>#N/A</v>
      </c>
      <c r="CI82" t="e">
        <f t="shared" si="59"/>
        <v>#N/A</v>
      </c>
      <c r="CJ82" t="e">
        <f t="shared" si="60"/>
        <v>#N/A</v>
      </c>
      <c r="CK82" t="e">
        <f t="shared" si="61"/>
        <v>#N/A</v>
      </c>
      <c r="CL82" t="e">
        <f t="shared" si="62"/>
        <v>#N/A</v>
      </c>
      <c r="CM82" t="e">
        <f t="shared" si="63"/>
        <v>#N/A</v>
      </c>
      <c r="CN82" t="e">
        <f t="shared" si="64"/>
        <v>#N/A</v>
      </c>
      <c r="CO82" t="e">
        <f t="shared" si="65"/>
        <v>#N/A</v>
      </c>
      <c r="CP82" t="e">
        <f t="shared" si="66"/>
        <v>#N/A</v>
      </c>
      <c r="CQ82" t="e">
        <f t="shared" si="67"/>
        <v>#N/A</v>
      </c>
      <c r="CR82" t="e">
        <f t="shared" si="68"/>
        <v>#N/A</v>
      </c>
      <c r="CS82" t="e">
        <f t="shared" si="69"/>
        <v>#N/A</v>
      </c>
      <c r="CT82" t="e">
        <f t="shared" si="70"/>
        <v>#N/A</v>
      </c>
      <c r="CU82" t="e">
        <f t="shared" si="71"/>
        <v>#N/A</v>
      </c>
      <c r="CV82" t="e">
        <f t="shared" si="72"/>
        <v>#N/A</v>
      </c>
      <c r="CW82" t="e">
        <f t="shared" si="73"/>
        <v>#N/A</v>
      </c>
      <c r="CX82" t="e">
        <f t="shared" si="74"/>
        <v>#N/A</v>
      </c>
      <c r="CY82" t="e">
        <f t="shared" si="75"/>
        <v>#N/A</v>
      </c>
      <c r="CZ82" t="e">
        <f t="shared" si="76"/>
        <v>#N/A</v>
      </c>
      <c r="DA82" t="e">
        <f t="shared" si="77"/>
        <v>#N/A</v>
      </c>
      <c r="DB82" t="e">
        <f t="shared" si="78"/>
        <v>#N/A</v>
      </c>
      <c r="DC82" s="142" t="e">
        <f t="shared" si="79"/>
        <v>#N/A</v>
      </c>
      <c r="DD82" t="e">
        <f t="shared" si="80"/>
        <v>#N/A</v>
      </c>
      <c r="DE82" t="b">
        <f t="shared" si="81"/>
        <v>0</v>
      </c>
    </row>
    <row r="83" spans="1:109">
      <c r="A83">
        <f t="shared" si="82"/>
        <v>18</v>
      </c>
      <c r="B83" s="140" t="e">
        <f t="shared" si="83"/>
        <v>#N/A</v>
      </c>
      <c r="C83" s="140" t="e">
        <f t="shared" si="84"/>
        <v>#N/A</v>
      </c>
      <c r="D83" s="140" t="e">
        <f t="shared" si="85"/>
        <v>#N/A</v>
      </c>
      <c r="E83" s="140" t="e">
        <f t="shared" si="86"/>
        <v>#N/A</v>
      </c>
      <c r="F83" s="140" t="e">
        <f t="shared" si="87"/>
        <v>#N/A</v>
      </c>
      <c r="G83" s="140" t="e">
        <f t="shared" si="88"/>
        <v>#N/A</v>
      </c>
      <c r="H83" s="140" t="e">
        <f t="shared" si="89"/>
        <v>#N/A</v>
      </c>
      <c r="I83" s="140" t="e">
        <f t="shared" si="90"/>
        <v>#N/A</v>
      </c>
      <c r="J83" s="140" t="e">
        <f t="shared" si="91"/>
        <v>#N/A</v>
      </c>
      <c r="K83" s="140" t="e">
        <f t="shared" si="92"/>
        <v>#N/A</v>
      </c>
      <c r="L83" s="140" t="e">
        <f t="shared" si="93"/>
        <v>#N/A</v>
      </c>
      <c r="M83" s="140" t="e">
        <f t="shared" si="94"/>
        <v>#N/A</v>
      </c>
      <c r="N83" s="140" t="e">
        <f t="shared" si="95"/>
        <v>#N/A</v>
      </c>
      <c r="O83" s="140" t="e">
        <f t="shared" si="96"/>
        <v>#N/A</v>
      </c>
      <c r="P83" s="140" t="e">
        <f t="shared" si="97"/>
        <v>#N/A</v>
      </c>
      <c r="Q83" s="140" t="e">
        <f t="shared" si="98"/>
        <v>#N/A</v>
      </c>
      <c r="R83" s="140" t="e">
        <f t="shared" si="99"/>
        <v>#N/A</v>
      </c>
      <c r="S83" s="140" t="e">
        <f t="shared" si="100"/>
        <v>#N/A</v>
      </c>
      <c r="T83" s="140" t="e">
        <f t="shared" si="101"/>
        <v>#N/A</v>
      </c>
      <c r="U83" s="140" t="e">
        <f t="shared" si="102"/>
        <v>#N/A</v>
      </c>
      <c r="V83" s="141" t="str">
        <f t="shared" si="14"/>
        <v>DPS</v>
      </c>
      <c r="W83" s="141" t="str">
        <f t="shared" si="15"/>
        <v>DPS</v>
      </c>
      <c r="X83" s="141" t="str">
        <f t="shared" si="16"/>
        <v>DPS</v>
      </c>
      <c r="Y83" s="141" t="str">
        <f t="shared" si="17"/>
        <v>DPS</v>
      </c>
      <c r="Z83" s="141" t="str">
        <f t="shared" si="18"/>
        <v>DPS</v>
      </c>
      <c r="AA83" s="141" t="str">
        <f t="shared" si="19"/>
        <v>DPS</v>
      </c>
      <c r="AB83" s="141" t="str">
        <f t="shared" si="20"/>
        <v>DPS</v>
      </c>
      <c r="AC83" s="141" t="str">
        <f t="shared" si="21"/>
        <v>DPS</v>
      </c>
      <c r="AD83" s="141" t="str">
        <f t="shared" si="22"/>
        <v>DPS</v>
      </c>
      <c r="AE83" s="141" t="str">
        <f t="shared" si="23"/>
        <v>DPS</v>
      </c>
      <c r="AF83" s="141" t="str">
        <f t="shared" si="24"/>
        <v>DPS</v>
      </c>
      <c r="AG83" s="141" t="str">
        <f t="shared" si="25"/>
        <v>DPS</v>
      </c>
      <c r="AH83" s="141" t="str">
        <f t="shared" si="26"/>
        <v>DPS</v>
      </c>
      <c r="AI83" s="141" t="str">
        <f t="shared" si="27"/>
        <v>HPS</v>
      </c>
      <c r="AJ83" s="141" t="str">
        <f t="shared" si="28"/>
        <v>HPS</v>
      </c>
      <c r="AK83" s="141" t="str">
        <f t="shared" si="29"/>
        <v>HPS</v>
      </c>
      <c r="AL83" s="141" t="str">
        <f t="shared" si="30"/>
        <v>HPS</v>
      </c>
      <c r="AM83" s="141" t="str">
        <f t="shared" si="31"/>
        <v>HPS</v>
      </c>
      <c r="AN83" s="141" t="str">
        <f t="shared" si="32"/>
        <v>HPS</v>
      </c>
      <c r="AO83" s="141" t="str">
        <f t="shared" si="33"/>
        <v>HPS</v>
      </c>
      <c r="AP83" s="134" t="e">
        <f t="shared" si="103"/>
        <v>#N/A</v>
      </c>
      <c r="AQ83" s="134" t="e">
        <f t="shared" si="104"/>
        <v>#N/A</v>
      </c>
      <c r="AR83" s="134" t="e">
        <f t="shared" si="105"/>
        <v>#N/A</v>
      </c>
      <c r="AS83" s="134" t="e">
        <f t="shared" si="106"/>
        <v>#N/A</v>
      </c>
      <c r="AT83" s="134" t="e">
        <f t="shared" si="107"/>
        <v>#N/A</v>
      </c>
      <c r="AU83" s="134" t="e">
        <f t="shared" si="108"/>
        <v>#N/A</v>
      </c>
      <c r="AV83" s="134" t="e">
        <f t="shared" si="109"/>
        <v>#N/A</v>
      </c>
      <c r="AW83" s="134" t="e">
        <f t="shared" si="110"/>
        <v>#N/A</v>
      </c>
      <c r="AX83" s="134" t="e">
        <f t="shared" si="111"/>
        <v>#N/A</v>
      </c>
      <c r="AY83" s="134" t="e">
        <f t="shared" si="112"/>
        <v>#N/A</v>
      </c>
      <c r="AZ83" s="134" t="e">
        <f t="shared" si="113"/>
        <v>#N/A</v>
      </c>
      <c r="BA83" s="134" t="e">
        <f t="shared" si="114"/>
        <v>#N/A</v>
      </c>
      <c r="BB83" s="134" t="e">
        <f t="shared" si="115"/>
        <v>#N/A</v>
      </c>
      <c r="BC83" s="134" t="e">
        <f t="shared" si="116"/>
        <v>#N/A</v>
      </c>
      <c r="BD83" s="134" t="e">
        <f t="shared" si="117"/>
        <v>#N/A</v>
      </c>
      <c r="BE83" s="134" t="e">
        <f t="shared" si="118"/>
        <v>#N/A</v>
      </c>
      <c r="BF83" s="134" t="e">
        <f t="shared" si="119"/>
        <v>#N/A</v>
      </c>
      <c r="BG83" s="134" t="e">
        <f t="shared" si="120"/>
        <v>#N/A</v>
      </c>
      <c r="BH83" s="134" t="e">
        <f t="shared" si="121"/>
        <v>#N/A</v>
      </c>
      <c r="BI83" s="134" t="e">
        <f t="shared" si="122"/>
        <v>#N/A</v>
      </c>
      <c r="BJ83" t="e">
        <f t="shared" si="35"/>
        <v>#N/A</v>
      </c>
      <c r="BK83" t="e">
        <f t="shared" si="36"/>
        <v>#N/A</v>
      </c>
      <c r="BL83" s="142" t="e">
        <f t="shared" si="123"/>
        <v>#N/A</v>
      </c>
      <c r="BM83" s="142">
        <f t="shared" si="37"/>
        <v>2650</v>
      </c>
      <c r="BN83" t="e">
        <f t="shared" si="38"/>
        <v>#NUM!</v>
      </c>
      <c r="BO83" s="143" t="e">
        <f t="shared" si="39"/>
        <v>#N/A</v>
      </c>
      <c r="BP83" s="143" t="e">
        <f t="shared" si="40"/>
        <v>#N/A</v>
      </c>
      <c r="BQ83" s="143" t="e">
        <f t="shared" si="41"/>
        <v>#N/A</v>
      </c>
      <c r="BR83" s="143" t="e">
        <f t="shared" si="42"/>
        <v>#N/A</v>
      </c>
      <c r="BS83" s="143" t="e">
        <f t="shared" si="43"/>
        <v>#N/A</v>
      </c>
      <c r="BT83" s="143" t="e">
        <f t="shared" si="44"/>
        <v>#N/A</v>
      </c>
      <c r="BU83" s="143" t="e">
        <f t="shared" si="45"/>
        <v>#N/A</v>
      </c>
      <c r="BV83" s="143" t="e">
        <f t="shared" si="46"/>
        <v>#N/A</v>
      </c>
      <c r="BW83" s="143" t="e">
        <f t="shared" si="47"/>
        <v>#N/A</v>
      </c>
      <c r="BX83" s="143" t="e">
        <f t="shared" si="48"/>
        <v>#N/A</v>
      </c>
      <c r="BY83" s="143" t="e">
        <f t="shared" si="49"/>
        <v>#N/A</v>
      </c>
      <c r="BZ83" s="143" t="e">
        <f t="shared" si="50"/>
        <v>#N/A</v>
      </c>
      <c r="CA83" s="143" t="e">
        <f t="shared" si="51"/>
        <v>#N/A</v>
      </c>
      <c r="CB83" s="143" t="e">
        <f t="shared" si="52"/>
        <v>#N/A</v>
      </c>
      <c r="CC83" s="143" t="e">
        <f t="shared" si="53"/>
        <v>#N/A</v>
      </c>
      <c r="CD83" s="143" t="e">
        <f t="shared" si="54"/>
        <v>#N/A</v>
      </c>
      <c r="CE83" s="143" t="e">
        <f t="shared" si="55"/>
        <v>#N/A</v>
      </c>
      <c r="CF83" s="143" t="e">
        <f t="shared" si="56"/>
        <v>#N/A</v>
      </c>
      <c r="CG83" s="143" t="e">
        <f t="shared" si="57"/>
        <v>#N/A</v>
      </c>
      <c r="CH83" s="143" t="e">
        <f t="shared" si="58"/>
        <v>#N/A</v>
      </c>
      <c r="CI83" t="e">
        <f t="shared" si="59"/>
        <v>#N/A</v>
      </c>
      <c r="CJ83" t="e">
        <f t="shared" si="60"/>
        <v>#N/A</v>
      </c>
      <c r="CK83" t="e">
        <f t="shared" si="61"/>
        <v>#N/A</v>
      </c>
      <c r="CL83" t="e">
        <f t="shared" si="62"/>
        <v>#N/A</v>
      </c>
      <c r="CM83" t="e">
        <f t="shared" si="63"/>
        <v>#N/A</v>
      </c>
      <c r="CN83" t="e">
        <f t="shared" si="64"/>
        <v>#N/A</v>
      </c>
      <c r="CO83" t="e">
        <f t="shared" si="65"/>
        <v>#N/A</v>
      </c>
      <c r="CP83" t="e">
        <f t="shared" si="66"/>
        <v>#N/A</v>
      </c>
      <c r="CQ83" t="e">
        <f t="shared" si="67"/>
        <v>#N/A</v>
      </c>
      <c r="CR83" t="e">
        <f t="shared" si="68"/>
        <v>#N/A</v>
      </c>
      <c r="CS83" t="e">
        <f t="shared" si="69"/>
        <v>#N/A</v>
      </c>
      <c r="CT83" t="e">
        <f t="shared" si="70"/>
        <v>#N/A</v>
      </c>
      <c r="CU83" t="e">
        <f t="shared" si="71"/>
        <v>#N/A</v>
      </c>
      <c r="CV83" t="e">
        <f t="shared" si="72"/>
        <v>#N/A</v>
      </c>
      <c r="CW83" t="e">
        <f t="shared" si="73"/>
        <v>#N/A</v>
      </c>
      <c r="CX83" t="e">
        <f t="shared" si="74"/>
        <v>#N/A</v>
      </c>
      <c r="CY83" t="e">
        <f t="shared" si="75"/>
        <v>#N/A</v>
      </c>
      <c r="CZ83" t="e">
        <f t="shared" si="76"/>
        <v>#N/A</v>
      </c>
      <c r="DA83" t="e">
        <f t="shared" si="77"/>
        <v>#N/A</v>
      </c>
      <c r="DB83" t="e">
        <f t="shared" si="78"/>
        <v>#N/A</v>
      </c>
      <c r="DC83" s="142" t="e">
        <f t="shared" si="79"/>
        <v>#N/A</v>
      </c>
      <c r="DD83" t="e">
        <f t="shared" si="80"/>
        <v>#N/A</v>
      </c>
      <c r="DE83" t="b">
        <f t="shared" si="81"/>
        <v>0</v>
      </c>
    </row>
    <row r="84" spans="1:109">
      <c r="A84">
        <f t="shared" si="82"/>
        <v>19</v>
      </c>
      <c r="B84" s="140" t="e">
        <f t="shared" si="83"/>
        <v>#N/A</v>
      </c>
      <c r="C84" s="140" t="e">
        <f t="shared" si="84"/>
        <v>#N/A</v>
      </c>
      <c r="D84" s="140" t="e">
        <f t="shared" si="85"/>
        <v>#N/A</v>
      </c>
      <c r="E84" s="140" t="e">
        <f t="shared" si="86"/>
        <v>#N/A</v>
      </c>
      <c r="F84" s="140" t="e">
        <f t="shared" si="87"/>
        <v>#N/A</v>
      </c>
      <c r="G84" s="140" t="e">
        <f t="shared" si="88"/>
        <v>#N/A</v>
      </c>
      <c r="H84" s="140" t="e">
        <f t="shared" si="89"/>
        <v>#N/A</v>
      </c>
      <c r="I84" s="140" t="e">
        <f t="shared" si="90"/>
        <v>#N/A</v>
      </c>
      <c r="J84" s="140" t="e">
        <f t="shared" si="91"/>
        <v>#N/A</v>
      </c>
      <c r="K84" s="140" t="e">
        <f t="shared" si="92"/>
        <v>#N/A</v>
      </c>
      <c r="L84" s="140" t="e">
        <f t="shared" si="93"/>
        <v>#N/A</v>
      </c>
      <c r="M84" s="140" t="e">
        <f t="shared" si="94"/>
        <v>#N/A</v>
      </c>
      <c r="N84" s="140" t="e">
        <f t="shared" si="95"/>
        <v>#N/A</v>
      </c>
      <c r="O84" s="140" t="e">
        <f t="shared" si="96"/>
        <v>#N/A</v>
      </c>
      <c r="P84" s="140" t="e">
        <f t="shared" si="97"/>
        <v>#N/A</v>
      </c>
      <c r="Q84" s="140" t="e">
        <f t="shared" si="98"/>
        <v>#N/A</v>
      </c>
      <c r="R84" s="140" t="e">
        <f t="shared" si="99"/>
        <v>#N/A</v>
      </c>
      <c r="S84" s="140" t="e">
        <f t="shared" si="100"/>
        <v>#N/A</v>
      </c>
      <c r="T84" s="140" t="e">
        <f t="shared" si="101"/>
        <v>#N/A</v>
      </c>
      <c r="U84" s="140" t="e">
        <f t="shared" si="102"/>
        <v>#N/A</v>
      </c>
      <c r="V84" s="141" t="str">
        <f t="shared" si="14"/>
        <v>DPS</v>
      </c>
      <c r="W84" s="141" t="str">
        <f t="shared" si="15"/>
        <v>DPS</v>
      </c>
      <c r="X84" s="141" t="str">
        <f t="shared" si="16"/>
        <v>DPS</v>
      </c>
      <c r="Y84" s="141" t="str">
        <f t="shared" si="17"/>
        <v>DPS</v>
      </c>
      <c r="Z84" s="141" t="str">
        <f t="shared" si="18"/>
        <v>DPS</v>
      </c>
      <c r="AA84" s="141" t="str">
        <f t="shared" si="19"/>
        <v>DPS</v>
      </c>
      <c r="AB84" s="141" t="str">
        <f t="shared" si="20"/>
        <v>DPS</v>
      </c>
      <c r="AC84" s="141" t="str">
        <f t="shared" si="21"/>
        <v>DPS</v>
      </c>
      <c r="AD84" s="141" t="str">
        <f t="shared" si="22"/>
        <v>DPS</v>
      </c>
      <c r="AE84" s="141" t="str">
        <f t="shared" si="23"/>
        <v>DPS</v>
      </c>
      <c r="AF84" s="141" t="str">
        <f t="shared" si="24"/>
        <v>DPS</v>
      </c>
      <c r="AG84" s="141" t="str">
        <f t="shared" si="25"/>
        <v>DPS</v>
      </c>
      <c r="AH84" s="141" t="str">
        <f t="shared" si="26"/>
        <v>DPS</v>
      </c>
      <c r="AI84" s="141" t="str">
        <f t="shared" si="27"/>
        <v>HPS</v>
      </c>
      <c r="AJ84" s="141" t="str">
        <f t="shared" si="28"/>
        <v>HPS</v>
      </c>
      <c r="AK84" s="141" t="str">
        <f t="shared" si="29"/>
        <v>HPS</v>
      </c>
      <c r="AL84" s="141" t="str">
        <f t="shared" si="30"/>
        <v>HPS</v>
      </c>
      <c r="AM84" s="141" t="str">
        <f t="shared" si="31"/>
        <v>HPS</v>
      </c>
      <c r="AN84" s="141" t="str">
        <f t="shared" si="32"/>
        <v>HPS</v>
      </c>
      <c r="AO84" s="141" t="str">
        <f t="shared" si="33"/>
        <v>HPS</v>
      </c>
      <c r="AP84" s="134" t="e">
        <f t="shared" si="103"/>
        <v>#N/A</v>
      </c>
      <c r="AQ84" s="134" t="e">
        <f t="shared" si="104"/>
        <v>#N/A</v>
      </c>
      <c r="AR84" s="134" t="e">
        <f t="shared" si="105"/>
        <v>#N/A</v>
      </c>
      <c r="AS84" s="134" t="e">
        <f t="shared" si="106"/>
        <v>#N/A</v>
      </c>
      <c r="AT84" s="134" t="e">
        <f t="shared" si="107"/>
        <v>#N/A</v>
      </c>
      <c r="AU84" s="134" t="e">
        <f t="shared" si="108"/>
        <v>#N/A</v>
      </c>
      <c r="AV84" s="134" t="e">
        <f t="shared" si="109"/>
        <v>#N/A</v>
      </c>
      <c r="AW84" s="134" t="e">
        <f t="shared" si="110"/>
        <v>#N/A</v>
      </c>
      <c r="AX84" s="134" t="e">
        <f t="shared" si="111"/>
        <v>#N/A</v>
      </c>
      <c r="AY84" s="134" t="e">
        <f t="shared" si="112"/>
        <v>#N/A</v>
      </c>
      <c r="AZ84" s="134" t="e">
        <f t="shared" si="113"/>
        <v>#N/A</v>
      </c>
      <c r="BA84" s="134" t="e">
        <f t="shared" si="114"/>
        <v>#N/A</v>
      </c>
      <c r="BB84" s="134" t="e">
        <f t="shared" si="115"/>
        <v>#N/A</v>
      </c>
      <c r="BC84" s="134" t="e">
        <f t="shared" si="116"/>
        <v>#N/A</v>
      </c>
      <c r="BD84" s="134" t="e">
        <f t="shared" si="117"/>
        <v>#N/A</v>
      </c>
      <c r="BE84" s="134" t="e">
        <f t="shared" si="118"/>
        <v>#N/A</v>
      </c>
      <c r="BF84" s="134" t="e">
        <f t="shared" si="119"/>
        <v>#N/A</v>
      </c>
      <c r="BG84" s="134" t="e">
        <f t="shared" si="120"/>
        <v>#N/A</v>
      </c>
      <c r="BH84" s="134" t="e">
        <f t="shared" si="121"/>
        <v>#N/A</v>
      </c>
      <c r="BI84" s="134" t="e">
        <f t="shared" si="122"/>
        <v>#N/A</v>
      </c>
      <c r="BJ84" t="e">
        <f t="shared" si="35"/>
        <v>#N/A</v>
      </c>
      <c r="BK84" t="e">
        <f t="shared" si="36"/>
        <v>#N/A</v>
      </c>
      <c r="BL84" s="142" t="e">
        <f t="shared" si="123"/>
        <v>#N/A</v>
      </c>
      <c r="BM84" s="142">
        <f t="shared" si="37"/>
        <v>2650</v>
      </c>
      <c r="BN84" t="e">
        <f t="shared" si="38"/>
        <v>#NUM!</v>
      </c>
      <c r="BO84" s="143" t="e">
        <f t="shared" si="39"/>
        <v>#N/A</v>
      </c>
      <c r="BP84" s="143" t="e">
        <f t="shared" si="40"/>
        <v>#N/A</v>
      </c>
      <c r="BQ84" s="143" t="e">
        <f t="shared" si="41"/>
        <v>#N/A</v>
      </c>
      <c r="BR84" s="143" t="e">
        <f t="shared" si="42"/>
        <v>#N/A</v>
      </c>
      <c r="BS84" s="143" t="e">
        <f t="shared" si="43"/>
        <v>#N/A</v>
      </c>
      <c r="BT84" s="143" t="e">
        <f t="shared" si="44"/>
        <v>#N/A</v>
      </c>
      <c r="BU84" s="143" t="e">
        <f t="shared" si="45"/>
        <v>#N/A</v>
      </c>
      <c r="BV84" s="143" t="e">
        <f t="shared" si="46"/>
        <v>#N/A</v>
      </c>
      <c r="BW84" s="143" t="e">
        <f t="shared" si="47"/>
        <v>#N/A</v>
      </c>
      <c r="BX84" s="143" t="e">
        <f t="shared" si="48"/>
        <v>#N/A</v>
      </c>
      <c r="BY84" s="143" t="e">
        <f t="shared" si="49"/>
        <v>#N/A</v>
      </c>
      <c r="BZ84" s="143" t="e">
        <f t="shared" si="50"/>
        <v>#N/A</v>
      </c>
      <c r="CA84" s="143" t="e">
        <f t="shared" si="51"/>
        <v>#N/A</v>
      </c>
      <c r="CB84" s="143" t="e">
        <f t="shared" si="52"/>
        <v>#N/A</v>
      </c>
      <c r="CC84" s="143" t="e">
        <f t="shared" si="53"/>
        <v>#N/A</v>
      </c>
      <c r="CD84" s="143" t="e">
        <f t="shared" si="54"/>
        <v>#N/A</v>
      </c>
      <c r="CE84" s="143" t="e">
        <f t="shared" si="55"/>
        <v>#N/A</v>
      </c>
      <c r="CF84" s="143" t="e">
        <f t="shared" si="56"/>
        <v>#N/A</v>
      </c>
      <c r="CG84" s="143" t="e">
        <f t="shared" si="57"/>
        <v>#N/A</v>
      </c>
      <c r="CH84" s="143" t="e">
        <f t="shared" si="58"/>
        <v>#N/A</v>
      </c>
      <c r="CI84" t="e">
        <f t="shared" si="59"/>
        <v>#N/A</v>
      </c>
      <c r="CJ84" t="e">
        <f t="shared" si="60"/>
        <v>#N/A</v>
      </c>
      <c r="CK84" t="e">
        <f t="shared" si="61"/>
        <v>#N/A</v>
      </c>
      <c r="CL84" t="e">
        <f t="shared" si="62"/>
        <v>#N/A</v>
      </c>
      <c r="CM84" t="e">
        <f t="shared" si="63"/>
        <v>#N/A</v>
      </c>
      <c r="CN84" t="e">
        <f t="shared" si="64"/>
        <v>#N/A</v>
      </c>
      <c r="CO84" t="e">
        <f t="shared" si="65"/>
        <v>#N/A</v>
      </c>
      <c r="CP84" t="e">
        <f t="shared" si="66"/>
        <v>#N/A</v>
      </c>
      <c r="CQ84" t="e">
        <f t="shared" si="67"/>
        <v>#N/A</v>
      </c>
      <c r="CR84" t="e">
        <f t="shared" si="68"/>
        <v>#N/A</v>
      </c>
      <c r="CS84" t="e">
        <f t="shared" si="69"/>
        <v>#N/A</v>
      </c>
      <c r="CT84" t="e">
        <f t="shared" si="70"/>
        <v>#N/A</v>
      </c>
      <c r="CU84" t="e">
        <f t="shared" si="71"/>
        <v>#N/A</v>
      </c>
      <c r="CV84" t="e">
        <f t="shared" si="72"/>
        <v>#N/A</v>
      </c>
      <c r="CW84" t="e">
        <f t="shared" si="73"/>
        <v>#N/A</v>
      </c>
      <c r="CX84" t="e">
        <f t="shared" si="74"/>
        <v>#N/A</v>
      </c>
      <c r="CY84" t="e">
        <f t="shared" si="75"/>
        <v>#N/A</v>
      </c>
      <c r="CZ84" t="e">
        <f t="shared" si="76"/>
        <v>#N/A</v>
      </c>
      <c r="DA84" t="e">
        <f t="shared" si="77"/>
        <v>#N/A</v>
      </c>
      <c r="DB84" t="e">
        <f t="shared" si="78"/>
        <v>#N/A</v>
      </c>
      <c r="DC84" s="142" t="e">
        <f t="shared" si="79"/>
        <v>#N/A</v>
      </c>
      <c r="DD84" t="e">
        <f t="shared" si="80"/>
        <v>#N/A</v>
      </c>
      <c r="DE84" t="b">
        <f t="shared" si="81"/>
        <v>0</v>
      </c>
    </row>
    <row r="85" spans="1:109">
      <c r="A85">
        <f t="shared" si="82"/>
        <v>20</v>
      </c>
      <c r="B85" s="140" t="e">
        <f t="shared" si="83"/>
        <v>#N/A</v>
      </c>
      <c r="C85" s="140" t="e">
        <f t="shared" si="84"/>
        <v>#N/A</v>
      </c>
      <c r="D85" s="140" t="e">
        <f t="shared" si="85"/>
        <v>#N/A</v>
      </c>
      <c r="E85" s="140" t="e">
        <f t="shared" si="86"/>
        <v>#N/A</v>
      </c>
      <c r="F85" s="140" t="e">
        <f t="shared" si="87"/>
        <v>#N/A</v>
      </c>
      <c r="G85" s="140" t="e">
        <f t="shared" si="88"/>
        <v>#N/A</v>
      </c>
      <c r="H85" s="140" t="e">
        <f t="shared" si="89"/>
        <v>#N/A</v>
      </c>
      <c r="I85" s="140" t="e">
        <f t="shared" si="90"/>
        <v>#N/A</v>
      </c>
      <c r="J85" s="140" t="e">
        <f t="shared" si="91"/>
        <v>#N/A</v>
      </c>
      <c r="K85" s="140" t="e">
        <f t="shared" si="92"/>
        <v>#N/A</v>
      </c>
      <c r="L85" s="140" t="e">
        <f t="shared" si="93"/>
        <v>#N/A</v>
      </c>
      <c r="M85" s="140" t="e">
        <f t="shared" si="94"/>
        <v>#N/A</v>
      </c>
      <c r="N85" s="140" t="e">
        <f t="shared" si="95"/>
        <v>#N/A</v>
      </c>
      <c r="O85" s="140" t="e">
        <f t="shared" si="96"/>
        <v>#N/A</v>
      </c>
      <c r="P85" s="140" t="e">
        <f t="shared" si="97"/>
        <v>#N/A</v>
      </c>
      <c r="Q85" s="140" t="e">
        <f t="shared" si="98"/>
        <v>#N/A</v>
      </c>
      <c r="R85" s="140" t="e">
        <f t="shared" si="99"/>
        <v>#N/A</v>
      </c>
      <c r="S85" s="140" t="e">
        <f t="shared" si="100"/>
        <v>#N/A</v>
      </c>
      <c r="T85" s="140" t="e">
        <f t="shared" si="101"/>
        <v>#N/A</v>
      </c>
      <c r="U85" s="140" t="e">
        <f t="shared" si="102"/>
        <v>#N/A</v>
      </c>
      <c r="V85" s="141" t="str">
        <f t="shared" si="14"/>
        <v>DPS</v>
      </c>
      <c r="W85" s="141" t="str">
        <f t="shared" si="15"/>
        <v>DPS</v>
      </c>
      <c r="X85" s="141" t="str">
        <f t="shared" si="16"/>
        <v>DPS</v>
      </c>
      <c r="Y85" s="141" t="str">
        <f t="shared" si="17"/>
        <v>DPS</v>
      </c>
      <c r="Z85" s="141" t="str">
        <f t="shared" si="18"/>
        <v>DPS</v>
      </c>
      <c r="AA85" s="141" t="str">
        <f t="shared" si="19"/>
        <v>DPS</v>
      </c>
      <c r="AB85" s="141" t="str">
        <f t="shared" si="20"/>
        <v>DPS</v>
      </c>
      <c r="AC85" s="141" t="str">
        <f t="shared" si="21"/>
        <v>DPS</v>
      </c>
      <c r="AD85" s="141" t="str">
        <f t="shared" si="22"/>
        <v>DPS</v>
      </c>
      <c r="AE85" s="141" t="str">
        <f t="shared" si="23"/>
        <v>DPS</v>
      </c>
      <c r="AF85" s="141" t="str">
        <f t="shared" si="24"/>
        <v>DPS</v>
      </c>
      <c r="AG85" s="141" t="str">
        <f t="shared" si="25"/>
        <v>DPS</v>
      </c>
      <c r="AH85" s="141" t="str">
        <f t="shared" si="26"/>
        <v>DPS</v>
      </c>
      <c r="AI85" s="141" t="str">
        <f t="shared" si="27"/>
        <v>HPS</v>
      </c>
      <c r="AJ85" s="141" t="str">
        <f t="shared" si="28"/>
        <v>HPS</v>
      </c>
      <c r="AK85" s="141" t="str">
        <f t="shared" si="29"/>
        <v>HPS</v>
      </c>
      <c r="AL85" s="141" t="str">
        <f t="shared" si="30"/>
        <v>HPS</v>
      </c>
      <c r="AM85" s="141" t="str">
        <f t="shared" si="31"/>
        <v>HPS</v>
      </c>
      <c r="AN85" s="141" t="str">
        <f t="shared" si="32"/>
        <v>HPS</v>
      </c>
      <c r="AO85" s="141" t="str">
        <f t="shared" si="33"/>
        <v>HPS</v>
      </c>
      <c r="AP85" s="134" t="e">
        <f t="shared" si="103"/>
        <v>#N/A</v>
      </c>
      <c r="AQ85" s="134" t="e">
        <f t="shared" si="104"/>
        <v>#N/A</v>
      </c>
      <c r="AR85" s="134" t="e">
        <f t="shared" si="105"/>
        <v>#N/A</v>
      </c>
      <c r="AS85" s="134" t="e">
        <f t="shared" si="106"/>
        <v>#N/A</v>
      </c>
      <c r="AT85" s="134" t="e">
        <f t="shared" si="107"/>
        <v>#N/A</v>
      </c>
      <c r="AU85" s="134" t="e">
        <f t="shared" si="108"/>
        <v>#N/A</v>
      </c>
      <c r="AV85" s="134" t="e">
        <f t="shared" si="109"/>
        <v>#N/A</v>
      </c>
      <c r="AW85" s="134" t="e">
        <f t="shared" si="110"/>
        <v>#N/A</v>
      </c>
      <c r="AX85" s="134" t="e">
        <f t="shared" si="111"/>
        <v>#N/A</v>
      </c>
      <c r="AY85" s="134" t="e">
        <f t="shared" si="112"/>
        <v>#N/A</v>
      </c>
      <c r="AZ85" s="134" t="e">
        <f t="shared" si="113"/>
        <v>#N/A</v>
      </c>
      <c r="BA85" s="134" t="e">
        <f t="shared" si="114"/>
        <v>#N/A</v>
      </c>
      <c r="BB85" s="134" t="e">
        <f t="shared" si="115"/>
        <v>#N/A</v>
      </c>
      <c r="BC85" s="134" t="e">
        <f t="shared" si="116"/>
        <v>#N/A</v>
      </c>
      <c r="BD85" s="134" t="e">
        <f t="shared" si="117"/>
        <v>#N/A</v>
      </c>
      <c r="BE85" s="134" t="e">
        <f t="shared" si="118"/>
        <v>#N/A</v>
      </c>
      <c r="BF85" s="134" t="e">
        <f t="shared" si="119"/>
        <v>#N/A</v>
      </c>
      <c r="BG85" s="134" t="e">
        <f t="shared" si="120"/>
        <v>#N/A</v>
      </c>
      <c r="BH85" s="134" t="e">
        <f t="shared" si="121"/>
        <v>#N/A</v>
      </c>
      <c r="BI85" s="134" t="e">
        <f t="shared" si="122"/>
        <v>#N/A</v>
      </c>
      <c r="BJ85" t="e">
        <f t="shared" si="35"/>
        <v>#N/A</v>
      </c>
      <c r="BK85" t="e">
        <f t="shared" si="36"/>
        <v>#N/A</v>
      </c>
      <c r="BL85" s="142" t="e">
        <f t="shared" si="123"/>
        <v>#N/A</v>
      </c>
      <c r="BM85" s="142">
        <f t="shared" si="37"/>
        <v>2650</v>
      </c>
      <c r="BN85" t="e">
        <f t="shared" si="38"/>
        <v>#NUM!</v>
      </c>
      <c r="BO85" s="143" t="e">
        <f t="shared" si="39"/>
        <v>#N/A</v>
      </c>
      <c r="BP85" s="143" t="e">
        <f t="shared" si="40"/>
        <v>#N/A</v>
      </c>
      <c r="BQ85" s="143" t="e">
        <f t="shared" si="41"/>
        <v>#N/A</v>
      </c>
      <c r="BR85" s="143" t="e">
        <f t="shared" si="42"/>
        <v>#N/A</v>
      </c>
      <c r="BS85" s="143" t="e">
        <f t="shared" si="43"/>
        <v>#N/A</v>
      </c>
      <c r="BT85" s="143" t="e">
        <f t="shared" si="44"/>
        <v>#N/A</v>
      </c>
      <c r="BU85" s="143" t="e">
        <f t="shared" si="45"/>
        <v>#N/A</v>
      </c>
      <c r="BV85" s="143" t="e">
        <f t="shared" si="46"/>
        <v>#N/A</v>
      </c>
      <c r="BW85" s="143" t="e">
        <f t="shared" si="47"/>
        <v>#N/A</v>
      </c>
      <c r="BX85" s="143" t="e">
        <f t="shared" si="48"/>
        <v>#N/A</v>
      </c>
      <c r="BY85" s="143" t="e">
        <f t="shared" si="49"/>
        <v>#N/A</v>
      </c>
      <c r="BZ85" s="143" t="e">
        <f t="shared" si="50"/>
        <v>#N/A</v>
      </c>
      <c r="CA85" s="143" t="e">
        <f t="shared" si="51"/>
        <v>#N/A</v>
      </c>
      <c r="CB85" s="143" t="e">
        <f t="shared" si="52"/>
        <v>#N/A</v>
      </c>
      <c r="CC85" s="143" t="e">
        <f t="shared" si="53"/>
        <v>#N/A</v>
      </c>
      <c r="CD85" s="143" t="e">
        <f t="shared" si="54"/>
        <v>#N/A</v>
      </c>
      <c r="CE85" s="143" t="e">
        <f t="shared" si="55"/>
        <v>#N/A</v>
      </c>
      <c r="CF85" s="143" t="e">
        <f t="shared" si="56"/>
        <v>#N/A</v>
      </c>
      <c r="CG85" s="143" t="e">
        <f t="shared" si="57"/>
        <v>#N/A</v>
      </c>
      <c r="CH85" s="143" t="e">
        <f t="shared" si="58"/>
        <v>#N/A</v>
      </c>
      <c r="CI85" t="e">
        <f t="shared" si="59"/>
        <v>#N/A</v>
      </c>
      <c r="CJ85" t="e">
        <f t="shared" si="60"/>
        <v>#N/A</v>
      </c>
      <c r="CK85" t="e">
        <f t="shared" si="61"/>
        <v>#N/A</v>
      </c>
      <c r="CL85" t="e">
        <f t="shared" si="62"/>
        <v>#N/A</v>
      </c>
      <c r="CM85" t="e">
        <f t="shared" si="63"/>
        <v>#N/A</v>
      </c>
      <c r="CN85" t="e">
        <f t="shared" si="64"/>
        <v>#N/A</v>
      </c>
      <c r="CO85" t="e">
        <f t="shared" si="65"/>
        <v>#N/A</v>
      </c>
      <c r="CP85" t="e">
        <f t="shared" si="66"/>
        <v>#N/A</v>
      </c>
      <c r="CQ85" t="e">
        <f t="shared" si="67"/>
        <v>#N/A</v>
      </c>
      <c r="CR85" t="e">
        <f t="shared" si="68"/>
        <v>#N/A</v>
      </c>
      <c r="CS85" t="e">
        <f t="shared" si="69"/>
        <v>#N/A</v>
      </c>
      <c r="CT85" t="e">
        <f t="shared" si="70"/>
        <v>#N/A</v>
      </c>
      <c r="CU85" t="e">
        <f t="shared" si="71"/>
        <v>#N/A</v>
      </c>
      <c r="CV85" t="e">
        <f t="shared" si="72"/>
        <v>#N/A</v>
      </c>
      <c r="CW85" t="e">
        <f t="shared" si="73"/>
        <v>#N/A</v>
      </c>
      <c r="CX85" t="e">
        <f t="shared" si="74"/>
        <v>#N/A</v>
      </c>
      <c r="CY85" t="e">
        <f t="shared" si="75"/>
        <v>#N/A</v>
      </c>
      <c r="CZ85" t="e">
        <f t="shared" si="76"/>
        <v>#N/A</v>
      </c>
      <c r="DA85" t="e">
        <f t="shared" si="77"/>
        <v>#N/A</v>
      </c>
      <c r="DB85" t="e">
        <f t="shared" si="78"/>
        <v>#N/A</v>
      </c>
      <c r="DC85" s="142" t="e">
        <f t="shared" si="79"/>
        <v>#N/A</v>
      </c>
      <c r="DD85" t="e">
        <f t="shared" si="80"/>
        <v>#N/A</v>
      </c>
      <c r="DE85" t="b">
        <f t="shared" si="81"/>
        <v>0</v>
      </c>
    </row>
    <row r="86" spans="1:109">
      <c r="A86">
        <f t="shared" si="82"/>
        <v>21</v>
      </c>
      <c r="B86" s="140" t="e">
        <f t="shared" si="83"/>
        <v>#N/A</v>
      </c>
      <c r="C86" s="140" t="e">
        <f t="shared" si="84"/>
        <v>#N/A</v>
      </c>
      <c r="D86" s="140" t="e">
        <f t="shared" si="85"/>
        <v>#N/A</v>
      </c>
      <c r="E86" s="140" t="e">
        <f t="shared" si="86"/>
        <v>#N/A</v>
      </c>
      <c r="F86" s="140" t="e">
        <f t="shared" si="87"/>
        <v>#N/A</v>
      </c>
      <c r="G86" s="140" t="e">
        <f t="shared" si="88"/>
        <v>#N/A</v>
      </c>
      <c r="H86" s="140" t="e">
        <f t="shared" si="89"/>
        <v>#N/A</v>
      </c>
      <c r="I86" s="140" t="e">
        <f t="shared" si="90"/>
        <v>#N/A</v>
      </c>
      <c r="J86" s="140" t="e">
        <f t="shared" si="91"/>
        <v>#N/A</v>
      </c>
      <c r="K86" s="140" t="e">
        <f t="shared" si="92"/>
        <v>#N/A</v>
      </c>
      <c r="L86" s="140" t="e">
        <f t="shared" si="93"/>
        <v>#N/A</v>
      </c>
      <c r="M86" s="140" t="e">
        <f t="shared" si="94"/>
        <v>#N/A</v>
      </c>
      <c r="N86" s="140" t="e">
        <f t="shared" si="95"/>
        <v>#N/A</v>
      </c>
      <c r="O86" s="140" t="e">
        <f t="shared" si="96"/>
        <v>#N/A</v>
      </c>
      <c r="P86" s="140" t="e">
        <f t="shared" si="97"/>
        <v>#N/A</v>
      </c>
      <c r="Q86" s="140" t="e">
        <f t="shared" si="98"/>
        <v>#N/A</v>
      </c>
      <c r="R86" s="140" t="e">
        <f t="shared" si="99"/>
        <v>#N/A</v>
      </c>
      <c r="S86" s="140" t="e">
        <f t="shared" si="100"/>
        <v>#N/A</v>
      </c>
      <c r="T86" s="140" t="e">
        <f t="shared" si="101"/>
        <v>#N/A</v>
      </c>
      <c r="U86" s="140" t="e">
        <f t="shared" si="102"/>
        <v>#N/A</v>
      </c>
      <c r="V86" s="141" t="str">
        <f t="shared" si="14"/>
        <v>DPS</v>
      </c>
      <c r="W86" s="141" t="str">
        <f t="shared" si="15"/>
        <v>DPS</v>
      </c>
      <c r="X86" s="141" t="str">
        <f t="shared" si="16"/>
        <v>DPS</v>
      </c>
      <c r="Y86" s="141" t="str">
        <f t="shared" si="17"/>
        <v>DPS</v>
      </c>
      <c r="Z86" s="141" t="str">
        <f t="shared" si="18"/>
        <v>DPS</v>
      </c>
      <c r="AA86" s="141" t="str">
        <f t="shared" si="19"/>
        <v>DPS</v>
      </c>
      <c r="AB86" s="141" t="str">
        <f t="shared" si="20"/>
        <v>DPS</v>
      </c>
      <c r="AC86" s="141" t="str">
        <f t="shared" si="21"/>
        <v>DPS</v>
      </c>
      <c r="AD86" s="141" t="str">
        <f t="shared" si="22"/>
        <v>DPS</v>
      </c>
      <c r="AE86" s="141" t="str">
        <f t="shared" si="23"/>
        <v>DPS</v>
      </c>
      <c r="AF86" s="141" t="str">
        <f t="shared" si="24"/>
        <v>DPS</v>
      </c>
      <c r="AG86" s="141" t="str">
        <f t="shared" si="25"/>
        <v>DPS</v>
      </c>
      <c r="AH86" s="141" t="str">
        <f t="shared" si="26"/>
        <v>DPS</v>
      </c>
      <c r="AI86" s="141" t="str">
        <f t="shared" si="27"/>
        <v>HPS</v>
      </c>
      <c r="AJ86" s="141" t="str">
        <f t="shared" si="28"/>
        <v>HPS</v>
      </c>
      <c r="AK86" s="141" t="str">
        <f t="shared" si="29"/>
        <v>HPS</v>
      </c>
      <c r="AL86" s="141" t="str">
        <f t="shared" si="30"/>
        <v>HPS</v>
      </c>
      <c r="AM86" s="141" t="str">
        <f t="shared" si="31"/>
        <v>HPS</v>
      </c>
      <c r="AN86" s="141" t="str">
        <f t="shared" si="32"/>
        <v>HPS</v>
      </c>
      <c r="AO86" s="141" t="str">
        <f t="shared" si="33"/>
        <v>HPS</v>
      </c>
      <c r="AP86" s="134" t="e">
        <f t="shared" si="103"/>
        <v>#N/A</v>
      </c>
      <c r="AQ86" s="134" t="e">
        <f t="shared" si="104"/>
        <v>#N/A</v>
      </c>
      <c r="AR86" s="134" t="e">
        <f t="shared" si="105"/>
        <v>#N/A</v>
      </c>
      <c r="AS86" s="134" t="e">
        <f t="shared" si="106"/>
        <v>#N/A</v>
      </c>
      <c r="AT86" s="134" t="e">
        <f t="shared" si="107"/>
        <v>#N/A</v>
      </c>
      <c r="AU86" s="134" t="e">
        <f t="shared" si="108"/>
        <v>#N/A</v>
      </c>
      <c r="AV86" s="134" t="e">
        <f t="shared" si="109"/>
        <v>#N/A</v>
      </c>
      <c r="AW86" s="134" t="e">
        <f t="shared" si="110"/>
        <v>#N/A</v>
      </c>
      <c r="AX86" s="134" t="e">
        <f t="shared" si="111"/>
        <v>#N/A</v>
      </c>
      <c r="AY86" s="134" t="e">
        <f t="shared" si="112"/>
        <v>#N/A</v>
      </c>
      <c r="AZ86" s="134" t="e">
        <f t="shared" si="113"/>
        <v>#N/A</v>
      </c>
      <c r="BA86" s="134" t="e">
        <f t="shared" si="114"/>
        <v>#N/A</v>
      </c>
      <c r="BB86" s="134" t="e">
        <f t="shared" si="115"/>
        <v>#N/A</v>
      </c>
      <c r="BC86" s="134" t="e">
        <f t="shared" si="116"/>
        <v>#N/A</v>
      </c>
      <c r="BD86" s="134" t="e">
        <f t="shared" si="117"/>
        <v>#N/A</v>
      </c>
      <c r="BE86" s="134" t="e">
        <f t="shared" si="118"/>
        <v>#N/A</v>
      </c>
      <c r="BF86" s="134" t="e">
        <f t="shared" si="119"/>
        <v>#N/A</v>
      </c>
      <c r="BG86" s="134" t="e">
        <f t="shared" si="120"/>
        <v>#N/A</v>
      </c>
      <c r="BH86" s="134" t="e">
        <f t="shared" si="121"/>
        <v>#N/A</v>
      </c>
      <c r="BI86" s="134" t="e">
        <f t="shared" si="122"/>
        <v>#N/A</v>
      </c>
      <c r="BJ86" t="e">
        <f t="shared" si="35"/>
        <v>#N/A</v>
      </c>
      <c r="BK86" t="e">
        <f t="shared" si="36"/>
        <v>#N/A</v>
      </c>
      <c r="BL86" s="142" t="e">
        <f t="shared" si="123"/>
        <v>#N/A</v>
      </c>
      <c r="BM86" s="142">
        <f t="shared" si="37"/>
        <v>2650</v>
      </c>
      <c r="BN86" t="e">
        <f t="shared" si="38"/>
        <v>#NUM!</v>
      </c>
      <c r="BO86" s="143" t="e">
        <f t="shared" si="39"/>
        <v>#N/A</v>
      </c>
      <c r="BP86" s="143" t="e">
        <f t="shared" si="40"/>
        <v>#N/A</v>
      </c>
      <c r="BQ86" s="143" t="e">
        <f t="shared" si="41"/>
        <v>#N/A</v>
      </c>
      <c r="BR86" s="143" t="e">
        <f t="shared" si="42"/>
        <v>#N/A</v>
      </c>
      <c r="BS86" s="143" t="e">
        <f t="shared" si="43"/>
        <v>#N/A</v>
      </c>
      <c r="BT86" s="143" t="e">
        <f t="shared" si="44"/>
        <v>#N/A</v>
      </c>
      <c r="BU86" s="143" t="e">
        <f t="shared" si="45"/>
        <v>#N/A</v>
      </c>
      <c r="BV86" s="143" t="e">
        <f t="shared" si="46"/>
        <v>#N/A</v>
      </c>
      <c r="BW86" s="143" t="e">
        <f t="shared" si="47"/>
        <v>#N/A</v>
      </c>
      <c r="BX86" s="143" t="e">
        <f t="shared" si="48"/>
        <v>#N/A</v>
      </c>
      <c r="BY86" s="143" t="e">
        <f t="shared" si="49"/>
        <v>#N/A</v>
      </c>
      <c r="BZ86" s="143" t="e">
        <f t="shared" si="50"/>
        <v>#N/A</v>
      </c>
      <c r="CA86" s="143" t="e">
        <f t="shared" si="51"/>
        <v>#N/A</v>
      </c>
      <c r="CB86" s="143" t="e">
        <f t="shared" si="52"/>
        <v>#N/A</v>
      </c>
      <c r="CC86" s="143" t="e">
        <f t="shared" si="53"/>
        <v>#N/A</v>
      </c>
      <c r="CD86" s="143" t="e">
        <f t="shared" si="54"/>
        <v>#N/A</v>
      </c>
      <c r="CE86" s="143" t="e">
        <f t="shared" si="55"/>
        <v>#N/A</v>
      </c>
      <c r="CF86" s="143" t="e">
        <f t="shared" si="56"/>
        <v>#N/A</v>
      </c>
      <c r="CG86" s="143" t="e">
        <f t="shared" si="57"/>
        <v>#N/A</v>
      </c>
      <c r="CH86" s="143" t="e">
        <f t="shared" si="58"/>
        <v>#N/A</v>
      </c>
      <c r="CI86" t="e">
        <f t="shared" si="59"/>
        <v>#N/A</v>
      </c>
      <c r="CJ86" t="e">
        <f t="shared" si="60"/>
        <v>#N/A</v>
      </c>
      <c r="CK86" t="e">
        <f t="shared" si="61"/>
        <v>#N/A</v>
      </c>
      <c r="CL86" t="e">
        <f t="shared" si="62"/>
        <v>#N/A</v>
      </c>
      <c r="CM86" t="e">
        <f t="shared" si="63"/>
        <v>#N/A</v>
      </c>
      <c r="CN86" t="e">
        <f t="shared" si="64"/>
        <v>#N/A</v>
      </c>
      <c r="CO86" t="e">
        <f t="shared" si="65"/>
        <v>#N/A</v>
      </c>
      <c r="CP86" t="e">
        <f t="shared" si="66"/>
        <v>#N/A</v>
      </c>
      <c r="CQ86" t="e">
        <f t="shared" si="67"/>
        <v>#N/A</v>
      </c>
      <c r="CR86" t="e">
        <f t="shared" si="68"/>
        <v>#N/A</v>
      </c>
      <c r="CS86" t="e">
        <f t="shared" si="69"/>
        <v>#N/A</v>
      </c>
      <c r="CT86" t="e">
        <f t="shared" si="70"/>
        <v>#N/A</v>
      </c>
      <c r="CU86" t="e">
        <f t="shared" si="71"/>
        <v>#N/A</v>
      </c>
      <c r="CV86" t="e">
        <f t="shared" si="72"/>
        <v>#N/A</v>
      </c>
      <c r="CW86" t="e">
        <f t="shared" si="73"/>
        <v>#N/A</v>
      </c>
      <c r="CX86" t="e">
        <f t="shared" si="74"/>
        <v>#N/A</v>
      </c>
      <c r="CY86" t="e">
        <f t="shared" si="75"/>
        <v>#N/A</v>
      </c>
      <c r="CZ86" t="e">
        <f t="shared" si="76"/>
        <v>#N/A</v>
      </c>
      <c r="DA86" t="e">
        <f t="shared" si="77"/>
        <v>#N/A</v>
      </c>
      <c r="DB86" t="e">
        <f t="shared" si="78"/>
        <v>#N/A</v>
      </c>
      <c r="DC86" s="142" t="e">
        <f t="shared" si="79"/>
        <v>#N/A</v>
      </c>
      <c r="DD86" t="e">
        <f t="shared" si="80"/>
        <v>#N/A</v>
      </c>
      <c r="DE86" t="b">
        <f t="shared" si="81"/>
        <v>0</v>
      </c>
    </row>
    <row r="87" spans="1:109">
      <c r="A87">
        <f t="shared" si="82"/>
        <v>22</v>
      </c>
      <c r="B87" s="140" t="e">
        <f t="shared" si="83"/>
        <v>#N/A</v>
      </c>
      <c r="C87" s="140" t="e">
        <f t="shared" si="84"/>
        <v>#N/A</v>
      </c>
      <c r="D87" s="140" t="e">
        <f t="shared" si="85"/>
        <v>#N/A</v>
      </c>
      <c r="E87" s="140" t="e">
        <f t="shared" si="86"/>
        <v>#N/A</v>
      </c>
      <c r="F87" s="140" t="e">
        <f t="shared" si="87"/>
        <v>#N/A</v>
      </c>
      <c r="G87" s="140" t="e">
        <f t="shared" si="88"/>
        <v>#N/A</v>
      </c>
      <c r="H87" s="140" t="e">
        <f t="shared" si="89"/>
        <v>#N/A</v>
      </c>
      <c r="I87" s="140" t="e">
        <f t="shared" si="90"/>
        <v>#N/A</v>
      </c>
      <c r="J87" s="140" t="e">
        <f t="shared" si="91"/>
        <v>#N/A</v>
      </c>
      <c r="K87" s="140" t="e">
        <f t="shared" si="92"/>
        <v>#N/A</v>
      </c>
      <c r="L87" s="140" t="e">
        <f t="shared" si="93"/>
        <v>#N/A</v>
      </c>
      <c r="M87" s="140" t="e">
        <f t="shared" si="94"/>
        <v>#N/A</v>
      </c>
      <c r="N87" s="140" t="e">
        <f t="shared" si="95"/>
        <v>#N/A</v>
      </c>
      <c r="O87" s="140" t="e">
        <f t="shared" si="96"/>
        <v>#N/A</v>
      </c>
      <c r="P87" s="140" t="e">
        <f t="shared" si="97"/>
        <v>#N/A</v>
      </c>
      <c r="Q87" s="140" t="e">
        <f t="shared" si="98"/>
        <v>#N/A</v>
      </c>
      <c r="R87" s="140" t="e">
        <f t="shared" si="99"/>
        <v>#N/A</v>
      </c>
      <c r="S87" s="140" t="e">
        <f t="shared" si="100"/>
        <v>#N/A</v>
      </c>
      <c r="T87" s="140" t="e">
        <f t="shared" si="101"/>
        <v>#N/A</v>
      </c>
      <c r="U87" s="140" t="e">
        <f t="shared" si="102"/>
        <v>#N/A</v>
      </c>
      <c r="V87" s="141" t="str">
        <f t="shared" si="14"/>
        <v>DPS</v>
      </c>
      <c r="W87" s="141" t="str">
        <f t="shared" si="15"/>
        <v>DPS</v>
      </c>
      <c r="X87" s="141" t="str">
        <f t="shared" si="16"/>
        <v>DPS</v>
      </c>
      <c r="Y87" s="141" t="str">
        <f t="shared" si="17"/>
        <v>DPS</v>
      </c>
      <c r="Z87" s="141" t="str">
        <f t="shared" si="18"/>
        <v>DPS</v>
      </c>
      <c r="AA87" s="141" t="str">
        <f t="shared" si="19"/>
        <v>DPS</v>
      </c>
      <c r="AB87" s="141" t="str">
        <f t="shared" si="20"/>
        <v>DPS</v>
      </c>
      <c r="AC87" s="141" t="str">
        <f t="shared" si="21"/>
        <v>DPS</v>
      </c>
      <c r="AD87" s="141" t="str">
        <f t="shared" si="22"/>
        <v>DPS</v>
      </c>
      <c r="AE87" s="141" t="str">
        <f t="shared" si="23"/>
        <v>DPS</v>
      </c>
      <c r="AF87" s="141" t="str">
        <f t="shared" si="24"/>
        <v>DPS</v>
      </c>
      <c r="AG87" s="141" t="str">
        <f t="shared" si="25"/>
        <v>DPS</v>
      </c>
      <c r="AH87" s="141" t="str">
        <f t="shared" si="26"/>
        <v>DPS</v>
      </c>
      <c r="AI87" s="141" t="str">
        <f t="shared" si="27"/>
        <v>HPS</v>
      </c>
      <c r="AJ87" s="141" t="str">
        <f t="shared" si="28"/>
        <v>HPS</v>
      </c>
      <c r="AK87" s="141" t="str">
        <f t="shared" si="29"/>
        <v>HPS</v>
      </c>
      <c r="AL87" s="141" t="str">
        <f t="shared" si="30"/>
        <v>HPS</v>
      </c>
      <c r="AM87" s="141" t="str">
        <f t="shared" si="31"/>
        <v>HPS</v>
      </c>
      <c r="AN87" s="141" t="str">
        <f t="shared" si="32"/>
        <v>HPS</v>
      </c>
      <c r="AO87" s="141" t="str">
        <f t="shared" si="33"/>
        <v>HPS</v>
      </c>
      <c r="AP87" s="134" t="e">
        <f t="shared" si="103"/>
        <v>#N/A</v>
      </c>
      <c r="AQ87" s="134" t="e">
        <f t="shared" si="104"/>
        <v>#N/A</v>
      </c>
      <c r="AR87" s="134" t="e">
        <f t="shared" si="105"/>
        <v>#N/A</v>
      </c>
      <c r="AS87" s="134" t="e">
        <f t="shared" si="106"/>
        <v>#N/A</v>
      </c>
      <c r="AT87" s="134" t="e">
        <f t="shared" si="107"/>
        <v>#N/A</v>
      </c>
      <c r="AU87" s="134" t="e">
        <f t="shared" si="108"/>
        <v>#N/A</v>
      </c>
      <c r="AV87" s="134" t="e">
        <f t="shared" si="109"/>
        <v>#N/A</v>
      </c>
      <c r="AW87" s="134" t="e">
        <f t="shared" si="110"/>
        <v>#N/A</v>
      </c>
      <c r="AX87" s="134" t="e">
        <f t="shared" si="111"/>
        <v>#N/A</v>
      </c>
      <c r="AY87" s="134" t="e">
        <f t="shared" si="112"/>
        <v>#N/A</v>
      </c>
      <c r="AZ87" s="134" t="e">
        <f t="shared" si="113"/>
        <v>#N/A</v>
      </c>
      <c r="BA87" s="134" t="e">
        <f t="shared" si="114"/>
        <v>#N/A</v>
      </c>
      <c r="BB87" s="134" t="e">
        <f t="shared" si="115"/>
        <v>#N/A</v>
      </c>
      <c r="BC87" s="134" t="e">
        <f t="shared" si="116"/>
        <v>#N/A</v>
      </c>
      <c r="BD87" s="134" t="e">
        <f t="shared" si="117"/>
        <v>#N/A</v>
      </c>
      <c r="BE87" s="134" t="e">
        <f t="shared" si="118"/>
        <v>#N/A</v>
      </c>
      <c r="BF87" s="134" t="e">
        <f t="shared" si="119"/>
        <v>#N/A</v>
      </c>
      <c r="BG87" s="134" t="e">
        <f t="shared" si="120"/>
        <v>#N/A</v>
      </c>
      <c r="BH87" s="134" t="e">
        <f t="shared" si="121"/>
        <v>#N/A</v>
      </c>
      <c r="BI87" s="134" t="e">
        <f t="shared" si="122"/>
        <v>#N/A</v>
      </c>
      <c r="BJ87" t="e">
        <f t="shared" si="35"/>
        <v>#N/A</v>
      </c>
      <c r="BK87" t="e">
        <f t="shared" si="36"/>
        <v>#N/A</v>
      </c>
      <c r="BL87" s="142" t="e">
        <f t="shared" si="123"/>
        <v>#N/A</v>
      </c>
      <c r="BM87" s="142">
        <f t="shared" si="37"/>
        <v>2650</v>
      </c>
      <c r="BN87" t="e">
        <f t="shared" si="38"/>
        <v>#NUM!</v>
      </c>
      <c r="BO87" s="143" t="e">
        <f t="shared" si="39"/>
        <v>#N/A</v>
      </c>
      <c r="BP87" s="143" t="e">
        <f t="shared" si="40"/>
        <v>#N/A</v>
      </c>
      <c r="BQ87" s="143" t="e">
        <f t="shared" si="41"/>
        <v>#N/A</v>
      </c>
      <c r="BR87" s="143" t="e">
        <f t="shared" si="42"/>
        <v>#N/A</v>
      </c>
      <c r="BS87" s="143" t="e">
        <f t="shared" si="43"/>
        <v>#N/A</v>
      </c>
      <c r="BT87" s="143" t="e">
        <f t="shared" si="44"/>
        <v>#N/A</v>
      </c>
      <c r="BU87" s="143" t="e">
        <f t="shared" si="45"/>
        <v>#N/A</v>
      </c>
      <c r="BV87" s="143" t="e">
        <f t="shared" si="46"/>
        <v>#N/A</v>
      </c>
      <c r="BW87" s="143" t="e">
        <f t="shared" si="47"/>
        <v>#N/A</v>
      </c>
      <c r="BX87" s="143" t="e">
        <f t="shared" si="48"/>
        <v>#N/A</v>
      </c>
      <c r="BY87" s="143" t="e">
        <f t="shared" si="49"/>
        <v>#N/A</v>
      </c>
      <c r="BZ87" s="143" t="e">
        <f t="shared" si="50"/>
        <v>#N/A</v>
      </c>
      <c r="CA87" s="143" t="e">
        <f t="shared" si="51"/>
        <v>#N/A</v>
      </c>
      <c r="CB87" s="143" t="e">
        <f t="shared" si="52"/>
        <v>#N/A</v>
      </c>
      <c r="CC87" s="143" t="e">
        <f t="shared" si="53"/>
        <v>#N/A</v>
      </c>
      <c r="CD87" s="143" t="e">
        <f t="shared" si="54"/>
        <v>#N/A</v>
      </c>
      <c r="CE87" s="143" t="e">
        <f t="shared" si="55"/>
        <v>#N/A</v>
      </c>
      <c r="CF87" s="143" t="e">
        <f t="shared" si="56"/>
        <v>#N/A</v>
      </c>
      <c r="CG87" s="143" t="e">
        <f t="shared" si="57"/>
        <v>#N/A</v>
      </c>
      <c r="CH87" s="143" t="e">
        <f t="shared" si="58"/>
        <v>#N/A</v>
      </c>
      <c r="CI87" t="e">
        <f t="shared" si="59"/>
        <v>#N/A</v>
      </c>
      <c r="CJ87" t="e">
        <f t="shared" si="60"/>
        <v>#N/A</v>
      </c>
      <c r="CK87" t="e">
        <f t="shared" si="61"/>
        <v>#N/A</v>
      </c>
      <c r="CL87" t="e">
        <f t="shared" si="62"/>
        <v>#N/A</v>
      </c>
      <c r="CM87" t="e">
        <f t="shared" si="63"/>
        <v>#N/A</v>
      </c>
      <c r="CN87" t="e">
        <f t="shared" si="64"/>
        <v>#N/A</v>
      </c>
      <c r="CO87" t="e">
        <f t="shared" si="65"/>
        <v>#N/A</v>
      </c>
      <c r="CP87" t="e">
        <f t="shared" si="66"/>
        <v>#N/A</v>
      </c>
      <c r="CQ87" t="e">
        <f t="shared" si="67"/>
        <v>#N/A</v>
      </c>
      <c r="CR87" t="e">
        <f t="shared" si="68"/>
        <v>#N/A</v>
      </c>
      <c r="CS87" t="e">
        <f t="shared" si="69"/>
        <v>#N/A</v>
      </c>
      <c r="CT87" t="e">
        <f t="shared" si="70"/>
        <v>#N/A</v>
      </c>
      <c r="CU87" t="e">
        <f t="shared" si="71"/>
        <v>#N/A</v>
      </c>
      <c r="CV87" t="e">
        <f t="shared" si="72"/>
        <v>#N/A</v>
      </c>
      <c r="CW87" t="e">
        <f t="shared" si="73"/>
        <v>#N/A</v>
      </c>
      <c r="CX87" t="e">
        <f t="shared" si="74"/>
        <v>#N/A</v>
      </c>
      <c r="CY87" t="e">
        <f t="shared" si="75"/>
        <v>#N/A</v>
      </c>
      <c r="CZ87" t="e">
        <f t="shared" si="76"/>
        <v>#N/A</v>
      </c>
      <c r="DA87" t="e">
        <f t="shared" si="77"/>
        <v>#N/A</v>
      </c>
      <c r="DB87" t="e">
        <f t="shared" si="78"/>
        <v>#N/A</v>
      </c>
      <c r="DC87" s="142" t="e">
        <f t="shared" si="79"/>
        <v>#N/A</v>
      </c>
      <c r="DD87" t="e">
        <f t="shared" si="80"/>
        <v>#N/A</v>
      </c>
      <c r="DE87" t="b">
        <f t="shared" si="81"/>
        <v>0</v>
      </c>
    </row>
    <row r="88" spans="1:109">
      <c r="A88">
        <f t="shared" si="82"/>
        <v>23</v>
      </c>
      <c r="B88" s="140" t="e">
        <f t="shared" si="83"/>
        <v>#N/A</v>
      </c>
      <c r="C88" s="140" t="e">
        <f t="shared" si="84"/>
        <v>#N/A</v>
      </c>
      <c r="D88" s="140" t="e">
        <f t="shared" si="85"/>
        <v>#N/A</v>
      </c>
      <c r="E88" s="140" t="e">
        <f t="shared" si="86"/>
        <v>#N/A</v>
      </c>
      <c r="F88" s="140" t="e">
        <f t="shared" si="87"/>
        <v>#N/A</v>
      </c>
      <c r="G88" s="140" t="e">
        <f t="shared" si="88"/>
        <v>#N/A</v>
      </c>
      <c r="H88" s="140" t="e">
        <f t="shared" si="89"/>
        <v>#N/A</v>
      </c>
      <c r="I88" s="140" t="e">
        <f t="shared" si="90"/>
        <v>#N/A</v>
      </c>
      <c r="J88" s="140" t="e">
        <f t="shared" si="91"/>
        <v>#N/A</v>
      </c>
      <c r="K88" s="140" t="e">
        <f t="shared" si="92"/>
        <v>#N/A</v>
      </c>
      <c r="L88" s="140" t="e">
        <f t="shared" si="93"/>
        <v>#N/A</v>
      </c>
      <c r="M88" s="140" t="e">
        <f t="shared" si="94"/>
        <v>#N/A</v>
      </c>
      <c r="N88" s="140" t="e">
        <f t="shared" si="95"/>
        <v>#N/A</v>
      </c>
      <c r="O88" s="140" t="e">
        <f t="shared" si="96"/>
        <v>#N/A</v>
      </c>
      <c r="P88" s="140" t="e">
        <f t="shared" si="97"/>
        <v>#N/A</v>
      </c>
      <c r="Q88" s="140" t="e">
        <f t="shared" si="98"/>
        <v>#N/A</v>
      </c>
      <c r="R88" s="140" t="e">
        <f t="shared" si="99"/>
        <v>#N/A</v>
      </c>
      <c r="S88" s="140" t="e">
        <f t="shared" si="100"/>
        <v>#N/A</v>
      </c>
      <c r="T88" s="140" t="e">
        <f t="shared" si="101"/>
        <v>#N/A</v>
      </c>
      <c r="U88" s="140" t="e">
        <f t="shared" si="102"/>
        <v>#N/A</v>
      </c>
      <c r="V88" s="141" t="str">
        <f t="shared" si="14"/>
        <v>DPS</v>
      </c>
      <c r="W88" s="141" t="str">
        <f t="shared" si="15"/>
        <v>DPS</v>
      </c>
      <c r="X88" s="141" t="str">
        <f t="shared" si="16"/>
        <v>DPS</v>
      </c>
      <c r="Y88" s="141" t="str">
        <f t="shared" si="17"/>
        <v>DPS</v>
      </c>
      <c r="Z88" s="141" t="str">
        <f t="shared" si="18"/>
        <v>DPS</v>
      </c>
      <c r="AA88" s="141" t="str">
        <f t="shared" si="19"/>
        <v>DPS</v>
      </c>
      <c r="AB88" s="141" t="str">
        <f t="shared" si="20"/>
        <v>DPS</v>
      </c>
      <c r="AC88" s="141" t="str">
        <f t="shared" si="21"/>
        <v>DPS</v>
      </c>
      <c r="AD88" s="141" t="str">
        <f t="shared" si="22"/>
        <v>DPS</v>
      </c>
      <c r="AE88" s="141" t="str">
        <f t="shared" si="23"/>
        <v>DPS</v>
      </c>
      <c r="AF88" s="141" t="str">
        <f t="shared" si="24"/>
        <v>DPS</v>
      </c>
      <c r="AG88" s="141" t="str">
        <f t="shared" si="25"/>
        <v>DPS</v>
      </c>
      <c r="AH88" s="141" t="str">
        <f t="shared" si="26"/>
        <v>DPS</v>
      </c>
      <c r="AI88" s="141" t="str">
        <f t="shared" si="27"/>
        <v>HPS</v>
      </c>
      <c r="AJ88" s="141" t="str">
        <f t="shared" si="28"/>
        <v>HPS</v>
      </c>
      <c r="AK88" s="141" t="str">
        <f t="shared" si="29"/>
        <v>HPS</v>
      </c>
      <c r="AL88" s="141" t="str">
        <f t="shared" si="30"/>
        <v>HPS</v>
      </c>
      <c r="AM88" s="141" t="str">
        <f t="shared" si="31"/>
        <v>HPS</v>
      </c>
      <c r="AN88" s="141" t="str">
        <f t="shared" si="32"/>
        <v>HPS</v>
      </c>
      <c r="AO88" s="141" t="str">
        <f t="shared" si="33"/>
        <v>HPS</v>
      </c>
      <c r="AP88" s="134" t="e">
        <f t="shared" si="103"/>
        <v>#N/A</v>
      </c>
      <c r="AQ88" s="134" t="e">
        <f t="shared" si="104"/>
        <v>#N/A</v>
      </c>
      <c r="AR88" s="134" t="e">
        <f t="shared" si="105"/>
        <v>#N/A</v>
      </c>
      <c r="AS88" s="134" t="e">
        <f t="shared" si="106"/>
        <v>#N/A</v>
      </c>
      <c r="AT88" s="134" t="e">
        <f t="shared" si="107"/>
        <v>#N/A</v>
      </c>
      <c r="AU88" s="134" t="e">
        <f t="shared" si="108"/>
        <v>#N/A</v>
      </c>
      <c r="AV88" s="134" t="e">
        <f t="shared" si="109"/>
        <v>#N/A</v>
      </c>
      <c r="AW88" s="134" t="e">
        <f t="shared" si="110"/>
        <v>#N/A</v>
      </c>
      <c r="AX88" s="134" t="e">
        <f t="shared" si="111"/>
        <v>#N/A</v>
      </c>
      <c r="AY88" s="134" t="e">
        <f t="shared" si="112"/>
        <v>#N/A</v>
      </c>
      <c r="AZ88" s="134" t="e">
        <f t="shared" si="113"/>
        <v>#N/A</v>
      </c>
      <c r="BA88" s="134" t="e">
        <f t="shared" si="114"/>
        <v>#N/A</v>
      </c>
      <c r="BB88" s="134" t="e">
        <f t="shared" si="115"/>
        <v>#N/A</v>
      </c>
      <c r="BC88" s="134" t="e">
        <f t="shared" si="116"/>
        <v>#N/A</v>
      </c>
      <c r="BD88" s="134" t="e">
        <f t="shared" si="117"/>
        <v>#N/A</v>
      </c>
      <c r="BE88" s="134" t="e">
        <f t="shared" si="118"/>
        <v>#N/A</v>
      </c>
      <c r="BF88" s="134" t="e">
        <f t="shared" si="119"/>
        <v>#N/A</v>
      </c>
      <c r="BG88" s="134" t="e">
        <f t="shared" si="120"/>
        <v>#N/A</v>
      </c>
      <c r="BH88" s="134" t="e">
        <f t="shared" si="121"/>
        <v>#N/A</v>
      </c>
      <c r="BI88" s="134" t="e">
        <f t="shared" si="122"/>
        <v>#N/A</v>
      </c>
      <c r="BJ88" t="e">
        <f t="shared" si="35"/>
        <v>#N/A</v>
      </c>
      <c r="BK88" t="e">
        <f t="shared" si="36"/>
        <v>#N/A</v>
      </c>
      <c r="BL88" s="142" t="e">
        <f t="shared" si="123"/>
        <v>#N/A</v>
      </c>
      <c r="BM88" s="142">
        <f t="shared" si="37"/>
        <v>2650</v>
      </c>
      <c r="BN88" t="e">
        <f t="shared" si="38"/>
        <v>#NUM!</v>
      </c>
      <c r="BO88" s="143" t="e">
        <f t="shared" si="39"/>
        <v>#N/A</v>
      </c>
      <c r="BP88" s="143" t="e">
        <f t="shared" si="40"/>
        <v>#N/A</v>
      </c>
      <c r="BQ88" s="143" t="e">
        <f t="shared" si="41"/>
        <v>#N/A</v>
      </c>
      <c r="BR88" s="143" t="e">
        <f t="shared" si="42"/>
        <v>#N/A</v>
      </c>
      <c r="BS88" s="143" t="e">
        <f t="shared" si="43"/>
        <v>#N/A</v>
      </c>
      <c r="BT88" s="143" t="e">
        <f t="shared" si="44"/>
        <v>#N/A</v>
      </c>
      <c r="BU88" s="143" t="e">
        <f t="shared" si="45"/>
        <v>#N/A</v>
      </c>
      <c r="BV88" s="143" t="e">
        <f t="shared" si="46"/>
        <v>#N/A</v>
      </c>
      <c r="BW88" s="143" t="e">
        <f t="shared" si="47"/>
        <v>#N/A</v>
      </c>
      <c r="BX88" s="143" t="e">
        <f t="shared" si="48"/>
        <v>#N/A</v>
      </c>
      <c r="BY88" s="143" t="e">
        <f t="shared" si="49"/>
        <v>#N/A</v>
      </c>
      <c r="BZ88" s="143" t="e">
        <f t="shared" si="50"/>
        <v>#N/A</v>
      </c>
      <c r="CA88" s="143" t="e">
        <f t="shared" si="51"/>
        <v>#N/A</v>
      </c>
      <c r="CB88" s="143" t="e">
        <f t="shared" si="52"/>
        <v>#N/A</v>
      </c>
      <c r="CC88" s="143" t="e">
        <f t="shared" si="53"/>
        <v>#N/A</v>
      </c>
      <c r="CD88" s="143" t="e">
        <f t="shared" si="54"/>
        <v>#N/A</v>
      </c>
      <c r="CE88" s="143" t="e">
        <f t="shared" si="55"/>
        <v>#N/A</v>
      </c>
      <c r="CF88" s="143" t="e">
        <f t="shared" si="56"/>
        <v>#N/A</v>
      </c>
      <c r="CG88" s="143" t="e">
        <f t="shared" si="57"/>
        <v>#N/A</v>
      </c>
      <c r="CH88" s="143" t="e">
        <f t="shared" si="58"/>
        <v>#N/A</v>
      </c>
      <c r="CI88" t="e">
        <f t="shared" si="59"/>
        <v>#N/A</v>
      </c>
      <c r="CJ88" t="e">
        <f t="shared" si="60"/>
        <v>#N/A</v>
      </c>
      <c r="CK88" t="e">
        <f t="shared" si="61"/>
        <v>#N/A</v>
      </c>
      <c r="CL88" t="e">
        <f t="shared" si="62"/>
        <v>#N/A</v>
      </c>
      <c r="CM88" t="e">
        <f t="shared" si="63"/>
        <v>#N/A</v>
      </c>
      <c r="CN88" t="e">
        <f t="shared" si="64"/>
        <v>#N/A</v>
      </c>
      <c r="CO88" t="e">
        <f t="shared" si="65"/>
        <v>#N/A</v>
      </c>
      <c r="CP88" t="e">
        <f t="shared" si="66"/>
        <v>#N/A</v>
      </c>
      <c r="CQ88" t="e">
        <f t="shared" si="67"/>
        <v>#N/A</v>
      </c>
      <c r="CR88" t="e">
        <f t="shared" si="68"/>
        <v>#N/A</v>
      </c>
      <c r="CS88" t="e">
        <f t="shared" si="69"/>
        <v>#N/A</v>
      </c>
      <c r="CT88" t="e">
        <f t="shared" si="70"/>
        <v>#N/A</v>
      </c>
      <c r="CU88" t="e">
        <f t="shared" si="71"/>
        <v>#N/A</v>
      </c>
      <c r="CV88" t="e">
        <f t="shared" si="72"/>
        <v>#N/A</v>
      </c>
      <c r="CW88" t="e">
        <f t="shared" si="73"/>
        <v>#N/A</v>
      </c>
      <c r="CX88" t="e">
        <f t="shared" si="74"/>
        <v>#N/A</v>
      </c>
      <c r="CY88" t="e">
        <f t="shared" si="75"/>
        <v>#N/A</v>
      </c>
      <c r="CZ88" t="e">
        <f t="shared" si="76"/>
        <v>#N/A</v>
      </c>
      <c r="DA88" t="e">
        <f t="shared" si="77"/>
        <v>#N/A</v>
      </c>
      <c r="DB88" t="e">
        <f t="shared" si="78"/>
        <v>#N/A</v>
      </c>
      <c r="DC88" s="142" t="e">
        <f t="shared" si="79"/>
        <v>#N/A</v>
      </c>
      <c r="DD88" t="e">
        <f t="shared" si="80"/>
        <v>#N/A</v>
      </c>
      <c r="DE88" t="b">
        <f t="shared" si="81"/>
        <v>0</v>
      </c>
    </row>
    <row r="89" spans="1:109">
      <c r="A89">
        <f t="shared" si="82"/>
        <v>24</v>
      </c>
      <c r="B89" s="140" t="e">
        <f t="shared" si="83"/>
        <v>#N/A</v>
      </c>
      <c r="C89" s="140" t="e">
        <f t="shared" si="84"/>
        <v>#N/A</v>
      </c>
      <c r="D89" s="140" t="e">
        <f t="shared" si="85"/>
        <v>#N/A</v>
      </c>
      <c r="E89" s="140" t="e">
        <f t="shared" si="86"/>
        <v>#N/A</v>
      </c>
      <c r="F89" s="140" t="e">
        <f t="shared" si="87"/>
        <v>#N/A</v>
      </c>
      <c r="G89" s="140" t="e">
        <f t="shared" si="88"/>
        <v>#N/A</v>
      </c>
      <c r="H89" s="140" t="e">
        <f t="shared" si="89"/>
        <v>#N/A</v>
      </c>
      <c r="I89" s="140" t="e">
        <f t="shared" si="90"/>
        <v>#N/A</v>
      </c>
      <c r="J89" s="140" t="e">
        <f t="shared" si="91"/>
        <v>#N/A</v>
      </c>
      <c r="K89" s="140" t="e">
        <f t="shared" si="92"/>
        <v>#N/A</v>
      </c>
      <c r="L89" s="140" t="e">
        <f t="shared" si="93"/>
        <v>#N/A</v>
      </c>
      <c r="M89" s="140" t="e">
        <f t="shared" si="94"/>
        <v>#N/A</v>
      </c>
      <c r="N89" s="140" t="e">
        <f t="shared" si="95"/>
        <v>#N/A</v>
      </c>
      <c r="O89" s="140" t="e">
        <f t="shared" si="96"/>
        <v>#N/A</v>
      </c>
      <c r="P89" s="140" t="e">
        <f t="shared" si="97"/>
        <v>#N/A</v>
      </c>
      <c r="Q89" s="140" t="e">
        <f t="shared" si="98"/>
        <v>#N/A</v>
      </c>
      <c r="R89" s="140" t="e">
        <f t="shared" si="99"/>
        <v>#N/A</v>
      </c>
      <c r="S89" s="140" t="e">
        <f t="shared" si="100"/>
        <v>#N/A</v>
      </c>
      <c r="T89" s="140" t="e">
        <f t="shared" si="101"/>
        <v>#N/A</v>
      </c>
      <c r="U89" s="140" t="e">
        <f t="shared" si="102"/>
        <v>#N/A</v>
      </c>
      <c r="V89" s="141" t="str">
        <f t="shared" si="14"/>
        <v>DPS</v>
      </c>
      <c r="W89" s="141" t="str">
        <f t="shared" si="15"/>
        <v>DPS</v>
      </c>
      <c r="X89" s="141" t="str">
        <f t="shared" si="16"/>
        <v>DPS</v>
      </c>
      <c r="Y89" s="141" t="str">
        <f t="shared" si="17"/>
        <v>DPS</v>
      </c>
      <c r="Z89" s="141" t="str">
        <f t="shared" si="18"/>
        <v>DPS</v>
      </c>
      <c r="AA89" s="141" t="str">
        <f t="shared" si="19"/>
        <v>DPS</v>
      </c>
      <c r="AB89" s="141" t="str">
        <f t="shared" si="20"/>
        <v>DPS</v>
      </c>
      <c r="AC89" s="141" t="str">
        <f t="shared" si="21"/>
        <v>DPS</v>
      </c>
      <c r="AD89" s="141" t="str">
        <f t="shared" si="22"/>
        <v>DPS</v>
      </c>
      <c r="AE89" s="141" t="str">
        <f t="shared" si="23"/>
        <v>DPS</v>
      </c>
      <c r="AF89" s="141" t="str">
        <f t="shared" si="24"/>
        <v>DPS</v>
      </c>
      <c r="AG89" s="141" t="str">
        <f t="shared" si="25"/>
        <v>DPS</v>
      </c>
      <c r="AH89" s="141" t="str">
        <f t="shared" si="26"/>
        <v>DPS</v>
      </c>
      <c r="AI89" s="141" t="str">
        <f t="shared" si="27"/>
        <v>HPS</v>
      </c>
      <c r="AJ89" s="141" t="str">
        <f t="shared" si="28"/>
        <v>HPS</v>
      </c>
      <c r="AK89" s="141" t="str">
        <f t="shared" si="29"/>
        <v>HPS</v>
      </c>
      <c r="AL89" s="141" t="str">
        <f t="shared" si="30"/>
        <v>HPS</v>
      </c>
      <c r="AM89" s="141" t="str">
        <f t="shared" si="31"/>
        <v>HPS</v>
      </c>
      <c r="AN89" s="141" t="str">
        <f t="shared" si="32"/>
        <v>HPS</v>
      </c>
      <c r="AO89" s="141" t="str">
        <f t="shared" si="33"/>
        <v>HPS</v>
      </c>
      <c r="AP89" s="134" t="e">
        <f t="shared" si="103"/>
        <v>#N/A</v>
      </c>
      <c r="AQ89" s="134" t="e">
        <f t="shared" si="104"/>
        <v>#N/A</v>
      </c>
      <c r="AR89" s="134" t="e">
        <f t="shared" si="105"/>
        <v>#N/A</v>
      </c>
      <c r="AS89" s="134" t="e">
        <f t="shared" si="106"/>
        <v>#N/A</v>
      </c>
      <c r="AT89" s="134" t="e">
        <f t="shared" si="107"/>
        <v>#N/A</v>
      </c>
      <c r="AU89" s="134" t="e">
        <f t="shared" si="108"/>
        <v>#N/A</v>
      </c>
      <c r="AV89" s="134" t="e">
        <f t="shared" si="109"/>
        <v>#N/A</v>
      </c>
      <c r="AW89" s="134" t="e">
        <f t="shared" si="110"/>
        <v>#N/A</v>
      </c>
      <c r="AX89" s="134" t="e">
        <f t="shared" si="111"/>
        <v>#N/A</v>
      </c>
      <c r="AY89" s="134" t="e">
        <f t="shared" si="112"/>
        <v>#N/A</v>
      </c>
      <c r="AZ89" s="134" t="e">
        <f t="shared" si="113"/>
        <v>#N/A</v>
      </c>
      <c r="BA89" s="134" t="e">
        <f t="shared" si="114"/>
        <v>#N/A</v>
      </c>
      <c r="BB89" s="134" t="e">
        <f t="shared" si="115"/>
        <v>#N/A</v>
      </c>
      <c r="BC89" s="134" t="e">
        <f t="shared" si="116"/>
        <v>#N/A</v>
      </c>
      <c r="BD89" s="134" t="e">
        <f t="shared" si="117"/>
        <v>#N/A</v>
      </c>
      <c r="BE89" s="134" t="e">
        <f t="shared" si="118"/>
        <v>#N/A</v>
      </c>
      <c r="BF89" s="134" t="e">
        <f t="shared" si="119"/>
        <v>#N/A</v>
      </c>
      <c r="BG89" s="134" t="e">
        <f t="shared" si="120"/>
        <v>#N/A</v>
      </c>
      <c r="BH89" s="134" t="e">
        <f t="shared" si="121"/>
        <v>#N/A</v>
      </c>
      <c r="BI89" s="134" t="e">
        <f t="shared" si="122"/>
        <v>#N/A</v>
      </c>
      <c r="BJ89" t="e">
        <f t="shared" si="35"/>
        <v>#N/A</v>
      </c>
      <c r="BK89" t="e">
        <f t="shared" si="36"/>
        <v>#N/A</v>
      </c>
      <c r="BL89" s="142" t="e">
        <f t="shared" si="123"/>
        <v>#N/A</v>
      </c>
      <c r="BM89" s="142">
        <f t="shared" si="37"/>
        <v>2650</v>
      </c>
      <c r="BN89" t="e">
        <f t="shared" si="38"/>
        <v>#NUM!</v>
      </c>
      <c r="BO89" s="143" t="e">
        <f t="shared" si="39"/>
        <v>#N/A</v>
      </c>
      <c r="BP89" s="143" t="e">
        <f t="shared" si="40"/>
        <v>#N/A</v>
      </c>
      <c r="BQ89" s="143" t="e">
        <f t="shared" si="41"/>
        <v>#N/A</v>
      </c>
      <c r="BR89" s="143" t="e">
        <f t="shared" si="42"/>
        <v>#N/A</v>
      </c>
      <c r="BS89" s="143" t="e">
        <f t="shared" si="43"/>
        <v>#N/A</v>
      </c>
      <c r="BT89" s="143" t="e">
        <f t="shared" si="44"/>
        <v>#N/A</v>
      </c>
      <c r="BU89" s="143" t="e">
        <f t="shared" si="45"/>
        <v>#N/A</v>
      </c>
      <c r="BV89" s="143" t="e">
        <f t="shared" si="46"/>
        <v>#N/A</v>
      </c>
      <c r="BW89" s="143" t="e">
        <f t="shared" si="47"/>
        <v>#N/A</v>
      </c>
      <c r="BX89" s="143" t="e">
        <f t="shared" si="48"/>
        <v>#N/A</v>
      </c>
      <c r="BY89" s="143" t="e">
        <f t="shared" si="49"/>
        <v>#N/A</v>
      </c>
      <c r="BZ89" s="143" t="e">
        <f t="shared" si="50"/>
        <v>#N/A</v>
      </c>
      <c r="CA89" s="143" t="e">
        <f t="shared" si="51"/>
        <v>#N/A</v>
      </c>
      <c r="CB89" s="143" t="e">
        <f t="shared" si="52"/>
        <v>#N/A</v>
      </c>
      <c r="CC89" s="143" t="e">
        <f t="shared" si="53"/>
        <v>#N/A</v>
      </c>
      <c r="CD89" s="143" t="e">
        <f t="shared" si="54"/>
        <v>#N/A</v>
      </c>
      <c r="CE89" s="143" t="e">
        <f t="shared" si="55"/>
        <v>#N/A</v>
      </c>
      <c r="CF89" s="143" t="e">
        <f t="shared" si="56"/>
        <v>#N/A</v>
      </c>
      <c r="CG89" s="143" t="e">
        <f t="shared" si="57"/>
        <v>#N/A</v>
      </c>
      <c r="CH89" s="143" t="e">
        <f t="shared" si="58"/>
        <v>#N/A</v>
      </c>
      <c r="CI89" t="e">
        <f t="shared" si="59"/>
        <v>#N/A</v>
      </c>
      <c r="CJ89" t="e">
        <f t="shared" si="60"/>
        <v>#N/A</v>
      </c>
      <c r="CK89" t="e">
        <f t="shared" si="61"/>
        <v>#N/A</v>
      </c>
      <c r="CL89" t="e">
        <f t="shared" si="62"/>
        <v>#N/A</v>
      </c>
      <c r="CM89" t="e">
        <f t="shared" si="63"/>
        <v>#N/A</v>
      </c>
      <c r="CN89" t="e">
        <f t="shared" si="64"/>
        <v>#N/A</v>
      </c>
      <c r="CO89" t="e">
        <f t="shared" si="65"/>
        <v>#N/A</v>
      </c>
      <c r="CP89" t="e">
        <f t="shared" si="66"/>
        <v>#N/A</v>
      </c>
      <c r="CQ89" t="e">
        <f t="shared" si="67"/>
        <v>#N/A</v>
      </c>
      <c r="CR89" t="e">
        <f t="shared" si="68"/>
        <v>#N/A</v>
      </c>
      <c r="CS89" t="e">
        <f t="shared" si="69"/>
        <v>#N/A</v>
      </c>
      <c r="CT89" t="e">
        <f t="shared" si="70"/>
        <v>#N/A</v>
      </c>
      <c r="CU89" t="e">
        <f t="shared" si="71"/>
        <v>#N/A</v>
      </c>
      <c r="CV89" t="e">
        <f t="shared" si="72"/>
        <v>#N/A</v>
      </c>
      <c r="CW89" t="e">
        <f t="shared" si="73"/>
        <v>#N/A</v>
      </c>
      <c r="CX89" t="e">
        <f t="shared" si="74"/>
        <v>#N/A</v>
      </c>
      <c r="CY89" t="e">
        <f t="shared" si="75"/>
        <v>#N/A</v>
      </c>
      <c r="CZ89" t="e">
        <f t="shared" si="76"/>
        <v>#N/A</v>
      </c>
      <c r="DA89" t="e">
        <f t="shared" si="77"/>
        <v>#N/A</v>
      </c>
      <c r="DB89" t="e">
        <f t="shared" si="78"/>
        <v>#N/A</v>
      </c>
      <c r="DC89" s="142" t="e">
        <f t="shared" si="79"/>
        <v>#N/A</v>
      </c>
      <c r="DD89" t="e">
        <f t="shared" si="80"/>
        <v>#N/A</v>
      </c>
      <c r="DE89" t="b">
        <f t="shared" si="81"/>
        <v>0</v>
      </c>
    </row>
    <row r="90" spans="1:109">
      <c r="A90">
        <f t="shared" si="82"/>
        <v>25</v>
      </c>
      <c r="B90" s="140" t="e">
        <f t="shared" si="83"/>
        <v>#N/A</v>
      </c>
      <c r="C90" s="140" t="e">
        <f t="shared" si="84"/>
        <v>#N/A</v>
      </c>
      <c r="D90" s="140" t="e">
        <f t="shared" si="85"/>
        <v>#N/A</v>
      </c>
      <c r="E90" s="140" t="e">
        <f t="shared" si="86"/>
        <v>#N/A</v>
      </c>
      <c r="F90" s="140" t="e">
        <f t="shared" si="87"/>
        <v>#N/A</v>
      </c>
      <c r="G90" s="140" t="e">
        <f t="shared" si="88"/>
        <v>#N/A</v>
      </c>
      <c r="H90" s="140" t="e">
        <f t="shared" si="89"/>
        <v>#N/A</v>
      </c>
      <c r="I90" s="140" t="e">
        <f t="shared" si="90"/>
        <v>#N/A</v>
      </c>
      <c r="J90" s="140" t="e">
        <f t="shared" si="91"/>
        <v>#N/A</v>
      </c>
      <c r="K90" s="140" t="e">
        <f t="shared" si="92"/>
        <v>#N/A</v>
      </c>
      <c r="L90" s="140" t="e">
        <f t="shared" si="93"/>
        <v>#N/A</v>
      </c>
      <c r="M90" s="140" t="e">
        <f t="shared" si="94"/>
        <v>#N/A</v>
      </c>
      <c r="N90" s="140" t="e">
        <f t="shared" si="95"/>
        <v>#N/A</v>
      </c>
      <c r="O90" s="140" t="e">
        <f t="shared" si="96"/>
        <v>#N/A</v>
      </c>
      <c r="P90" s="140" t="e">
        <f t="shared" si="97"/>
        <v>#N/A</v>
      </c>
      <c r="Q90" s="140" t="e">
        <f t="shared" si="98"/>
        <v>#N/A</v>
      </c>
      <c r="R90" s="140" t="e">
        <f t="shared" si="99"/>
        <v>#N/A</v>
      </c>
      <c r="S90" s="140" t="e">
        <f t="shared" si="100"/>
        <v>#N/A</v>
      </c>
      <c r="T90" s="140" t="e">
        <f t="shared" si="101"/>
        <v>#N/A</v>
      </c>
      <c r="U90" s="140" t="e">
        <f t="shared" si="102"/>
        <v>#N/A</v>
      </c>
      <c r="V90" s="141" t="str">
        <f t="shared" si="14"/>
        <v>DPS</v>
      </c>
      <c r="W90" s="141" t="str">
        <f t="shared" si="15"/>
        <v>DPS</v>
      </c>
      <c r="X90" s="141" t="str">
        <f t="shared" si="16"/>
        <v>DPS</v>
      </c>
      <c r="Y90" s="141" t="str">
        <f t="shared" si="17"/>
        <v>DPS</v>
      </c>
      <c r="Z90" s="141" t="str">
        <f t="shared" si="18"/>
        <v>DPS</v>
      </c>
      <c r="AA90" s="141" t="str">
        <f t="shared" si="19"/>
        <v>DPS</v>
      </c>
      <c r="AB90" s="141" t="str">
        <f t="shared" si="20"/>
        <v>DPS</v>
      </c>
      <c r="AC90" s="141" t="str">
        <f t="shared" si="21"/>
        <v>DPS</v>
      </c>
      <c r="AD90" s="141" t="str">
        <f t="shared" si="22"/>
        <v>DPS</v>
      </c>
      <c r="AE90" s="141" t="str">
        <f t="shared" si="23"/>
        <v>DPS</v>
      </c>
      <c r="AF90" s="141" t="str">
        <f t="shared" si="24"/>
        <v>DPS</v>
      </c>
      <c r="AG90" s="141" t="str">
        <f t="shared" si="25"/>
        <v>DPS</v>
      </c>
      <c r="AH90" s="141" t="str">
        <f t="shared" si="26"/>
        <v>DPS</v>
      </c>
      <c r="AI90" s="141" t="str">
        <f t="shared" si="27"/>
        <v>HPS</v>
      </c>
      <c r="AJ90" s="141" t="str">
        <f t="shared" si="28"/>
        <v>HPS</v>
      </c>
      <c r="AK90" s="141" t="str">
        <f t="shared" si="29"/>
        <v>HPS</v>
      </c>
      <c r="AL90" s="141" t="str">
        <f t="shared" si="30"/>
        <v>HPS</v>
      </c>
      <c r="AM90" s="141" t="str">
        <f t="shared" si="31"/>
        <v>HPS</v>
      </c>
      <c r="AN90" s="141" t="str">
        <f t="shared" si="32"/>
        <v>HPS</v>
      </c>
      <c r="AO90" s="141" t="str">
        <f t="shared" si="33"/>
        <v>HPS</v>
      </c>
      <c r="AP90" s="134" t="e">
        <f t="shared" si="103"/>
        <v>#N/A</v>
      </c>
      <c r="AQ90" s="134" t="e">
        <f t="shared" si="104"/>
        <v>#N/A</v>
      </c>
      <c r="AR90" s="134" t="e">
        <f t="shared" si="105"/>
        <v>#N/A</v>
      </c>
      <c r="AS90" s="134" t="e">
        <f t="shared" si="106"/>
        <v>#N/A</v>
      </c>
      <c r="AT90" s="134" t="e">
        <f t="shared" si="107"/>
        <v>#N/A</v>
      </c>
      <c r="AU90" s="134" t="e">
        <f t="shared" si="108"/>
        <v>#N/A</v>
      </c>
      <c r="AV90" s="134" t="e">
        <f t="shared" si="109"/>
        <v>#N/A</v>
      </c>
      <c r="AW90" s="134" t="e">
        <f t="shared" si="110"/>
        <v>#N/A</v>
      </c>
      <c r="AX90" s="134" t="e">
        <f t="shared" si="111"/>
        <v>#N/A</v>
      </c>
      <c r="AY90" s="134" t="e">
        <f t="shared" si="112"/>
        <v>#N/A</v>
      </c>
      <c r="AZ90" s="134" t="e">
        <f t="shared" si="113"/>
        <v>#N/A</v>
      </c>
      <c r="BA90" s="134" t="e">
        <f t="shared" si="114"/>
        <v>#N/A</v>
      </c>
      <c r="BB90" s="134" t="e">
        <f t="shared" si="115"/>
        <v>#N/A</v>
      </c>
      <c r="BC90" s="134" t="e">
        <f t="shared" si="116"/>
        <v>#N/A</v>
      </c>
      <c r="BD90" s="134" t="e">
        <f t="shared" si="117"/>
        <v>#N/A</v>
      </c>
      <c r="BE90" s="134" t="e">
        <f t="shared" si="118"/>
        <v>#N/A</v>
      </c>
      <c r="BF90" s="134" t="e">
        <f t="shared" si="119"/>
        <v>#N/A</v>
      </c>
      <c r="BG90" s="134" t="e">
        <f t="shared" si="120"/>
        <v>#N/A</v>
      </c>
      <c r="BH90" s="134" t="e">
        <f t="shared" si="121"/>
        <v>#N/A</v>
      </c>
      <c r="BI90" s="134" t="e">
        <f t="shared" si="122"/>
        <v>#N/A</v>
      </c>
      <c r="BJ90" t="e">
        <f t="shared" si="35"/>
        <v>#N/A</v>
      </c>
      <c r="BK90" t="e">
        <f t="shared" si="36"/>
        <v>#N/A</v>
      </c>
      <c r="BL90" s="142" t="e">
        <f t="shared" si="123"/>
        <v>#N/A</v>
      </c>
      <c r="BM90" s="142">
        <f t="shared" si="37"/>
        <v>2650</v>
      </c>
      <c r="BN90" t="e">
        <f t="shared" si="38"/>
        <v>#NUM!</v>
      </c>
      <c r="BO90" s="143" t="e">
        <f t="shared" si="39"/>
        <v>#N/A</v>
      </c>
      <c r="BP90" s="143" t="e">
        <f t="shared" si="40"/>
        <v>#N/A</v>
      </c>
      <c r="BQ90" s="143" t="e">
        <f t="shared" si="41"/>
        <v>#N/A</v>
      </c>
      <c r="BR90" s="143" t="e">
        <f t="shared" si="42"/>
        <v>#N/A</v>
      </c>
      <c r="BS90" s="143" t="e">
        <f t="shared" si="43"/>
        <v>#N/A</v>
      </c>
      <c r="BT90" s="143" t="e">
        <f t="shared" si="44"/>
        <v>#N/A</v>
      </c>
      <c r="BU90" s="143" t="e">
        <f t="shared" si="45"/>
        <v>#N/A</v>
      </c>
      <c r="BV90" s="143" t="e">
        <f t="shared" si="46"/>
        <v>#N/A</v>
      </c>
      <c r="BW90" s="143" t="e">
        <f t="shared" si="47"/>
        <v>#N/A</v>
      </c>
      <c r="BX90" s="143" t="e">
        <f t="shared" si="48"/>
        <v>#N/A</v>
      </c>
      <c r="BY90" s="143" t="e">
        <f t="shared" si="49"/>
        <v>#N/A</v>
      </c>
      <c r="BZ90" s="143" t="e">
        <f t="shared" si="50"/>
        <v>#N/A</v>
      </c>
      <c r="CA90" s="143" t="e">
        <f t="shared" si="51"/>
        <v>#N/A</v>
      </c>
      <c r="CB90" s="143" t="e">
        <f t="shared" si="52"/>
        <v>#N/A</v>
      </c>
      <c r="CC90" s="143" t="e">
        <f t="shared" si="53"/>
        <v>#N/A</v>
      </c>
      <c r="CD90" s="143" t="e">
        <f t="shared" si="54"/>
        <v>#N/A</v>
      </c>
      <c r="CE90" s="143" t="e">
        <f t="shared" si="55"/>
        <v>#N/A</v>
      </c>
      <c r="CF90" s="143" t="e">
        <f t="shared" si="56"/>
        <v>#N/A</v>
      </c>
      <c r="CG90" s="143" t="e">
        <f t="shared" si="57"/>
        <v>#N/A</v>
      </c>
      <c r="CH90" s="143" t="e">
        <f t="shared" si="58"/>
        <v>#N/A</v>
      </c>
      <c r="CI90" t="e">
        <f t="shared" si="59"/>
        <v>#N/A</v>
      </c>
      <c r="CJ90" t="e">
        <f t="shared" si="60"/>
        <v>#N/A</v>
      </c>
      <c r="CK90" t="e">
        <f t="shared" si="61"/>
        <v>#N/A</v>
      </c>
      <c r="CL90" t="e">
        <f t="shared" si="62"/>
        <v>#N/A</v>
      </c>
      <c r="CM90" t="e">
        <f t="shared" si="63"/>
        <v>#N/A</v>
      </c>
      <c r="CN90" t="e">
        <f t="shared" si="64"/>
        <v>#N/A</v>
      </c>
      <c r="CO90" t="e">
        <f t="shared" si="65"/>
        <v>#N/A</v>
      </c>
      <c r="CP90" t="e">
        <f t="shared" si="66"/>
        <v>#N/A</v>
      </c>
      <c r="CQ90" t="e">
        <f t="shared" si="67"/>
        <v>#N/A</v>
      </c>
      <c r="CR90" t="e">
        <f t="shared" si="68"/>
        <v>#N/A</v>
      </c>
      <c r="CS90" t="e">
        <f t="shared" si="69"/>
        <v>#N/A</v>
      </c>
      <c r="CT90" t="e">
        <f t="shared" si="70"/>
        <v>#N/A</v>
      </c>
      <c r="CU90" t="e">
        <f t="shared" si="71"/>
        <v>#N/A</v>
      </c>
      <c r="CV90" t="e">
        <f t="shared" si="72"/>
        <v>#N/A</v>
      </c>
      <c r="CW90" t="e">
        <f t="shared" si="73"/>
        <v>#N/A</v>
      </c>
      <c r="CX90" t="e">
        <f t="shared" si="74"/>
        <v>#N/A</v>
      </c>
      <c r="CY90" t="e">
        <f t="shared" si="75"/>
        <v>#N/A</v>
      </c>
      <c r="CZ90" t="e">
        <f t="shared" si="76"/>
        <v>#N/A</v>
      </c>
      <c r="DA90" t="e">
        <f t="shared" si="77"/>
        <v>#N/A</v>
      </c>
      <c r="DB90" t="e">
        <f t="shared" si="78"/>
        <v>#N/A</v>
      </c>
      <c r="DC90" s="142" t="e">
        <f t="shared" si="79"/>
        <v>#N/A</v>
      </c>
      <c r="DD90" t="e">
        <f t="shared" si="80"/>
        <v>#N/A</v>
      </c>
      <c r="DE90" t="b">
        <f t="shared" si="81"/>
        <v>0</v>
      </c>
    </row>
    <row r="91" spans="1:109">
      <c r="A91">
        <f t="shared" si="82"/>
        <v>26</v>
      </c>
      <c r="B91" s="140" t="e">
        <f t="shared" si="83"/>
        <v>#N/A</v>
      </c>
      <c r="C91" s="140" t="e">
        <f t="shared" si="84"/>
        <v>#N/A</v>
      </c>
      <c r="D91" s="140" t="e">
        <f t="shared" si="85"/>
        <v>#N/A</v>
      </c>
      <c r="E91" s="140" t="e">
        <f t="shared" si="86"/>
        <v>#N/A</v>
      </c>
      <c r="F91" s="140" t="e">
        <f t="shared" si="87"/>
        <v>#N/A</v>
      </c>
      <c r="G91" s="140" t="e">
        <f t="shared" si="88"/>
        <v>#N/A</v>
      </c>
      <c r="H91" s="140" t="e">
        <f t="shared" si="89"/>
        <v>#N/A</v>
      </c>
      <c r="I91" s="140" t="e">
        <f t="shared" si="90"/>
        <v>#N/A</v>
      </c>
      <c r="J91" s="140" t="e">
        <f t="shared" si="91"/>
        <v>#N/A</v>
      </c>
      <c r="K91" s="140" t="e">
        <f t="shared" si="92"/>
        <v>#N/A</v>
      </c>
      <c r="L91" s="140" t="e">
        <f t="shared" si="93"/>
        <v>#N/A</v>
      </c>
      <c r="M91" s="140" t="e">
        <f t="shared" si="94"/>
        <v>#N/A</v>
      </c>
      <c r="N91" s="140" t="e">
        <f t="shared" si="95"/>
        <v>#N/A</v>
      </c>
      <c r="O91" s="140" t="e">
        <f t="shared" si="96"/>
        <v>#N/A</v>
      </c>
      <c r="P91" s="140" t="e">
        <f t="shared" si="97"/>
        <v>#N/A</v>
      </c>
      <c r="Q91" s="140" t="e">
        <f t="shared" si="98"/>
        <v>#N/A</v>
      </c>
      <c r="R91" s="140" t="e">
        <f t="shared" si="99"/>
        <v>#N/A</v>
      </c>
      <c r="S91" s="140" t="e">
        <f t="shared" si="100"/>
        <v>#N/A</v>
      </c>
      <c r="T91" s="140" t="e">
        <f t="shared" si="101"/>
        <v>#N/A</v>
      </c>
      <c r="U91" s="140" t="e">
        <f t="shared" si="102"/>
        <v>#N/A</v>
      </c>
      <c r="V91" s="141" t="str">
        <f t="shared" si="14"/>
        <v>DPS</v>
      </c>
      <c r="W91" s="141" t="str">
        <f t="shared" si="15"/>
        <v>DPS</v>
      </c>
      <c r="X91" s="141" t="str">
        <f t="shared" si="16"/>
        <v>DPS</v>
      </c>
      <c r="Y91" s="141" t="str">
        <f t="shared" si="17"/>
        <v>DPS</v>
      </c>
      <c r="Z91" s="141" t="str">
        <f t="shared" si="18"/>
        <v>DPS</v>
      </c>
      <c r="AA91" s="141" t="str">
        <f t="shared" si="19"/>
        <v>DPS</v>
      </c>
      <c r="AB91" s="141" t="str">
        <f t="shared" si="20"/>
        <v>DPS</v>
      </c>
      <c r="AC91" s="141" t="str">
        <f t="shared" si="21"/>
        <v>DPS</v>
      </c>
      <c r="AD91" s="141" t="str">
        <f t="shared" si="22"/>
        <v>DPS</v>
      </c>
      <c r="AE91" s="141" t="str">
        <f t="shared" si="23"/>
        <v>DPS</v>
      </c>
      <c r="AF91" s="141" t="str">
        <f t="shared" si="24"/>
        <v>DPS</v>
      </c>
      <c r="AG91" s="141" t="str">
        <f t="shared" si="25"/>
        <v>DPS</v>
      </c>
      <c r="AH91" s="141" t="str">
        <f t="shared" si="26"/>
        <v>DPS</v>
      </c>
      <c r="AI91" s="141" t="str">
        <f t="shared" si="27"/>
        <v>HPS</v>
      </c>
      <c r="AJ91" s="141" t="str">
        <f t="shared" si="28"/>
        <v>HPS</v>
      </c>
      <c r="AK91" s="141" t="str">
        <f t="shared" si="29"/>
        <v>HPS</v>
      </c>
      <c r="AL91" s="141" t="str">
        <f t="shared" si="30"/>
        <v>HPS</v>
      </c>
      <c r="AM91" s="141" t="str">
        <f t="shared" si="31"/>
        <v>HPS</v>
      </c>
      <c r="AN91" s="141" t="str">
        <f t="shared" si="32"/>
        <v>HPS</v>
      </c>
      <c r="AO91" s="141" t="str">
        <f t="shared" si="33"/>
        <v>HPS</v>
      </c>
      <c r="AP91" s="134" t="e">
        <f t="shared" si="103"/>
        <v>#N/A</v>
      </c>
      <c r="AQ91" s="134" t="e">
        <f t="shared" si="104"/>
        <v>#N/A</v>
      </c>
      <c r="AR91" s="134" t="e">
        <f t="shared" si="105"/>
        <v>#N/A</v>
      </c>
      <c r="AS91" s="134" t="e">
        <f t="shared" si="106"/>
        <v>#N/A</v>
      </c>
      <c r="AT91" s="134" t="e">
        <f t="shared" si="107"/>
        <v>#N/A</v>
      </c>
      <c r="AU91" s="134" t="e">
        <f t="shared" si="108"/>
        <v>#N/A</v>
      </c>
      <c r="AV91" s="134" t="e">
        <f t="shared" si="109"/>
        <v>#N/A</v>
      </c>
      <c r="AW91" s="134" t="e">
        <f t="shared" si="110"/>
        <v>#N/A</v>
      </c>
      <c r="AX91" s="134" t="e">
        <f t="shared" si="111"/>
        <v>#N/A</v>
      </c>
      <c r="AY91" s="134" t="e">
        <f t="shared" si="112"/>
        <v>#N/A</v>
      </c>
      <c r="AZ91" s="134" t="e">
        <f t="shared" si="113"/>
        <v>#N/A</v>
      </c>
      <c r="BA91" s="134" t="e">
        <f t="shared" si="114"/>
        <v>#N/A</v>
      </c>
      <c r="BB91" s="134" t="e">
        <f t="shared" si="115"/>
        <v>#N/A</v>
      </c>
      <c r="BC91" s="134" t="e">
        <f t="shared" si="116"/>
        <v>#N/A</v>
      </c>
      <c r="BD91" s="134" t="e">
        <f t="shared" si="117"/>
        <v>#N/A</v>
      </c>
      <c r="BE91" s="134" t="e">
        <f t="shared" si="118"/>
        <v>#N/A</v>
      </c>
      <c r="BF91" s="134" t="e">
        <f t="shared" si="119"/>
        <v>#N/A</v>
      </c>
      <c r="BG91" s="134" t="e">
        <f t="shared" si="120"/>
        <v>#N/A</v>
      </c>
      <c r="BH91" s="134" t="e">
        <f t="shared" si="121"/>
        <v>#N/A</v>
      </c>
      <c r="BI91" s="134" t="e">
        <f t="shared" si="122"/>
        <v>#N/A</v>
      </c>
      <c r="BJ91" t="e">
        <f t="shared" si="35"/>
        <v>#N/A</v>
      </c>
      <c r="BK91" t="e">
        <f t="shared" si="36"/>
        <v>#N/A</v>
      </c>
      <c r="BL91" s="142" t="e">
        <f t="shared" si="123"/>
        <v>#N/A</v>
      </c>
      <c r="BM91" s="142">
        <f t="shared" si="37"/>
        <v>2650</v>
      </c>
      <c r="BN91" t="e">
        <f t="shared" si="38"/>
        <v>#NUM!</v>
      </c>
      <c r="BO91" s="143" t="e">
        <f t="shared" si="39"/>
        <v>#N/A</v>
      </c>
      <c r="BP91" s="143" t="e">
        <f t="shared" si="40"/>
        <v>#N/A</v>
      </c>
      <c r="BQ91" s="143" t="e">
        <f t="shared" si="41"/>
        <v>#N/A</v>
      </c>
      <c r="BR91" s="143" t="e">
        <f t="shared" si="42"/>
        <v>#N/A</v>
      </c>
      <c r="BS91" s="143" t="e">
        <f t="shared" si="43"/>
        <v>#N/A</v>
      </c>
      <c r="BT91" s="143" t="e">
        <f t="shared" si="44"/>
        <v>#N/A</v>
      </c>
      <c r="BU91" s="143" t="e">
        <f t="shared" si="45"/>
        <v>#N/A</v>
      </c>
      <c r="BV91" s="143" t="e">
        <f t="shared" si="46"/>
        <v>#N/A</v>
      </c>
      <c r="BW91" s="143" t="e">
        <f t="shared" si="47"/>
        <v>#N/A</v>
      </c>
      <c r="BX91" s="143" t="e">
        <f t="shared" si="48"/>
        <v>#N/A</v>
      </c>
      <c r="BY91" s="143" t="e">
        <f t="shared" si="49"/>
        <v>#N/A</v>
      </c>
      <c r="BZ91" s="143" t="e">
        <f t="shared" si="50"/>
        <v>#N/A</v>
      </c>
      <c r="CA91" s="143" t="e">
        <f t="shared" si="51"/>
        <v>#N/A</v>
      </c>
      <c r="CB91" s="143" t="e">
        <f t="shared" si="52"/>
        <v>#N/A</v>
      </c>
      <c r="CC91" s="143" t="e">
        <f t="shared" si="53"/>
        <v>#N/A</v>
      </c>
      <c r="CD91" s="143" t="e">
        <f t="shared" si="54"/>
        <v>#N/A</v>
      </c>
      <c r="CE91" s="143" t="e">
        <f t="shared" si="55"/>
        <v>#N/A</v>
      </c>
      <c r="CF91" s="143" t="e">
        <f t="shared" si="56"/>
        <v>#N/A</v>
      </c>
      <c r="CG91" s="143" t="e">
        <f t="shared" si="57"/>
        <v>#N/A</v>
      </c>
      <c r="CH91" s="143" t="e">
        <f t="shared" si="58"/>
        <v>#N/A</v>
      </c>
      <c r="CI91" t="e">
        <f t="shared" si="59"/>
        <v>#N/A</v>
      </c>
      <c r="CJ91" t="e">
        <f t="shared" si="60"/>
        <v>#N/A</v>
      </c>
      <c r="CK91" t="e">
        <f t="shared" si="61"/>
        <v>#N/A</v>
      </c>
      <c r="CL91" t="e">
        <f t="shared" si="62"/>
        <v>#N/A</v>
      </c>
      <c r="CM91" t="e">
        <f t="shared" si="63"/>
        <v>#N/A</v>
      </c>
      <c r="CN91" t="e">
        <f t="shared" si="64"/>
        <v>#N/A</v>
      </c>
      <c r="CO91" t="e">
        <f t="shared" si="65"/>
        <v>#N/A</v>
      </c>
      <c r="CP91" t="e">
        <f t="shared" si="66"/>
        <v>#N/A</v>
      </c>
      <c r="CQ91" t="e">
        <f t="shared" si="67"/>
        <v>#N/A</v>
      </c>
      <c r="CR91" t="e">
        <f t="shared" si="68"/>
        <v>#N/A</v>
      </c>
      <c r="CS91" t="e">
        <f t="shared" si="69"/>
        <v>#N/A</v>
      </c>
      <c r="CT91" t="e">
        <f t="shared" si="70"/>
        <v>#N/A</v>
      </c>
      <c r="CU91" t="e">
        <f t="shared" si="71"/>
        <v>#N/A</v>
      </c>
      <c r="CV91" t="e">
        <f t="shared" si="72"/>
        <v>#N/A</v>
      </c>
      <c r="CW91" t="e">
        <f t="shared" si="73"/>
        <v>#N/A</v>
      </c>
      <c r="CX91" t="e">
        <f t="shared" si="74"/>
        <v>#N/A</v>
      </c>
      <c r="CY91" t="e">
        <f t="shared" si="75"/>
        <v>#N/A</v>
      </c>
      <c r="CZ91" t="e">
        <f t="shared" si="76"/>
        <v>#N/A</v>
      </c>
      <c r="DA91" t="e">
        <f t="shared" si="77"/>
        <v>#N/A</v>
      </c>
      <c r="DB91" t="e">
        <f t="shared" si="78"/>
        <v>#N/A</v>
      </c>
      <c r="DC91" s="142" t="e">
        <f t="shared" si="79"/>
        <v>#N/A</v>
      </c>
      <c r="DD91" t="e">
        <f t="shared" si="80"/>
        <v>#N/A</v>
      </c>
      <c r="DE91" t="b">
        <f t="shared" si="81"/>
        <v>0</v>
      </c>
    </row>
    <row r="92" spans="1:109">
      <c r="A92">
        <f t="shared" si="82"/>
        <v>27</v>
      </c>
      <c r="B92" s="140" t="e">
        <f t="shared" si="83"/>
        <v>#N/A</v>
      </c>
      <c r="C92" s="140" t="e">
        <f t="shared" si="84"/>
        <v>#N/A</v>
      </c>
      <c r="D92" s="140" t="e">
        <f t="shared" si="85"/>
        <v>#N/A</v>
      </c>
      <c r="E92" s="140" t="e">
        <f t="shared" si="86"/>
        <v>#N/A</v>
      </c>
      <c r="F92" s="140" t="e">
        <f t="shared" si="87"/>
        <v>#N/A</v>
      </c>
      <c r="G92" s="140" t="e">
        <f t="shared" si="88"/>
        <v>#N/A</v>
      </c>
      <c r="H92" s="140" t="e">
        <f t="shared" si="89"/>
        <v>#N/A</v>
      </c>
      <c r="I92" s="140" t="e">
        <f t="shared" si="90"/>
        <v>#N/A</v>
      </c>
      <c r="J92" s="140" t="e">
        <f t="shared" si="91"/>
        <v>#N/A</v>
      </c>
      <c r="K92" s="140" t="e">
        <f t="shared" si="92"/>
        <v>#N/A</v>
      </c>
      <c r="L92" s="140" t="e">
        <f t="shared" si="93"/>
        <v>#N/A</v>
      </c>
      <c r="M92" s="140" t="e">
        <f t="shared" si="94"/>
        <v>#N/A</v>
      </c>
      <c r="N92" s="140" t="e">
        <f t="shared" si="95"/>
        <v>#N/A</v>
      </c>
      <c r="O92" s="140" t="e">
        <f t="shared" si="96"/>
        <v>#N/A</v>
      </c>
      <c r="P92" s="140" t="e">
        <f t="shared" si="97"/>
        <v>#N/A</v>
      </c>
      <c r="Q92" s="140" t="e">
        <f t="shared" si="98"/>
        <v>#N/A</v>
      </c>
      <c r="R92" s="140" t="e">
        <f t="shared" si="99"/>
        <v>#N/A</v>
      </c>
      <c r="S92" s="140" t="e">
        <f t="shared" si="100"/>
        <v>#N/A</v>
      </c>
      <c r="T92" s="140" t="e">
        <f t="shared" si="101"/>
        <v>#N/A</v>
      </c>
      <c r="U92" s="140" t="e">
        <f t="shared" si="102"/>
        <v>#N/A</v>
      </c>
      <c r="V92" s="141" t="str">
        <f t="shared" si="14"/>
        <v>DPS</v>
      </c>
      <c r="W92" s="141" t="str">
        <f t="shared" si="15"/>
        <v>DPS</v>
      </c>
      <c r="X92" s="141" t="str">
        <f t="shared" si="16"/>
        <v>DPS</v>
      </c>
      <c r="Y92" s="141" t="str">
        <f t="shared" si="17"/>
        <v>DPS</v>
      </c>
      <c r="Z92" s="141" t="str">
        <f t="shared" si="18"/>
        <v>DPS</v>
      </c>
      <c r="AA92" s="141" t="str">
        <f t="shared" si="19"/>
        <v>DPS</v>
      </c>
      <c r="AB92" s="141" t="str">
        <f t="shared" si="20"/>
        <v>DPS</v>
      </c>
      <c r="AC92" s="141" t="str">
        <f t="shared" si="21"/>
        <v>DPS</v>
      </c>
      <c r="AD92" s="141" t="str">
        <f t="shared" si="22"/>
        <v>DPS</v>
      </c>
      <c r="AE92" s="141" t="str">
        <f t="shared" si="23"/>
        <v>DPS</v>
      </c>
      <c r="AF92" s="141" t="str">
        <f t="shared" si="24"/>
        <v>DPS</v>
      </c>
      <c r="AG92" s="141" t="str">
        <f t="shared" si="25"/>
        <v>DPS</v>
      </c>
      <c r="AH92" s="141" t="str">
        <f t="shared" si="26"/>
        <v>DPS</v>
      </c>
      <c r="AI92" s="141" t="str">
        <f t="shared" si="27"/>
        <v>HPS</v>
      </c>
      <c r="AJ92" s="141" t="str">
        <f t="shared" si="28"/>
        <v>HPS</v>
      </c>
      <c r="AK92" s="141" t="str">
        <f t="shared" si="29"/>
        <v>HPS</v>
      </c>
      <c r="AL92" s="141" t="str">
        <f t="shared" si="30"/>
        <v>HPS</v>
      </c>
      <c r="AM92" s="141" t="str">
        <f t="shared" si="31"/>
        <v>HPS</v>
      </c>
      <c r="AN92" s="141" t="str">
        <f t="shared" si="32"/>
        <v>HPS</v>
      </c>
      <c r="AO92" s="141" t="str">
        <f t="shared" si="33"/>
        <v>HPS</v>
      </c>
      <c r="AP92" s="134" t="e">
        <f t="shared" si="103"/>
        <v>#N/A</v>
      </c>
      <c r="AQ92" s="134" t="e">
        <f t="shared" si="104"/>
        <v>#N/A</v>
      </c>
      <c r="AR92" s="134" t="e">
        <f t="shared" si="105"/>
        <v>#N/A</v>
      </c>
      <c r="AS92" s="134" t="e">
        <f t="shared" si="106"/>
        <v>#N/A</v>
      </c>
      <c r="AT92" s="134" t="e">
        <f t="shared" si="107"/>
        <v>#N/A</v>
      </c>
      <c r="AU92" s="134" t="e">
        <f t="shared" si="108"/>
        <v>#N/A</v>
      </c>
      <c r="AV92" s="134" t="e">
        <f t="shared" si="109"/>
        <v>#N/A</v>
      </c>
      <c r="AW92" s="134" t="e">
        <f t="shared" si="110"/>
        <v>#N/A</v>
      </c>
      <c r="AX92" s="134" t="e">
        <f t="shared" si="111"/>
        <v>#N/A</v>
      </c>
      <c r="AY92" s="134" t="e">
        <f t="shared" si="112"/>
        <v>#N/A</v>
      </c>
      <c r="AZ92" s="134" t="e">
        <f t="shared" si="113"/>
        <v>#N/A</v>
      </c>
      <c r="BA92" s="134" t="e">
        <f t="shared" si="114"/>
        <v>#N/A</v>
      </c>
      <c r="BB92" s="134" t="e">
        <f t="shared" si="115"/>
        <v>#N/A</v>
      </c>
      <c r="BC92" s="134" t="e">
        <f t="shared" si="116"/>
        <v>#N/A</v>
      </c>
      <c r="BD92" s="134" t="e">
        <f t="shared" si="117"/>
        <v>#N/A</v>
      </c>
      <c r="BE92" s="134" t="e">
        <f t="shared" si="118"/>
        <v>#N/A</v>
      </c>
      <c r="BF92" s="134" t="e">
        <f t="shared" si="119"/>
        <v>#N/A</v>
      </c>
      <c r="BG92" s="134" t="e">
        <f t="shared" si="120"/>
        <v>#N/A</v>
      </c>
      <c r="BH92" s="134" t="e">
        <f t="shared" si="121"/>
        <v>#N/A</v>
      </c>
      <c r="BI92" s="134" t="e">
        <f t="shared" si="122"/>
        <v>#N/A</v>
      </c>
      <c r="BJ92" t="e">
        <f t="shared" si="35"/>
        <v>#N/A</v>
      </c>
      <c r="BK92" t="e">
        <f t="shared" si="36"/>
        <v>#N/A</v>
      </c>
      <c r="BL92" s="142" t="e">
        <f t="shared" si="123"/>
        <v>#N/A</v>
      </c>
      <c r="BM92" s="142">
        <f t="shared" si="37"/>
        <v>2650</v>
      </c>
      <c r="BN92" t="e">
        <f t="shared" si="38"/>
        <v>#NUM!</v>
      </c>
      <c r="BO92" s="143" t="e">
        <f t="shared" si="39"/>
        <v>#N/A</v>
      </c>
      <c r="BP92" s="143" t="e">
        <f t="shared" si="40"/>
        <v>#N/A</v>
      </c>
      <c r="BQ92" s="143" t="e">
        <f t="shared" si="41"/>
        <v>#N/A</v>
      </c>
      <c r="BR92" s="143" t="e">
        <f t="shared" si="42"/>
        <v>#N/A</v>
      </c>
      <c r="BS92" s="143" t="e">
        <f t="shared" si="43"/>
        <v>#N/A</v>
      </c>
      <c r="BT92" s="143" t="e">
        <f t="shared" si="44"/>
        <v>#N/A</v>
      </c>
      <c r="BU92" s="143" t="e">
        <f t="shared" si="45"/>
        <v>#N/A</v>
      </c>
      <c r="BV92" s="143" t="e">
        <f t="shared" si="46"/>
        <v>#N/A</v>
      </c>
      <c r="BW92" s="143" t="e">
        <f t="shared" si="47"/>
        <v>#N/A</v>
      </c>
      <c r="BX92" s="143" t="e">
        <f t="shared" si="48"/>
        <v>#N/A</v>
      </c>
      <c r="BY92" s="143" t="e">
        <f t="shared" si="49"/>
        <v>#N/A</v>
      </c>
      <c r="BZ92" s="143" t="e">
        <f t="shared" si="50"/>
        <v>#N/A</v>
      </c>
      <c r="CA92" s="143" t="e">
        <f t="shared" si="51"/>
        <v>#N/A</v>
      </c>
      <c r="CB92" s="143" t="e">
        <f t="shared" si="52"/>
        <v>#N/A</v>
      </c>
      <c r="CC92" s="143" t="e">
        <f t="shared" si="53"/>
        <v>#N/A</v>
      </c>
      <c r="CD92" s="143" t="e">
        <f t="shared" si="54"/>
        <v>#N/A</v>
      </c>
      <c r="CE92" s="143" t="e">
        <f t="shared" si="55"/>
        <v>#N/A</v>
      </c>
      <c r="CF92" s="143" t="e">
        <f t="shared" si="56"/>
        <v>#N/A</v>
      </c>
      <c r="CG92" s="143" t="e">
        <f t="shared" si="57"/>
        <v>#N/A</v>
      </c>
      <c r="CH92" s="143" t="e">
        <f t="shared" si="58"/>
        <v>#N/A</v>
      </c>
      <c r="CI92" t="e">
        <f t="shared" si="59"/>
        <v>#N/A</v>
      </c>
      <c r="CJ92" t="e">
        <f t="shared" si="60"/>
        <v>#N/A</v>
      </c>
      <c r="CK92" t="e">
        <f t="shared" si="61"/>
        <v>#N/A</v>
      </c>
      <c r="CL92" t="e">
        <f t="shared" si="62"/>
        <v>#N/A</v>
      </c>
      <c r="CM92" t="e">
        <f t="shared" si="63"/>
        <v>#N/A</v>
      </c>
      <c r="CN92" t="e">
        <f t="shared" si="64"/>
        <v>#N/A</v>
      </c>
      <c r="CO92" t="e">
        <f t="shared" si="65"/>
        <v>#N/A</v>
      </c>
      <c r="CP92" t="e">
        <f t="shared" si="66"/>
        <v>#N/A</v>
      </c>
      <c r="CQ92" t="e">
        <f t="shared" si="67"/>
        <v>#N/A</v>
      </c>
      <c r="CR92" t="e">
        <f t="shared" si="68"/>
        <v>#N/A</v>
      </c>
      <c r="CS92" t="e">
        <f t="shared" si="69"/>
        <v>#N/A</v>
      </c>
      <c r="CT92" t="e">
        <f t="shared" si="70"/>
        <v>#N/A</v>
      </c>
      <c r="CU92" t="e">
        <f t="shared" si="71"/>
        <v>#N/A</v>
      </c>
      <c r="CV92" t="e">
        <f t="shared" si="72"/>
        <v>#N/A</v>
      </c>
      <c r="CW92" t="e">
        <f t="shared" si="73"/>
        <v>#N/A</v>
      </c>
      <c r="CX92" t="e">
        <f t="shared" si="74"/>
        <v>#N/A</v>
      </c>
      <c r="CY92" t="e">
        <f t="shared" si="75"/>
        <v>#N/A</v>
      </c>
      <c r="CZ92" t="e">
        <f t="shared" si="76"/>
        <v>#N/A</v>
      </c>
      <c r="DA92" t="e">
        <f t="shared" si="77"/>
        <v>#N/A</v>
      </c>
      <c r="DB92" t="e">
        <f t="shared" si="78"/>
        <v>#N/A</v>
      </c>
      <c r="DC92" s="142" t="e">
        <f t="shared" si="79"/>
        <v>#N/A</v>
      </c>
      <c r="DD92" t="e">
        <f t="shared" si="80"/>
        <v>#N/A</v>
      </c>
      <c r="DE92" t="b">
        <f t="shared" si="81"/>
        <v>0</v>
      </c>
    </row>
    <row r="93" spans="1:109">
      <c r="A93">
        <f t="shared" si="82"/>
        <v>28</v>
      </c>
      <c r="B93" s="140" t="e">
        <f t="shared" si="83"/>
        <v>#N/A</v>
      </c>
      <c r="C93" s="140" t="e">
        <f t="shared" si="84"/>
        <v>#N/A</v>
      </c>
      <c r="D93" s="140" t="e">
        <f t="shared" si="85"/>
        <v>#N/A</v>
      </c>
      <c r="E93" s="140" t="e">
        <f t="shared" si="86"/>
        <v>#N/A</v>
      </c>
      <c r="F93" s="140" t="e">
        <f t="shared" si="87"/>
        <v>#N/A</v>
      </c>
      <c r="G93" s="140" t="e">
        <f t="shared" si="88"/>
        <v>#N/A</v>
      </c>
      <c r="H93" s="140" t="e">
        <f t="shared" si="89"/>
        <v>#N/A</v>
      </c>
      <c r="I93" s="140" t="e">
        <f t="shared" si="90"/>
        <v>#N/A</v>
      </c>
      <c r="J93" s="140" t="e">
        <f t="shared" si="91"/>
        <v>#N/A</v>
      </c>
      <c r="K93" s="140" t="e">
        <f t="shared" si="92"/>
        <v>#N/A</v>
      </c>
      <c r="L93" s="140" t="e">
        <f t="shared" si="93"/>
        <v>#N/A</v>
      </c>
      <c r="M93" s="140" t="e">
        <f t="shared" si="94"/>
        <v>#N/A</v>
      </c>
      <c r="N93" s="140" t="e">
        <f t="shared" si="95"/>
        <v>#N/A</v>
      </c>
      <c r="O93" s="140" t="e">
        <f t="shared" si="96"/>
        <v>#N/A</v>
      </c>
      <c r="P93" s="140" t="e">
        <f t="shared" si="97"/>
        <v>#N/A</v>
      </c>
      <c r="Q93" s="140" t="e">
        <f t="shared" si="98"/>
        <v>#N/A</v>
      </c>
      <c r="R93" s="140" t="e">
        <f t="shared" si="99"/>
        <v>#N/A</v>
      </c>
      <c r="S93" s="140" t="e">
        <f t="shared" si="100"/>
        <v>#N/A</v>
      </c>
      <c r="T93" s="140" t="e">
        <f t="shared" si="101"/>
        <v>#N/A</v>
      </c>
      <c r="U93" s="140" t="e">
        <f t="shared" si="102"/>
        <v>#N/A</v>
      </c>
      <c r="V93" s="141" t="str">
        <f t="shared" si="14"/>
        <v>DPS</v>
      </c>
      <c r="W93" s="141" t="str">
        <f t="shared" si="15"/>
        <v>DPS</v>
      </c>
      <c r="X93" s="141" t="str">
        <f t="shared" si="16"/>
        <v>DPS</v>
      </c>
      <c r="Y93" s="141" t="str">
        <f t="shared" si="17"/>
        <v>DPS</v>
      </c>
      <c r="Z93" s="141" t="str">
        <f t="shared" si="18"/>
        <v>DPS</v>
      </c>
      <c r="AA93" s="141" t="str">
        <f t="shared" si="19"/>
        <v>DPS</v>
      </c>
      <c r="AB93" s="141" t="str">
        <f t="shared" si="20"/>
        <v>DPS</v>
      </c>
      <c r="AC93" s="141" t="str">
        <f t="shared" si="21"/>
        <v>DPS</v>
      </c>
      <c r="AD93" s="141" t="str">
        <f t="shared" si="22"/>
        <v>DPS</v>
      </c>
      <c r="AE93" s="141" t="str">
        <f t="shared" si="23"/>
        <v>DPS</v>
      </c>
      <c r="AF93" s="141" t="str">
        <f t="shared" si="24"/>
        <v>DPS</v>
      </c>
      <c r="AG93" s="141" t="str">
        <f t="shared" si="25"/>
        <v>DPS</v>
      </c>
      <c r="AH93" s="141" t="str">
        <f t="shared" si="26"/>
        <v>DPS</v>
      </c>
      <c r="AI93" s="141" t="str">
        <f t="shared" si="27"/>
        <v>HPS</v>
      </c>
      <c r="AJ93" s="141" t="str">
        <f t="shared" si="28"/>
        <v>HPS</v>
      </c>
      <c r="AK93" s="141" t="str">
        <f t="shared" si="29"/>
        <v>HPS</v>
      </c>
      <c r="AL93" s="141" t="str">
        <f t="shared" si="30"/>
        <v>HPS</v>
      </c>
      <c r="AM93" s="141" t="str">
        <f t="shared" si="31"/>
        <v>HPS</v>
      </c>
      <c r="AN93" s="141" t="str">
        <f t="shared" si="32"/>
        <v>HPS</v>
      </c>
      <c r="AO93" s="141" t="str">
        <f t="shared" si="33"/>
        <v>HPS</v>
      </c>
      <c r="AP93" s="134" t="e">
        <f t="shared" si="103"/>
        <v>#N/A</v>
      </c>
      <c r="AQ93" s="134" t="e">
        <f t="shared" si="104"/>
        <v>#N/A</v>
      </c>
      <c r="AR93" s="134" t="e">
        <f t="shared" si="105"/>
        <v>#N/A</v>
      </c>
      <c r="AS93" s="134" t="e">
        <f t="shared" si="106"/>
        <v>#N/A</v>
      </c>
      <c r="AT93" s="134" t="e">
        <f t="shared" si="107"/>
        <v>#N/A</v>
      </c>
      <c r="AU93" s="134" t="e">
        <f t="shared" si="108"/>
        <v>#N/A</v>
      </c>
      <c r="AV93" s="134" t="e">
        <f t="shared" si="109"/>
        <v>#N/A</v>
      </c>
      <c r="AW93" s="134" t="e">
        <f t="shared" si="110"/>
        <v>#N/A</v>
      </c>
      <c r="AX93" s="134" t="e">
        <f t="shared" si="111"/>
        <v>#N/A</v>
      </c>
      <c r="AY93" s="134" t="e">
        <f t="shared" si="112"/>
        <v>#N/A</v>
      </c>
      <c r="AZ93" s="134" t="e">
        <f t="shared" si="113"/>
        <v>#N/A</v>
      </c>
      <c r="BA93" s="134" t="e">
        <f t="shared" si="114"/>
        <v>#N/A</v>
      </c>
      <c r="BB93" s="134" t="e">
        <f t="shared" si="115"/>
        <v>#N/A</v>
      </c>
      <c r="BC93" s="134" t="e">
        <f t="shared" si="116"/>
        <v>#N/A</v>
      </c>
      <c r="BD93" s="134" t="e">
        <f t="shared" si="117"/>
        <v>#N/A</v>
      </c>
      <c r="BE93" s="134" t="e">
        <f t="shared" si="118"/>
        <v>#N/A</v>
      </c>
      <c r="BF93" s="134" t="e">
        <f t="shared" si="119"/>
        <v>#N/A</v>
      </c>
      <c r="BG93" s="134" t="e">
        <f t="shared" si="120"/>
        <v>#N/A</v>
      </c>
      <c r="BH93" s="134" t="e">
        <f t="shared" si="121"/>
        <v>#N/A</v>
      </c>
      <c r="BI93" s="134" t="e">
        <f t="shared" si="122"/>
        <v>#N/A</v>
      </c>
      <c r="BJ93" t="e">
        <f t="shared" si="35"/>
        <v>#N/A</v>
      </c>
      <c r="BK93" t="e">
        <f t="shared" si="36"/>
        <v>#N/A</v>
      </c>
      <c r="BL93" s="142" t="e">
        <f t="shared" si="123"/>
        <v>#N/A</v>
      </c>
      <c r="BM93" s="142">
        <f t="shared" si="37"/>
        <v>2650</v>
      </c>
      <c r="BN93" t="e">
        <f t="shared" si="38"/>
        <v>#NUM!</v>
      </c>
      <c r="BO93" s="143" t="e">
        <f t="shared" si="39"/>
        <v>#N/A</v>
      </c>
      <c r="BP93" s="143" t="e">
        <f t="shared" si="40"/>
        <v>#N/A</v>
      </c>
      <c r="BQ93" s="143" t="e">
        <f t="shared" si="41"/>
        <v>#N/A</v>
      </c>
      <c r="BR93" s="143" t="e">
        <f t="shared" si="42"/>
        <v>#N/A</v>
      </c>
      <c r="BS93" s="143" t="e">
        <f t="shared" si="43"/>
        <v>#N/A</v>
      </c>
      <c r="BT93" s="143" t="e">
        <f t="shared" si="44"/>
        <v>#N/A</v>
      </c>
      <c r="BU93" s="143" t="e">
        <f t="shared" si="45"/>
        <v>#N/A</v>
      </c>
      <c r="BV93" s="143" t="e">
        <f t="shared" si="46"/>
        <v>#N/A</v>
      </c>
      <c r="BW93" s="143" t="e">
        <f t="shared" si="47"/>
        <v>#N/A</v>
      </c>
      <c r="BX93" s="143" t="e">
        <f t="shared" si="48"/>
        <v>#N/A</v>
      </c>
      <c r="BY93" s="143" t="e">
        <f t="shared" si="49"/>
        <v>#N/A</v>
      </c>
      <c r="BZ93" s="143" t="e">
        <f t="shared" si="50"/>
        <v>#N/A</v>
      </c>
      <c r="CA93" s="143" t="e">
        <f t="shared" si="51"/>
        <v>#N/A</v>
      </c>
      <c r="CB93" s="143" t="e">
        <f t="shared" si="52"/>
        <v>#N/A</v>
      </c>
      <c r="CC93" s="143" t="e">
        <f t="shared" si="53"/>
        <v>#N/A</v>
      </c>
      <c r="CD93" s="143" t="e">
        <f t="shared" si="54"/>
        <v>#N/A</v>
      </c>
      <c r="CE93" s="143" t="e">
        <f t="shared" si="55"/>
        <v>#N/A</v>
      </c>
      <c r="CF93" s="143" t="e">
        <f t="shared" si="56"/>
        <v>#N/A</v>
      </c>
      <c r="CG93" s="143" t="e">
        <f t="shared" si="57"/>
        <v>#N/A</v>
      </c>
      <c r="CH93" s="143" t="e">
        <f t="shared" si="58"/>
        <v>#N/A</v>
      </c>
      <c r="CI93" t="e">
        <f t="shared" si="59"/>
        <v>#N/A</v>
      </c>
      <c r="CJ93" t="e">
        <f t="shared" si="60"/>
        <v>#N/A</v>
      </c>
      <c r="CK93" t="e">
        <f t="shared" si="61"/>
        <v>#N/A</v>
      </c>
      <c r="CL93" t="e">
        <f t="shared" si="62"/>
        <v>#N/A</v>
      </c>
      <c r="CM93" t="e">
        <f t="shared" si="63"/>
        <v>#N/A</v>
      </c>
      <c r="CN93" t="e">
        <f t="shared" si="64"/>
        <v>#N/A</v>
      </c>
      <c r="CO93" t="e">
        <f t="shared" si="65"/>
        <v>#N/A</v>
      </c>
      <c r="CP93" t="e">
        <f t="shared" si="66"/>
        <v>#N/A</v>
      </c>
      <c r="CQ93" t="e">
        <f t="shared" si="67"/>
        <v>#N/A</v>
      </c>
      <c r="CR93" t="e">
        <f t="shared" si="68"/>
        <v>#N/A</v>
      </c>
      <c r="CS93" t="e">
        <f t="shared" si="69"/>
        <v>#N/A</v>
      </c>
      <c r="CT93" t="e">
        <f t="shared" si="70"/>
        <v>#N/A</v>
      </c>
      <c r="CU93" t="e">
        <f t="shared" si="71"/>
        <v>#N/A</v>
      </c>
      <c r="CV93" t="e">
        <f t="shared" si="72"/>
        <v>#N/A</v>
      </c>
      <c r="CW93" t="e">
        <f t="shared" si="73"/>
        <v>#N/A</v>
      </c>
      <c r="CX93" t="e">
        <f t="shared" si="74"/>
        <v>#N/A</v>
      </c>
      <c r="CY93" t="e">
        <f t="shared" si="75"/>
        <v>#N/A</v>
      </c>
      <c r="CZ93" t="e">
        <f t="shared" si="76"/>
        <v>#N/A</v>
      </c>
      <c r="DA93" t="e">
        <f t="shared" si="77"/>
        <v>#N/A</v>
      </c>
      <c r="DB93" t="e">
        <f t="shared" si="78"/>
        <v>#N/A</v>
      </c>
      <c r="DC93" s="142" t="e">
        <f t="shared" si="79"/>
        <v>#N/A</v>
      </c>
      <c r="DD93" t="e">
        <f t="shared" si="80"/>
        <v>#N/A</v>
      </c>
      <c r="DE93" t="b">
        <f t="shared" si="81"/>
        <v>0</v>
      </c>
    </row>
    <row r="94" spans="1:109">
      <c r="A94">
        <f t="shared" si="82"/>
        <v>29</v>
      </c>
      <c r="B94" s="140" t="e">
        <f t="shared" si="83"/>
        <v>#N/A</v>
      </c>
      <c r="C94" s="140" t="e">
        <f t="shared" si="84"/>
        <v>#N/A</v>
      </c>
      <c r="D94" s="140" t="e">
        <f t="shared" si="85"/>
        <v>#N/A</v>
      </c>
      <c r="E94" s="140" t="e">
        <f t="shared" si="86"/>
        <v>#N/A</v>
      </c>
      <c r="F94" s="140" t="e">
        <f t="shared" si="87"/>
        <v>#N/A</v>
      </c>
      <c r="G94" s="140" t="e">
        <f t="shared" si="88"/>
        <v>#N/A</v>
      </c>
      <c r="H94" s="140" t="e">
        <f t="shared" si="89"/>
        <v>#N/A</v>
      </c>
      <c r="I94" s="140" t="e">
        <f t="shared" si="90"/>
        <v>#N/A</v>
      </c>
      <c r="J94" s="140" t="e">
        <f t="shared" si="91"/>
        <v>#N/A</v>
      </c>
      <c r="K94" s="140" t="e">
        <f t="shared" si="92"/>
        <v>#N/A</v>
      </c>
      <c r="L94" s="140" t="e">
        <f t="shared" si="93"/>
        <v>#N/A</v>
      </c>
      <c r="M94" s="140" t="e">
        <f t="shared" si="94"/>
        <v>#N/A</v>
      </c>
      <c r="N94" s="140" t="e">
        <f t="shared" si="95"/>
        <v>#N/A</v>
      </c>
      <c r="O94" s="140" t="e">
        <f t="shared" si="96"/>
        <v>#N/A</v>
      </c>
      <c r="P94" s="140" t="e">
        <f t="shared" si="97"/>
        <v>#N/A</v>
      </c>
      <c r="Q94" s="140" t="e">
        <f t="shared" si="98"/>
        <v>#N/A</v>
      </c>
      <c r="R94" s="140" t="e">
        <f t="shared" si="99"/>
        <v>#N/A</v>
      </c>
      <c r="S94" s="140" t="e">
        <f t="shared" si="100"/>
        <v>#N/A</v>
      </c>
      <c r="T94" s="140" t="e">
        <f t="shared" si="101"/>
        <v>#N/A</v>
      </c>
      <c r="U94" s="140" t="e">
        <f t="shared" si="102"/>
        <v>#N/A</v>
      </c>
      <c r="V94" s="141" t="str">
        <f t="shared" si="14"/>
        <v>DPS</v>
      </c>
      <c r="W94" s="141" t="str">
        <f t="shared" si="15"/>
        <v>DPS</v>
      </c>
      <c r="X94" s="141" t="str">
        <f t="shared" si="16"/>
        <v>DPS</v>
      </c>
      <c r="Y94" s="141" t="str">
        <f t="shared" si="17"/>
        <v>DPS</v>
      </c>
      <c r="Z94" s="141" t="str">
        <f t="shared" si="18"/>
        <v>DPS</v>
      </c>
      <c r="AA94" s="141" t="str">
        <f t="shared" si="19"/>
        <v>DPS</v>
      </c>
      <c r="AB94" s="141" t="str">
        <f t="shared" si="20"/>
        <v>DPS</v>
      </c>
      <c r="AC94" s="141" t="str">
        <f t="shared" si="21"/>
        <v>DPS</v>
      </c>
      <c r="AD94" s="141" t="str">
        <f t="shared" si="22"/>
        <v>DPS</v>
      </c>
      <c r="AE94" s="141" t="str">
        <f t="shared" si="23"/>
        <v>DPS</v>
      </c>
      <c r="AF94" s="141" t="str">
        <f t="shared" si="24"/>
        <v>DPS</v>
      </c>
      <c r="AG94" s="141" t="str">
        <f t="shared" si="25"/>
        <v>DPS</v>
      </c>
      <c r="AH94" s="141" t="str">
        <f t="shared" si="26"/>
        <v>DPS</v>
      </c>
      <c r="AI94" s="141" t="str">
        <f t="shared" si="27"/>
        <v>HPS</v>
      </c>
      <c r="AJ94" s="141" t="str">
        <f t="shared" si="28"/>
        <v>HPS</v>
      </c>
      <c r="AK94" s="141" t="str">
        <f t="shared" si="29"/>
        <v>HPS</v>
      </c>
      <c r="AL94" s="141" t="str">
        <f t="shared" si="30"/>
        <v>HPS</v>
      </c>
      <c r="AM94" s="141" t="str">
        <f t="shared" si="31"/>
        <v>HPS</v>
      </c>
      <c r="AN94" s="141" t="str">
        <f t="shared" si="32"/>
        <v>HPS</v>
      </c>
      <c r="AO94" s="141" t="str">
        <f t="shared" si="33"/>
        <v>HPS</v>
      </c>
      <c r="AP94" s="134" t="e">
        <f t="shared" si="103"/>
        <v>#N/A</v>
      </c>
      <c r="AQ94" s="134" t="e">
        <f t="shared" si="104"/>
        <v>#N/A</v>
      </c>
      <c r="AR94" s="134" t="e">
        <f t="shared" si="105"/>
        <v>#N/A</v>
      </c>
      <c r="AS94" s="134" t="e">
        <f t="shared" si="106"/>
        <v>#N/A</v>
      </c>
      <c r="AT94" s="134" t="e">
        <f t="shared" si="107"/>
        <v>#N/A</v>
      </c>
      <c r="AU94" s="134" t="e">
        <f t="shared" si="108"/>
        <v>#N/A</v>
      </c>
      <c r="AV94" s="134" t="e">
        <f t="shared" si="109"/>
        <v>#N/A</v>
      </c>
      <c r="AW94" s="134" t="e">
        <f t="shared" si="110"/>
        <v>#N/A</v>
      </c>
      <c r="AX94" s="134" t="e">
        <f t="shared" si="111"/>
        <v>#N/A</v>
      </c>
      <c r="AY94" s="134" t="e">
        <f t="shared" si="112"/>
        <v>#N/A</v>
      </c>
      <c r="AZ94" s="134" t="e">
        <f t="shared" si="113"/>
        <v>#N/A</v>
      </c>
      <c r="BA94" s="134" t="e">
        <f t="shared" si="114"/>
        <v>#N/A</v>
      </c>
      <c r="BB94" s="134" t="e">
        <f t="shared" si="115"/>
        <v>#N/A</v>
      </c>
      <c r="BC94" s="134" t="e">
        <f t="shared" si="116"/>
        <v>#N/A</v>
      </c>
      <c r="BD94" s="134" t="e">
        <f t="shared" si="117"/>
        <v>#N/A</v>
      </c>
      <c r="BE94" s="134" t="e">
        <f t="shared" si="118"/>
        <v>#N/A</v>
      </c>
      <c r="BF94" s="134" t="e">
        <f t="shared" si="119"/>
        <v>#N/A</v>
      </c>
      <c r="BG94" s="134" t="e">
        <f t="shared" si="120"/>
        <v>#N/A</v>
      </c>
      <c r="BH94" s="134" t="e">
        <f t="shared" si="121"/>
        <v>#N/A</v>
      </c>
      <c r="BI94" s="134" t="e">
        <f t="shared" si="122"/>
        <v>#N/A</v>
      </c>
      <c r="BJ94" t="e">
        <f t="shared" si="35"/>
        <v>#N/A</v>
      </c>
      <c r="BK94" t="e">
        <f t="shared" si="36"/>
        <v>#N/A</v>
      </c>
      <c r="BL94" s="142" t="e">
        <f t="shared" si="123"/>
        <v>#N/A</v>
      </c>
      <c r="BM94" s="142">
        <f t="shared" si="37"/>
        <v>2650</v>
      </c>
      <c r="BN94" t="e">
        <f t="shared" si="38"/>
        <v>#NUM!</v>
      </c>
      <c r="BO94" s="143" t="e">
        <f t="shared" si="39"/>
        <v>#N/A</v>
      </c>
      <c r="BP94" s="143" t="e">
        <f t="shared" si="40"/>
        <v>#N/A</v>
      </c>
      <c r="BQ94" s="143" t="e">
        <f t="shared" si="41"/>
        <v>#N/A</v>
      </c>
      <c r="BR94" s="143" t="e">
        <f t="shared" si="42"/>
        <v>#N/A</v>
      </c>
      <c r="BS94" s="143" t="e">
        <f t="shared" si="43"/>
        <v>#N/A</v>
      </c>
      <c r="BT94" s="143" t="e">
        <f t="shared" si="44"/>
        <v>#N/A</v>
      </c>
      <c r="BU94" s="143" t="e">
        <f t="shared" si="45"/>
        <v>#N/A</v>
      </c>
      <c r="BV94" s="143" t="e">
        <f t="shared" si="46"/>
        <v>#N/A</v>
      </c>
      <c r="BW94" s="143" t="e">
        <f t="shared" si="47"/>
        <v>#N/A</v>
      </c>
      <c r="BX94" s="143" t="e">
        <f t="shared" si="48"/>
        <v>#N/A</v>
      </c>
      <c r="BY94" s="143" t="e">
        <f t="shared" si="49"/>
        <v>#N/A</v>
      </c>
      <c r="BZ94" s="143" t="e">
        <f t="shared" si="50"/>
        <v>#N/A</v>
      </c>
      <c r="CA94" s="143" t="e">
        <f t="shared" si="51"/>
        <v>#N/A</v>
      </c>
      <c r="CB94" s="143" t="e">
        <f t="shared" si="52"/>
        <v>#N/A</v>
      </c>
      <c r="CC94" s="143" t="e">
        <f t="shared" si="53"/>
        <v>#N/A</v>
      </c>
      <c r="CD94" s="143" t="e">
        <f t="shared" si="54"/>
        <v>#N/A</v>
      </c>
      <c r="CE94" s="143" t="e">
        <f t="shared" si="55"/>
        <v>#N/A</v>
      </c>
      <c r="CF94" s="143" t="e">
        <f t="shared" si="56"/>
        <v>#N/A</v>
      </c>
      <c r="CG94" s="143" t="e">
        <f t="shared" si="57"/>
        <v>#N/A</v>
      </c>
      <c r="CH94" s="143" t="e">
        <f t="shared" si="58"/>
        <v>#N/A</v>
      </c>
      <c r="CI94" t="e">
        <f t="shared" si="59"/>
        <v>#N/A</v>
      </c>
      <c r="CJ94" t="e">
        <f t="shared" si="60"/>
        <v>#N/A</v>
      </c>
      <c r="CK94" t="e">
        <f t="shared" si="61"/>
        <v>#N/A</v>
      </c>
      <c r="CL94" t="e">
        <f t="shared" si="62"/>
        <v>#N/A</v>
      </c>
      <c r="CM94" t="e">
        <f t="shared" si="63"/>
        <v>#N/A</v>
      </c>
      <c r="CN94" t="e">
        <f t="shared" si="64"/>
        <v>#N/A</v>
      </c>
      <c r="CO94" t="e">
        <f t="shared" si="65"/>
        <v>#N/A</v>
      </c>
      <c r="CP94" t="e">
        <f t="shared" si="66"/>
        <v>#N/A</v>
      </c>
      <c r="CQ94" t="e">
        <f t="shared" si="67"/>
        <v>#N/A</v>
      </c>
      <c r="CR94" t="e">
        <f t="shared" si="68"/>
        <v>#N/A</v>
      </c>
      <c r="CS94" t="e">
        <f t="shared" si="69"/>
        <v>#N/A</v>
      </c>
      <c r="CT94" t="e">
        <f t="shared" si="70"/>
        <v>#N/A</v>
      </c>
      <c r="CU94" t="e">
        <f t="shared" si="71"/>
        <v>#N/A</v>
      </c>
      <c r="CV94" t="e">
        <f t="shared" si="72"/>
        <v>#N/A</v>
      </c>
      <c r="CW94" t="e">
        <f t="shared" si="73"/>
        <v>#N/A</v>
      </c>
      <c r="CX94" t="e">
        <f t="shared" si="74"/>
        <v>#N/A</v>
      </c>
      <c r="CY94" t="e">
        <f t="shared" si="75"/>
        <v>#N/A</v>
      </c>
      <c r="CZ94" t="e">
        <f t="shared" si="76"/>
        <v>#N/A</v>
      </c>
      <c r="DA94" t="e">
        <f t="shared" si="77"/>
        <v>#N/A</v>
      </c>
      <c r="DB94" t="e">
        <f t="shared" si="78"/>
        <v>#N/A</v>
      </c>
      <c r="DC94" s="142" t="e">
        <f t="shared" si="79"/>
        <v>#N/A</v>
      </c>
      <c r="DD94" t="e">
        <f t="shared" si="80"/>
        <v>#N/A</v>
      </c>
      <c r="DE94" t="b">
        <f t="shared" si="81"/>
        <v>0</v>
      </c>
    </row>
    <row r="95" spans="1:109">
      <c r="A95">
        <f t="shared" si="82"/>
        <v>30</v>
      </c>
      <c r="B95" s="140" t="e">
        <f t="shared" si="83"/>
        <v>#N/A</v>
      </c>
      <c r="C95" s="140" t="e">
        <f t="shared" si="84"/>
        <v>#N/A</v>
      </c>
      <c r="D95" s="140" t="e">
        <f t="shared" si="85"/>
        <v>#N/A</v>
      </c>
      <c r="E95" s="140" t="e">
        <f t="shared" si="86"/>
        <v>#N/A</v>
      </c>
      <c r="F95" s="140" t="e">
        <f t="shared" si="87"/>
        <v>#N/A</v>
      </c>
      <c r="G95" s="140" t="e">
        <f t="shared" si="88"/>
        <v>#N/A</v>
      </c>
      <c r="H95" s="140" t="e">
        <f t="shared" si="89"/>
        <v>#N/A</v>
      </c>
      <c r="I95" s="140" t="e">
        <f t="shared" si="90"/>
        <v>#N/A</v>
      </c>
      <c r="J95" s="140" t="e">
        <f t="shared" si="91"/>
        <v>#N/A</v>
      </c>
      <c r="K95" s="140" t="e">
        <f t="shared" si="92"/>
        <v>#N/A</v>
      </c>
      <c r="L95" s="140" t="e">
        <f t="shared" si="93"/>
        <v>#N/A</v>
      </c>
      <c r="M95" s="140" t="e">
        <f t="shared" si="94"/>
        <v>#N/A</v>
      </c>
      <c r="N95" s="140" t="e">
        <f t="shared" si="95"/>
        <v>#N/A</v>
      </c>
      <c r="O95" s="140" t="e">
        <f t="shared" si="96"/>
        <v>#N/A</v>
      </c>
      <c r="P95" s="140" t="e">
        <f t="shared" si="97"/>
        <v>#N/A</v>
      </c>
      <c r="Q95" s="140" t="e">
        <f t="shared" si="98"/>
        <v>#N/A</v>
      </c>
      <c r="R95" s="140" t="e">
        <f t="shared" si="99"/>
        <v>#N/A</v>
      </c>
      <c r="S95" s="140" t="e">
        <f t="shared" si="100"/>
        <v>#N/A</v>
      </c>
      <c r="T95" s="140" t="e">
        <f t="shared" si="101"/>
        <v>#N/A</v>
      </c>
      <c r="U95" s="140" t="e">
        <f t="shared" si="102"/>
        <v>#N/A</v>
      </c>
      <c r="V95" s="141" t="str">
        <f t="shared" si="14"/>
        <v>DPS</v>
      </c>
      <c r="W95" s="141" t="str">
        <f t="shared" si="15"/>
        <v>DPS</v>
      </c>
      <c r="X95" s="141" t="str">
        <f t="shared" si="16"/>
        <v>DPS</v>
      </c>
      <c r="Y95" s="141" t="str">
        <f t="shared" si="17"/>
        <v>DPS</v>
      </c>
      <c r="Z95" s="141" t="str">
        <f t="shared" si="18"/>
        <v>DPS</v>
      </c>
      <c r="AA95" s="141" t="str">
        <f t="shared" si="19"/>
        <v>DPS</v>
      </c>
      <c r="AB95" s="141" t="str">
        <f t="shared" si="20"/>
        <v>DPS</v>
      </c>
      <c r="AC95" s="141" t="str">
        <f t="shared" si="21"/>
        <v>DPS</v>
      </c>
      <c r="AD95" s="141" t="str">
        <f t="shared" si="22"/>
        <v>DPS</v>
      </c>
      <c r="AE95" s="141" t="str">
        <f t="shared" si="23"/>
        <v>DPS</v>
      </c>
      <c r="AF95" s="141" t="str">
        <f t="shared" si="24"/>
        <v>DPS</v>
      </c>
      <c r="AG95" s="141" t="str">
        <f t="shared" si="25"/>
        <v>DPS</v>
      </c>
      <c r="AH95" s="141" t="str">
        <f t="shared" si="26"/>
        <v>DPS</v>
      </c>
      <c r="AI95" s="141" t="str">
        <f t="shared" si="27"/>
        <v>HPS</v>
      </c>
      <c r="AJ95" s="141" t="str">
        <f t="shared" si="28"/>
        <v>HPS</v>
      </c>
      <c r="AK95" s="141" t="str">
        <f t="shared" si="29"/>
        <v>HPS</v>
      </c>
      <c r="AL95" s="141" t="str">
        <f t="shared" si="30"/>
        <v>HPS</v>
      </c>
      <c r="AM95" s="141" t="str">
        <f t="shared" si="31"/>
        <v>HPS</v>
      </c>
      <c r="AN95" s="141" t="str">
        <f t="shared" si="32"/>
        <v>HPS</v>
      </c>
      <c r="AO95" s="141" t="str">
        <f t="shared" si="33"/>
        <v>HPS</v>
      </c>
      <c r="AP95" s="134" t="e">
        <f t="shared" si="103"/>
        <v>#N/A</v>
      </c>
      <c r="AQ95" s="134" t="e">
        <f t="shared" si="104"/>
        <v>#N/A</v>
      </c>
      <c r="AR95" s="134" t="e">
        <f t="shared" si="105"/>
        <v>#N/A</v>
      </c>
      <c r="AS95" s="134" t="e">
        <f t="shared" si="106"/>
        <v>#N/A</v>
      </c>
      <c r="AT95" s="134" t="e">
        <f t="shared" si="107"/>
        <v>#N/A</v>
      </c>
      <c r="AU95" s="134" t="e">
        <f t="shared" si="108"/>
        <v>#N/A</v>
      </c>
      <c r="AV95" s="134" t="e">
        <f t="shared" si="109"/>
        <v>#N/A</v>
      </c>
      <c r="AW95" s="134" t="e">
        <f t="shared" si="110"/>
        <v>#N/A</v>
      </c>
      <c r="AX95" s="134" t="e">
        <f t="shared" si="111"/>
        <v>#N/A</v>
      </c>
      <c r="AY95" s="134" t="e">
        <f t="shared" si="112"/>
        <v>#N/A</v>
      </c>
      <c r="AZ95" s="134" t="e">
        <f t="shared" si="113"/>
        <v>#N/A</v>
      </c>
      <c r="BA95" s="134" t="e">
        <f t="shared" si="114"/>
        <v>#N/A</v>
      </c>
      <c r="BB95" s="134" t="e">
        <f t="shared" si="115"/>
        <v>#N/A</v>
      </c>
      <c r="BC95" s="134" t="e">
        <f t="shared" si="116"/>
        <v>#N/A</v>
      </c>
      <c r="BD95" s="134" t="e">
        <f t="shared" si="117"/>
        <v>#N/A</v>
      </c>
      <c r="BE95" s="134" t="e">
        <f t="shared" si="118"/>
        <v>#N/A</v>
      </c>
      <c r="BF95" s="134" t="e">
        <f t="shared" si="119"/>
        <v>#N/A</v>
      </c>
      <c r="BG95" s="134" t="e">
        <f t="shared" si="120"/>
        <v>#N/A</v>
      </c>
      <c r="BH95" s="134" t="e">
        <f t="shared" si="121"/>
        <v>#N/A</v>
      </c>
      <c r="BI95" s="134" t="e">
        <f t="shared" si="122"/>
        <v>#N/A</v>
      </c>
      <c r="BJ95" t="e">
        <f t="shared" si="35"/>
        <v>#N/A</v>
      </c>
      <c r="BK95" t="e">
        <f t="shared" si="36"/>
        <v>#N/A</v>
      </c>
      <c r="BL95" s="142" t="e">
        <f t="shared" si="123"/>
        <v>#N/A</v>
      </c>
      <c r="BM95" s="142">
        <f t="shared" si="37"/>
        <v>2650</v>
      </c>
      <c r="BN95" t="e">
        <f t="shared" si="38"/>
        <v>#NUM!</v>
      </c>
      <c r="BO95" s="143" t="e">
        <f t="shared" si="39"/>
        <v>#N/A</v>
      </c>
      <c r="BP95" s="143" t="e">
        <f t="shared" si="40"/>
        <v>#N/A</v>
      </c>
      <c r="BQ95" s="143" t="e">
        <f t="shared" si="41"/>
        <v>#N/A</v>
      </c>
      <c r="BR95" s="143" t="e">
        <f t="shared" si="42"/>
        <v>#N/A</v>
      </c>
      <c r="BS95" s="143" t="e">
        <f t="shared" si="43"/>
        <v>#N/A</v>
      </c>
      <c r="BT95" s="143" t="e">
        <f t="shared" si="44"/>
        <v>#N/A</v>
      </c>
      <c r="BU95" s="143" t="e">
        <f t="shared" si="45"/>
        <v>#N/A</v>
      </c>
      <c r="BV95" s="143" t="e">
        <f t="shared" si="46"/>
        <v>#N/A</v>
      </c>
      <c r="BW95" s="143" t="e">
        <f t="shared" si="47"/>
        <v>#N/A</v>
      </c>
      <c r="BX95" s="143" t="e">
        <f t="shared" si="48"/>
        <v>#N/A</v>
      </c>
      <c r="BY95" s="143" t="e">
        <f t="shared" si="49"/>
        <v>#N/A</v>
      </c>
      <c r="BZ95" s="143" t="e">
        <f t="shared" si="50"/>
        <v>#N/A</v>
      </c>
      <c r="CA95" s="143" t="e">
        <f t="shared" si="51"/>
        <v>#N/A</v>
      </c>
      <c r="CB95" s="143" t="e">
        <f t="shared" si="52"/>
        <v>#N/A</v>
      </c>
      <c r="CC95" s="143" t="e">
        <f t="shared" si="53"/>
        <v>#N/A</v>
      </c>
      <c r="CD95" s="143" t="e">
        <f t="shared" si="54"/>
        <v>#N/A</v>
      </c>
      <c r="CE95" s="143" t="e">
        <f t="shared" si="55"/>
        <v>#N/A</v>
      </c>
      <c r="CF95" s="143" t="e">
        <f t="shared" si="56"/>
        <v>#N/A</v>
      </c>
      <c r="CG95" s="143" t="e">
        <f t="shared" si="57"/>
        <v>#N/A</v>
      </c>
      <c r="CH95" s="143" t="e">
        <f t="shared" si="58"/>
        <v>#N/A</v>
      </c>
      <c r="CI95" t="e">
        <f t="shared" si="59"/>
        <v>#N/A</v>
      </c>
      <c r="CJ95" t="e">
        <f t="shared" si="60"/>
        <v>#N/A</v>
      </c>
      <c r="CK95" t="e">
        <f t="shared" si="61"/>
        <v>#N/A</v>
      </c>
      <c r="CL95" t="e">
        <f t="shared" si="62"/>
        <v>#N/A</v>
      </c>
      <c r="CM95" t="e">
        <f t="shared" si="63"/>
        <v>#N/A</v>
      </c>
      <c r="CN95" t="e">
        <f t="shared" si="64"/>
        <v>#N/A</v>
      </c>
      <c r="CO95" t="e">
        <f t="shared" si="65"/>
        <v>#N/A</v>
      </c>
      <c r="CP95" t="e">
        <f t="shared" si="66"/>
        <v>#N/A</v>
      </c>
      <c r="CQ95" t="e">
        <f t="shared" si="67"/>
        <v>#N/A</v>
      </c>
      <c r="CR95" t="e">
        <f t="shared" si="68"/>
        <v>#N/A</v>
      </c>
      <c r="CS95" t="e">
        <f t="shared" si="69"/>
        <v>#N/A</v>
      </c>
      <c r="CT95" t="e">
        <f t="shared" si="70"/>
        <v>#N/A</v>
      </c>
      <c r="CU95" t="e">
        <f t="shared" si="71"/>
        <v>#N/A</v>
      </c>
      <c r="CV95" t="e">
        <f t="shared" si="72"/>
        <v>#N/A</v>
      </c>
      <c r="CW95" t="e">
        <f t="shared" si="73"/>
        <v>#N/A</v>
      </c>
      <c r="CX95" t="e">
        <f t="shared" si="74"/>
        <v>#N/A</v>
      </c>
      <c r="CY95" t="e">
        <f t="shared" si="75"/>
        <v>#N/A</v>
      </c>
      <c r="CZ95" t="e">
        <f t="shared" si="76"/>
        <v>#N/A</v>
      </c>
      <c r="DA95" t="e">
        <f t="shared" si="77"/>
        <v>#N/A</v>
      </c>
      <c r="DB95" t="e">
        <f t="shared" si="78"/>
        <v>#N/A</v>
      </c>
      <c r="DC95" s="142" t="e">
        <f t="shared" si="79"/>
        <v>#N/A</v>
      </c>
      <c r="DD95" t="e">
        <f t="shared" si="80"/>
        <v>#N/A</v>
      </c>
      <c r="DE95" t="b">
        <f t="shared" si="81"/>
        <v>0</v>
      </c>
    </row>
    <row r="96" spans="1:109">
      <c r="A96">
        <f t="shared" si="82"/>
        <v>31</v>
      </c>
      <c r="B96" s="140" t="e">
        <f t="shared" si="83"/>
        <v>#N/A</v>
      </c>
      <c r="C96" s="140" t="e">
        <f t="shared" si="84"/>
        <v>#N/A</v>
      </c>
      <c r="D96" s="140" t="e">
        <f t="shared" si="85"/>
        <v>#N/A</v>
      </c>
      <c r="E96" s="140" t="e">
        <f t="shared" si="86"/>
        <v>#N/A</v>
      </c>
      <c r="F96" s="140" t="e">
        <f t="shared" si="87"/>
        <v>#N/A</v>
      </c>
      <c r="G96" s="140" t="e">
        <f t="shared" si="88"/>
        <v>#N/A</v>
      </c>
      <c r="H96" s="140" t="e">
        <f t="shared" si="89"/>
        <v>#N/A</v>
      </c>
      <c r="I96" s="140" t="e">
        <f t="shared" si="90"/>
        <v>#N/A</v>
      </c>
      <c r="J96" s="140" t="e">
        <f t="shared" si="91"/>
        <v>#N/A</v>
      </c>
      <c r="K96" s="140" t="e">
        <f t="shared" si="92"/>
        <v>#N/A</v>
      </c>
      <c r="L96" s="140" t="e">
        <f t="shared" si="93"/>
        <v>#N/A</v>
      </c>
      <c r="M96" s="140" t="e">
        <f t="shared" si="94"/>
        <v>#N/A</v>
      </c>
      <c r="N96" s="140" t="e">
        <f t="shared" si="95"/>
        <v>#N/A</v>
      </c>
      <c r="O96" s="140" t="e">
        <f t="shared" si="96"/>
        <v>#N/A</v>
      </c>
      <c r="P96" s="140" t="e">
        <f t="shared" si="97"/>
        <v>#N/A</v>
      </c>
      <c r="Q96" s="140" t="e">
        <f t="shared" si="98"/>
        <v>#N/A</v>
      </c>
      <c r="R96" s="140" t="e">
        <f t="shared" si="99"/>
        <v>#N/A</v>
      </c>
      <c r="S96" s="140" t="e">
        <f t="shared" si="100"/>
        <v>#N/A</v>
      </c>
      <c r="T96" s="140" t="e">
        <f t="shared" si="101"/>
        <v>#N/A</v>
      </c>
      <c r="U96" s="140" t="e">
        <f t="shared" si="102"/>
        <v>#N/A</v>
      </c>
      <c r="V96" s="141" t="str">
        <f t="shared" si="14"/>
        <v>DPS</v>
      </c>
      <c r="W96" s="141" t="str">
        <f t="shared" si="15"/>
        <v>DPS</v>
      </c>
      <c r="X96" s="141" t="str">
        <f t="shared" si="16"/>
        <v>DPS</v>
      </c>
      <c r="Y96" s="141" t="str">
        <f t="shared" si="17"/>
        <v>DPS</v>
      </c>
      <c r="Z96" s="141" t="str">
        <f t="shared" si="18"/>
        <v>DPS</v>
      </c>
      <c r="AA96" s="141" t="str">
        <f t="shared" si="19"/>
        <v>DPS</v>
      </c>
      <c r="AB96" s="141" t="str">
        <f t="shared" si="20"/>
        <v>DPS</v>
      </c>
      <c r="AC96" s="141" t="str">
        <f t="shared" si="21"/>
        <v>DPS</v>
      </c>
      <c r="AD96" s="141" t="str">
        <f t="shared" si="22"/>
        <v>DPS</v>
      </c>
      <c r="AE96" s="141" t="str">
        <f t="shared" si="23"/>
        <v>DPS</v>
      </c>
      <c r="AF96" s="141" t="str">
        <f t="shared" si="24"/>
        <v>DPS</v>
      </c>
      <c r="AG96" s="141" t="str">
        <f t="shared" si="25"/>
        <v>DPS</v>
      </c>
      <c r="AH96" s="141" t="str">
        <f t="shared" si="26"/>
        <v>DPS</v>
      </c>
      <c r="AI96" s="141" t="str">
        <f t="shared" si="27"/>
        <v>HPS</v>
      </c>
      <c r="AJ96" s="141" t="str">
        <f t="shared" si="28"/>
        <v>HPS</v>
      </c>
      <c r="AK96" s="141" t="str">
        <f t="shared" si="29"/>
        <v>HPS</v>
      </c>
      <c r="AL96" s="141" t="str">
        <f t="shared" si="30"/>
        <v>HPS</v>
      </c>
      <c r="AM96" s="141" t="str">
        <f t="shared" si="31"/>
        <v>HPS</v>
      </c>
      <c r="AN96" s="141" t="str">
        <f t="shared" si="32"/>
        <v>HPS</v>
      </c>
      <c r="AO96" s="141" t="str">
        <f t="shared" si="33"/>
        <v>HPS</v>
      </c>
      <c r="AP96" s="134" t="e">
        <f t="shared" si="103"/>
        <v>#N/A</v>
      </c>
      <c r="AQ96" s="134" t="e">
        <f t="shared" si="104"/>
        <v>#N/A</v>
      </c>
      <c r="AR96" s="134" t="e">
        <f t="shared" si="105"/>
        <v>#N/A</v>
      </c>
      <c r="AS96" s="134" t="e">
        <f t="shared" si="106"/>
        <v>#N/A</v>
      </c>
      <c r="AT96" s="134" t="e">
        <f t="shared" si="107"/>
        <v>#N/A</v>
      </c>
      <c r="AU96" s="134" t="e">
        <f t="shared" si="108"/>
        <v>#N/A</v>
      </c>
      <c r="AV96" s="134" t="e">
        <f t="shared" si="109"/>
        <v>#N/A</v>
      </c>
      <c r="AW96" s="134" t="e">
        <f t="shared" si="110"/>
        <v>#N/A</v>
      </c>
      <c r="AX96" s="134" t="e">
        <f t="shared" si="111"/>
        <v>#N/A</v>
      </c>
      <c r="AY96" s="134" t="e">
        <f t="shared" si="112"/>
        <v>#N/A</v>
      </c>
      <c r="AZ96" s="134" t="e">
        <f t="shared" si="113"/>
        <v>#N/A</v>
      </c>
      <c r="BA96" s="134" t="e">
        <f t="shared" si="114"/>
        <v>#N/A</v>
      </c>
      <c r="BB96" s="134" t="e">
        <f t="shared" si="115"/>
        <v>#N/A</v>
      </c>
      <c r="BC96" s="134" t="e">
        <f t="shared" si="116"/>
        <v>#N/A</v>
      </c>
      <c r="BD96" s="134" t="e">
        <f t="shared" si="117"/>
        <v>#N/A</v>
      </c>
      <c r="BE96" s="134" t="e">
        <f t="shared" si="118"/>
        <v>#N/A</v>
      </c>
      <c r="BF96" s="134" t="e">
        <f t="shared" si="119"/>
        <v>#N/A</v>
      </c>
      <c r="BG96" s="134" t="e">
        <f t="shared" si="120"/>
        <v>#N/A</v>
      </c>
      <c r="BH96" s="134" t="e">
        <f t="shared" si="121"/>
        <v>#N/A</v>
      </c>
      <c r="BI96" s="134" t="e">
        <f t="shared" si="122"/>
        <v>#N/A</v>
      </c>
      <c r="BJ96" t="e">
        <f t="shared" si="35"/>
        <v>#N/A</v>
      </c>
      <c r="BK96" t="e">
        <f t="shared" si="36"/>
        <v>#N/A</v>
      </c>
      <c r="BL96" s="142" t="e">
        <f t="shared" si="123"/>
        <v>#N/A</v>
      </c>
      <c r="BM96" s="142">
        <f t="shared" si="37"/>
        <v>2650</v>
      </c>
      <c r="BN96" t="e">
        <f t="shared" si="38"/>
        <v>#NUM!</v>
      </c>
      <c r="BO96" s="143" t="e">
        <f t="shared" si="39"/>
        <v>#N/A</v>
      </c>
      <c r="BP96" s="143" t="e">
        <f t="shared" si="40"/>
        <v>#N/A</v>
      </c>
      <c r="BQ96" s="143" t="e">
        <f t="shared" si="41"/>
        <v>#N/A</v>
      </c>
      <c r="BR96" s="143" t="e">
        <f t="shared" si="42"/>
        <v>#N/A</v>
      </c>
      <c r="BS96" s="143" t="e">
        <f t="shared" si="43"/>
        <v>#N/A</v>
      </c>
      <c r="BT96" s="143" t="e">
        <f t="shared" si="44"/>
        <v>#N/A</v>
      </c>
      <c r="BU96" s="143" t="e">
        <f t="shared" si="45"/>
        <v>#N/A</v>
      </c>
      <c r="BV96" s="143" t="e">
        <f t="shared" si="46"/>
        <v>#N/A</v>
      </c>
      <c r="BW96" s="143" t="e">
        <f t="shared" si="47"/>
        <v>#N/A</v>
      </c>
      <c r="BX96" s="143" t="e">
        <f t="shared" si="48"/>
        <v>#N/A</v>
      </c>
      <c r="BY96" s="143" t="e">
        <f t="shared" si="49"/>
        <v>#N/A</v>
      </c>
      <c r="BZ96" s="143" t="e">
        <f t="shared" si="50"/>
        <v>#N/A</v>
      </c>
      <c r="CA96" s="143" t="e">
        <f t="shared" si="51"/>
        <v>#N/A</v>
      </c>
      <c r="CB96" s="143" t="e">
        <f t="shared" si="52"/>
        <v>#N/A</v>
      </c>
      <c r="CC96" s="143" t="e">
        <f t="shared" si="53"/>
        <v>#N/A</v>
      </c>
      <c r="CD96" s="143" t="e">
        <f t="shared" si="54"/>
        <v>#N/A</v>
      </c>
      <c r="CE96" s="143" t="e">
        <f t="shared" si="55"/>
        <v>#N/A</v>
      </c>
      <c r="CF96" s="143" t="e">
        <f t="shared" si="56"/>
        <v>#N/A</v>
      </c>
      <c r="CG96" s="143" t="e">
        <f t="shared" si="57"/>
        <v>#N/A</v>
      </c>
      <c r="CH96" s="143" t="e">
        <f t="shared" si="58"/>
        <v>#N/A</v>
      </c>
      <c r="CI96" t="e">
        <f t="shared" si="59"/>
        <v>#N/A</v>
      </c>
      <c r="CJ96" t="e">
        <f t="shared" si="60"/>
        <v>#N/A</v>
      </c>
      <c r="CK96" t="e">
        <f t="shared" si="61"/>
        <v>#N/A</v>
      </c>
      <c r="CL96" t="e">
        <f t="shared" si="62"/>
        <v>#N/A</v>
      </c>
      <c r="CM96" t="e">
        <f t="shared" si="63"/>
        <v>#N/A</v>
      </c>
      <c r="CN96" t="e">
        <f t="shared" si="64"/>
        <v>#N/A</v>
      </c>
      <c r="CO96" t="e">
        <f t="shared" si="65"/>
        <v>#N/A</v>
      </c>
      <c r="CP96" t="e">
        <f t="shared" si="66"/>
        <v>#N/A</v>
      </c>
      <c r="CQ96" t="e">
        <f t="shared" si="67"/>
        <v>#N/A</v>
      </c>
      <c r="CR96" t="e">
        <f t="shared" si="68"/>
        <v>#N/A</v>
      </c>
      <c r="CS96" t="e">
        <f t="shared" si="69"/>
        <v>#N/A</v>
      </c>
      <c r="CT96" t="e">
        <f t="shared" si="70"/>
        <v>#N/A</v>
      </c>
      <c r="CU96" t="e">
        <f t="shared" si="71"/>
        <v>#N/A</v>
      </c>
      <c r="CV96" t="e">
        <f t="shared" si="72"/>
        <v>#N/A</v>
      </c>
      <c r="CW96" t="e">
        <f t="shared" si="73"/>
        <v>#N/A</v>
      </c>
      <c r="CX96" t="e">
        <f t="shared" si="74"/>
        <v>#N/A</v>
      </c>
      <c r="CY96" t="e">
        <f t="shared" si="75"/>
        <v>#N/A</v>
      </c>
      <c r="CZ96" t="e">
        <f t="shared" si="76"/>
        <v>#N/A</v>
      </c>
      <c r="DA96" t="e">
        <f t="shared" si="77"/>
        <v>#N/A</v>
      </c>
      <c r="DB96" t="e">
        <f t="shared" si="78"/>
        <v>#N/A</v>
      </c>
      <c r="DC96" s="142" t="e">
        <f t="shared" si="79"/>
        <v>#N/A</v>
      </c>
      <c r="DD96" t="e">
        <f t="shared" si="80"/>
        <v>#N/A</v>
      </c>
      <c r="DE96" t="b">
        <f t="shared" si="81"/>
        <v>0</v>
      </c>
    </row>
    <row r="97" spans="1:109">
      <c r="A97">
        <f t="shared" si="82"/>
        <v>32</v>
      </c>
      <c r="B97" s="140" t="e">
        <f t="shared" si="83"/>
        <v>#N/A</v>
      </c>
      <c r="C97" s="140" t="e">
        <f t="shared" si="84"/>
        <v>#N/A</v>
      </c>
      <c r="D97" s="140" t="e">
        <f t="shared" si="85"/>
        <v>#N/A</v>
      </c>
      <c r="E97" s="140" t="e">
        <f t="shared" si="86"/>
        <v>#N/A</v>
      </c>
      <c r="F97" s="140" t="e">
        <f t="shared" si="87"/>
        <v>#N/A</v>
      </c>
      <c r="G97" s="140" t="e">
        <f t="shared" si="88"/>
        <v>#N/A</v>
      </c>
      <c r="H97" s="140" t="e">
        <f t="shared" si="89"/>
        <v>#N/A</v>
      </c>
      <c r="I97" s="140" t="e">
        <f t="shared" si="90"/>
        <v>#N/A</v>
      </c>
      <c r="J97" s="140" t="e">
        <f t="shared" si="91"/>
        <v>#N/A</v>
      </c>
      <c r="K97" s="140" t="e">
        <f t="shared" si="92"/>
        <v>#N/A</v>
      </c>
      <c r="L97" s="140" t="e">
        <f t="shared" si="93"/>
        <v>#N/A</v>
      </c>
      <c r="M97" s="140" t="e">
        <f t="shared" si="94"/>
        <v>#N/A</v>
      </c>
      <c r="N97" s="140" t="e">
        <f t="shared" si="95"/>
        <v>#N/A</v>
      </c>
      <c r="O97" s="140" t="e">
        <f t="shared" si="96"/>
        <v>#N/A</v>
      </c>
      <c r="P97" s="140" t="e">
        <f t="shared" si="97"/>
        <v>#N/A</v>
      </c>
      <c r="Q97" s="140" t="e">
        <f t="shared" si="98"/>
        <v>#N/A</v>
      </c>
      <c r="R97" s="140" t="e">
        <f t="shared" si="99"/>
        <v>#N/A</v>
      </c>
      <c r="S97" s="140" t="e">
        <f t="shared" si="100"/>
        <v>#N/A</v>
      </c>
      <c r="T97" s="140" t="e">
        <f t="shared" si="101"/>
        <v>#N/A</v>
      </c>
      <c r="U97" s="140" t="e">
        <f t="shared" si="102"/>
        <v>#N/A</v>
      </c>
      <c r="V97" s="141" t="str">
        <f t="shared" si="14"/>
        <v>DPS</v>
      </c>
      <c r="W97" s="141" t="str">
        <f t="shared" si="15"/>
        <v>DPS</v>
      </c>
      <c r="X97" s="141" t="str">
        <f t="shared" si="16"/>
        <v>DPS</v>
      </c>
      <c r="Y97" s="141" t="str">
        <f t="shared" si="17"/>
        <v>DPS</v>
      </c>
      <c r="Z97" s="141" t="str">
        <f t="shared" si="18"/>
        <v>DPS</v>
      </c>
      <c r="AA97" s="141" t="str">
        <f t="shared" si="19"/>
        <v>DPS</v>
      </c>
      <c r="AB97" s="141" t="str">
        <f t="shared" si="20"/>
        <v>DPS</v>
      </c>
      <c r="AC97" s="141" t="str">
        <f t="shared" si="21"/>
        <v>DPS</v>
      </c>
      <c r="AD97" s="141" t="str">
        <f t="shared" si="22"/>
        <v>DPS</v>
      </c>
      <c r="AE97" s="141" t="str">
        <f t="shared" si="23"/>
        <v>DPS</v>
      </c>
      <c r="AF97" s="141" t="str">
        <f t="shared" si="24"/>
        <v>DPS</v>
      </c>
      <c r="AG97" s="141" t="str">
        <f t="shared" si="25"/>
        <v>DPS</v>
      </c>
      <c r="AH97" s="141" t="str">
        <f t="shared" si="26"/>
        <v>DPS</v>
      </c>
      <c r="AI97" s="141" t="str">
        <f t="shared" si="27"/>
        <v>HPS</v>
      </c>
      <c r="AJ97" s="141" t="str">
        <f t="shared" si="28"/>
        <v>HPS</v>
      </c>
      <c r="AK97" s="141" t="str">
        <f t="shared" si="29"/>
        <v>HPS</v>
      </c>
      <c r="AL97" s="141" t="str">
        <f t="shared" si="30"/>
        <v>HPS</v>
      </c>
      <c r="AM97" s="141" t="str">
        <f t="shared" si="31"/>
        <v>HPS</v>
      </c>
      <c r="AN97" s="141" t="str">
        <f t="shared" si="32"/>
        <v>HPS</v>
      </c>
      <c r="AO97" s="141" t="str">
        <f t="shared" si="33"/>
        <v>HPS</v>
      </c>
      <c r="AP97" s="134" t="e">
        <f t="shared" si="103"/>
        <v>#N/A</v>
      </c>
      <c r="AQ97" s="134" t="e">
        <f t="shared" si="104"/>
        <v>#N/A</v>
      </c>
      <c r="AR97" s="134" t="e">
        <f t="shared" si="105"/>
        <v>#N/A</v>
      </c>
      <c r="AS97" s="134" t="e">
        <f t="shared" si="106"/>
        <v>#N/A</v>
      </c>
      <c r="AT97" s="134" t="e">
        <f t="shared" si="107"/>
        <v>#N/A</v>
      </c>
      <c r="AU97" s="134" t="e">
        <f t="shared" si="108"/>
        <v>#N/A</v>
      </c>
      <c r="AV97" s="134" t="e">
        <f t="shared" si="109"/>
        <v>#N/A</v>
      </c>
      <c r="AW97" s="134" t="e">
        <f t="shared" si="110"/>
        <v>#N/A</v>
      </c>
      <c r="AX97" s="134" t="e">
        <f t="shared" si="111"/>
        <v>#N/A</v>
      </c>
      <c r="AY97" s="134" t="e">
        <f t="shared" si="112"/>
        <v>#N/A</v>
      </c>
      <c r="AZ97" s="134" t="e">
        <f t="shared" si="113"/>
        <v>#N/A</v>
      </c>
      <c r="BA97" s="134" t="e">
        <f t="shared" si="114"/>
        <v>#N/A</v>
      </c>
      <c r="BB97" s="134" t="e">
        <f t="shared" si="115"/>
        <v>#N/A</v>
      </c>
      <c r="BC97" s="134" t="e">
        <f t="shared" si="116"/>
        <v>#N/A</v>
      </c>
      <c r="BD97" s="134" t="e">
        <f t="shared" si="117"/>
        <v>#N/A</v>
      </c>
      <c r="BE97" s="134" t="e">
        <f t="shared" si="118"/>
        <v>#N/A</v>
      </c>
      <c r="BF97" s="134" t="e">
        <f t="shared" si="119"/>
        <v>#N/A</v>
      </c>
      <c r="BG97" s="134" t="e">
        <f t="shared" si="120"/>
        <v>#N/A</v>
      </c>
      <c r="BH97" s="134" t="e">
        <f t="shared" si="121"/>
        <v>#N/A</v>
      </c>
      <c r="BI97" s="134" t="e">
        <f t="shared" si="122"/>
        <v>#N/A</v>
      </c>
      <c r="BJ97" t="e">
        <f t="shared" si="35"/>
        <v>#N/A</v>
      </c>
      <c r="BK97" t="e">
        <f t="shared" si="36"/>
        <v>#N/A</v>
      </c>
      <c r="BL97" s="142" t="e">
        <f t="shared" si="123"/>
        <v>#N/A</v>
      </c>
      <c r="BM97" s="142">
        <f t="shared" si="37"/>
        <v>2650</v>
      </c>
      <c r="BN97" t="e">
        <f t="shared" si="38"/>
        <v>#NUM!</v>
      </c>
      <c r="BO97" s="143" t="e">
        <f t="shared" si="39"/>
        <v>#N/A</v>
      </c>
      <c r="BP97" s="143" t="e">
        <f t="shared" si="40"/>
        <v>#N/A</v>
      </c>
      <c r="BQ97" s="143" t="e">
        <f t="shared" si="41"/>
        <v>#N/A</v>
      </c>
      <c r="BR97" s="143" t="e">
        <f t="shared" si="42"/>
        <v>#N/A</v>
      </c>
      <c r="BS97" s="143" t="e">
        <f t="shared" si="43"/>
        <v>#N/A</v>
      </c>
      <c r="BT97" s="143" t="e">
        <f t="shared" si="44"/>
        <v>#N/A</v>
      </c>
      <c r="BU97" s="143" t="e">
        <f t="shared" si="45"/>
        <v>#N/A</v>
      </c>
      <c r="BV97" s="143" t="e">
        <f t="shared" si="46"/>
        <v>#N/A</v>
      </c>
      <c r="BW97" s="143" t="e">
        <f t="shared" si="47"/>
        <v>#N/A</v>
      </c>
      <c r="BX97" s="143" t="e">
        <f t="shared" si="48"/>
        <v>#N/A</v>
      </c>
      <c r="BY97" s="143" t="e">
        <f t="shared" si="49"/>
        <v>#N/A</v>
      </c>
      <c r="BZ97" s="143" t="e">
        <f t="shared" si="50"/>
        <v>#N/A</v>
      </c>
      <c r="CA97" s="143" t="e">
        <f t="shared" si="51"/>
        <v>#N/A</v>
      </c>
      <c r="CB97" s="143" t="e">
        <f t="shared" si="52"/>
        <v>#N/A</v>
      </c>
      <c r="CC97" s="143" t="e">
        <f t="shared" si="53"/>
        <v>#N/A</v>
      </c>
      <c r="CD97" s="143" t="e">
        <f t="shared" si="54"/>
        <v>#N/A</v>
      </c>
      <c r="CE97" s="143" t="e">
        <f t="shared" si="55"/>
        <v>#N/A</v>
      </c>
      <c r="CF97" s="143" t="e">
        <f t="shared" si="56"/>
        <v>#N/A</v>
      </c>
      <c r="CG97" s="143" t="e">
        <f t="shared" si="57"/>
        <v>#N/A</v>
      </c>
      <c r="CH97" s="143" t="e">
        <f t="shared" si="58"/>
        <v>#N/A</v>
      </c>
      <c r="CI97" t="e">
        <f t="shared" si="59"/>
        <v>#N/A</v>
      </c>
      <c r="CJ97" t="e">
        <f t="shared" si="60"/>
        <v>#N/A</v>
      </c>
      <c r="CK97" t="e">
        <f t="shared" si="61"/>
        <v>#N/A</v>
      </c>
      <c r="CL97" t="e">
        <f t="shared" si="62"/>
        <v>#N/A</v>
      </c>
      <c r="CM97" t="e">
        <f t="shared" si="63"/>
        <v>#N/A</v>
      </c>
      <c r="CN97" t="e">
        <f t="shared" si="64"/>
        <v>#N/A</v>
      </c>
      <c r="CO97" t="e">
        <f t="shared" si="65"/>
        <v>#N/A</v>
      </c>
      <c r="CP97" t="e">
        <f t="shared" si="66"/>
        <v>#N/A</v>
      </c>
      <c r="CQ97" t="e">
        <f t="shared" si="67"/>
        <v>#N/A</v>
      </c>
      <c r="CR97" t="e">
        <f t="shared" si="68"/>
        <v>#N/A</v>
      </c>
      <c r="CS97" t="e">
        <f t="shared" si="69"/>
        <v>#N/A</v>
      </c>
      <c r="CT97" t="e">
        <f t="shared" si="70"/>
        <v>#N/A</v>
      </c>
      <c r="CU97" t="e">
        <f t="shared" si="71"/>
        <v>#N/A</v>
      </c>
      <c r="CV97" t="e">
        <f t="shared" si="72"/>
        <v>#N/A</v>
      </c>
      <c r="CW97" t="e">
        <f t="shared" si="73"/>
        <v>#N/A</v>
      </c>
      <c r="CX97" t="e">
        <f t="shared" si="74"/>
        <v>#N/A</v>
      </c>
      <c r="CY97" t="e">
        <f t="shared" si="75"/>
        <v>#N/A</v>
      </c>
      <c r="CZ97" t="e">
        <f t="shared" si="76"/>
        <v>#N/A</v>
      </c>
      <c r="DA97" t="e">
        <f t="shared" si="77"/>
        <v>#N/A</v>
      </c>
      <c r="DB97" t="e">
        <f t="shared" si="78"/>
        <v>#N/A</v>
      </c>
      <c r="DC97" s="142" t="e">
        <f t="shared" si="79"/>
        <v>#N/A</v>
      </c>
      <c r="DD97" t="e">
        <f t="shared" si="80"/>
        <v>#N/A</v>
      </c>
      <c r="DE97" t="b">
        <f t="shared" si="81"/>
        <v>0</v>
      </c>
    </row>
    <row r="98" spans="1:109">
      <c r="A98">
        <f t="shared" si="82"/>
        <v>33</v>
      </c>
      <c r="B98" s="140" t="e">
        <f t="shared" si="83"/>
        <v>#N/A</v>
      </c>
      <c r="C98" s="140" t="e">
        <f t="shared" si="84"/>
        <v>#N/A</v>
      </c>
      <c r="D98" s="140" t="e">
        <f t="shared" si="85"/>
        <v>#N/A</v>
      </c>
      <c r="E98" s="140" t="e">
        <f t="shared" si="86"/>
        <v>#N/A</v>
      </c>
      <c r="F98" s="140" t="e">
        <f t="shared" si="87"/>
        <v>#N/A</v>
      </c>
      <c r="G98" s="140" t="e">
        <f t="shared" si="88"/>
        <v>#N/A</v>
      </c>
      <c r="H98" s="140" t="e">
        <f t="shared" si="89"/>
        <v>#N/A</v>
      </c>
      <c r="I98" s="140" t="e">
        <f t="shared" si="90"/>
        <v>#N/A</v>
      </c>
      <c r="J98" s="140" t="e">
        <f t="shared" si="91"/>
        <v>#N/A</v>
      </c>
      <c r="K98" s="140" t="e">
        <f t="shared" si="92"/>
        <v>#N/A</v>
      </c>
      <c r="L98" s="140" t="e">
        <f t="shared" si="93"/>
        <v>#N/A</v>
      </c>
      <c r="M98" s="140" t="e">
        <f t="shared" si="94"/>
        <v>#N/A</v>
      </c>
      <c r="N98" s="140" t="e">
        <f t="shared" si="95"/>
        <v>#N/A</v>
      </c>
      <c r="O98" s="140" t="e">
        <f t="shared" si="96"/>
        <v>#N/A</v>
      </c>
      <c r="P98" s="140" t="e">
        <f t="shared" si="97"/>
        <v>#N/A</v>
      </c>
      <c r="Q98" s="140" t="e">
        <f t="shared" si="98"/>
        <v>#N/A</v>
      </c>
      <c r="R98" s="140" t="e">
        <f t="shared" si="99"/>
        <v>#N/A</v>
      </c>
      <c r="S98" s="140" t="e">
        <f t="shared" si="100"/>
        <v>#N/A</v>
      </c>
      <c r="T98" s="140" t="e">
        <f t="shared" si="101"/>
        <v>#N/A</v>
      </c>
      <c r="U98" s="140" t="e">
        <f t="shared" si="102"/>
        <v>#N/A</v>
      </c>
      <c r="V98" s="141" t="str">
        <f t="shared" si="14"/>
        <v>DPS</v>
      </c>
      <c r="W98" s="141" t="str">
        <f t="shared" si="15"/>
        <v>DPS</v>
      </c>
      <c r="X98" s="141" t="str">
        <f t="shared" si="16"/>
        <v>DPS</v>
      </c>
      <c r="Y98" s="141" t="str">
        <f t="shared" si="17"/>
        <v>DPS</v>
      </c>
      <c r="Z98" s="141" t="str">
        <f t="shared" si="18"/>
        <v>DPS</v>
      </c>
      <c r="AA98" s="141" t="str">
        <f t="shared" si="19"/>
        <v>DPS</v>
      </c>
      <c r="AB98" s="141" t="str">
        <f t="shared" si="20"/>
        <v>DPS</v>
      </c>
      <c r="AC98" s="141" t="str">
        <f t="shared" si="21"/>
        <v>DPS</v>
      </c>
      <c r="AD98" s="141" t="str">
        <f t="shared" si="22"/>
        <v>DPS</v>
      </c>
      <c r="AE98" s="141" t="str">
        <f t="shared" si="23"/>
        <v>DPS</v>
      </c>
      <c r="AF98" s="141" t="str">
        <f t="shared" si="24"/>
        <v>DPS</v>
      </c>
      <c r="AG98" s="141" t="str">
        <f t="shared" si="25"/>
        <v>DPS</v>
      </c>
      <c r="AH98" s="141" t="str">
        <f t="shared" si="26"/>
        <v>DPS</v>
      </c>
      <c r="AI98" s="141" t="str">
        <f t="shared" si="27"/>
        <v>HPS</v>
      </c>
      <c r="AJ98" s="141" t="str">
        <f t="shared" si="28"/>
        <v>HPS</v>
      </c>
      <c r="AK98" s="141" t="str">
        <f t="shared" si="29"/>
        <v>HPS</v>
      </c>
      <c r="AL98" s="141" t="str">
        <f t="shared" si="30"/>
        <v>HPS</v>
      </c>
      <c r="AM98" s="141" t="str">
        <f t="shared" si="31"/>
        <v>HPS</v>
      </c>
      <c r="AN98" s="141" t="str">
        <f t="shared" si="32"/>
        <v>HPS</v>
      </c>
      <c r="AO98" s="141" t="str">
        <f t="shared" si="33"/>
        <v>HPS</v>
      </c>
      <c r="AP98" s="134" t="e">
        <f t="shared" si="103"/>
        <v>#N/A</v>
      </c>
      <c r="AQ98" s="134" t="e">
        <f t="shared" si="104"/>
        <v>#N/A</v>
      </c>
      <c r="AR98" s="134" t="e">
        <f t="shared" si="105"/>
        <v>#N/A</v>
      </c>
      <c r="AS98" s="134" t="e">
        <f t="shared" si="106"/>
        <v>#N/A</v>
      </c>
      <c r="AT98" s="134" t="e">
        <f t="shared" si="107"/>
        <v>#N/A</v>
      </c>
      <c r="AU98" s="134" t="e">
        <f t="shared" si="108"/>
        <v>#N/A</v>
      </c>
      <c r="AV98" s="134" t="e">
        <f t="shared" si="109"/>
        <v>#N/A</v>
      </c>
      <c r="AW98" s="134" t="e">
        <f t="shared" si="110"/>
        <v>#N/A</v>
      </c>
      <c r="AX98" s="134" t="e">
        <f t="shared" si="111"/>
        <v>#N/A</v>
      </c>
      <c r="AY98" s="134" t="e">
        <f t="shared" si="112"/>
        <v>#N/A</v>
      </c>
      <c r="AZ98" s="134" t="e">
        <f t="shared" si="113"/>
        <v>#N/A</v>
      </c>
      <c r="BA98" s="134" t="e">
        <f t="shared" si="114"/>
        <v>#N/A</v>
      </c>
      <c r="BB98" s="134" t="e">
        <f t="shared" si="115"/>
        <v>#N/A</v>
      </c>
      <c r="BC98" s="134" t="e">
        <f t="shared" si="116"/>
        <v>#N/A</v>
      </c>
      <c r="BD98" s="134" t="e">
        <f t="shared" si="117"/>
        <v>#N/A</v>
      </c>
      <c r="BE98" s="134" t="e">
        <f t="shared" si="118"/>
        <v>#N/A</v>
      </c>
      <c r="BF98" s="134" t="e">
        <f t="shared" si="119"/>
        <v>#N/A</v>
      </c>
      <c r="BG98" s="134" t="e">
        <f t="shared" si="120"/>
        <v>#N/A</v>
      </c>
      <c r="BH98" s="134" t="e">
        <f t="shared" si="121"/>
        <v>#N/A</v>
      </c>
      <c r="BI98" s="134" t="e">
        <f t="shared" si="122"/>
        <v>#N/A</v>
      </c>
      <c r="BJ98" t="e">
        <f t="shared" si="35"/>
        <v>#N/A</v>
      </c>
      <c r="BK98" t="e">
        <f t="shared" si="36"/>
        <v>#N/A</v>
      </c>
      <c r="BL98" s="142" t="e">
        <f t="shared" si="123"/>
        <v>#N/A</v>
      </c>
      <c r="BM98" s="142">
        <f t="shared" si="37"/>
        <v>2650</v>
      </c>
      <c r="BN98" t="e">
        <f t="shared" si="38"/>
        <v>#NUM!</v>
      </c>
      <c r="BO98" s="143" t="e">
        <f t="shared" si="39"/>
        <v>#N/A</v>
      </c>
      <c r="BP98" s="143" t="e">
        <f t="shared" si="40"/>
        <v>#N/A</v>
      </c>
      <c r="BQ98" s="143" t="e">
        <f t="shared" si="41"/>
        <v>#N/A</v>
      </c>
      <c r="BR98" s="143" t="e">
        <f t="shared" si="42"/>
        <v>#N/A</v>
      </c>
      <c r="BS98" s="143" t="e">
        <f t="shared" si="43"/>
        <v>#N/A</v>
      </c>
      <c r="BT98" s="143" t="e">
        <f t="shared" si="44"/>
        <v>#N/A</v>
      </c>
      <c r="BU98" s="143" t="e">
        <f t="shared" si="45"/>
        <v>#N/A</v>
      </c>
      <c r="BV98" s="143" t="e">
        <f t="shared" si="46"/>
        <v>#N/A</v>
      </c>
      <c r="BW98" s="143" t="e">
        <f t="shared" si="47"/>
        <v>#N/A</v>
      </c>
      <c r="BX98" s="143" t="e">
        <f t="shared" si="48"/>
        <v>#N/A</v>
      </c>
      <c r="BY98" s="143" t="e">
        <f t="shared" si="49"/>
        <v>#N/A</v>
      </c>
      <c r="BZ98" s="143" t="e">
        <f t="shared" si="50"/>
        <v>#N/A</v>
      </c>
      <c r="CA98" s="143" t="e">
        <f t="shared" si="51"/>
        <v>#N/A</v>
      </c>
      <c r="CB98" s="143" t="e">
        <f t="shared" si="52"/>
        <v>#N/A</v>
      </c>
      <c r="CC98" s="143" t="e">
        <f t="shared" si="53"/>
        <v>#N/A</v>
      </c>
      <c r="CD98" s="143" t="e">
        <f t="shared" si="54"/>
        <v>#N/A</v>
      </c>
      <c r="CE98" s="143" t="e">
        <f t="shared" si="55"/>
        <v>#N/A</v>
      </c>
      <c r="CF98" s="143" t="e">
        <f t="shared" si="56"/>
        <v>#N/A</v>
      </c>
      <c r="CG98" s="143" t="e">
        <f t="shared" si="57"/>
        <v>#N/A</v>
      </c>
      <c r="CH98" s="143" t="e">
        <f t="shared" si="58"/>
        <v>#N/A</v>
      </c>
      <c r="CI98" t="e">
        <f t="shared" si="59"/>
        <v>#N/A</v>
      </c>
      <c r="CJ98" t="e">
        <f t="shared" si="60"/>
        <v>#N/A</v>
      </c>
      <c r="CK98" t="e">
        <f t="shared" si="61"/>
        <v>#N/A</v>
      </c>
      <c r="CL98" t="e">
        <f t="shared" si="62"/>
        <v>#N/A</v>
      </c>
      <c r="CM98" t="e">
        <f t="shared" si="63"/>
        <v>#N/A</v>
      </c>
      <c r="CN98" t="e">
        <f t="shared" si="64"/>
        <v>#N/A</v>
      </c>
      <c r="CO98" t="e">
        <f t="shared" si="65"/>
        <v>#N/A</v>
      </c>
      <c r="CP98" t="e">
        <f t="shared" si="66"/>
        <v>#N/A</v>
      </c>
      <c r="CQ98" t="e">
        <f t="shared" si="67"/>
        <v>#N/A</v>
      </c>
      <c r="CR98" t="e">
        <f t="shared" si="68"/>
        <v>#N/A</v>
      </c>
      <c r="CS98" t="e">
        <f t="shared" si="69"/>
        <v>#N/A</v>
      </c>
      <c r="CT98" t="e">
        <f t="shared" si="70"/>
        <v>#N/A</v>
      </c>
      <c r="CU98" t="e">
        <f t="shared" si="71"/>
        <v>#N/A</v>
      </c>
      <c r="CV98" t="e">
        <f t="shared" si="72"/>
        <v>#N/A</v>
      </c>
      <c r="CW98" t="e">
        <f t="shared" si="73"/>
        <v>#N/A</v>
      </c>
      <c r="CX98" t="e">
        <f t="shared" si="74"/>
        <v>#N/A</v>
      </c>
      <c r="CY98" t="e">
        <f t="shared" si="75"/>
        <v>#N/A</v>
      </c>
      <c r="CZ98" t="e">
        <f t="shared" si="76"/>
        <v>#N/A</v>
      </c>
      <c r="DA98" t="e">
        <f t="shared" si="77"/>
        <v>#N/A</v>
      </c>
      <c r="DB98" t="e">
        <f t="shared" si="78"/>
        <v>#N/A</v>
      </c>
      <c r="DC98" s="142" t="e">
        <f t="shared" si="79"/>
        <v>#N/A</v>
      </c>
      <c r="DD98" t="e">
        <f t="shared" si="80"/>
        <v>#N/A</v>
      </c>
      <c r="DE98" t="b">
        <f t="shared" si="81"/>
        <v>0</v>
      </c>
    </row>
    <row r="99" spans="1:109">
      <c r="A99">
        <f t="shared" si="82"/>
        <v>34</v>
      </c>
      <c r="B99" s="140" t="e">
        <f t="shared" si="83"/>
        <v>#N/A</v>
      </c>
      <c r="C99" s="140" t="e">
        <f t="shared" si="84"/>
        <v>#N/A</v>
      </c>
      <c r="D99" s="140" t="e">
        <f t="shared" si="85"/>
        <v>#N/A</v>
      </c>
      <c r="E99" s="140" t="e">
        <f t="shared" si="86"/>
        <v>#N/A</v>
      </c>
      <c r="F99" s="140" t="e">
        <f t="shared" si="87"/>
        <v>#N/A</v>
      </c>
      <c r="G99" s="140" t="e">
        <f t="shared" si="88"/>
        <v>#N/A</v>
      </c>
      <c r="H99" s="140" t="e">
        <f t="shared" si="89"/>
        <v>#N/A</v>
      </c>
      <c r="I99" s="140" t="e">
        <f t="shared" si="90"/>
        <v>#N/A</v>
      </c>
      <c r="J99" s="140" t="e">
        <f t="shared" si="91"/>
        <v>#N/A</v>
      </c>
      <c r="K99" s="140" t="e">
        <f t="shared" si="92"/>
        <v>#N/A</v>
      </c>
      <c r="L99" s="140" t="e">
        <f t="shared" si="93"/>
        <v>#N/A</v>
      </c>
      <c r="M99" s="140" t="e">
        <f t="shared" si="94"/>
        <v>#N/A</v>
      </c>
      <c r="N99" s="140" t="e">
        <f t="shared" si="95"/>
        <v>#N/A</v>
      </c>
      <c r="O99" s="140" t="e">
        <f t="shared" si="96"/>
        <v>#N/A</v>
      </c>
      <c r="P99" s="140" t="e">
        <f t="shared" si="97"/>
        <v>#N/A</v>
      </c>
      <c r="Q99" s="140" t="e">
        <f t="shared" si="98"/>
        <v>#N/A</v>
      </c>
      <c r="R99" s="140" t="e">
        <f t="shared" si="99"/>
        <v>#N/A</v>
      </c>
      <c r="S99" s="140" t="e">
        <f t="shared" si="100"/>
        <v>#N/A</v>
      </c>
      <c r="T99" s="140" t="e">
        <f t="shared" si="101"/>
        <v>#N/A</v>
      </c>
      <c r="U99" s="140" t="e">
        <f t="shared" si="102"/>
        <v>#N/A</v>
      </c>
      <c r="V99" s="141" t="str">
        <f t="shared" si="14"/>
        <v>DPS</v>
      </c>
      <c r="W99" s="141" t="str">
        <f t="shared" si="15"/>
        <v>DPS</v>
      </c>
      <c r="X99" s="141" t="str">
        <f t="shared" si="16"/>
        <v>DPS</v>
      </c>
      <c r="Y99" s="141" t="str">
        <f t="shared" si="17"/>
        <v>DPS</v>
      </c>
      <c r="Z99" s="141" t="str">
        <f t="shared" si="18"/>
        <v>DPS</v>
      </c>
      <c r="AA99" s="141" t="str">
        <f t="shared" si="19"/>
        <v>DPS</v>
      </c>
      <c r="AB99" s="141" t="str">
        <f t="shared" si="20"/>
        <v>DPS</v>
      </c>
      <c r="AC99" s="141" t="str">
        <f t="shared" si="21"/>
        <v>DPS</v>
      </c>
      <c r="AD99" s="141" t="str">
        <f t="shared" si="22"/>
        <v>DPS</v>
      </c>
      <c r="AE99" s="141" t="str">
        <f t="shared" si="23"/>
        <v>DPS</v>
      </c>
      <c r="AF99" s="141" t="str">
        <f t="shared" si="24"/>
        <v>DPS</v>
      </c>
      <c r="AG99" s="141" t="str">
        <f t="shared" si="25"/>
        <v>DPS</v>
      </c>
      <c r="AH99" s="141" t="str">
        <f t="shared" si="26"/>
        <v>DPS</v>
      </c>
      <c r="AI99" s="141" t="str">
        <f t="shared" si="27"/>
        <v>HPS</v>
      </c>
      <c r="AJ99" s="141" t="str">
        <f t="shared" si="28"/>
        <v>HPS</v>
      </c>
      <c r="AK99" s="141" t="str">
        <f t="shared" si="29"/>
        <v>HPS</v>
      </c>
      <c r="AL99" s="141" t="str">
        <f t="shared" si="30"/>
        <v>HPS</v>
      </c>
      <c r="AM99" s="141" t="str">
        <f t="shared" si="31"/>
        <v>HPS</v>
      </c>
      <c r="AN99" s="141" t="str">
        <f t="shared" si="32"/>
        <v>HPS</v>
      </c>
      <c r="AO99" s="141" t="str">
        <f t="shared" si="33"/>
        <v>HPS</v>
      </c>
      <c r="AP99" s="134" t="e">
        <f t="shared" si="103"/>
        <v>#N/A</v>
      </c>
      <c r="AQ99" s="134" t="e">
        <f t="shared" si="104"/>
        <v>#N/A</v>
      </c>
      <c r="AR99" s="134" t="e">
        <f t="shared" si="105"/>
        <v>#N/A</v>
      </c>
      <c r="AS99" s="134" t="e">
        <f t="shared" si="106"/>
        <v>#N/A</v>
      </c>
      <c r="AT99" s="134" t="e">
        <f t="shared" si="107"/>
        <v>#N/A</v>
      </c>
      <c r="AU99" s="134" t="e">
        <f t="shared" si="108"/>
        <v>#N/A</v>
      </c>
      <c r="AV99" s="134" t="e">
        <f t="shared" si="109"/>
        <v>#N/A</v>
      </c>
      <c r="AW99" s="134" t="e">
        <f t="shared" si="110"/>
        <v>#N/A</v>
      </c>
      <c r="AX99" s="134" t="e">
        <f t="shared" si="111"/>
        <v>#N/A</v>
      </c>
      <c r="AY99" s="134" t="e">
        <f t="shared" si="112"/>
        <v>#N/A</v>
      </c>
      <c r="AZ99" s="134" t="e">
        <f t="shared" si="113"/>
        <v>#N/A</v>
      </c>
      <c r="BA99" s="134" t="e">
        <f t="shared" si="114"/>
        <v>#N/A</v>
      </c>
      <c r="BB99" s="134" t="e">
        <f t="shared" si="115"/>
        <v>#N/A</v>
      </c>
      <c r="BC99" s="134" t="e">
        <f t="shared" si="116"/>
        <v>#N/A</v>
      </c>
      <c r="BD99" s="134" t="e">
        <f t="shared" si="117"/>
        <v>#N/A</v>
      </c>
      <c r="BE99" s="134" t="e">
        <f t="shared" si="118"/>
        <v>#N/A</v>
      </c>
      <c r="BF99" s="134" t="e">
        <f t="shared" si="119"/>
        <v>#N/A</v>
      </c>
      <c r="BG99" s="134" t="e">
        <f t="shared" si="120"/>
        <v>#N/A</v>
      </c>
      <c r="BH99" s="134" t="e">
        <f t="shared" si="121"/>
        <v>#N/A</v>
      </c>
      <c r="BI99" s="134" t="e">
        <f t="shared" si="122"/>
        <v>#N/A</v>
      </c>
      <c r="BJ99" t="e">
        <f t="shared" si="35"/>
        <v>#N/A</v>
      </c>
      <c r="BK99" t="e">
        <f t="shared" si="36"/>
        <v>#N/A</v>
      </c>
      <c r="BL99" s="142" t="e">
        <f t="shared" si="123"/>
        <v>#N/A</v>
      </c>
      <c r="BM99" s="142">
        <f t="shared" si="37"/>
        <v>2650</v>
      </c>
      <c r="BN99" t="e">
        <f t="shared" si="38"/>
        <v>#NUM!</v>
      </c>
      <c r="BO99" s="143" t="e">
        <f t="shared" si="39"/>
        <v>#N/A</v>
      </c>
      <c r="BP99" s="143" t="e">
        <f t="shared" si="40"/>
        <v>#N/A</v>
      </c>
      <c r="BQ99" s="143" t="e">
        <f t="shared" si="41"/>
        <v>#N/A</v>
      </c>
      <c r="BR99" s="143" t="e">
        <f t="shared" si="42"/>
        <v>#N/A</v>
      </c>
      <c r="BS99" s="143" t="e">
        <f t="shared" si="43"/>
        <v>#N/A</v>
      </c>
      <c r="BT99" s="143" t="e">
        <f t="shared" si="44"/>
        <v>#N/A</v>
      </c>
      <c r="BU99" s="143" t="e">
        <f t="shared" si="45"/>
        <v>#N/A</v>
      </c>
      <c r="BV99" s="143" t="e">
        <f t="shared" si="46"/>
        <v>#N/A</v>
      </c>
      <c r="BW99" s="143" t="e">
        <f t="shared" si="47"/>
        <v>#N/A</v>
      </c>
      <c r="BX99" s="143" t="e">
        <f t="shared" si="48"/>
        <v>#N/A</v>
      </c>
      <c r="BY99" s="143" t="e">
        <f t="shared" si="49"/>
        <v>#N/A</v>
      </c>
      <c r="BZ99" s="143" t="e">
        <f t="shared" si="50"/>
        <v>#N/A</v>
      </c>
      <c r="CA99" s="143" t="e">
        <f t="shared" si="51"/>
        <v>#N/A</v>
      </c>
      <c r="CB99" s="143" t="e">
        <f t="shared" si="52"/>
        <v>#N/A</v>
      </c>
      <c r="CC99" s="143" t="e">
        <f t="shared" si="53"/>
        <v>#N/A</v>
      </c>
      <c r="CD99" s="143" t="e">
        <f t="shared" si="54"/>
        <v>#N/A</v>
      </c>
      <c r="CE99" s="143" t="e">
        <f t="shared" si="55"/>
        <v>#N/A</v>
      </c>
      <c r="CF99" s="143" t="e">
        <f t="shared" si="56"/>
        <v>#N/A</v>
      </c>
      <c r="CG99" s="143" t="e">
        <f t="shared" si="57"/>
        <v>#N/A</v>
      </c>
      <c r="CH99" s="143" t="e">
        <f t="shared" si="58"/>
        <v>#N/A</v>
      </c>
      <c r="CI99" t="e">
        <f t="shared" si="59"/>
        <v>#N/A</v>
      </c>
      <c r="CJ99" t="e">
        <f t="shared" si="60"/>
        <v>#N/A</v>
      </c>
      <c r="CK99" t="e">
        <f t="shared" si="61"/>
        <v>#N/A</v>
      </c>
      <c r="CL99" t="e">
        <f t="shared" si="62"/>
        <v>#N/A</v>
      </c>
      <c r="CM99" t="e">
        <f t="shared" si="63"/>
        <v>#N/A</v>
      </c>
      <c r="CN99" t="e">
        <f t="shared" si="64"/>
        <v>#N/A</v>
      </c>
      <c r="CO99" t="e">
        <f t="shared" si="65"/>
        <v>#N/A</v>
      </c>
      <c r="CP99" t="e">
        <f t="shared" si="66"/>
        <v>#N/A</v>
      </c>
      <c r="CQ99" t="e">
        <f t="shared" si="67"/>
        <v>#N/A</v>
      </c>
      <c r="CR99" t="e">
        <f t="shared" si="68"/>
        <v>#N/A</v>
      </c>
      <c r="CS99" t="e">
        <f t="shared" si="69"/>
        <v>#N/A</v>
      </c>
      <c r="CT99" t="e">
        <f t="shared" si="70"/>
        <v>#N/A</v>
      </c>
      <c r="CU99" t="e">
        <f t="shared" si="71"/>
        <v>#N/A</v>
      </c>
      <c r="CV99" t="e">
        <f t="shared" si="72"/>
        <v>#N/A</v>
      </c>
      <c r="CW99" t="e">
        <f t="shared" si="73"/>
        <v>#N/A</v>
      </c>
      <c r="CX99" t="e">
        <f t="shared" si="74"/>
        <v>#N/A</v>
      </c>
      <c r="CY99" t="e">
        <f t="shared" si="75"/>
        <v>#N/A</v>
      </c>
      <c r="CZ99" t="e">
        <f t="shared" si="76"/>
        <v>#N/A</v>
      </c>
      <c r="DA99" t="e">
        <f t="shared" si="77"/>
        <v>#N/A</v>
      </c>
      <c r="DB99" t="e">
        <f t="shared" si="78"/>
        <v>#N/A</v>
      </c>
      <c r="DC99" s="142" t="e">
        <f t="shared" si="79"/>
        <v>#N/A</v>
      </c>
      <c r="DD99" t="e">
        <f t="shared" si="80"/>
        <v>#N/A</v>
      </c>
      <c r="DE99" t="b">
        <f t="shared" si="81"/>
        <v>0</v>
      </c>
    </row>
    <row r="100" spans="1:109">
      <c r="A100">
        <f t="shared" si="82"/>
        <v>35</v>
      </c>
      <c r="B100" s="140" t="e">
        <f t="shared" si="83"/>
        <v>#N/A</v>
      </c>
      <c r="C100" s="140" t="e">
        <f t="shared" si="84"/>
        <v>#N/A</v>
      </c>
      <c r="D100" s="140" t="e">
        <f t="shared" si="85"/>
        <v>#N/A</v>
      </c>
      <c r="E100" s="140" t="e">
        <f t="shared" si="86"/>
        <v>#N/A</v>
      </c>
      <c r="F100" s="140" t="e">
        <f t="shared" si="87"/>
        <v>#N/A</v>
      </c>
      <c r="G100" s="140" t="e">
        <f t="shared" si="88"/>
        <v>#N/A</v>
      </c>
      <c r="H100" s="140" t="e">
        <f t="shared" si="89"/>
        <v>#N/A</v>
      </c>
      <c r="I100" s="140" t="e">
        <f t="shared" si="90"/>
        <v>#N/A</v>
      </c>
      <c r="J100" s="140" t="e">
        <f t="shared" si="91"/>
        <v>#N/A</v>
      </c>
      <c r="K100" s="140" t="e">
        <f t="shared" si="92"/>
        <v>#N/A</v>
      </c>
      <c r="L100" s="140" t="e">
        <f t="shared" si="93"/>
        <v>#N/A</v>
      </c>
      <c r="M100" s="140" t="e">
        <f t="shared" si="94"/>
        <v>#N/A</v>
      </c>
      <c r="N100" s="140" t="e">
        <f t="shared" si="95"/>
        <v>#N/A</v>
      </c>
      <c r="O100" s="140" t="e">
        <f t="shared" si="96"/>
        <v>#N/A</v>
      </c>
      <c r="P100" s="140" t="e">
        <f t="shared" si="97"/>
        <v>#N/A</v>
      </c>
      <c r="Q100" s="140" t="e">
        <f t="shared" si="98"/>
        <v>#N/A</v>
      </c>
      <c r="R100" s="140" t="e">
        <f t="shared" si="99"/>
        <v>#N/A</v>
      </c>
      <c r="S100" s="140" t="e">
        <f t="shared" si="100"/>
        <v>#N/A</v>
      </c>
      <c r="T100" s="140" t="e">
        <f t="shared" si="101"/>
        <v>#N/A</v>
      </c>
      <c r="U100" s="140" t="e">
        <f t="shared" si="102"/>
        <v>#N/A</v>
      </c>
      <c r="V100" s="141" t="str">
        <f t="shared" si="14"/>
        <v>DPS</v>
      </c>
      <c r="W100" s="141" t="str">
        <f t="shared" si="15"/>
        <v>DPS</v>
      </c>
      <c r="X100" s="141" t="str">
        <f t="shared" si="16"/>
        <v>DPS</v>
      </c>
      <c r="Y100" s="141" t="str">
        <f t="shared" si="17"/>
        <v>DPS</v>
      </c>
      <c r="Z100" s="141" t="str">
        <f t="shared" si="18"/>
        <v>DPS</v>
      </c>
      <c r="AA100" s="141" t="str">
        <f t="shared" si="19"/>
        <v>DPS</v>
      </c>
      <c r="AB100" s="141" t="str">
        <f t="shared" si="20"/>
        <v>DPS</v>
      </c>
      <c r="AC100" s="141" t="str">
        <f t="shared" si="21"/>
        <v>DPS</v>
      </c>
      <c r="AD100" s="141" t="str">
        <f t="shared" si="22"/>
        <v>DPS</v>
      </c>
      <c r="AE100" s="141" t="str">
        <f t="shared" si="23"/>
        <v>DPS</v>
      </c>
      <c r="AF100" s="141" t="str">
        <f t="shared" si="24"/>
        <v>DPS</v>
      </c>
      <c r="AG100" s="141" t="str">
        <f t="shared" si="25"/>
        <v>DPS</v>
      </c>
      <c r="AH100" s="141" t="str">
        <f t="shared" si="26"/>
        <v>DPS</v>
      </c>
      <c r="AI100" s="141" t="str">
        <f t="shared" si="27"/>
        <v>HPS</v>
      </c>
      <c r="AJ100" s="141" t="str">
        <f t="shared" si="28"/>
        <v>HPS</v>
      </c>
      <c r="AK100" s="141" t="str">
        <f t="shared" si="29"/>
        <v>HPS</v>
      </c>
      <c r="AL100" s="141" t="str">
        <f t="shared" si="30"/>
        <v>HPS</v>
      </c>
      <c r="AM100" s="141" t="str">
        <f t="shared" si="31"/>
        <v>HPS</v>
      </c>
      <c r="AN100" s="141" t="str">
        <f t="shared" si="32"/>
        <v>HPS</v>
      </c>
      <c r="AO100" s="141" t="str">
        <f t="shared" si="33"/>
        <v>HPS</v>
      </c>
      <c r="AP100" s="134" t="e">
        <f t="shared" si="103"/>
        <v>#N/A</v>
      </c>
      <c r="AQ100" s="134" t="e">
        <f t="shared" si="104"/>
        <v>#N/A</v>
      </c>
      <c r="AR100" s="134" t="e">
        <f t="shared" si="105"/>
        <v>#N/A</v>
      </c>
      <c r="AS100" s="134" t="e">
        <f t="shared" si="106"/>
        <v>#N/A</v>
      </c>
      <c r="AT100" s="134" t="e">
        <f t="shared" si="107"/>
        <v>#N/A</v>
      </c>
      <c r="AU100" s="134" t="e">
        <f t="shared" si="108"/>
        <v>#N/A</v>
      </c>
      <c r="AV100" s="134" t="e">
        <f t="shared" si="109"/>
        <v>#N/A</v>
      </c>
      <c r="AW100" s="134" t="e">
        <f t="shared" si="110"/>
        <v>#N/A</v>
      </c>
      <c r="AX100" s="134" t="e">
        <f t="shared" si="111"/>
        <v>#N/A</v>
      </c>
      <c r="AY100" s="134" t="e">
        <f t="shared" si="112"/>
        <v>#N/A</v>
      </c>
      <c r="AZ100" s="134" t="e">
        <f t="shared" si="113"/>
        <v>#N/A</v>
      </c>
      <c r="BA100" s="134" t="e">
        <f t="shared" si="114"/>
        <v>#N/A</v>
      </c>
      <c r="BB100" s="134" t="e">
        <f t="shared" si="115"/>
        <v>#N/A</v>
      </c>
      <c r="BC100" s="134" t="e">
        <f t="shared" si="116"/>
        <v>#N/A</v>
      </c>
      <c r="BD100" s="134" t="e">
        <f t="shared" si="117"/>
        <v>#N/A</v>
      </c>
      <c r="BE100" s="134" t="e">
        <f t="shared" si="118"/>
        <v>#N/A</v>
      </c>
      <c r="BF100" s="134" t="e">
        <f t="shared" si="119"/>
        <v>#N/A</v>
      </c>
      <c r="BG100" s="134" t="e">
        <f t="shared" si="120"/>
        <v>#N/A</v>
      </c>
      <c r="BH100" s="134" t="e">
        <f t="shared" si="121"/>
        <v>#N/A</v>
      </c>
      <c r="BI100" s="134" t="e">
        <f t="shared" si="122"/>
        <v>#N/A</v>
      </c>
      <c r="BJ100" t="e">
        <f t="shared" si="35"/>
        <v>#N/A</v>
      </c>
      <c r="BK100" t="e">
        <f t="shared" si="36"/>
        <v>#N/A</v>
      </c>
      <c r="BL100" s="142" t="e">
        <f t="shared" si="123"/>
        <v>#N/A</v>
      </c>
      <c r="BM100" s="142">
        <f t="shared" si="37"/>
        <v>2650</v>
      </c>
      <c r="BN100" t="e">
        <f t="shared" si="38"/>
        <v>#NUM!</v>
      </c>
      <c r="BO100" s="143" t="e">
        <f t="shared" si="39"/>
        <v>#N/A</v>
      </c>
      <c r="BP100" s="143" t="e">
        <f t="shared" si="40"/>
        <v>#N/A</v>
      </c>
      <c r="BQ100" s="143" t="e">
        <f t="shared" si="41"/>
        <v>#N/A</v>
      </c>
      <c r="BR100" s="143" t="e">
        <f t="shared" si="42"/>
        <v>#N/A</v>
      </c>
      <c r="BS100" s="143" t="e">
        <f t="shared" si="43"/>
        <v>#N/A</v>
      </c>
      <c r="BT100" s="143" t="e">
        <f t="shared" si="44"/>
        <v>#N/A</v>
      </c>
      <c r="BU100" s="143" t="e">
        <f t="shared" si="45"/>
        <v>#N/A</v>
      </c>
      <c r="BV100" s="143" t="e">
        <f t="shared" si="46"/>
        <v>#N/A</v>
      </c>
      <c r="BW100" s="143" t="e">
        <f t="shared" si="47"/>
        <v>#N/A</v>
      </c>
      <c r="BX100" s="143" t="e">
        <f t="shared" si="48"/>
        <v>#N/A</v>
      </c>
      <c r="BY100" s="143" t="e">
        <f t="shared" si="49"/>
        <v>#N/A</v>
      </c>
      <c r="BZ100" s="143" t="e">
        <f t="shared" si="50"/>
        <v>#N/A</v>
      </c>
      <c r="CA100" s="143" t="e">
        <f t="shared" si="51"/>
        <v>#N/A</v>
      </c>
      <c r="CB100" s="143" t="e">
        <f t="shared" si="52"/>
        <v>#N/A</v>
      </c>
      <c r="CC100" s="143" t="e">
        <f t="shared" si="53"/>
        <v>#N/A</v>
      </c>
      <c r="CD100" s="143" t="e">
        <f t="shared" si="54"/>
        <v>#N/A</v>
      </c>
      <c r="CE100" s="143" t="e">
        <f t="shared" si="55"/>
        <v>#N/A</v>
      </c>
      <c r="CF100" s="143" t="e">
        <f t="shared" si="56"/>
        <v>#N/A</v>
      </c>
      <c r="CG100" s="143" t="e">
        <f t="shared" si="57"/>
        <v>#N/A</v>
      </c>
      <c r="CH100" s="143" t="e">
        <f t="shared" si="58"/>
        <v>#N/A</v>
      </c>
      <c r="CI100" t="e">
        <f t="shared" si="59"/>
        <v>#N/A</v>
      </c>
      <c r="CJ100" t="e">
        <f t="shared" si="60"/>
        <v>#N/A</v>
      </c>
      <c r="CK100" t="e">
        <f t="shared" si="61"/>
        <v>#N/A</v>
      </c>
      <c r="CL100" t="e">
        <f t="shared" si="62"/>
        <v>#N/A</v>
      </c>
      <c r="CM100" t="e">
        <f t="shared" si="63"/>
        <v>#N/A</v>
      </c>
      <c r="CN100" t="e">
        <f t="shared" si="64"/>
        <v>#N/A</v>
      </c>
      <c r="CO100" t="e">
        <f t="shared" si="65"/>
        <v>#N/A</v>
      </c>
      <c r="CP100" t="e">
        <f t="shared" si="66"/>
        <v>#N/A</v>
      </c>
      <c r="CQ100" t="e">
        <f t="shared" si="67"/>
        <v>#N/A</v>
      </c>
      <c r="CR100" t="e">
        <f t="shared" si="68"/>
        <v>#N/A</v>
      </c>
      <c r="CS100" t="e">
        <f t="shared" si="69"/>
        <v>#N/A</v>
      </c>
      <c r="CT100" t="e">
        <f t="shared" si="70"/>
        <v>#N/A</v>
      </c>
      <c r="CU100" t="e">
        <f t="shared" si="71"/>
        <v>#N/A</v>
      </c>
      <c r="CV100" t="e">
        <f t="shared" si="72"/>
        <v>#N/A</v>
      </c>
      <c r="CW100" t="e">
        <f t="shared" si="73"/>
        <v>#N/A</v>
      </c>
      <c r="CX100" t="e">
        <f t="shared" si="74"/>
        <v>#N/A</v>
      </c>
      <c r="CY100" t="e">
        <f t="shared" si="75"/>
        <v>#N/A</v>
      </c>
      <c r="CZ100" t="e">
        <f t="shared" si="76"/>
        <v>#N/A</v>
      </c>
      <c r="DA100" t="e">
        <f t="shared" si="77"/>
        <v>#N/A</v>
      </c>
      <c r="DB100" t="e">
        <f t="shared" si="78"/>
        <v>#N/A</v>
      </c>
      <c r="DC100" s="142" t="e">
        <f t="shared" si="79"/>
        <v>#N/A</v>
      </c>
      <c r="DD100" t="e">
        <f t="shared" si="80"/>
        <v>#N/A</v>
      </c>
      <c r="DE100" t="b">
        <f t="shared" si="81"/>
        <v>0</v>
      </c>
    </row>
    <row r="101" spans="1:109">
      <c r="A101">
        <f t="shared" si="82"/>
        <v>36</v>
      </c>
      <c r="B101" s="140" t="e">
        <f t="shared" si="83"/>
        <v>#N/A</v>
      </c>
      <c r="C101" s="140" t="e">
        <f t="shared" si="84"/>
        <v>#N/A</v>
      </c>
      <c r="D101" s="140" t="e">
        <f t="shared" si="85"/>
        <v>#N/A</v>
      </c>
      <c r="E101" s="140" t="e">
        <f t="shared" si="86"/>
        <v>#N/A</v>
      </c>
      <c r="F101" s="140" t="e">
        <f t="shared" si="87"/>
        <v>#N/A</v>
      </c>
      <c r="G101" s="140" t="e">
        <f t="shared" si="88"/>
        <v>#N/A</v>
      </c>
      <c r="H101" s="140" t="e">
        <f t="shared" si="89"/>
        <v>#N/A</v>
      </c>
      <c r="I101" s="140" t="e">
        <f t="shared" si="90"/>
        <v>#N/A</v>
      </c>
      <c r="J101" s="140" t="e">
        <f t="shared" si="91"/>
        <v>#N/A</v>
      </c>
      <c r="K101" s="140" t="e">
        <f t="shared" si="92"/>
        <v>#N/A</v>
      </c>
      <c r="L101" s="140" t="e">
        <f t="shared" si="93"/>
        <v>#N/A</v>
      </c>
      <c r="M101" s="140" t="e">
        <f t="shared" si="94"/>
        <v>#N/A</v>
      </c>
      <c r="N101" s="140" t="e">
        <f t="shared" si="95"/>
        <v>#N/A</v>
      </c>
      <c r="O101" s="140" t="e">
        <f t="shared" si="96"/>
        <v>#N/A</v>
      </c>
      <c r="P101" s="140" t="e">
        <f t="shared" si="97"/>
        <v>#N/A</v>
      </c>
      <c r="Q101" s="140" t="e">
        <f t="shared" si="98"/>
        <v>#N/A</v>
      </c>
      <c r="R101" s="140" t="e">
        <f t="shared" si="99"/>
        <v>#N/A</v>
      </c>
      <c r="S101" s="140" t="e">
        <f t="shared" si="100"/>
        <v>#N/A</v>
      </c>
      <c r="T101" s="140" t="e">
        <f t="shared" si="101"/>
        <v>#N/A</v>
      </c>
      <c r="U101" s="140" t="e">
        <f t="shared" si="102"/>
        <v>#N/A</v>
      </c>
      <c r="V101" s="141" t="str">
        <f t="shared" si="14"/>
        <v>DPS</v>
      </c>
      <c r="W101" s="141" t="str">
        <f t="shared" si="15"/>
        <v>DPS</v>
      </c>
      <c r="X101" s="141" t="str">
        <f t="shared" si="16"/>
        <v>DPS</v>
      </c>
      <c r="Y101" s="141" t="str">
        <f t="shared" si="17"/>
        <v>DPS</v>
      </c>
      <c r="Z101" s="141" t="str">
        <f t="shared" si="18"/>
        <v>DPS</v>
      </c>
      <c r="AA101" s="141" t="str">
        <f t="shared" si="19"/>
        <v>DPS</v>
      </c>
      <c r="AB101" s="141" t="str">
        <f t="shared" si="20"/>
        <v>DPS</v>
      </c>
      <c r="AC101" s="141" t="str">
        <f t="shared" si="21"/>
        <v>DPS</v>
      </c>
      <c r="AD101" s="141" t="str">
        <f t="shared" si="22"/>
        <v>DPS</v>
      </c>
      <c r="AE101" s="141" t="str">
        <f t="shared" si="23"/>
        <v>DPS</v>
      </c>
      <c r="AF101" s="141" t="str">
        <f t="shared" si="24"/>
        <v>DPS</v>
      </c>
      <c r="AG101" s="141" t="str">
        <f t="shared" si="25"/>
        <v>DPS</v>
      </c>
      <c r="AH101" s="141" t="str">
        <f t="shared" si="26"/>
        <v>DPS</v>
      </c>
      <c r="AI101" s="141" t="str">
        <f t="shared" si="27"/>
        <v>HPS</v>
      </c>
      <c r="AJ101" s="141" t="str">
        <f t="shared" si="28"/>
        <v>HPS</v>
      </c>
      <c r="AK101" s="141" t="str">
        <f t="shared" si="29"/>
        <v>HPS</v>
      </c>
      <c r="AL101" s="141" t="str">
        <f t="shared" si="30"/>
        <v>HPS</v>
      </c>
      <c r="AM101" s="141" t="str">
        <f t="shared" si="31"/>
        <v>HPS</v>
      </c>
      <c r="AN101" s="141" t="str">
        <f t="shared" si="32"/>
        <v>HPS</v>
      </c>
      <c r="AO101" s="141" t="str">
        <f t="shared" si="33"/>
        <v>HPS</v>
      </c>
      <c r="AP101" s="134" t="e">
        <f t="shared" si="103"/>
        <v>#N/A</v>
      </c>
      <c r="AQ101" s="134" t="e">
        <f t="shared" si="104"/>
        <v>#N/A</v>
      </c>
      <c r="AR101" s="134" t="e">
        <f t="shared" si="105"/>
        <v>#N/A</v>
      </c>
      <c r="AS101" s="134" t="e">
        <f t="shared" si="106"/>
        <v>#N/A</v>
      </c>
      <c r="AT101" s="134" t="e">
        <f t="shared" si="107"/>
        <v>#N/A</v>
      </c>
      <c r="AU101" s="134" t="e">
        <f t="shared" si="108"/>
        <v>#N/A</v>
      </c>
      <c r="AV101" s="134" t="e">
        <f t="shared" si="109"/>
        <v>#N/A</v>
      </c>
      <c r="AW101" s="134" t="e">
        <f t="shared" si="110"/>
        <v>#N/A</v>
      </c>
      <c r="AX101" s="134" t="e">
        <f t="shared" si="111"/>
        <v>#N/A</v>
      </c>
      <c r="AY101" s="134" t="e">
        <f t="shared" si="112"/>
        <v>#N/A</v>
      </c>
      <c r="AZ101" s="134" t="e">
        <f t="shared" si="113"/>
        <v>#N/A</v>
      </c>
      <c r="BA101" s="134" t="e">
        <f t="shared" si="114"/>
        <v>#N/A</v>
      </c>
      <c r="BB101" s="134" t="e">
        <f t="shared" si="115"/>
        <v>#N/A</v>
      </c>
      <c r="BC101" s="134" t="e">
        <f t="shared" si="116"/>
        <v>#N/A</v>
      </c>
      <c r="BD101" s="134" t="e">
        <f t="shared" si="117"/>
        <v>#N/A</v>
      </c>
      <c r="BE101" s="134" t="e">
        <f t="shared" si="118"/>
        <v>#N/A</v>
      </c>
      <c r="BF101" s="134" t="e">
        <f t="shared" si="119"/>
        <v>#N/A</v>
      </c>
      <c r="BG101" s="134" t="e">
        <f t="shared" si="120"/>
        <v>#N/A</v>
      </c>
      <c r="BH101" s="134" t="e">
        <f t="shared" si="121"/>
        <v>#N/A</v>
      </c>
      <c r="BI101" s="134" t="e">
        <f t="shared" si="122"/>
        <v>#N/A</v>
      </c>
      <c r="BJ101" t="e">
        <f t="shared" si="35"/>
        <v>#N/A</v>
      </c>
      <c r="BK101" t="e">
        <f t="shared" si="36"/>
        <v>#N/A</v>
      </c>
      <c r="BL101" s="142" t="e">
        <f t="shared" si="123"/>
        <v>#N/A</v>
      </c>
      <c r="BM101" s="142">
        <f t="shared" si="37"/>
        <v>2650</v>
      </c>
      <c r="BN101" t="e">
        <f t="shared" si="38"/>
        <v>#NUM!</v>
      </c>
      <c r="BO101" s="143" t="e">
        <f t="shared" si="39"/>
        <v>#N/A</v>
      </c>
      <c r="BP101" s="143" t="e">
        <f t="shared" si="40"/>
        <v>#N/A</v>
      </c>
      <c r="BQ101" s="143" t="e">
        <f t="shared" si="41"/>
        <v>#N/A</v>
      </c>
      <c r="BR101" s="143" t="e">
        <f t="shared" si="42"/>
        <v>#N/A</v>
      </c>
      <c r="BS101" s="143" t="e">
        <f t="shared" si="43"/>
        <v>#N/A</v>
      </c>
      <c r="BT101" s="143" t="e">
        <f t="shared" si="44"/>
        <v>#N/A</v>
      </c>
      <c r="BU101" s="143" t="e">
        <f t="shared" si="45"/>
        <v>#N/A</v>
      </c>
      <c r="BV101" s="143" t="e">
        <f t="shared" si="46"/>
        <v>#N/A</v>
      </c>
      <c r="BW101" s="143" t="e">
        <f t="shared" si="47"/>
        <v>#N/A</v>
      </c>
      <c r="BX101" s="143" t="e">
        <f t="shared" si="48"/>
        <v>#N/A</v>
      </c>
      <c r="BY101" s="143" t="e">
        <f t="shared" si="49"/>
        <v>#N/A</v>
      </c>
      <c r="BZ101" s="143" t="e">
        <f t="shared" si="50"/>
        <v>#N/A</v>
      </c>
      <c r="CA101" s="143" t="e">
        <f t="shared" si="51"/>
        <v>#N/A</v>
      </c>
      <c r="CB101" s="143" t="e">
        <f t="shared" si="52"/>
        <v>#N/A</v>
      </c>
      <c r="CC101" s="143" t="e">
        <f t="shared" si="53"/>
        <v>#N/A</v>
      </c>
      <c r="CD101" s="143" t="e">
        <f t="shared" si="54"/>
        <v>#N/A</v>
      </c>
      <c r="CE101" s="143" t="e">
        <f t="shared" si="55"/>
        <v>#N/A</v>
      </c>
      <c r="CF101" s="143" t="e">
        <f t="shared" si="56"/>
        <v>#N/A</v>
      </c>
      <c r="CG101" s="143" t="e">
        <f t="shared" si="57"/>
        <v>#N/A</v>
      </c>
      <c r="CH101" s="143" t="e">
        <f t="shared" si="58"/>
        <v>#N/A</v>
      </c>
      <c r="CI101" t="e">
        <f t="shared" si="59"/>
        <v>#N/A</v>
      </c>
      <c r="CJ101" t="e">
        <f t="shared" si="60"/>
        <v>#N/A</v>
      </c>
      <c r="CK101" t="e">
        <f t="shared" si="61"/>
        <v>#N/A</v>
      </c>
      <c r="CL101" t="e">
        <f t="shared" si="62"/>
        <v>#N/A</v>
      </c>
      <c r="CM101" t="e">
        <f t="shared" si="63"/>
        <v>#N/A</v>
      </c>
      <c r="CN101" t="e">
        <f t="shared" si="64"/>
        <v>#N/A</v>
      </c>
      <c r="CO101" t="e">
        <f t="shared" si="65"/>
        <v>#N/A</v>
      </c>
      <c r="CP101" t="e">
        <f t="shared" si="66"/>
        <v>#N/A</v>
      </c>
      <c r="CQ101" t="e">
        <f t="shared" si="67"/>
        <v>#N/A</v>
      </c>
      <c r="CR101" t="e">
        <f t="shared" si="68"/>
        <v>#N/A</v>
      </c>
      <c r="CS101" t="e">
        <f t="shared" si="69"/>
        <v>#N/A</v>
      </c>
      <c r="CT101" t="e">
        <f t="shared" si="70"/>
        <v>#N/A</v>
      </c>
      <c r="CU101" t="e">
        <f t="shared" si="71"/>
        <v>#N/A</v>
      </c>
      <c r="CV101" t="e">
        <f t="shared" si="72"/>
        <v>#N/A</v>
      </c>
      <c r="CW101" t="e">
        <f t="shared" si="73"/>
        <v>#N/A</v>
      </c>
      <c r="CX101" t="e">
        <f t="shared" si="74"/>
        <v>#N/A</v>
      </c>
      <c r="CY101" t="e">
        <f t="shared" si="75"/>
        <v>#N/A</v>
      </c>
      <c r="CZ101" t="e">
        <f t="shared" si="76"/>
        <v>#N/A</v>
      </c>
      <c r="DA101" t="e">
        <f t="shared" si="77"/>
        <v>#N/A</v>
      </c>
      <c r="DB101" t="e">
        <f t="shared" si="78"/>
        <v>#N/A</v>
      </c>
      <c r="DC101" s="142" t="e">
        <f t="shared" si="79"/>
        <v>#N/A</v>
      </c>
      <c r="DD101" t="e">
        <f t="shared" si="80"/>
        <v>#N/A</v>
      </c>
      <c r="DE101" t="b">
        <f t="shared" si="81"/>
        <v>0</v>
      </c>
    </row>
    <row r="102" spans="1:109">
      <c r="A102">
        <f t="shared" si="82"/>
        <v>37</v>
      </c>
      <c r="B102" s="140" t="e">
        <f t="shared" si="83"/>
        <v>#N/A</v>
      </c>
      <c r="C102" s="140" t="e">
        <f t="shared" si="84"/>
        <v>#N/A</v>
      </c>
      <c r="D102" s="140" t="e">
        <f t="shared" si="85"/>
        <v>#N/A</v>
      </c>
      <c r="E102" s="140" t="e">
        <f t="shared" si="86"/>
        <v>#N/A</v>
      </c>
      <c r="F102" s="140" t="e">
        <f t="shared" si="87"/>
        <v>#N/A</v>
      </c>
      <c r="G102" s="140" t="e">
        <f t="shared" si="88"/>
        <v>#N/A</v>
      </c>
      <c r="H102" s="140" t="e">
        <f t="shared" si="89"/>
        <v>#N/A</v>
      </c>
      <c r="I102" s="140" t="e">
        <f t="shared" si="90"/>
        <v>#N/A</v>
      </c>
      <c r="J102" s="140" t="e">
        <f t="shared" si="91"/>
        <v>#N/A</v>
      </c>
      <c r="K102" s="140" t="e">
        <f t="shared" si="92"/>
        <v>#N/A</v>
      </c>
      <c r="L102" s="140" t="e">
        <f t="shared" si="93"/>
        <v>#N/A</v>
      </c>
      <c r="M102" s="140" t="e">
        <f t="shared" si="94"/>
        <v>#N/A</v>
      </c>
      <c r="N102" s="140" t="e">
        <f t="shared" si="95"/>
        <v>#N/A</v>
      </c>
      <c r="O102" s="140" t="e">
        <f t="shared" si="96"/>
        <v>#N/A</v>
      </c>
      <c r="P102" s="140" t="e">
        <f t="shared" si="97"/>
        <v>#N/A</v>
      </c>
      <c r="Q102" s="140" t="e">
        <f t="shared" si="98"/>
        <v>#N/A</v>
      </c>
      <c r="R102" s="140" t="e">
        <f t="shared" si="99"/>
        <v>#N/A</v>
      </c>
      <c r="S102" s="140" t="e">
        <f t="shared" si="100"/>
        <v>#N/A</v>
      </c>
      <c r="T102" s="140" t="e">
        <f t="shared" si="101"/>
        <v>#N/A</v>
      </c>
      <c r="U102" s="140" t="e">
        <f t="shared" si="102"/>
        <v>#N/A</v>
      </c>
      <c r="V102" s="141" t="str">
        <f t="shared" si="14"/>
        <v>DPS</v>
      </c>
      <c r="W102" s="141" t="str">
        <f t="shared" si="15"/>
        <v>DPS</v>
      </c>
      <c r="X102" s="141" t="str">
        <f t="shared" si="16"/>
        <v>DPS</v>
      </c>
      <c r="Y102" s="141" t="str">
        <f t="shared" si="17"/>
        <v>DPS</v>
      </c>
      <c r="Z102" s="141" t="str">
        <f t="shared" si="18"/>
        <v>DPS</v>
      </c>
      <c r="AA102" s="141" t="str">
        <f t="shared" si="19"/>
        <v>DPS</v>
      </c>
      <c r="AB102" s="141" t="str">
        <f t="shared" si="20"/>
        <v>DPS</v>
      </c>
      <c r="AC102" s="141" t="str">
        <f t="shared" si="21"/>
        <v>DPS</v>
      </c>
      <c r="AD102" s="141" t="str">
        <f t="shared" si="22"/>
        <v>DPS</v>
      </c>
      <c r="AE102" s="141" t="str">
        <f t="shared" si="23"/>
        <v>DPS</v>
      </c>
      <c r="AF102" s="141" t="str">
        <f t="shared" si="24"/>
        <v>DPS</v>
      </c>
      <c r="AG102" s="141" t="str">
        <f t="shared" si="25"/>
        <v>DPS</v>
      </c>
      <c r="AH102" s="141" t="str">
        <f t="shared" si="26"/>
        <v>DPS</v>
      </c>
      <c r="AI102" s="141" t="str">
        <f t="shared" si="27"/>
        <v>HPS</v>
      </c>
      <c r="AJ102" s="141" t="str">
        <f t="shared" si="28"/>
        <v>HPS</v>
      </c>
      <c r="AK102" s="141" t="str">
        <f t="shared" si="29"/>
        <v>HPS</v>
      </c>
      <c r="AL102" s="141" t="str">
        <f t="shared" si="30"/>
        <v>HPS</v>
      </c>
      <c r="AM102" s="141" t="str">
        <f t="shared" si="31"/>
        <v>HPS</v>
      </c>
      <c r="AN102" s="141" t="str">
        <f t="shared" si="32"/>
        <v>HPS</v>
      </c>
      <c r="AO102" s="141" t="str">
        <f t="shared" si="33"/>
        <v>HPS</v>
      </c>
      <c r="AP102" s="134" t="e">
        <f t="shared" si="103"/>
        <v>#N/A</v>
      </c>
      <c r="AQ102" s="134" t="e">
        <f t="shared" si="104"/>
        <v>#N/A</v>
      </c>
      <c r="AR102" s="134" t="e">
        <f t="shared" si="105"/>
        <v>#N/A</v>
      </c>
      <c r="AS102" s="134" t="e">
        <f t="shared" si="106"/>
        <v>#N/A</v>
      </c>
      <c r="AT102" s="134" t="e">
        <f t="shared" si="107"/>
        <v>#N/A</v>
      </c>
      <c r="AU102" s="134" t="e">
        <f t="shared" si="108"/>
        <v>#N/A</v>
      </c>
      <c r="AV102" s="134" t="e">
        <f t="shared" si="109"/>
        <v>#N/A</v>
      </c>
      <c r="AW102" s="134" t="e">
        <f t="shared" si="110"/>
        <v>#N/A</v>
      </c>
      <c r="AX102" s="134" t="e">
        <f t="shared" si="111"/>
        <v>#N/A</v>
      </c>
      <c r="AY102" s="134" t="e">
        <f t="shared" si="112"/>
        <v>#N/A</v>
      </c>
      <c r="AZ102" s="134" t="e">
        <f t="shared" si="113"/>
        <v>#N/A</v>
      </c>
      <c r="BA102" s="134" t="e">
        <f t="shared" si="114"/>
        <v>#N/A</v>
      </c>
      <c r="BB102" s="134" t="e">
        <f t="shared" si="115"/>
        <v>#N/A</v>
      </c>
      <c r="BC102" s="134" t="e">
        <f t="shared" si="116"/>
        <v>#N/A</v>
      </c>
      <c r="BD102" s="134" t="e">
        <f t="shared" si="117"/>
        <v>#N/A</v>
      </c>
      <c r="BE102" s="134" t="e">
        <f t="shared" si="118"/>
        <v>#N/A</v>
      </c>
      <c r="BF102" s="134" t="e">
        <f t="shared" si="119"/>
        <v>#N/A</v>
      </c>
      <c r="BG102" s="134" t="e">
        <f t="shared" si="120"/>
        <v>#N/A</v>
      </c>
      <c r="BH102" s="134" t="e">
        <f t="shared" si="121"/>
        <v>#N/A</v>
      </c>
      <c r="BI102" s="134" t="e">
        <f t="shared" si="122"/>
        <v>#N/A</v>
      </c>
      <c r="BJ102" t="e">
        <f t="shared" si="35"/>
        <v>#N/A</v>
      </c>
      <c r="BK102" t="e">
        <f t="shared" si="36"/>
        <v>#N/A</v>
      </c>
      <c r="BL102" s="142" t="e">
        <f t="shared" si="123"/>
        <v>#N/A</v>
      </c>
      <c r="BM102" s="142">
        <f t="shared" si="37"/>
        <v>2650</v>
      </c>
      <c r="BN102" t="e">
        <f t="shared" si="38"/>
        <v>#NUM!</v>
      </c>
      <c r="BO102" s="143" t="e">
        <f t="shared" si="39"/>
        <v>#N/A</v>
      </c>
      <c r="BP102" s="143" t="e">
        <f t="shared" si="40"/>
        <v>#N/A</v>
      </c>
      <c r="BQ102" s="143" t="e">
        <f t="shared" si="41"/>
        <v>#N/A</v>
      </c>
      <c r="BR102" s="143" t="e">
        <f t="shared" si="42"/>
        <v>#N/A</v>
      </c>
      <c r="BS102" s="143" t="e">
        <f t="shared" si="43"/>
        <v>#N/A</v>
      </c>
      <c r="BT102" s="143" t="e">
        <f t="shared" si="44"/>
        <v>#N/A</v>
      </c>
      <c r="BU102" s="143" t="e">
        <f t="shared" si="45"/>
        <v>#N/A</v>
      </c>
      <c r="BV102" s="143" t="e">
        <f t="shared" si="46"/>
        <v>#N/A</v>
      </c>
      <c r="BW102" s="143" t="e">
        <f t="shared" si="47"/>
        <v>#N/A</v>
      </c>
      <c r="BX102" s="143" t="e">
        <f t="shared" si="48"/>
        <v>#N/A</v>
      </c>
      <c r="BY102" s="143" t="e">
        <f t="shared" si="49"/>
        <v>#N/A</v>
      </c>
      <c r="BZ102" s="143" t="e">
        <f t="shared" si="50"/>
        <v>#N/A</v>
      </c>
      <c r="CA102" s="143" t="e">
        <f t="shared" si="51"/>
        <v>#N/A</v>
      </c>
      <c r="CB102" s="143" t="e">
        <f t="shared" si="52"/>
        <v>#N/A</v>
      </c>
      <c r="CC102" s="143" t="e">
        <f t="shared" si="53"/>
        <v>#N/A</v>
      </c>
      <c r="CD102" s="143" t="e">
        <f t="shared" si="54"/>
        <v>#N/A</v>
      </c>
      <c r="CE102" s="143" t="e">
        <f t="shared" si="55"/>
        <v>#N/A</v>
      </c>
      <c r="CF102" s="143" t="e">
        <f t="shared" si="56"/>
        <v>#N/A</v>
      </c>
      <c r="CG102" s="143" t="e">
        <f t="shared" si="57"/>
        <v>#N/A</v>
      </c>
      <c r="CH102" s="143" t="e">
        <f t="shared" si="58"/>
        <v>#N/A</v>
      </c>
      <c r="CI102" t="e">
        <f t="shared" si="59"/>
        <v>#N/A</v>
      </c>
      <c r="CJ102" t="e">
        <f t="shared" si="60"/>
        <v>#N/A</v>
      </c>
      <c r="CK102" t="e">
        <f t="shared" si="61"/>
        <v>#N/A</v>
      </c>
      <c r="CL102" t="e">
        <f t="shared" si="62"/>
        <v>#N/A</v>
      </c>
      <c r="CM102" t="e">
        <f t="shared" si="63"/>
        <v>#N/A</v>
      </c>
      <c r="CN102" t="e">
        <f t="shared" si="64"/>
        <v>#N/A</v>
      </c>
      <c r="CO102" t="e">
        <f t="shared" si="65"/>
        <v>#N/A</v>
      </c>
      <c r="CP102" t="e">
        <f t="shared" si="66"/>
        <v>#N/A</v>
      </c>
      <c r="CQ102" t="e">
        <f t="shared" si="67"/>
        <v>#N/A</v>
      </c>
      <c r="CR102" t="e">
        <f t="shared" si="68"/>
        <v>#N/A</v>
      </c>
      <c r="CS102" t="e">
        <f t="shared" si="69"/>
        <v>#N/A</v>
      </c>
      <c r="CT102" t="e">
        <f t="shared" si="70"/>
        <v>#N/A</v>
      </c>
      <c r="CU102" t="e">
        <f t="shared" si="71"/>
        <v>#N/A</v>
      </c>
      <c r="CV102" t="e">
        <f t="shared" si="72"/>
        <v>#N/A</v>
      </c>
      <c r="CW102" t="e">
        <f t="shared" si="73"/>
        <v>#N/A</v>
      </c>
      <c r="CX102" t="e">
        <f t="shared" si="74"/>
        <v>#N/A</v>
      </c>
      <c r="CY102" t="e">
        <f t="shared" si="75"/>
        <v>#N/A</v>
      </c>
      <c r="CZ102" t="e">
        <f t="shared" si="76"/>
        <v>#N/A</v>
      </c>
      <c r="DA102" t="e">
        <f t="shared" si="77"/>
        <v>#N/A</v>
      </c>
      <c r="DB102" t="e">
        <f t="shared" si="78"/>
        <v>#N/A</v>
      </c>
      <c r="DC102" s="142" t="e">
        <f t="shared" si="79"/>
        <v>#N/A</v>
      </c>
      <c r="DD102" t="e">
        <f t="shared" si="80"/>
        <v>#N/A</v>
      </c>
      <c r="DE102" t="b">
        <f t="shared" si="81"/>
        <v>0</v>
      </c>
    </row>
    <row r="103" spans="1:109">
      <c r="A103">
        <f t="shared" si="82"/>
        <v>38</v>
      </c>
      <c r="B103" s="140" t="e">
        <f t="shared" si="83"/>
        <v>#N/A</v>
      </c>
      <c r="C103" s="140" t="e">
        <f t="shared" si="84"/>
        <v>#N/A</v>
      </c>
      <c r="D103" s="140" t="e">
        <f t="shared" si="85"/>
        <v>#N/A</v>
      </c>
      <c r="E103" s="140" t="e">
        <f t="shared" si="86"/>
        <v>#N/A</v>
      </c>
      <c r="F103" s="140" t="e">
        <f t="shared" si="87"/>
        <v>#N/A</v>
      </c>
      <c r="G103" s="140" t="e">
        <f t="shared" si="88"/>
        <v>#N/A</v>
      </c>
      <c r="H103" s="140" t="e">
        <f t="shared" si="89"/>
        <v>#N/A</v>
      </c>
      <c r="I103" s="140" t="e">
        <f t="shared" si="90"/>
        <v>#N/A</v>
      </c>
      <c r="J103" s="140" t="e">
        <f t="shared" si="91"/>
        <v>#N/A</v>
      </c>
      <c r="K103" s="140" t="e">
        <f t="shared" si="92"/>
        <v>#N/A</v>
      </c>
      <c r="L103" s="140" t="e">
        <f t="shared" si="93"/>
        <v>#N/A</v>
      </c>
      <c r="M103" s="140" t="e">
        <f t="shared" si="94"/>
        <v>#N/A</v>
      </c>
      <c r="N103" s="140" t="e">
        <f t="shared" si="95"/>
        <v>#N/A</v>
      </c>
      <c r="O103" s="140" t="e">
        <f t="shared" si="96"/>
        <v>#N/A</v>
      </c>
      <c r="P103" s="140" t="e">
        <f t="shared" si="97"/>
        <v>#N/A</v>
      </c>
      <c r="Q103" s="140" t="e">
        <f t="shared" si="98"/>
        <v>#N/A</v>
      </c>
      <c r="R103" s="140" t="e">
        <f t="shared" si="99"/>
        <v>#N/A</v>
      </c>
      <c r="S103" s="140" t="e">
        <f t="shared" si="100"/>
        <v>#N/A</v>
      </c>
      <c r="T103" s="140" t="e">
        <f t="shared" si="101"/>
        <v>#N/A</v>
      </c>
      <c r="U103" s="140" t="e">
        <f t="shared" si="102"/>
        <v>#N/A</v>
      </c>
      <c r="V103" s="141" t="str">
        <f t="shared" si="14"/>
        <v>DPS</v>
      </c>
      <c r="W103" s="141" t="str">
        <f t="shared" si="15"/>
        <v>DPS</v>
      </c>
      <c r="X103" s="141" t="str">
        <f t="shared" si="16"/>
        <v>DPS</v>
      </c>
      <c r="Y103" s="141" t="str">
        <f t="shared" si="17"/>
        <v>DPS</v>
      </c>
      <c r="Z103" s="141" t="str">
        <f t="shared" si="18"/>
        <v>DPS</v>
      </c>
      <c r="AA103" s="141" t="str">
        <f t="shared" si="19"/>
        <v>DPS</v>
      </c>
      <c r="AB103" s="141" t="str">
        <f t="shared" si="20"/>
        <v>DPS</v>
      </c>
      <c r="AC103" s="141" t="str">
        <f t="shared" si="21"/>
        <v>DPS</v>
      </c>
      <c r="AD103" s="141" t="str">
        <f t="shared" si="22"/>
        <v>DPS</v>
      </c>
      <c r="AE103" s="141" t="str">
        <f t="shared" si="23"/>
        <v>DPS</v>
      </c>
      <c r="AF103" s="141" t="str">
        <f t="shared" si="24"/>
        <v>DPS</v>
      </c>
      <c r="AG103" s="141" t="str">
        <f t="shared" si="25"/>
        <v>DPS</v>
      </c>
      <c r="AH103" s="141" t="str">
        <f t="shared" si="26"/>
        <v>DPS</v>
      </c>
      <c r="AI103" s="141" t="str">
        <f t="shared" si="27"/>
        <v>HPS</v>
      </c>
      <c r="AJ103" s="141" t="str">
        <f t="shared" si="28"/>
        <v>HPS</v>
      </c>
      <c r="AK103" s="141" t="str">
        <f t="shared" si="29"/>
        <v>HPS</v>
      </c>
      <c r="AL103" s="141" t="str">
        <f t="shared" si="30"/>
        <v>HPS</v>
      </c>
      <c r="AM103" s="141" t="str">
        <f t="shared" si="31"/>
        <v>HPS</v>
      </c>
      <c r="AN103" s="141" t="str">
        <f t="shared" si="32"/>
        <v>HPS</v>
      </c>
      <c r="AO103" s="141" t="str">
        <f t="shared" si="33"/>
        <v>HPS</v>
      </c>
      <c r="AP103" s="134" t="e">
        <f t="shared" si="103"/>
        <v>#N/A</v>
      </c>
      <c r="AQ103" s="134" t="e">
        <f t="shared" si="104"/>
        <v>#N/A</v>
      </c>
      <c r="AR103" s="134" t="e">
        <f t="shared" si="105"/>
        <v>#N/A</v>
      </c>
      <c r="AS103" s="134" t="e">
        <f t="shared" si="106"/>
        <v>#N/A</v>
      </c>
      <c r="AT103" s="134" t="e">
        <f t="shared" si="107"/>
        <v>#N/A</v>
      </c>
      <c r="AU103" s="134" t="e">
        <f t="shared" si="108"/>
        <v>#N/A</v>
      </c>
      <c r="AV103" s="134" t="e">
        <f t="shared" si="109"/>
        <v>#N/A</v>
      </c>
      <c r="AW103" s="134" t="e">
        <f t="shared" si="110"/>
        <v>#N/A</v>
      </c>
      <c r="AX103" s="134" t="e">
        <f t="shared" si="111"/>
        <v>#N/A</v>
      </c>
      <c r="AY103" s="134" t="e">
        <f t="shared" si="112"/>
        <v>#N/A</v>
      </c>
      <c r="AZ103" s="134" t="e">
        <f t="shared" si="113"/>
        <v>#N/A</v>
      </c>
      <c r="BA103" s="134" t="e">
        <f t="shared" si="114"/>
        <v>#N/A</v>
      </c>
      <c r="BB103" s="134" t="e">
        <f t="shared" si="115"/>
        <v>#N/A</v>
      </c>
      <c r="BC103" s="134" t="e">
        <f t="shared" si="116"/>
        <v>#N/A</v>
      </c>
      <c r="BD103" s="134" t="e">
        <f t="shared" si="117"/>
        <v>#N/A</v>
      </c>
      <c r="BE103" s="134" t="e">
        <f t="shared" si="118"/>
        <v>#N/A</v>
      </c>
      <c r="BF103" s="134" t="e">
        <f t="shared" si="119"/>
        <v>#N/A</v>
      </c>
      <c r="BG103" s="134" t="e">
        <f t="shared" si="120"/>
        <v>#N/A</v>
      </c>
      <c r="BH103" s="134" t="e">
        <f t="shared" si="121"/>
        <v>#N/A</v>
      </c>
      <c r="BI103" s="134" t="e">
        <f t="shared" si="122"/>
        <v>#N/A</v>
      </c>
      <c r="BJ103" t="e">
        <f t="shared" si="35"/>
        <v>#N/A</v>
      </c>
      <c r="BK103" t="e">
        <f t="shared" si="36"/>
        <v>#N/A</v>
      </c>
      <c r="BL103" s="142" t="e">
        <f t="shared" si="123"/>
        <v>#N/A</v>
      </c>
      <c r="BM103" s="142">
        <f t="shared" si="37"/>
        <v>2650</v>
      </c>
      <c r="BN103" t="e">
        <f t="shared" si="38"/>
        <v>#NUM!</v>
      </c>
      <c r="BO103" s="143" t="e">
        <f t="shared" si="39"/>
        <v>#N/A</v>
      </c>
      <c r="BP103" s="143" t="e">
        <f t="shared" si="40"/>
        <v>#N/A</v>
      </c>
      <c r="BQ103" s="143" t="e">
        <f t="shared" si="41"/>
        <v>#N/A</v>
      </c>
      <c r="BR103" s="143" t="e">
        <f t="shared" si="42"/>
        <v>#N/A</v>
      </c>
      <c r="BS103" s="143" t="e">
        <f t="shared" si="43"/>
        <v>#N/A</v>
      </c>
      <c r="BT103" s="143" t="e">
        <f t="shared" si="44"/>
        <v>#N/A</v>
      </c>
      <c r="BU103" s="143" t="e">
        <f t="shared" si="45"/>
        <v>#N/A</v>
      </c>
      <c r="BV103" s="143" t="e">
        <f t="shared" si="46"/>
        <v>#N/A</v>
      </c>
      <c r="BW103" s="143" t="e">
        <f t="shared" si="47"/>
        <v>#N/A</v>
      </c>
      <c r="BX103" s="143" t="e">
        <f t="shared" si="48"/>
        <v>#N/A</v>
      </c>
      <c r="BY103" s="143" t="e">
        <f t="shared" si="49"/>
        <v>#N/A</v>
      </c>
      <c r="BZ103" s="143" t="e">
        <f t="shared" si="50"/>
        <v>#N/A</v>
      </c>
      <c r="CA103" s="143" t="e">
        <f t="shared" si="51"/>
        <v>#N/A</v>
      </c>
      <c r="CB103" s="143" t="e">
        <f t="shared" si="52"/>
        <v>#N/A</v>
      </c>
      <c r="CC103" s="143" t="e">
        <f t="shared" si="53"/>
        <v>#N/A</v>
      </c>
      <c r="CD103" s="143" t="e">
        <f t="shared" si="54"/>
        <v>#N/A</v>
      </c>
      <c r="CE103" s="143" t="e">
        <f t="shared" si="55"/>
        <v>#N/A</v>
      </c>
      <c r="CF103" s="143" t="e">
        <f t="shared" si="56"/>
        <v>#N/A</v>
      </c>
      <c r="CG103" s="143" t="e">
        <f t="shared" si="57"/>
        <v>#N/A</v>
      </c>
      <c r="CH103" s="143" t="e">
        <f t="shared" si="58"/>
        <v>#N/A</v>
      </c>
      <c r="CI103" t="e">
        <f t="shared" si="59"/>
        <v>#N/A</v>
      </c>
      <c r="CJ103" t="e">
        <f t="shared" si="60"/>
        <v>#N/A</v>
      </c>
      <c r="CK103" t="e">
        <f t="shared" si="61"/>
        <v>#N/A</v>
      </c>
      <c r="CL103" t="e">
        <f t="shared" si="62"/>
        <v>#N/A</v>
      </c>
      <c r="CM103" t="e">
        <f t="shared" si="63"/>
        <v>#N/A</v>
      </c>
      <c r="CN103" t="e">
        <f t="shared" si="64"/>
        <v>#N/A</v>
      </c>
      <c r="CO103" t="e">
        <f t="shared" si="65"/>
        <v>#N/A</v>
      </c>
      <c r="CP103" t="e">
        <f t="shared" si="66"/>
        <v>#N/A</v>
      </c>
      <c r="CQ103" t="e">
        <f t="shared" si="67"/>
        <v>#N/A</v>
      </c>
      <c r="CR103" t="e">
        <f t="shared" si="68"/>
        <v>#N/A</v>
      </c>
      <c r="CS103" t="e">
        <f t="shared" si="69"/>
        <v>#N/A</v>
      </c>
      <c r="CT103" t="e">
        <f t="shared" si="70"/>
        <v>#N/A</v>
      </c>
      <c r="CU103" t="e">
        <f t="shared" si="71"/>
        <v>#N/A</v>
      </c>
      <c r="CV103" t="e">
        <f t="shared" si="72"/>
        <v>#N/A</v>
      </c>
      <c r="CW103" t="e">
        <f t="shared" si="73"/>
        <v>#N/A</v>
      </c>
      <c r="CX103" t="e">
        <f t="shared" si="74"/>
        <v>#N/A</v>
      </c>
      <c r="CY103" t="e">
        <f t="shared" si="75"/>
        <v>#N/A</v>
      </c>
      <c r="CZ103" t="e">
        <f t="shared" si="76"/>
        <v>#N/A</v>
      </c>
      <c r="DA103" t="e">
        <f t="shared" si="77"/>
        <v>#N/A</v>
      </c>
      <c r="DB103" t="e">
        <f t="shared" si="78"/>
        <v>#N/A</v>
      </c>
      <c r="DC103" s="142" t="e">
        <f t="shared" si="79"/>
        <v>#N/A</v>
      </c>
      <c r="DD103" t="e">
        <f t="shared" si="80"/>
        <v>#N/A</v>
      </c>
      <c r="DE103" t="b">
        <f t="shared" si="81"/>
        <v>0</v>
      </c>
    </row>
    <row r="104" spans="1:109">
      <c r="A104">
        <f t="shared" si="82"/>
        <v>39</v>
      </c>
      <c r="B104" s="140" t="e">
        <f t="shared" si="83"/>
        <v>#N/A</v>
      </c>
      <c r="C104" s="140" t="e">
        <f t="shared" si="84"/>
        <v>#N/A</v>
      </c>
      <c r="D104" s="140" t="e">
        <f t="shared" si="85"/>
        <v>#N/A</v>
      </c>
      <c r="E104" s="140" t="e">
        <f t="shared" si="86"/>
        <v>#N/A</v>
      </c>
      <c r="F104" s="140" t="e">
        <f t="shared" si="87"/>
        <v>#N/A</v>
      </c>
      <c r="G104" s="140" t="e">
        <f t="shared" si="88"/>
        <v>#N/A</v>
      </c>
      <c r="H104" s="140" t="e">
        <f t="shared" si="89"/>
        <v>#N/A</v>
      </c>
      <c r="I104" s="140" t="e">
        <f t="shared" si="90"/>
        <v>#N/A</v>
      </c>
      <c r="J104" s="140" t="e">
        <f t="shared" si="91"/>
        <v>#N/A</v>
      </c>
      <c r="K104" s="140" t="e">
        <f t="shared" si="92"/>
        <v>#N/A</v>
      </c>
      <c r="L104" s="140" t="e">
        <f t="shared" si="93"/>
        <v>#N/A</v>
      </c>
      <c r="M104" s="140" t="e">
        <f t="shared" si="94"/>
        <v>#N/A</v>
      </c>
      <c r="N104" s="140" t="e">
        <f t="shared" si="95"/>
        <v>#N/A</v>
      </c>
      <c r="O104" s="140" t="e">
        <f t="shared" si="96"/>
        <v>#N/A</v>
      </c>
      <c r="P104" s="140" t="e">
        <f t="shared" si="97"/>
        <v>#N/A</v>
      </c>
      <c r="Q104" s="140" t="e">
        <f t="shared" si="98"/>
        <v>#N/A</v>
      </c>
      <c r="R104" s="140" t="e">
        <f t="shared" si="99"/>
        <v>#N/A</v>
      </c>
      <c r="S104" s="140" t="e">
        <f t="shared" si="100"/>
        <v>#N/A</v>
      </c>
      <c r="T104" s="140" t="e">
        <f t="shared" si="101"/>
        <v>#N/A</v>
      </c>
      <c r="U104" s="140" t="e">
        <f t="shared" si="102"/>
        <v>#N/A</v>
      </c>
      <c r="V104" s="141" t="str">
        <f t="shared" si="14"/>
        <v>DPS</v>
      </c>
      <c r="W104" s="141" t="str">
        <f t="shared" si="15"/>
        <v>DPS</v>
      </c>
      <c r="X104" s="141" t="str">
        <f t="shared" si="16"/>
        <v>DPS</v>
      </c>
      <c r="Y104" s="141" t="str">
        <f t="shared" si="17"/>
        <v>DPS</v>
      </c>
      <c r="Z104" s="141" t="str">
        <f t="shared" si="18"/>
        <v>DPS</v>
      </c>
      <c r="AA104" s="141" t="str">
        <f t="shared" si="19"/>
        <v>DPS</v>
      </c>
      <c r="AB104" s="141" t="str">
        <f t="shared" si="20"/>
        <v>DPS</v>
      </c>
      <c r="AC104" s="141" t="str">
        <f t="shared" si="21"/>
        <v>DPS</v>
      </c>
      <c r="AD104" s="141" t="str">
        <f t="shared" si="22"/>
        <v>DPS</v>
      </c>
      <c r="AE104" s="141" t="str">
        <f t="shared" si="23"/>
        <v>DPS</v>
      </c>
      <c r="AF104" s="141" t="str">
        <f t="shared" si="24"/>
        <v>DPS</v>
      </c>
      <c r="AG104" s="141" t="str">
        <f t="shared" si="25"/>
        <v>DPS</v>
      </c>
      <c r="AH104" s="141" t="str">
        <f t="shared" si="26"/>
        <v>DPS</v>
      </c>
      <c r="AI104" s="141" t="str">
        <f t="shared" si="27"/>
        <v>HPS</v>
      </c>
      <c r="AJ104" s="141" t="str">
        <f t="shared" si="28"/>
        <v>HPS</v>
      </c>
      <c r="AK104" s="141" t="str">
        <f t="shared" si="29"/>
        <v>HPS</v>
      </c>
      <c r="AL104" s="141" t="str">
        <f t="shared" si="30"/>
        <v>HPS</v>
      </c>
      <c r="AM104" s="141" t="str">
        <f t="shared" si="31"/>
        <v>HPS</v>
      </c>
      <c r="AN104" s="141" t="str">
        <f t="shared" si="32"/>
        <v>HPS</v>
      </c>
      <c r="AO104" s="141" t="str">
        <f t="shared" si="33"/>
        <v>HPS</v>
      </c>
      <c r="AP104" s="134" t="e">
        <f t="shared" si="103"/>
        <v>#N/A</v>
      </c>
      <c r="AQ104" s="134" t="e">
        <f t="shared" si="104"/>
        <v>#N/A</v>
      </c>
      <c r="AR104" s="134" t="e">
        <f t="shared" si="105"/>
        <v>#N/A</v>
      </c>
      <c r="AS104" s="134" t="e">
        <f t="shared" si="106"/>
        <v>#N/A</v>
      </c>
      <c r="AT104" s="134" t="e">
        <f t="shared" si="107"/>
        <v>#N/A</v>
      </c>
      <c r="AU104" s="134" t="e">
        <f t="shared" si="108"/>
        <v>#N/A</v>
      </c>
      <c r="AV104" s="134" t="e">
        <f t="shared" si="109"/>
        <v>#N/A</v>
      </c>
      <c r="AW104" s="134" t="e">
        <f t="shared" si="110"/>
        <v>#N/A</v>
      </c>
      <c r="AX104" s="134" t="e">
        <f t="shared" si="111"/>
        <v>#N/A</v>
      </c>
      <c r="AY104" s="134" t="e">
        <f t="shared" si="112"/>
        <v>#N/A</v>
      </c>
      <c r="AZ104" s="134" t="e">
        <f t="shared" si="113"/>
        <v>#N/A</v>
      </c>
      <c r="BA104" s="134" t="e">
        <f t="shared" si="114"/>
        <v>#N/A</v>
      </c>
      <c r="BB104" s="134" t="e">
        <f t="shared" si="115"/>
        <v>#N/A</v>
      </c>
      <c r="BC104" s="134" t="e">
        <f t="shared" si="116"/>
        <v>#N/A</v>
      </c>
      <c r="BD104" s="134" t="e">
        <f t="shared" si="117"/>
        <v>#N/A</v>
      </c>
      <c r="BE104" s="134" t="e">
        <f t="shared" si="118"/>
        <v>#N/A</v>
      </c>
      <c r="BF104" s="134" t="e">
        <f t="shared" si="119"/>
        <v>#N/A</v>
      </c>
      <c r="BG104" s="134" t="e">
        <f t="shared" si="120"/>
        <v>#N/A</v>
      </c>
      <c r="BH104" s="134" t="e">
        <f t="shared" si="121"/>
        <v>#N/A</v>
      </c>
      <c r="BI104" s="134" t="e">
        <f t="shared" si="122"/>
        <v>#N/A</v>
      </c>
      <c r="BJ104" t="e">
        <f t="shared" si="35"/>
        <v>#N/A</v>
      </c>
      <c r="BK104" t="e">
        <f t="shared" si="36"/>
        <v>#N/A</v>
      </c>
      <c r="BL104" s="142" t="e">
        <f t="shared" si="123"/>
        <v>#N/A</v>
      </c>
      <c r="BM104" s="142">
        <f t="shared" si="37"/>
        <v>2650</v>
      </c>
      <c r="BN104" t="e">
        <f t="shared" si="38"/>
        <v>#NUM!</v>
      </c>
      <c r="BO104" s="143" t="e">
        <f t="shared" si="39"/>
        <v>#N/A</v>
      </c>
      <c r="BP104" s="143" t="e">
        <f t="shared" si="40"/>
        <v>#N/A</v>
      </c>
      <c r="BQ104" s="143" t="e">
        <f t="shared" si="41"/>
        <v>#N/A</v>
      </c>
      <c r="BR104" s="143" t="e">
        <f t="shared" si="42"/>
        <v>#N/A</v>
      </c>
      <c r="BS104" s="143" t="e">
        <f t="shared" si="43"/>
        <v>#N/A</v>
      </c>
      <c r="BT104" s="143" t="e">
        <f t="shared" si="44"/>
        <v>#N/A</v>
      </c>
      <c r="BU104" s="143" t="e">
        <f t="shared" si="45"/>
        <v>#N/A</v>
      </c>
      <c r="BV104" s="143" t="e">
        <f t="shared" si="46"/>
        <v>#N/A</v>
      </c>
      <c r="BW104" s="143" t="e">
        <f t="shared" si="47"/>
        <v>#N/A</v>
      </c>
      <c r="BX104" s="143" t="e">
        <f t="shared" si="48"/>
        <v>#N/A</v>
      </c>
      <c r="BY104" s="143" t="e">
        <f t="shared" si="49"/>
        <v>#N/A</v>
      </c>
      <c r="BZ104" s="143" t="e">
        <f t="shared" si="50"/>
        <v>#N/A</v>
      </c>
      <c r="CA104" s="143" t="e">
        <f t="shared" si="51"/>
        <v>#N/A</v>
      </c>
      <c r="CB104" s="143" t="e">
        <f t="shared" si="52"/>
        <v>#N/A</v>
      </c>
      <c r="CC104" s="143" t="e">
        <f t="shared" si="53"/>
        <v>#N/A</v>
      </c>
      <c r="CD104" s="143" t="e">
        <f t="shared" si="54"/>
        <v>#N/A</v>
      </c>
      <c r="CE104" s="143" t="e">
        <f t="shared" si="55"/>
        <v>#N/A</v>
      </c>
      <c r="CF104" s="143" t="e">
        <f t="shared" si="56"/>
        <v>#N/A</v>
      </c>
      <c r="CG104" s="143" t="e">
        <f t="shared" si="57"/>
        <v>#N/A</v>
      </c>
      <c r="CH104" s="143" t="e">
        <f t="shared" si="58"/>
        <v>#N/A</v>
      </c>
      <c r="CI104" t="e">
        <f t="shared" si="59"/>
        <v>#N/A</v>
      </c>
      <c r="CJ104" t="e">
        <f t="shared" si="60"/>
        <v>#N/A</v>
      </c>
      <c r="CK104" t="e">
        <f t="shared" si="61"/>
        <v>#N/A</v>
      </c>
      <c r="CL104" t="e">
        <f t="shared" si="62"/>
        <v>#N/A</v>
      </c>
      <c r="CM104" t="e">
        <f t="shared" si="63"/>
        <v>#N/A</v>
      </c>
      <c r="CN104" t="e">
        <f t="shared" si="64"/>
        <v>#N/A</v>
      </c>
      <c r="CO104" t="e">
        <f t="shared" si="65"/>
        <v>#N/A</v>
      </c>
      <c r="CP104" t="e">
        <f t="shared" si="66"/>
        <v>#N/A</v>
      </c>
      <c r="CQ104" t="e">
        <f t="shared" si="67"/>
        <v>#N/A</v>
      </c>
      <c r="CR104" t="e">
        <f t="shared" si="68"/>
        <v>#N/A</v>
      </c>
      <c r="CS104" t="e">
        <f t="shared" si="69"/>
        <v>#N/A</v>
      </c>
      <c r="CT104" t="e">
        <f t="shared" si="70"/>
        <v>#N/A</v>
      </c>
      <c r="CU104" t="e">
        <f t="shared" si="71"/>
        <v>#N/A</v>
      </c>
      <c r="CV104" t="e">
        <f t="shared" si="72"/>
        <v>#N/A</v>
      </c>
      <c r="CW104" t="e">
        <f t="shared" si="73"/>
        <v>#N/A</v>
      </c>
      <c r="CX104" t="e">
        <f t="shared" si="74"/>
        <v>#N/A</v>
      </c>
      <c r="CY104" t="e">
        <f t="shared" si="75"/>
        <v>#N/A</v>
      </c>
      <c r="CZ104" t="e">
        <f t="shared" si="76"/>
        <v>#N/A</v>
      </c>
      <c r="DA104" t="e">
        <f t="shared" si="77"/>
        <v>#N/A</v>
      </c>
      <c r="DB104" t="e">
        <f t="shared" si="78"/>
        <v>#N/A</v>
      </c>
      <c r="DC104" s="142" t="e">
        <f t="shared" si="79"/>
        <v>#N/A</v>
      </c>
      <c r="DD104" t="e">
        <f t="shared" si="80"/>
        <v>#N/A</v>
      </c>
      <c r="DE104" t="b">
        <f t="shared" si="81"/>
        <v>0</v>
      </c>
    </row>
    <row r="105" spans="1:109">
      <c r="A105">
        <f t="shared" si="82"/>
        <v>40</v>
      </c>
      <c r="B105" s="140" t="e">
        <f t="shared" si="83"/>
        <v>#N/A</v>
      </c>
      <c r="C105" s="140" t="e">
        <f t="shared" si="84"/>
        <v>#N/A</v>
      </c>
      <c r="D105" s="140" t="e">
        <f t="shared" si="85"/>
        <v>#N/A</v>
      </c>
      <c r="E105" s="140" t="e">
        <f t="shared" si="86"/>
        <v>#N/A</v>
      </c>
      <c r="F105" s="140" t="e">
        <f t="shared" si="87"/>
        <v>#N/A</v>
      </c>
      <c r="G105" s="140" t="e">
        <f t="shared" si="88"/>
        <v>#N/A</v>
      </c>
      <c r="H105" s="140" t="e">
        <f t="shared" si="89"/>
        <v>#N/A</v>
      </c>
      <c r="I105" s="140" t="e">
        <f t="shared" si="90"/>
        <v>#N/A</v>
      </c>
      <c r="J105" s="140" t="e">
        <f t="shared" si="91"/>
        <v>#N/A</v>
      </c>
      <c r="K105" s="140" t="e">
        <f t="shared" si="92"/>
        <v>#N/A</v>
      </c>
      <c r="L105" s="140" t="e">
        <f t="shared" si="93"/>
        <v>#N/A</v>
      </c>
      <c r="M105" s="140" t="e">
        <f t="shared" si="94"/>
        <v>#N/A</v>
      </c>
      <c r="N105" s="140" t="e">
        <f t="shared" si="95"/>
        <v>#N/A</v>
      </c>
      <c r="O105" s="140" t="e">
        <f t="shared" si="96"/>
        <v>#N/A</v>
      </c>
      <c r="P105" s="140" t="e">
        <f t="shared" si="97"/>
        <v>#N/A</v>
      </c>
      <c r="Q105" s="140" t="e">
        <f t="shared" si="98"/>
        <v>#N/A</v>
      </c>
      <c r="R105" s="140" t="e">
        <f t="shared" si="99"/>
        <v>#N/A</v>
      </c>
      <c r="S105" s="140" t="e">
        <f t="shared" si="100"/>
        <v>#N/A</v>
      </c>
      <c r="T105" s="140" t="e">
        <f t="shared" si="101"/>
        <v>#N/A</v>
      </c>
      <c r="U105" s="140" t="e">
        <f t="shared" si="102"/>
        <v>#N/A</v>
      </c>
      <c r="V105" s="141" t="str">
        <f t="shared" si="14"/>
        <v>DPS</v>
      </c>
      <c r="W105" s="141" t="str">
        <f t="shared" si="15"/>
        <v>DPS</v>
      </c>
      <c r="X105" s="141" t="str">
        <f t="shared" si="16"/>
        <v>DPS</v>
      </c>
      <c r="Y105" s="141" t="str">
        <f t="shared" si="17"/>
        <v>DPS</v>
      </c>
      <c r="Z105" s="141" t="str">
        <f t="shared" si="18"/>
        <v>DPS</v>
      </c>
      <c r="AA105" s="141" t="str">
        <f t="shared" si="19"/>
        <v>DPS</v>
      </c>
      <c r="AB105" s="141" t="str">
        <f t="shared" si="20"/>
        <v>DPS</v>
      </c>
      <c r="AC105" s="141" t="str">
        <f t="shared" si="21"/>
        <v>DPS</v>
      </c>
      <c r="AD105" s="141" t="str">
        <f t="shared" si="22"/>
        <v>DPS</v>
      </c>
      <c r="AE105" s="141" t="str">
        <f t="shared" si="23"/>
        <v>DPS</v>
      </c>
      <c r="AF105" s="141" t="str">
        <f t="shared" si="24"/>
        <v>DPS</v>
      </c>
      <c r="AG105" s="141" t="str">
        <f t="shared" si="25"/>
        <v>DPS</v>
      </c>
      <c r="AH105" s="141" t="str">
        <f t="shared" si="26"/>
        <v>DPS</v>
      </c>
      <c r="AI105" s="141" t="str">
        <f t="shared" si="27"/>
        <v>HPS</v>
      </c>
      <c r="AJ105" s="141" t="str">
        <f t="shared" si="28"/>
        <v>HPS</v>
      </c>
      <c r="AK105" s="141" t="str">
        <f t="shared" si="29"/>
        <v>HPS</v>
      </c>
      <c r="AL105" s="141" t="str">
        <f t="shared" si="30"/>
        <v>HPS</v>
      </c>
      <c r="AM105" s="141" t="str">
        <f t="shared" si="31"/>
        <v>HPS</v>
      </c>
      <c r="AN105" s="141" t="str">
        <f t="shared" si="32"/>
        <v>HPS</v>
      </c>
      <c r="AO105" s="141" t="str">
        <f t="shared" si="33"/>
        <v>HPS</v>
      </c>
      <c r="AP105" s="134" t="e">
        <f t="shared" si="103"/>
        <v>#N/A</v>
      </c>
      <c r="AQ105" s="134" t="e">
        <f t="shared" si="104"/>
        <v>#N/A</v>
      </c>
      <c r="AR105" s="134" t="e">
        <f t="shared" si="105"/>
        <v>#N/A</v>
      </c>
      <c r="AS105" s="134" t="e">
        <f t="shared" si="106"/>
        <v>#N/A</v>
      </c>
      <c r="AT105" s="134" t="e">
        <f t="shared" si="107"/>
        <v>#N/A</v>
      </c>
      <c r="AU105" s="134" t="e">
        <f t="shared" si="108"/>
        <v>#N/A</v>
      </c>
      <c r="AV105" s="134" t="e">
        <f t="shared" si="109"/>
        <v>#N/A</v>
      </c>
      <c r="AW105" s="134" t="e">
        <f t="shared" si="110"/>
        <v>#N/A</v>
      </c>
      <c r="AX105" s="134" t="e">
        <f t="shared" si="111"/>
        <v>#N/A</v>
      </c>
      <c r="AY105" s="134" t="e">
        <f t="shared" si="112"/>
        <v>#N/A</v>
      </c>
      <c r="AZ105" s="134" t="e">
        <f t="shared" si="113"/>
        <v>#N/A</v>
      </c>
      <c r="BA105" s="134" t="e">
        <f t="shared" si="114"/>
        <v>#N/A</v>
      </c>
      <c r="BB105" s="134" t="e">
        <f t="shared" si="115"/>
        <v>#N/A</v>
      </c>
      <c r="BC105" s="134" t="e">
        <f t="shared" si="116"/>
        <v>#N/A</v>
      </c>
      <c r="BD105" s="134" t="e">
        <f t="shared" si="117"/>
        <v>#N/A</v>
      </c>
      <c r="BE105" s="134" t="e">
        <f t="shared" si="118"/>
        <v>#N/A</v>
      </c>
      <c r="BF105" s="134" t="e">
        <f t="shared" si="119"/>
        <v>#N/A</v>
      </c>
      <c r="BG105" s="134" t="e">
        <f t="shared" si="120"/>
        <v>#N/A</v>
      </c>
      <c r="BH105" s="134" t="e">
        <f t="shared" si="121"/>
        <v>#N/A</v>
      </c>
      <c r="BI105" s="134" t="e">
        <f t="shared" si="122"/>
        <v>#N/A</v>
      </c>
      <c r="BJ105" t="e">
        <f t="shared" si="35"/>
        <v>#N/A</v>
      </c>
      <c r="BK105" t="e">
        <f t="shared" si="36"/>
        <v>#N/A</v>
      </c>
      <c r="BL105" s="142" t="e">
        <f t="shared" si="123"/>
        <v>#N/A</v>
      </c>
      <c r="BM105" s="142">
        <f t="shared" si="37"/>
        <v>2650</v>
      </c>
      <c r="BN105" t="e">
        <f t="shared" si="38"/>
        <v>#NUM!</v>
      </c>
      <c r="BO105" s="143" t="e">
        <f t="shared" si="39"/>
        <v>#N/A</v>
      </c>
      <c r="BP105" s="143" t="e">
        <f t="shared" si="40"/>
        <v>#N/A</v>
      </c>
      <c r="BQ105" s="143" t="e">
        <f t="shared" si="41"/>
        <v>#N/A</v>
      </c>
      <c r="BR105" s="143" t="e">
        <f t="shared" si="42"/>
        <v>#N/A</v>
      </c>
      <c r="BS105" s="143" t="e">
        <f t="shared" si="43"/>
        <v>#N/A</v>
      </c>
      <c r="BT105" s="143" t="e">
        <f t="shared" si="44"/>
        <v>#N/A</v>
      </c>
      <c r="BU105" s="143" t="e">
        <f t="shared" si="45"/>
        <v>#N/A</v>
      </c>
      <c r="BV105" s="143" t="e">
        <f t="shared" si="46"/>
        <v>#N/A</v>
      </c>
      <c r="BW105" s="143" t="e">
        <f t="shared" si="47"/>
        <v>#N/A</v>
      </c>
      <c r="BX105" s="143" t="e">
        <f t="shared" si="48"/>
        <v>#N/A</v>
      </c>
      <c r="BY105" s="143" t="e">
        <f t="shared" si="49"/>
        <v>#N/A</v>
      </c>
      <c r="BZ105" s="143" t="e">
        <f t="shared" si="50"/>
        <v>#N/A</v>
      </c>
      <c r="CA105" s="143" t="e">
        <f t="shared" si="51"/>
        <v>#N/A</v>
      </c>
      <c r="CB105" s="143" t="e">
        <f t="shared" si="52"/>
        <v>#N/A</v>
      </c>
      <c r="CC105" s="143" t="e">
        <f t="shared" si="53"/>
        <v>#N/A</v>
      </c>
      <c r="CD105" s="143" t="e">
        <f t="shared" si="54"/>
        <v>#N/A</v>
      </c>
      <c r="CE105" s="143" t="e">
        <f t="shared" si="55"/>
        <v>#N/A</v>
      </c>
      <c r="CF105" s="143" t="e">
        <f t="shared" si="56"/>
        <v>#N/A</v>
      </c>
      <c r="CG105" s="143" t="e">
        <f t="shared" si="57"/>
        <v>#N/A</v>
      </c>
      <c r="CH105" s="143" t="e">
        <f t="shared" si="58"/>
        <v>#N/A</v>
      </c>
      <c r="CI105" t="e">
        <f t="shared" si="59"/>
        <v>#N/A</v>
      </c>
      <c r="CJ105" t="e">
        <f t="shared" si="60"/>
        <v>#N/A</v>
      </c>
      <c r="CK105" t="e">
        <f t="shared" si="61"/>
        <v>#N/A</v>
      </c>
      <c r="CL105" t="e">
        <f t="shared" si="62"/>
        <v>#N/A</v>
      </c>
      <c r="CM105" t="e">
        <f t="shared" si="63"/>
        <v>#N/A</v>
      </c>
      <c r="CN105" t="e">
        <f t="shared" si="64"/>
        <v>#N/A</v>
      </c>
      <c r="CO105" t="e">
        <f t="shared" si="65"/>
        <v>#N/A</v>
      </c>
      <c r="CP105" t="e">
        <f t="shared" si="66"/>
        <v>#N/A</v>
      </c>
      <c r="CQ105" t="e">
        <f t="shared" si="67"/>
        <v>#N/A</v>
      </c>
      <c r="CR105" t="e">
        <f t="shared" si="68"/>
        <v>#N/A</v>
      </c>
      <c r="CS105" t="e">
        <f t="shared" si="69"/>
        <v>#N/A</v>
      </c>
      <c r="CT105" t="e">
        <f t="shared" si="70"/>
        <v>#N/A</v>
      </c>
      <c r="CU105" t="e">
        <f t="shared" si="71"/>
        <v>#N/A</v>
      </c>
      <c r="CV105" t="e">
        <f t="shared" si="72"/>
        <v>#N/A</v>
      </c>
      <c r="CW105" t="e">
        <f t="shared" si="73"/>
        <v>#N/A</v>
      </c>
      <c r="CX105" t="e">
        <f t="shared" si="74"/>
        <v>#N/A</v>
      </c>
      <c r="CY105" t="e">
        <f t="shared" si="75"/>
        <v>#N/A</v>
      </c>
      <c r="CZ105" t="e">
        <f t="shared" si="76"/>
        <v>#N/A</v>
      </c>
      <c r="DA105" t="e">
        <f t="shared" si="77"/>
        <v>#N/A</v>
      </c>
      <c r="DB105" t="e">
        <f t="shared" si="78"/>
        <v>#N/A</v>
      </c>
      <c r="DC105" s="142" t="e">
        <f t="shared" si="79"/>
        <v>#N/A</v>
      </c>
      <c r="DD105" t="e">
        <f t="shared" si="80"/>
        <v>#N/A</v>
      </c>
      <c r="DE105" t="b">
        <f t="shared" si="81"/>
        <v>0</v>
      </c>
    </row>
    <row r="106" spans="1:109">
      <c r="A106">
        <f t="shared" si="82"/>
        <v>41</v>
      </c>
      <c r="B106" s="140" t="e">
        <f t="shared" si="83"/>
        <v>#N/A</v>
      </c>
      <c r="C106" s="140" t="e">
        <f t="shared" si="84"/>
        <v>#N/A</v>
      </c>
      <c r="D106" s="140" t="e">
        <f t="shared" si="85"/>
        <v>#N/A</v>
      </c>
      <c r="E106" s="140" t="e">
        <f t="shared" si="86"/>
        <v>#N/A</v>
      </c>
      <c r="F106" s="140" t="e">
        <f t="shared" si="87"/>
        <v>#N/A</v>
      </c>
      <c r="G106" s="140" t="e">
        <f t="shared" si="88"/>
        <v>#N/A</v>
      </c>
      <c r="H106" s="140" t="e">
        <f t="shared" si="89"/>
        <v>#N/A</v>
      </c>
      <c r="I106" s="140" t="e">
        <f t="shared" si="90"/>
        <v>#N/A</v>
      </c>
      <c r="J106" s="140" t="e">
        <f t="shared" si="91"/>
        <v>#N/A</v>
      </c>
      <c r="K106" s="140" t="e">
        <f t="shared" si="92"/>
        <v>#N/A</v>
      </c>
      <c r="L106" s="140" t="e">
        <f t="shared" si="93"/>
        <v>#N/A</v>
      </c>
      <c r="M106" s="140" t="e">
        <f t="shared" si="94"/>
        <v>#N/A</v>
      </c>
      <c r="N106" s="140" t="e">
        <f t="shared" si="95"/>
        <v>#N/A</v>
      </c>
      <c r="O106" s="140" t="e">
        <f t="shared" si="96"/>
        <v>#N/A</v>
      </c>
      <c r="P106" s="140" t="e">
        <f t="shared" si="97"/>
        <v>#N/A</v>
      </c>
      <c r="Q106" s="140" t="e">
        <f t="shared" si="98"/>
        <v>#N/A</v>
      </c>
      <c r="R106" s="140" t="e">
        <f t="shared" si="99"/>
        <v>#N/A</v>
      </c>
      <c r="S106" s="140" t="e">
        <f t="shared" si="100"/>
        <v>#N/A</v>
      </c>
      <c r="T106" s="140" t="e">
        <f t="shared" si="101"/>
        <v>#N/A</v>
      </c>
      <c r="U106" s="140" t="e">
        <f t="shared" si="102"/>
        <v>#N/A</v>
      </c>
      <c r="V106" s="141" t="str">
        <f t="shared" si="14"/>
        <v>DPS</v>
      </c>
      <c r="W106" s="141" t="str">
        <f t="shared" si="15"/>
        <v>DPS</v>
      </c>
      <c r="X106" s="141" t="str">
        <f t="shared" si="16"/>
        <v>DPS</v>
      </c>
      <c r="Y106" s="141" t="str">
        <f t="shared" si="17"/>
        <v>DPS</v>
      </c>
      <c r="Z106" s="141" t="str">
        <f t="shared" si="18"/>
        <v>DPS</v>
      </c>
      <c r="AA106" s="141" t="str">
        <f t="shared" si="19"/>
        <v>DPS</v>
      </c>
      <c r="AB106" s="141" t="str">
        <f t="shared" si="20"/>
        <v>DPS</v>
      </c>
      <c r="AC106" s="141" t="str">
        <f t="shared" si="21"/>
        <v>DPS</v>
      </c>
      <c r="AD106" s="141" t="str">
        <f t="shared" si="22"/>
        <v>DPS</v>
      </c>
      <c r="AE106" s="141" t="str">
        <f t="shared" si="23"/>
        <v>DPS</v>
      </c>
      <c r="AF106" s="141" t="str">
        <f t="shared" si="24"/>
        <v>DPS</v>
      </c>
      <c r="AG106" s="141" t="str">
        <f t="shared" si="25"/>
        <v>DPS</v>
      </c>
      <c r="AH106" s="141" t="str">
        <f t="shared" si="26"/>
        <v>DPS</v>
      </c>
      <c r="AI106" s="141" t="str">
        <f t="shared" si="27"/>
        <v>HPS</v>
      </c>
      <c r="AJ106" s="141" t="str">
        <f t="shared" si="28"/>
        <v>HPS</v>
      </c>
      <c r="AK106" s="141" t="str">
        <f t="shared" si="29"/>
        <v>HPS</v>
      </c>
      <c r="AL106" s="141" t="str">
        <f t="shared" si="30"/>
        <v>HPS</v>
      </c>
      <c r="AM106" s="141" t="str">
        <f t="shared" si="31"/>
        <v>HPS</v>
      </c>
      <c r="AN106" s="141" t="str">
        <f t="shared" si="32"/>
        <v>HPS</v>
      </c>
      <c r="AO106" s="141" t="str">
        <f t="shared" si="33"/>
        <v>HPS</v>
      </c>
      <c r="AP106" s="134" t="e">
        <f t="shared" si="103"/>
        <v>#N/A</v>
      </c>
      <c r="AQ106" s="134" t="e">
        <f t="shared" si="104"/>
        <v>#N/A</v>
      </c>
      <c r="AR106" s="134" t="e">
        <f t="shared" si="105"/>
        <v>#N/A</v>
      </c>
      <c r="AS106" s="134" t="e">
        <f t="shared" si="106"/>
        <v>#N/A</v>
      </c>
      <c r="AT106" s="134" t="e">
        <f t="shared" si="107"/>
        <v>#N/A</v>
      </c>
      <c r="AU106" s="134" t="e">
        <f t="shared" si="108"/>
        <v>#N/A</v>
      </c>
      <c r="AV106" s="134" t="e">
        <f t="shared" si="109"/>
        <v>#N/A</v>
      </c>
      <c r="AW106" s="134" t="e">
        <f t="shared" si="110"/>
        <v>#N/A</v>
      </c>
      <c r="AX106" s="134" t="e">
        <f t="shared" si="111"/>
        <v>#N/A</v>
      </c>
      <c r="AY106" s="134" t="e">
        <f t="shared" si="112"/>
        <v>#N/A</v>
      </c>
      <c r="AZ106" s="134" t="e">
        <f t="shared" si="113"/>
        <v>#N/A</v>
      </c>
      <c r="BA106" s="134" t="e">
        <f t="shared" si="114"/>
        <v>#N/A</v>
      </c>
      <c r="BB106" s="134" t="e">
        <f t="shared" si="115"/>
        <v>#N/A</v>
      </c>
      <c r="BC106" s="134" t="e">
        <f t="shared" si="116"/>
        <v>#N/A</v>
      </c>
      <c r="BD106" s="134" t="e">
        <f t="shared" si="117"/>
        <v>#N/A</v>
      </c>
      <c r="BE106" s="134" t="e">
        <f t="shared" si="118"/>
        <v>#N/A</v>
      </c>
      <c r="BF106" s="134" t="e">
        <f t="shared" si="119"/>
        <v>#N/A</v>
      </c>
      <c r="BG106" s="134" t="e">
        <f t="shared" si="120"/>
        <v>#N/A</v>
      </c>
      <c r="BH106" s="134" t="e">
        <f t="shared" si="121"/>
        <v>#N/A</v>
      </c>
      <c r="BI106" s="134" t="e">
        <f t="shared" si="122"/>
        <v>#N/A</v>
      </c>
      <c r="BJ106" t="e">
        <f t="shared" si="35"/>
        <v>#N/A</v>
      </c>
      <c r="BK106" t="e">
        <f t="shared" si="36"/>
        <v>#N/A</v>
      </c>
      <c r="BL106" s="142" t="e">
        <f t="shared" si="123"/>
        <v>#N/A</v>
      </c>
      <c r="BM106" s="142">
        <f t="shared" si="37"/>
        <v>2650</v>
      </c>
      <c r="BN106" t="e">
        <f t="shared" si="38"/>
        <v>#NUM!</v>
      </c>
      <c r="BO106" s="143" t="e">
        <f t="shared" si="39"/>
        <v>#N/A</v>
      </c>
      <c r="BP106" s="143" t="e">
        <f t="shared" si="40"/>
        <v>#N/A</v>
      </c>
      <c r="BQ106" s="143" t="e">
        <f t="shared" si="41"/>
        <v>#N/A</v>
      </c>
      <c r="BR106" s="143" t="e">
        <f t="shared" si="42"/>
        <v>#N/A</v>
      </c>
      <c r="BS106" s="143" t="e">
        <f t="shared" si="43"/>
        <v>#N/A</v>
      </c>
      <c r="BT106" s="143" t="e">
        <f t="shared" si="44"/>
        <v>#N/A</v>
      </c>
      <c r="BU106" s="143" t="e">
        <f t="shared" si="45"/>
        <v>#N/A</v>
      </c>
      <c r="BV106" s="143" t="e">
        <f t="shared" si="46"/>
        <v>#N/A</v>
      </c>
      <c r="BW106" s="143" t="e">
        <f t="shared" si="47"/>
        <v>#N/A</v>
      </c>
      <c r="BX106" s="143" t="e">
        <f t="shared" si="48"/>
        <v>#N/A</v>
      </c>
      <c r="BY106" s="143" t="e">
        <f t="shared" si="49"/>
        <v>#N/A</v>
      </c>
      <c r="BZ106" s="143" t="e">
        <f t="shared" si="50"/>
        <v>#N/A</v>
      </c>
      <c r="CA106" s="143" t="e">
        <f t="shared" si="51"/>
        <v>#N/A</v>
      </c>
      <c r="CB106" s="143" t="e">
        <f t="shared" si="52"/>
        <v>#N/A</v>
      </c>
      <c r="CC106" s="143" t="e">
        <f t="shared" si="53"/>
        <v>#N/A</v>
      </c>
      <c r="CD106" s="143" t="e">
        <f t="shared" si="54"/>
        <v>#N/A</v>
      </c>
      <c r="CE106" s="143" t="e">
        <f t="shared" si="55"/>
        <v>#N/A</v>
      </c>
      <c r="CF106" s="143" t="e">
        <f t="shared" si="56"/>
        <v>#N/A</v>
      </c>
      <c r="CG106" s="143" t="e">
        <f t="shared" si="57"/>
        <v>#N/A</v>
      </c>
      <c r="CH106" s="143" t="e">
        <f t="shared" si="58"/>
        <v>#N/A</v>
      </c>
      <c r="CI106" t="e">
        <f t="shared" si="59"/>
        <v>#N/A</v>
      </c>
      <c r="CJ106" t="e">
        <f t="shared" si="60"/>
        <v>#N/A</v>
      </c>
      <c r="CK106" t="e">
        <f t="shared" si="61"/>
        <v>#N/A</v>
      </c>
      <c r="CL106" t="e">
        <f t="shared" si="62"/>
        <v>#N/A</v>
      </c>
      <c r="CM106" t="e">
        <f t="shared" si="63"/>
        <v>#N/A</v>
      </c>
      <c r="CN106" t="e">
        <f t="shared" si="64"/>
        <v>#N/A</v>
      </c>
      <c r="CO106" t="e">
        <f t="shared" si="65"/>
        <v>#N/A</v>
      </c>
      <c r="CP106" t="e">
        <f t="shared" si="66"/>
        <v>#N/A</v>
      </c>
      <c r="CQ106" t="e">
        <f t="shared" si="67"/>
        <v>#N/A</v>
      </c>
      <c r="CR106" t="e">
        <f t="shared" si="68"/>
        <v>#N/A</v>
      </c>
      <c r="CS106" t="e">
        <f t="shared" si="69"/>
        <v>#N/A</v>
      </c>
      <c r="CT106" t="e">
        <f t="shared" si="70"/>
        <v>#N/A</v>
      </c>
      <c r="CU106" t="e">
        <f t="shared" si="71"/>
        <v>#N/A</v>
      </c>
      <c r="CV106" t="e">
        <f t="shared" si="72"/>
        <v>#N/A</v>
      </c>
      <c r="CW106" t="e">
        <f t="shared" si="73"/>
        <v>#N/A</v>
      </c>
      <c r="CX106" t="e">
        <f t="shared" si="74"/>
        <v>#N/A</v>
      </c>
      <c r="CY106" t="e">
        <f t="shared" si="75"/>
        <v>#N/A</v>
      </c>
      <c r="CZ106" t="e">
        <f t="shared" si="76"/>
        <v>#N/A</v>
      </c>
      <c r="DA106" t="e">
        <f t="shared" si="77"/>
        <v>#N/A</v>
      </c>
      <c r="DB106" t="e">
        <f t="shared" si="78"/>
        <v>#N/A</v>
      </c>
      <c r="DC106" s="142" t="e">
        <f t="shared" si="79"/>
        <v>#N/A</v>
      </c>
      <c r="DD106" t="e">
        <f t="shared" si="80"/>
        <v>#N/A</v>
      </c>
      <c r="DE106" t="b">
        <f t="shared" si="81"/>
        <v>0</v>
      </c>
    </row>
    <row r="107" spans="1:109">
      <c r="A107">
        <f t="shared" si="82"/>
        <v>42</v>
      </c>
      <c r="B107" s="140" t="e">
        <f t="shared" si="83"/>
        <v>#N/A</v>
      </c>
      <c r="C107" s="140" t="e">
        <f t="shared" si="84"/>
        <v>#N/A</v>
      </c>
      <c r="D107" s="140" t="e">
        <f t="shared" si="85"/>
        <v>#N/A</v>
      </c>
      <c r="E107" s="140" t="e">
        <f t="shared" si="86"/>
        <v>#N/A</v>
      </c>
      <c r="F107" s="140" t="e">
        <f t="shared" si="87"/>
        <v>#N/A</v>
      </c>
      <c r="G107" s="140" t="e">
        <f t="shared" si="88"/>
        <v>#N/A</v>
      </c>
      <c r="H107" s="140" t="e">
        <f t="shared" si="89"/>
        <v>#N/A</v>
      </c>
      <c r="I107" s="140" t="e">
        <f t="shared" si="90"/>
        <v>#N/A</v>
      </c>
      <c r="J107" s="140" t="e">
        <f t="shared" si="91"/>
        <v>#N/A</v>
      </c>
      <c r="K107" s="140" t="e">
        <f t="shared" si="92"/>
        <v>#N/A</v>
      </c>
      <c r="L107" s="140" t="e">
        <f t="shared" si="93"/>
        <v>#N/A</v>
      </c>
      <c r="M107" s="140" t="e">
        <f t="shared" si="94"/>
        <v>#N/A</v>
      </c>
      <c r="N107" s="140" t="e">
        <f t="shared" si="95"/>
        <v>#N/A</v>
      </c>
      <c r="O107" s="140" t="e">
        <f t="shared" si="96"/>
        <v>#N/A</v>
      </c>
      <c r="P107" s="140" t="e">
        <f t="shared" si="97"/>
        <v>#N/A</v>
      </c>
      <c r="Q107" s="140" t="e">
        <f t="shared" si="98"/>
        <v>#N/A</v>
      </c>
      <c r="R107" s="140" t="e">
        <f t="shared" si="99"/>
        <v>#N/A</v>
      </c>
      <c r="S107" s="140" t="e">
        <f t="shared" si="100"/>
        <v>#N/A</v>
      </c>
      <c r="T107" s="140" t="e">
        <f t="shared" si="101"/>
        <v>#N/A</v>
      </c>
      <c r="U107" s="140" t="e">
        <f t="shared" si="102"/>
        <v>#N/A</v>
      </c>
      <c r="V107" s="141" t="str">
        <f t="shared" si="14"/>
        <v>DPS</v>
      </c>
      <c r="W107" s="141" t="str">
        <f t="shared" si="15"/>
        <v>DPS</v>
      </c>
      <c r="X107" s="141" t="str">
        <f t="shared" si="16"/>
        <v>DPS</v>
      </c>
      <c r="Y107" s="141" t="str">
        <f t="shared" si="17"/>
        <v>DPS</v>
      </c>
      <c r="Z107" s="141" t="str">
        <f t="shared" si="18"/>
        <v>DPS</v>
      </c>
      <c r="AA107" s="141" t="str">
        <f t="shared" si="19"/>
        <v>DPS</v>
      </c>
      <c r="AB107" s="141" t="str">
        <f t="shared" si="20"/>
        <v>DPS</v>
      </c>
      <c r="AC107" s="141" t="str">
        <f t="shared" si="21"/>
        <v>DPS</v>
      </c>
      <c r="AD107" s="141" t="str">
        <f t="shared" si="22"/>
        <v>DPS</v>
      </c>
      <c r="AE107" s="141" t="str">
        <f t="shared" si="23"/>
        <v>DPS</v>
      </c>
      <c r="AF107" s="141" t="str">
        <f t="shared" si="24"/>
        <v>DPS</v>
      </c>
      <c r="AG107" s="141" t="str">
        <f t="shared" si="25"/>
        <v>DPS</v>
      </c>
      <c r="AH107" s="141" t="str">
        <f t="shared" si="26"/>
        <v>DPS</v>
      </c>
      <c r="AI107" s="141" t="str">
        <f t="shared" si="27"/>
        <v>HPS</v>
      </c>
      <c r="AJ107" s="141" t="str">
        <f t="shared" si="28"/>
        <v>HPS</v>
      </c>
      <c r="AK107" s="141" t="str">
        <f t="shared" si="29"/>
        <v>HPS</v>
      </c>
      <c r="AL107" s="141" t="str">
        <f t="shared" si="30"/>
        <v>HPS</v>
      </c>
      <c r="AM107" s="141" t="str">
        <f t="shared" si="31"/>
        <v>HPS</v>
      </c>
      <c r="AN107" s="141" t="str">
        <f t="shared" si="32"/>
        <v>HPS</v>
      </c>
      <c r="AO107" s="141" t="str">
        <f t="shared" si="33"/>
        <v>HPS</v>
      </c>
      <c r="AP107" s="134" t="e">
        <f t="shared" si="103"/>
        <v>#N/A</v>
      </c>
      <c r="AQ107" s="134" t="e">
        <f t="shared" si="104"/>
        <v>#N/A</v>
      </c>
      <c r="AR107" s="134" t="e">
        <f t="shared" si="105"/>
        <v>#N/A</v>
      </c>
      <c r="AS107" s="134" t="e">
        <f t="shared" si="106"/>
        <v>#N/A</v>
      </c>
      <c r="AT107" s="134" t="e">
        <f t="shared" si="107"/>
        <v>#N/A</v>
      </c>
      <c r="AU107" s="134" t="e">
        <f t="shared" si="108"/>
        <v>#N/A</v>
      </c>
      <c r="AV107" s="134" t="e">
        <f t="shared" si="109"/>
        <v>#N/A</v>
      </c>
      <c r="AW107" s="134" t="e">
        <f t="shared" si="110"/>
        <v>#N/A</v>
      </c>
      <c r="AX107" s="134" t="e">
        <f t="shared" si="111"/>
        <v>#N/A</v>
      </c>
      <c r="AY107" s="134" t="e">
        <f t="shared" si="112"/>
        <v>#N/A</v>
      </c>
      <c r="AZ107" s="134" t="e">
        <f t="shared" si="113"/>
        <v>#N/A</v>
      </c>
      <c r="BA107" s="134" t="e">
        <f t="shared" si="114"/>
        <v>#N/A</v>
      </c>
      <c r="BB107" s="134" t="e">
        <f t="shared" si="115"/>
        <v>#N/A</v>
      </c>
      <c r="BC107" s="134" t="e">
        <f t="shared" si="116"/>
        <v>#N/A</v>
      </c>
      <c r="BD107" s="134" t="e">
        <f t="shared" si="117"/>
        <v>#N/A</v>
      </c>
      <c r="BE107" s="134" t="e">
        <f t="shared" si="118"/>
        <v>#N/A</v>
      </c>
      <c r="BF107" s="134" t="e">
        <f t="shared" si="119"/>
        <v>#N/A</v>
      </c>
      <c r="BG107" s="134" t="e">
        <f t="shared" si="120"/>
        <v>#N/A</v>
      </c>
      <c r="BH107" s="134" t="e">
        <f t="shared" si="121"/>
        <v>#N/A</v>
      </c>
      <c r="BI107" s="134" t="e">
        <f t="shared" si="122"/>
        <v>#N/A</v>
      </c>
      <c r="BJ107" t="e">
        <f t="shared" si="35"/>
        <v>#N/A</v>
      </c>
      <c r="BK107" t="e">
        <f t="shared" si="36"/>
        <v>#N/A</v>
      </c>
      <c r="BL107" s="142" t="e">
        <f t="shared" si="123"/>
        <v>#N/A</v>
      </c>
      <c r="BM107" s="142">
        <f t="shared" si="37"/>
        <v>2650</v>
      </c>
      <c r="BN107" t="e">
        <f t="shared" si="38"/>
        <v>#NUM!</v>
      </c>
      <c r="BO107" s="143" t="e">
        <f t="shared" si="39"/>
        <v>#N/A</v>
      </c>
      <c r="BP107" s="143" t="e">
        <f t="shared" si="40"/>
        <v>#N/A</v>
      </c>
      <c r="BQ107" s="143" t="e">
        <f t="shared" si="41"/>
        <v>#N/A</v>
      </c>
      <c r="BR107" s="143" t="e">
        <f t="shared" si="42"/>
        <v>#N/A</v>
      </c>
      <c r="BS107" s="143" t="e">
        <f t="shared" si="43"/>
        <v>#N/A</v>
      </c>
      <c r="BT107" s="143" t="e">
        <f t="shared" si="44"/>
        <v>#N/A</v>
      </c>
      <c r="BU107" s="143" t="e">
        <f t="shared" si="45"/>
        <v>#N/A</v>
      </c>
      <c r="BV107" s="143" t="e">
        <f t="shared" si="46"/>
        <v>#N/A</v>
      </c>
      <c r="BW107" s="143" t="e">
        <f t="shared" si="47"/>
        <v>#N/A</v>
      </c>
      <c r="BX107" s="143" t="e">
        <f t="shared" si="48"/>
        <v>#N/A</v>
      </c>
      <c r="BY107" s="143" t="e">
        <f t="shared" si="49"/>
        <v>#N/A</v>
      </c>
      <c r="BZ107" s="143" t="e">
        <f t="shared" si="50"/>
        <v>#N/A</v>
      </c>
      <c r="CA107" s="143" t="e">
        <f t="shared" si="51"/>
        <v>#N/A</v>
      </c>
      <c r="CB107" s="143" t="e">
        <f t="shared" si="52"/>
        <v>#N/A</v>
      </c>
      <c r="CC107" s="143" t="e">
        <f t="shared" si="53"/>
        <v>#N/A</v>
      </c>
      <c r="CD107" s="143" t="e">
        <f t="shared" si="54"/>
        <v>#N/A</v>
      </c>
      <c r="CE107" s="143" t="e">
        <f t="shared" si="55"/>
        <v>#N/A</v>
      </c>
      <c r="CF107" s="143" t="e">
        <f t="shared" si="56"/>
        <v>#N/A</v>
      </c>
      <c r="CG107" s="143" t="e">
        <f t="shared" si="57"/>
        <v>#N/A</v>
      </c>
      <c r="CH107" s="143" t="e">
        <f t="shared" si="58"/>
        <v>#N/A</v>
      </c>
      <c r="CI107" t="e">
        <f t="shared" si="59"/>
        <v>#N/A</v>
      </c>
      <c r="CJ107" t="e">
        <f t="shared" si="60"/>
        <v>#N/A</v>
      </c>
      <c r="CK107" t="e">
        <f t="shared" si="61"/>
        <v>#N/A</v>
      </c>
      <c r="CL107" t="e">
        <f t="shared" si="62"/>
        <v>#N/A</v>
      </c>
      <c r="CM107" t="e">
        <f t="shared" si="63"/>
        <v>#N/A</v>
      </c>
      <c r="CN107" t="e">
        <f t="shared" si="64"/>
        <v>#N/A</v>
      </c>
      <c r="CO107" t="e">
        <f t="shared" si="65"/>
        <v>#N/A</v>
      </c>
      <c r="CP107" t="e">
        <f t="shared" si="66"/>
        <v>#N/A</v>
      </c>
      <c r="CQ107" t="e">
        <f t="shared" si="67"/>
        <v>#N/A</v>
      </c>
      <c r="CR107" t="e">
        <f t="shared" si="68"/>
        <v>#N/A</v>
      </c>
      <c r="CS107" t="e">
        <f t="shared" si="69"/>
        <v>#N/A</v>
      </c>
      <c r="CT107" t="e">
        <f t="shared" si="70"/>
        <v>#N/A</v>
      </c>
      <c r="CU107" t="e">
        <f t="shared" si="71"/>
        <v>#N/A</v>
      </c>
      <c r="CV107" t="e">
        <f t="shared" si="72"/>
        <v>#N/A</v>
      </c>
      <c r="CW107" t="e">
        <f t="shared" si="73"/>
        <v>#N/A</v>
      </c>
      <c r="CX107" t="e">
        <f t="shared" si="74"/>
        <v>#N/A</v>
      </c>
      <c r="CY107" t="e">
        <f t="shared" si="75"/>
        <v>#N/A</v>
      </c>
      <c r="CZ107" t="e">
        <f t="shared" si="76"/>
        <v>#N/A</v>
      </c>
      <c r="DA107" t="e">
        <f t="shared" si="77"/>
        <v>#N/A</v>
      </c>
      <c r="DB107" t="e">
        <f t="shared" si="78"/>
        <v>#N/A</v>
      </c>
      <c r="DC107" s="142" t="e">
        <f t="shared" si="79"/>
        <v>#N/A</v>
      </c>
      <c r="DD107" t="e">
        <f t="shared" si="80"/>
        <v>#N/A</v>
      </c>
      <c r="DE107" t="b">
        <f t="shared" si="81"/>
        <v>0</v>
      </c>
    </row>
    <row r="108" spans="1:109">
      <c r="A108">
        <f t="shared" si="82"/>
        <v>43</v>
      </c>
      <c r="B108" s="140" t="e">
        <f t="shared" si="83"/>
        <v>#N/A</v>
      </c>
      <c r="C108" s="140" t="e">
        <f t="shared" si="84"/>
        <v>#N/A</v>
      </c>
      <c r="D108" s="140" t="e">
        <f t="shared" si="85"/>
        <v>#N/A</v>
      </c>
      <c r="E108" s="140" t="e">
        <f t="shared" si="86"/>
        <v>#N/A</v>
      </c>
      <c r="F108" s="140" t="e">
        <f t="shared" si="87"/>
        <v>#N/A</v>
      </c>
      <c r="G108" s="140" t="e">
        <f t="shared" si="88"/>
        <v>#N/A</v>
      </c>
      <c r="H108" s="140" t="e">
        <f t="shared" si="89"/>
        <v>#N/A</v>
      </c>
      <c r="I108" s="140" t="e">
        <f t="shared" si="90"/>
        <v>#N/A</v>
      </c>
      <c r="J108" s="140" t="e">
        <f t="shared" si="91"/>
        <v>#N/A</v>
      </c>
      <c r="K108" s="140" t="e">
        <f t="shared" si="92"/>
        <v>#N/A</v>
      </c>
      <c r="L108" s="140" t="e">
        <f t="shared" si="93"/>
        <v>#N/A</v>
      </c>
      <c r="M108" s="140" t="e">
        <f t="shared" si="94"/>
        <v>#N/A</v>
      </c>
      <c r="N108" s="140" t="e">
        <f t="shared" si="95"/>
        <v>#N/A</v>
      </c>
      <c r="O108" s="140" t="e">
        <f t="shared" si="96"/>
        <v>#N/A</v>
      </c>
      <c r="P108" s="140" t="e">
        <f t="shared" si="97"/>
        <v>#N/A</v>
      </c>
      <c r="Q108" s="140" t="e">
        <f t="shared" si="98"/>
        <v>#N/A</v>
      </c>
      <c r="R108" s="140" t="e">
        <f t="shared" si="99"/>
        <v>#N/A</v>
      </c>
      <c r="S108" s="140" t="e">
        <f t="shared" si="100"/>
        <v>#N/A</v>
      </c>
      <c r="T108" s="140" t="e">
        <f t="shared" si="101"/>
        <v>#N/A</v>
      </c>
      <c r="U108" s="140" t="e">
        <f t="shared" si="102"/>
        <v>#N/A</v>
      </c>
      <c r="V108" s="141" t="str">
        <f t="shared" si="14"/>
        <v>DPS</v>
      </c>
      <c r="W108" s="141" t="str">
        <f t="shared" si="15"/>
        <v>DPS</v>
      </c>
      <c r="X108" s="141" t="str">
        <f t="shared" si="16"/>
        <v>DPS</v>
      </c>
      <c r="Y108" s="141" t="str">
        <f t="shared" si="17"/>
        <v>DPS</v>
      </c>
      <c r="Z108" s="141" t="str">
        <f t="shared" si="18"/>
        <v>DPS</v>
      </c>
      <c r="AA108" s="141" t="str">
        <f t="shared" si="19"/>
        <v>DPS</v>
      </c>
      <c r="AB108" s="141" t="str">
        <f t="shared" si="20"/>
        <v>DPS</v>
      </c>
      <c r="AC108" s="141" t="str">
        <f t="shared" si="21"/>
        <v>DPS</v>
      </c>
      <c r="AD108" s="141" t="str">
        <f t="shared" si="22"/>
        <v>DPS</v>
      </c>
      <c r="AE108" s="141" t="str">
        <f t="shared" si="23"/>
        <v>DPS</v>
      </c>
      <c r="AF108" s="141" t="str">
        <f t="shared" si="24"/>
        <v>DPS</v>
      </c>
      <c r="AG108" s="141" t="str">
        <f t="shared" si="25"/>
        <v>DPS</v>
      </c>
      <c r="AH108" s="141" t="str">
        <f t="shared" si="26"/>
        <v>DPS</v>
      </c>
      <c r="AI108" s="141" t="str">
        <f t="shared" si="27"/>
        <v>HPS</v>
      </c>
      <c r="AJ108" s="141" t="str">
        <f t="shared" si="28"/>
        <v>HPS</v>
      </c>
      <c r="AK108" s="141" t="str">
        <f t="shared" si="29"/>
        <v>HPS</v>
      </c>
      <c r="AL108" s="141" t="str">
        <f t="shared" si="30"/>
        <v>HPS</v>
      </c>
      <c r="AM108" s="141" t="str">
        <f t="shared" si="31"/>
        <v>HPS</v>
      </c>
      <c r="AN108" s="141" t="str">
        <f t="shared" si="32"/>
        <v>HPS</v>
      </c>
      <c r="AO108" s="141" t="str">
        <f t="shared" si="33"/>
        <v>HPS</v>
      </c>
      <c r="AP108" s="134" t="e">
        <f t="shared" si="103"/>
        <v>#N/A</v>
      </c>
      <c r="AQ108" s="134" t="e">
        <f t="shared" si="104"/>
        <v>#N/A</v>
      </c>
      <c r="AR108" s="134" t="e">
        <f t="shared" si="105"/>
        <v>#N/A</v>
      </c>
      <c r="AS108" s="134" t="e">
        <f t="shared" si="106"/>
        <v>#N/A</v>
      </c>
      <c r="AT108" s="134" t="e">
        <f t="shared" si="107"/>
        <v>#N/A</v>
      </c>
      <c r="AU108" s="134" t="e">
        <f t="shared" si="108"/>
        <v>#N/A</v>
      </c>
      <c r="AV108" s="134" t="e">
        <f t="shared" si="109"/>
        <v>#N/A</v>
      </c>
      <c r="AW108" s="134" t="e">
        <f t="shared" si="110"/>
        <v>#N/A</v>
      </c>
      <c r="AX108" s="134" t="e">
        <f t="shared" si="111"/>
        <v>#N/A</v>
      </c>
      <c r="AY108" s="134" t="e">
        <f t="shared" si="112"/>
        <v>#N/A</v>
      </c>
      <c r="AZ108" s="134" t="e">
        <f t="shared" si="113"/>
        <v>#N/A</v>
      </c>
      <c r="BA108" s="134" t="e">
        <f t="shared" si="114"/>
        <v>#N/A</v>
      </c>
      <c r="BB108" s="134" t="e">
        <f t="shared" si="115"/>
        <v>#N/A</v>
      </c>
      <c r="BC108" s="134" t="e">
        <f t="shared" si="116"/>
        <v>#N/A</v>
      </c>
      <c r="BD108" s="134" t="e">
        <f t="shared" si="117"/>
        <v>#N/A</v>
      </c>
      <c r="BE108" s="134" t="e">
        <f t="shared" si="118"/>
        <v>#N/A</v>
      </c>
      <c r="BF108" s="134" t="e">
        <f t="shared" si="119"/>
        <v>#N/A</v>
      </c>
      <c r="BG108" s="134" t="e">
        <f t="shared" si="120"/>
        <v>#N/A</v>
      </c>
      <c r="BH108" s="134" t="e">
        <f t="shared" si="121"/>
        <v>#N/A</v>
      </c>
      <c r="BI108" s="134" t="e">
        <f t="shared" si="122"/>
        <v>#N/A</v>
      </c>
      <c r="BJ108" t="e">
        <f t="shared" si="35"/>
        <v>#N/A</v>
      </c>
      <c r="BK108" t="e">
        <f t="shared" si="36"/>
        <v>#N/A</v>
      </c>
      <c r="BL108" s="142" t="e">
        <f t="shared" si="123"/>
        <v>#N/A</v>
      </c>
      <c r="BM108" s="142">
        <f t="shared" si="37"/>
        <v>2650</v>
      </c>
      <c r="BN108" t="e">
        <f t="shared" si="38"/>
        <v>#NUM!</v>
      </c>
      <c r="BO108" s="143" t="e">
        <f t="shared" si="39"/>
        <v>#N/A</v>
      </c>
      <c r="BP108" s="143" t="e">
        <f t="shared" si="40"/>
        <v>#N/A</v>
      </c>
      <c r="BQ108" s="143" t="e">
        <f t="shared" si="41"/>
        <v>#N/A</v>
      </c>
      <c r="BR108" s="143" t="e">
        <f t="shared" si="42"/>
        <v>#N/A</v>
      </c>
      <c r="BS108" s="143" t="e">
        <f t="shared" si="43"/>
        <v>#N/A</v>
      </c>
      <c r="BT108" s="143" t="e">
        <f t="shared" si="44"/>
        <v>#N/A</v>
      </c>
      <c r="BU108" s="143" t="e">
        <f t="shared" si="45"/>
        <v>#N/A</v>
      </c>
      <c r="BV108" s="143" t="e">
        <f t="shared" si="46"/>
        <v>#N/A</v>
      </c>
      <c r="BW108" s="143" t="e">
        <f t="shared" si="47"/>
        <v>#N/A</v>
      </c>
      <c r="BX108" s="143" t="e">
        <f t="shared" si="48"/>
        <v>#N/A</v>
      </c>
      <c r="BY108" s="143" t="e">
        <f t="shared" si="49"/>
        <v>#N/A</v>
      </c>
      <c r="BZ108" s="143" t="e">
        <f t="shared" si="50"/>
        <v>#N/A</v>
      </c>
      <c r="CA108" s="143" t="e">
        <f t="shared" si="51"/>
        <v>#N/A</v>
      </c>
      <c r="CB108" s="143" t="e">
        <f t="shared" si="52"/>
        <v>#N/A</v>
      </c>
      <c r="CC108" s="143" t="e">
        <f t="shared" si="53"/>
        <v>#N/A</v>
      </c>
      <c r="CD108" s="143" t="e">
        <f t="shared" si="54"/>
        <v>#N/A</v>
      </c>
      <c r="CE108" s="143" t="e">
        <f t="shared" si="55"/>
        <v>#N/A</v>
      </c>
      <c r="CF108" s="143" t="e">
        <f t="shared" si="56"/>
        <v>#N/A</v>
      </c>
      <c r="CG108" s="143" t="e">
        <f t="shared" si="57"/>
        <v>#N/A</v>
      </c>
      <c r="CH108" s="143" t="e">
        <f t="shared" si="58"/>
        <v>#N/A</v>
      </c>
      <c r="CI108" t="e">
        <f t="shared" si="59"/>
        <v>#N/A</v>
      </c>
      <c r="CJ108" t="e">
        <f t="shared" si="60"/>
        <v>#N/A</v>
      </c>
      <c r="CK108" t="e">
        <f t="shared" si="61"/>
        <v>#N/A</v>
      </c>
      <c r="CL108" t="e">
        <f t="shared" si="62"/>
        <v>#N/A</v>
      </c>
      <c r="CM108" t="e">
        <f t="shared" si="63"/>
        <v>#N/A</v>
      </c>
      <c r="CN108" t="e">
        <f t="shared" si="64"/>
        <v>#N/A</v>
      </c>
      <c r="CO108" t="e">
        <f t="shared" si="65"/>
        <v>#N/A</v>
      </c>
      <c r="CP108" t="e">
        <f t="shared" si="66"/>
        <v>#N/A</v>
      </c>
      <c r="CQ108" t="e">
        <f t="shared" si="67"/>
        <v>#N/A</v>
      </c>
      <c r="CR108" t="e">
        <f t="shared" si="68"/>
        <v>#N/A</v>
      </c>
      <c r="CS108" t="e">
        <f t="shared" si="69"/>
        <v>#N/A</v>
      </c>
      <c r="CT108" t="e">
        <f t="shared" si="70"/>
        <v>#N/A</v>
      </c>
      <c r="CU108" t="e">
        <f t="shared" si="71"/>
        <v>#N/A</v>
      </c>
      <c r="CV108" t="e">
        <f t="shared" si="72"/>
        <v>#N/A</v>
      </c>
      <c r="CW108" t="e">
        <f t="shared" si="73"/>
        <v>#N/A</v>
      </c>
      <c r="CX108" t="e">
        <f t="shared" si="74"/>
        <v>#N/A</v>
      </c>
      <c r="CY108" t="e">
        <f t="shared" si="75"/>
        <v>#N/A</v>
      </c>
      <c r="CZ108" t="e">
        <f t="shared" si="76"/>
        <v>#N/A</v>
      </c>
      <c r="DA108" t="e">
        <f t="shared" si="77"/>
        <v>#N/A</v>
      </c>
      <c r="DB108" t="e">
        <f t="shared" si="78"/>
        <v>#N/A</v>
      </c>
      <c r="DC108" s="142" t="e">
        <f t="shared" si="79"/>
        <v>#N/A</v>
      </c>
      <c r="DD108" t="e">
        <f t="shared" si="80"/>
        <v>#N/A</v>
      </c>
      <c r="DE108" t="b">
        <f t="shared" si="81"/>
        <v>0</v>
      </c>
    </row>
    <row r="109" spans="1:109">
      <c r="A109">
        <f t="shared" si="82"/>
        <v>44</v>
      </c>
      <c r="B109" s="140" t="e">
        <f t="shared" si="83"/>
        <v>#N/A</v>
      </c>
      <c r="C109" s="140" t="e">
        <f t="shared" si="84"/>
        <v>#N/A</v>
      </c>
      <c r="D109" s="140" t="e">
        <f t="shared" si="85"/>
        <v>#N/A</v>
      </c>
      <c r="E109" s="140" t="e">
        <f t="shared" si="86"/>
        <v>#N/A</v>
      </c>
      <c r="F109" s="140" t="e">
        <f t="shared" si="87"/>
        <v>#N/A</v>
      </c>
      <c r="G109" s="140" t="e">
        <f t="shared" si="88"/>
        <v>#N/A</v>
      </c>
      <c r="H109" s="140" t="e">
        <f t="shared" si="89"/>
        <v>#N/A</v>
      </c>
      <c r="I109" s="140" t="e">
        <f t="shared" si="90"/>
        <v>#N/A</v>
      </c>
      <c r="J109" s="140" t="e">
        <f t="shared" si="91"/>
        <v>#N/A</v>
      </c>
      <c r="K109" s="140" t="e">
        <f t="shared" si="92"/>
        <v>#N/A</v>
      </c>
      <c r="L109" s="140" t="e">
        <f t="shared" si="93"/>
        <v>#N/A</v>
      </c>
      <c r="M109" s="140" t="e">
        <f t="shared" si="94"/>
        <v>#N/A</v>
      </c>
      <c r="N109" s="140" t="e">
        <f t="shared" si="95"/>
        <v>#N/A</v>
      </c>
      <c r="O109" s="140" t="e">
        <f t="shared" si="96"/>
        <v>#N/A</v>
      </c>
      <c r="P109" s="140" t="e">
        <f t="shared" si="97"/>
        <v>#N/A</v>
      </c>
      <c r="Q109" s="140" t="e">
        <f t="shared" si="98"/>
        <v>#N/A</v>
      </c>
      <c r="R109" s="140" t="e">
        <f t="shared" si="99"/>
        <v>#N/A</v>
      </c>
      <c r="S109" s="140" t="e">
        <f t="shared" si="100"/>
        <v>#N/A</v>
      </c>
      <c r="T109" s="140" t="e">
        <f t="shared" si="101"/>
        <v>#N/A</v>
      </c>
      <c r="U109" s="140" t="e">
        <f t="shared" si="102"/>
        <v>#N/A</v>
      </c>
      <c r="V109" s="141" t="str">
        <f t="shared" si="14"/>
        <v>DPS</v>
      </c>
      <c r="W109" s="141" t="str">
        <f t="shared" si="15"/>
        <v>DPS</v>
      </c>
      <c r="X109" s="141" t="str">
        <f t="shared" si="16"/>
        <v>DPS</v>
      </c>
      <c r="Y109" s="141" t="str">
        <f t="shared" si="17"/>
        <v>DPS</v>
      </c>
      <c r="Z109" s="141" t="str">
        <f t="shared" si="18"/>
        <v>DPS</v>
      </c>
      <c r="AA109" s="141" t="str">
        <f t="shared" si="19"/>
        <v>DPS</v>
      </c>
      <c r="AB109" s="141" t="str">
        <f t="shared" si="20"/>
        <v>DPS</v>
      </c>
      <c r="AC109" s="141" t="str">
        <f t="shared" si="21"/>
        <v>DPS</v>
      </c>
      <c r="AD109" s="141" t="str">
        <f t="shared" si="22"/>
        <v>DPS</v>
      </c>
      <c r="AE109" s="141" t="str">
        <f t="shared" si="23"/>
        <v>DPS</v>
      </c>
      <c r="AF109" s="141" t="str">
        <f t="shared" si="24"/>
        <v>DPS</v>
      </c>
      <c r="AG109" s="141" t="str">
        <f t="shared" si="25"/>
        <v>DPS</v>
      </c>
      <c r="AH109" s="141" t="str">
        <f t="shared" si="26"/>
        <v>DPS</v>
      </c>
      <c r="AI109" s="141" t="str">
        <f t="shared" si="27"/>
        <v>HPS</v>
      </c>
      <c r="AJ109" s="141" t="str">
        <f t="shared" si="28"/>
        <v>HPS</v>
      </c>
      <c r="AK109" s="141" t="str">
        <f t="shared" si="29"/>
        <v>HPS</v>
      </c>
      <c r="AL109" s="141" t="str">
        <f t="shared" si="30"/>
        <v>HPS</v>
      </c>
      <c r="AM109" s="141" t="str">
        <f t="shared" si="31"/>
        <v>HPS</v>
      </c>
      <c r="AN109" s="141" t="str">
        <f t="shared" si="32"/>
        <v>HPS</v>
      </c>
      <c r="AO109" s="141" t="str">
        <f t="shared" si="33"/>
        <v>HPS</v>
      </c>
      <c r="AP109" s="134" t="e">
        <f t="shared" si="103"/>
        <v>#N/A</v>
      </c>
      <c r="AQ109" s="134" t="e">
        <f t="shared" si="104"/>
        <v>#N/A</v>
      </c>
      <c r="AR109" s="134" t="e">
        <f t="shared" si="105"/>
        <v>#N/A</v>
      </c>
      <c r="AS109" s="134" t="e">
        <f t="shared" si="106"/>
        <v>#N/A</v>
      </c>
      <c r="AT109" s="134" t="e">
        <f t="shared" si="107"/>
        <v>#N/A</v>
      </c>
      <c r="AU109" s="134" t="e">
        <f t="shared" si="108"/>
        <v>#N/A</v>
      </c>
      <c r="AV109" s="134" t="e">
        <f t="shared" si="109"/>
        <v>#N/A</v>
      </c>
      <c r="AW109" s="134" t="e">
        <f t="shared" si="110"/>
        <v>#N/A</v>
      </c>
      <c r="AX109" s="134" t="e">
        <f t="shared" si="111"/>
        <v>#N/A</v>
      </c>
      <c r="AY109" s="134" t="e">
        <f t="shared" si="112"/>
        <v>#N/A</v>
      </c>
      <c r="AZ109" s="134" t="e">
        <f t="shared" si="113"/>
        <v>#N/A</v>
      </c>
      <c r="BA109" s="134" t="e">
        <f t="shared" si="114"/>
        <v>#N/A</v>
      </c>
      <c r="BB109" s="134" t="e">
        <f t="shared" si="115"/>
        <v>#N/A</v>
      </c>
      <c r="BC109" s="134" t="e">
        <f t="shared" si="116"/>
        <v>#N/A</v>
      </c>
      <c r="BD109" s="134" t="e">
        <f t="shared" si="117"/>
        <v>#N/A</v>
      </c>
      <c r="BE109" s="134" t="e">
        <f t="shared" si="118"/>
        <v>#N/A</v>
      </c>
      <c r="BF109" s="134" t="e">
        <f t="shared" si="119"/>
        <v>#N/A</v>
      </c>
      <c r="BG109" s="134" t="e">
        <f t="shared" si="120"/>
        <v>#N/A</v>
      </c>
      <c r="BH109" s="134" t="e">
        <f t="shared" si="121"/>
        <v>#N/A</v>
      </c>
      <c r="BI109" s="134" t="e">
        <f t="shared" si="122"/>
        <v>#N/A</v>
      </c>
      <c r="BJ109" t="e">
        <f t="shared" si="35"/>
        <v>#N/A</v>
      </c>
      <c r="BK109" t="e">
        <f t="shared" si="36"/>
        <v>#N/A</v>
      </c>
      <c r="BL109" s="142" t="e">
        <f t="shared" si="123"/>
        <v>#N/A</v>
      </c>
      <c r="BM109" s="142">
        <f t="shared" si="37"/>
        <v>2650</v>
      </c>
      <c r="BN109" t="e">
        <f t="shared" si="38"/>
        <v>#NUM!</v>
      </c>
      <c r="BO109" s="143" t="e">
        <f t="shared" si="39"/>
        <v>#N/A</v>
      </c>
      <c r="BP109" s="143" t="e">
        <f t="shared" si="40"/>
        <v>#N/A</v>
      </c>
      <c r="BQ109" s="143" t="e">
        <f t="shared" si="41"/>
        <v>#N/A</v>
      </c>
      <c r="BR109" s="143" t="e">
        <f t="shared" si="42"/>
        <v>#N/A</v>
      </c>
      <c r="BS109" s="143" t="e">
        <f t="shared" si="43"/>
        <v>#N/A</v>
      </c>
      <c r="BT109" s="143" t="e">
        <f t="shared" si="44"/>
        <v>#N/A</v>
      </c>
      <c r="BU109" s="143" t="e">
        <f t="shared" si="45"/>
        <v>#N/A</v>
      </c>
      <c r="BV109" s="143" t="e">
        <f t="shared" si="46"/>
        <v>#N/A</v>
      </c>
      <c r="BW109" s="143" t="e">
        <f t="shared" si="47"/>
        <v>#N/A</v>
      </c>
      <c r="BX109" s="143" t="e">
        <f t="shared" si="48"/>
        <v>#N/A</v>
      </c>
      <c r="BY109" s="143" t="e">
        <f t="shared" si="49"/>
        <v>#N/A</v>
      </c>
      <c r="BZ109" s="143" t="e">
        <f t="shared" si="50"/>
        <v>#N/A</v>
      </c>
      <c r="CA109" s="143" t="e">
        <f t="shared" si="51"/>
        <v>#N/A</v>
      </c>
      <c r="CB109" s="143" t="e">
        <f t="shared" si="52"/>
        <v>#N/A</v>
      </c>
      <c r="CC109" s="143" t="e">
        <f t="shared" si="53"/>
        <v>#N/A</v>
      </c>
      <c r="CD109" s="143" t="e">
        <f t="shared" si="54"/>
        <v>#N/A</v>
      </c>
      <c r="CE109" s="143" t="e">
        <f t="shared" si="55"/>
        <v>#N/A</v>
      </c>
      <c r="CF109" s="143" t="e">
        <f t="shared" si="56"/>
        <v>#N/A</v>
      </c>
      <c r="CG109" s="143" t="e">
        <f t="shared" si="57"/>
        <v>#N/A</v>
      </c>
      <c r="CH109" s="143" t="e">
        <f t="shared" si="58"/>
        <v>#N/A</v>
      </c>
      <c r="CI109" t="e">
        <f t="shared" si="59"/>
        <v>#N/A</v>
      </c>
      <c r="CJ109" t="e">
        <f t="shared" si="60"/>
        <v>#N/A</v>
      </c>
      <c r="CK109" t="e">
        <f t="shared" si="61"/>
        <v>#N/A</v>
      </c>
      <c r="CL109" t="e">
        <f t="shared" si="62"/>
        <v>#N/A</v>
      </c>
      <c r="CM109" t="e">
        <f t="shared" si="63"/>
        <v>#N/A</v>
      </c>
      <c r="CN109" t="e">
        <f t="shared" si="64"/>
        <v>#N/A</v>
      </c>
      <c r="CO109" t="e">
        <f t="shared" si="65"/>
        <v>#N/A</v>
      </c>
      <c r="CP109" t="e">
        <f t="shared" si="66"/>
        <v>#N/A</v>
      </c>
      <c r="CQ109" t="e">
        <f t="shared" si="67"/>
        <v>#N/A</v>
      </c>
      <c r="CR109" t="e">
        <f t="shared" si="68"/>
        <v>#N/A</v>
      </c>
      <c r="CS109" t="e">
        <f t="shared" si="69"/>
        <v>#N/A</v>
      </c>
      <c r="CT109" t="e">
        <f t="shared" si="70"/>
        <v>#N/A</v>
      </c>
      <c r="CU109" t="e">
        <f t="shared" si="71"/>
        <v>#N/A</v>
      </c>
      <c r="CV109" t="e">
        <f t="shared" si="72"/>
        <v>#N/A</v>
      </c>
      <c r="CW109" t="e">
        <f t="shared" si="73"/>
        <v>#N/A</v>
      </c>
      <c r="CX109" t="e">
        <f t="shared" si="74"/>
        <v>#N/A</v>
      </c>
      <c r="CY109" t="e">
        <f t="shared" si="75"/>
        <v>#N/A</v>
      </c>
      <c r="CZ109" t="e">
        <f t="shared" si="76"/>
        <v>#N/A</v>
      </c>
      <c r="DA109" t="e">
        <f t="shared" si="77"/>
        <v>#N/A</v>
      </c>
      <c r="DB109" t="e">
        <f t="shared" si="78"/>
        <v>#N/A</v>
      </c>
      <c r="DC109" s="142" t="e">
        <f t="shared" si="79"/>
        <v>#N/A</v>
      </c>
      <c r="DD109" t="e">
        <f t="shared" si="80"/>
        <v>#N/A</v>
      </c>
      <c r="DE109" t="b">
        <f t="shared" si="81"/>
        <v>0</v>
      </c>
    </row>
    <row r="110" spans="1:109">
      <c r="A110">
        <f t="shared" si="82"/>
        <v>45</v>
      </c>
      <c r="B110" s="140" t="e">
        <f t="shared" si="83"/>
        <v>#N/A</v>
      </c>
      <c r="C110" s="140" t="e">
        <f t="shared" si="84"/>
        <v>#N/A</v>
      </c>
      <c r="D110" s="140" t="e">
        <f t="shared" si="85"/>
        <v>#N/A</v>
      </c>
      <c r="E110" s="140" t="e">
        <f t="shared" si="86"/>
        <v>#N/A</v>
      </c>
      <c r="F110" s="140" t="e">
        <f t="shared" si="87"/>
        <v>#N/A</v>
      </c>
      <c r="G110" s="140" t="e">
        <f t="shared" si="88"/>
        <v>#N/A</v>
      </c>
      <c r="H110" s="140" t="e">
        <f t="shared" si="89"/>
        <v>#N/A</v>
      </c>
      <c r="I110" s="140" t="e">
        <f t="shared" si="90"/>
        <v>#N/A</v>
      </c>
      <c r="J110" s="140" t="e">
        <f t="shared" si="91"/>
        <v>#N/A</v>
      </c>
      <c r="K110" s="140" t="e">
        <f t="shared" si="92"/>
        <v>#N/A</v>
      </c>
      <c r="L110" s="140" t="e">
        <f t="shared" si="93"/>
        <v>#N/A</v>
      </c>
      <c r="M110" s="140" t="e">
        <f t="shared" si="94"/>
        <v>#N/A</v>
      </c>
      <c r="N110" s="140" t="e">
        <f t="shared" si="95"/>
        <v>#N/A</v>
      </c>
      <c r="O110" s="140" t="e">
        <f t="shared" si="96"/>
        <v>#N/A</v>
      </c>
      <c r="P110" s="140" t="e">
        <f t="shared" si="97"/>
        <v>#N/A</v>
      </c>
      <c r="Q110" s="140" t="e">
        <f t="shared" si="98"/>
        <v>#N/A</v>
      </c>
      <c r="R110" s="140" t="e">
        <f t="shared" si="99"/>
        <v>#N/A</v>
      </c>
      <c r="S110" s="140" t="e">
        <f t="shared" si="100"/>
        <v>#N/A</v>
      </c>
      <c r="T110" s="140" t="e">
        <f t="shared" si="101"/>
        <v>#N/A</v>
      </c>
      <c r="U110" s="140" t="e">
        <f t="shared" si="102"/>
        <v>#N/A</v>
      </c>
      <c r="V110" s="141" t="str">
        <f t="shared" si="14"/>
        <v>DPS</v>
      </c>
      <c r="W110" s="141" t="str">
        <f t="shared" si="15"/>
        <v>DPS</v>
      </c>
      <c r="X110" s="141" t="str">
        <f t="shared" si="16"/>
        <v>DPS</v>
      </c>
      <c r="Y110" s="141" t="str">
        <f t="shared" si="17"/>
        <v>DPS</v>
      </c>
      <c r="Z110" s="141" t="str">
        <f t="shared" si="18"/>
        <v>DPS</v>
      </c>
      <c r="AA110" s="141" t="str">
        <f t="shared" si="19"/>
        <v>DPS</v>
      </c>
      <c r="AB110" s="141" t="str">
        <f t="shared" si="20"/>
        <v>DPS</v>
      </c>
      <c r="AC110" s="141" t="str">
        <f t="shared" si="21"/>
        <v>DPS</v>
      </c>
      <c r="AD110" s="141" t="str">
        <f t="shared" si="22"/>
        <v>DPS</v>
      </c>
      <c r="AE110" s="141" t="str">
        <f t="shared" si="23"/>
        <v>DPS</v>
      </c>
      <c r="AF110" s="141" t="str">
        <f t="shared" si="24"/>
        <v>DPS</v>
      </c>
      <c r="AG110" s="141" t="str">
        <f t="shared" si="25"/>
        <v>DPS</v>
      </c>
      <c r="AH110" s="141" t="str">
        <f t="shared" si="26"/>
        <v>DPS</v>
      </c>
      <c r="AI110" s="141" t="str">
        <f t="shared" si="27"/>
        <v>HPS</v>
      </c>
      <c r="AJ110" s="141" t="str">
        <f t="shared" si="28"/>
        <v>HPS</v>
      </c>
      <c r="AK110" s="141" t="str">
        <f t="shared" si="29"/>
        <v>HPS</v>
      </c>
      <c r="AL110" s="141" t="str">
        <f t="shared" si="30"/>
        <v>HPS</v>
      </c>
      <c r="AM110" s="141" t="str">
        <f t="shared" si="31"/>
        <v>HPS</v>
      </c>
      <c r="AN110" s="141" t="str">
        <f t="shared" si="32"/>
        <v>HPS</v>
      </c>
      <c r="AO110" s="141" t="str">
        <f t="shared" si="33"/>
        <v>HPS</v>
      </c>
      <c r="AP110" s="134" t="e">
        <f t="shared" si="103"/>
        <v>#N/A</v>
      </c>
      <c r="AQ110" s="134" t="e">
        <f t="shared" si="104"/>
        <v>#N/A</v>
      </c>
      <c r="AR110" s="134" t="e">
        <f t="shared" si="105"/>
        <v>#N/A</v>
      </c>
      <c r="AS110" s="134" t="e">
        <f t="shared" si="106"/>
        <v>#N/A</v>
      </c>
      <c r="AT110" s="134" t="e">
        <f t="shared" si="107"/>
        <v>#N/A</v>
      </c>
      <c r="AU110" s="134" t="e">
        <f t="shared" si="108"/>
        <v>#N/A</v>
      </c>
      <c r="AV110" s="134" t="e">
        <f t="shared" si="109"/>
        <v>#N/A</v>
      </c>
      <c r="AW110" s="134" t="e">
        <f t="shared" si="110"/>
        <v>#N/A</v>
      </c>
      <c r="AX110" s="134" t="e">
        <f t="shared" si="111"/>
        <v>#N/A</v>
      </c>
      <c r="AY110" s="134" t="e">
        <f t="shared" si="112"/>
        <v>#N/A</v>
      </c>
      <c r="AZ110" s="134" t="e">
        <f t="shared" si="113"/>
        <v>#N/A</v>
      </c>
      <c r="BA110" s="134" t="e">
        <f t="shared" si="114"/>
        <v>#N/A</v>
      </c>
      <c r="BB110" s="134" t="e">
        <f t="shared" si="115"/>
        <v>#N/A</v>
      </c>
      <c r="BC110" s="134" t="e">
        <f t="shared" si="116"/>
        <v>#N/A</v>
      </c>
      <c r="BD110" s="134" t="e">
        <f t="shared" si="117"/>
        <v>#N/A</v>
      </c>
      <c r="BE110" s="134" t="e">
        <f t="shared" si="118"/>
        <v>#N/A</v>
      </c>
      <c r="BF110" s="134" t="e">
        <f t="shared" si="119"/>
        <v>#N/A</v>
      </c>
      <c r="BG110" s="134" t="e">
        <f t="shared" si="120"/>
        <v>#N/A</v>
      </c>
      <c r="BH110" s="134" t="e">
        <f t="shared" si="121"/>
        <v>#N/A</v>
      </c>
      <c r="BI110" s="134" t="e">
        <f t="shared" si="122"/>
        <v>#N/A</v>
      </c>
      <c r="BJ110" t="e">
        <f t="shared" si="35"/>
        <v>#N/A</v>
      </c>
      <c r="BK110" t="e">
        <f t="shared" si="36"/>
        <v>#N/A</v>
      </c>
      <c r="BL110" s="142" t="e">
        <f t="shared" si="123"/>
        <v>#N/A</v>
      </c>
      <c r="BM110" s="142">
        <f t="shared" si="37"/>
        <v>2650</v>
      </c>
      <c r="BN110" t="e">
        <f t="shared" si="38"/>
        <v>#NUM!</v>
      </c>
      <c r="BO110" s="143" t="e">
        <f t="shared" si="39"/>
        <v>#N/A</v>
      </c>
      <c r="BP110" s="143" t="e">
        <f t="shared" si="40"/>
        <v>#N/A</v>
      </c>
      <c r="BQ110" s="143" t="e">
        <f t="shared" si="41"/>
        <v>#N/A</v>
      </c>
      <c r="BR110" s="143" t="e">
        <f t="shared" si="42"/>
        <v>#N/A</v>
      </c>
      <c r="BS110" s="143" t="e">
        <f t="shared" si="43"/>
        <v>#N/A</v>
      </c>
      <c r="BT110" s="143" t="e">
        <f t="shared" si="44"/>
        <v>#N/A</v>
      </c>
      <c r="BU110" s="143" t="e">
        <f t="shared" si="45"/>
        <v>#N/A</v>
      </c>
      <c r="BV110" s="143" t="e">
        <f t="shared" si="46"/>
        <v>#N/A</v>
      </c>
      <c r="BW110" s="143" t="e">
        <f t="shared" si="47"/>
        <v>#N/A</v>
      </c>
      <c r="BX110" s="143" t="e">
        <f t="shared" si="48"/>
        <v>#N/A</v>
      </c>
      <c r="BY110" s="143" t="e">
        <f t="shared" si="49"/>
        <v>#N/A</v>
      </c>
      <c r="BZ110" s="143" t="e">
        <f t="shared" si="50"/>
        <v>#N/A</v>
      </c>
      <c r="CA110" s="143" t="e">
        <f t="shared" si="51"/>
        <v>#N/A</v>
      </c>
      <c r="CB110" s="143" t="e">
        <f t="shared" si="52"/>
        <v>#N/A</v>
      </c>
      <c r="CC110" s="143" t="e">
        <f t="shared" si="53"/>
        <v>#N/A</v>
      </c>
      <c r="CD110" s="143" t="e">
        <f t="shared" si="54"/>
        <v>#N/A</v>
      </c>
      <c r="CE110" s="143" t="e">
        <f t="shared" si="55"/>
        <v>#N/A</v>
      </c>
      <c r="CF110" s="143" t="e">
        <f t="shared" si="56"/>
        <v>#N/A</v>
      </c>
      <c r="CG110" s="143" t="e">
        <f t="shared" si="57"/>
        <v>#N/A</v>
      </c>
      <c r="CH110" s="143" t="e">
        <f t="shared" si="58"/>
        <v>#N/A</v>
      </c>
      <c r="CI110" t="e">
        <f t="shared" si="59"/>
        <v>#N/A</v>
      </c>
      <c r="CJ110" t="e">
        <f t="shared" si="60"/>
        <v>#N/A</v>
      </c>
      <c r="CK110" t="e">
        <f t="shared" si="61"/>
        <v>#N/A</v>
      </c>
      <c r="CL110" t="e">
        <f t="shared" si="62"/>
        <v>#N/A</v>
      </c>
      <c r="CM110" t="e">
        <f t="shared" si="63"/>
        <v>#N/A</v>
      </c>
      <c r="CN110" t="e">
        <f t="shared" si="64"/>
        <v>#N/A</v>
      </c>
      <c r="CO110" t="e">
        <f t="shared" si="65"/>
        <v>#N/A</v>
      </c>
      <c r="CP110" t="e">
        <f t="shared" si="66"/>
        <v>#N/A</v>
      </c>
      <c r="CQ110" t="e">
        <f t="shared" si="67"/>
        <v>#N/A</v>
      </c>
      <c r="CR110" t="e">
        <f t="shared" si="68"/>
        <v>#N/A</v>
      </c>
      <c r="CS110" t="e">
        <f t="shared" si="69"/>
        <v>#N/A</v>
      </c>
      <c r="CT110" t="e">
        <f t="shared" si="70"/>
        <v>#N/A</v>
      </c>
      <c r="CU110" t="e">
        <f t="shared" si="71"/>
        <v>#N/A</v>
      </c>
      <c r="CV110" t="e">
        <f t="shared" si="72"/>
        <v>#N/A</v>
      </c>
      <c r="CW110" t="e">
        <f t="shared" si="73"/>
        <v>#N/A</v>
      </c>
      <c r="CX110" t="e">
        <f t="shared" si="74"/>
        <v>#N/A</v>
      </c>
      <c r="CY110" t="e">
        <f t="shared" si="75"/>
        <v>#N/A</v>
      </c>
      <c r="CZ110" t="e">
        <f t="shared" si="76"/>
        <v>#N/A</v>
      </c>
      <c r="DA110" t="e">
        <f t="shared" si="77"/>
        <v>#N/A</v>
      </c>
      <c r="DB110" t="e">
        <f t="shared" si="78"/>
        <v>#N/A</v>
      </c>
      <c r="DC110" s="142" t="e">
        <f t="shared" si="79"/>
        <v>#N/A</v>
      </c>
      <c r="DD110" t="e">
        <f t="shared" si="80"/>
        <v>#N/A</v>
      </c>
      <c r="DE110" t="b">
        <f t="shared" si="81"/>
        <v>0</v>
      </c>
    </row>
    <row r="111" spans="1:109">
      <c r="A111">
        <f t="shared" si="82"/>
        <v>46</v>
      </c>
      <c r="B111" s="140" t="e">
        <f t="shared" si="83"/>
        <v>#N/A</v>
      </c>
      <c r="C111" s="140" t="e">
        <f t="shared" si="84"/>
        <v>#N/A</v>
      </c>
      <c r="D111" s="140" t="e">
        <f t="shared" si="85"/>
        <v>#N/A</v>
      </c>
      <c r="E111" s="140" t="e">
        <f t="shared" si="86"/>
        <v>#N/A</v>
      </c>
      <c r="F111" s="140" t="e">
        <f t="shared" si="87"/>
        <v>#N/A</v>
      </c>
      <c r="G111" s="140" t="e">
        <f t="shared" si="88"/>
        <v>#N/A</v>
      </c>
      <c r="H111" s="140" t="e">
        <f t="shared" si="89"/>
        <v>#N/A</v>
      </c>
      <c r="I111" s="140" t="e">
        <f t="shared" si="90"/>
        <v>#N/A</v>
      </c>
      <c r="J111" s="140" t="e">
        <f t="shared" si="91"/>
        <v>#N/A</v>
      </c>
      <c r="K111" s="140" t="e">
        <f t="shared" si="92"/>
        <v>#N/A</v>
      </c>
      <c r="L111" s="140" t="e">
        <f t="shared" si="93"/>
        <v>#N/A</v>
      </c>
      <c r="M111" s="140" t="e">
        <f t="shared" si="94"/>
        <v>#N/A</v>
      </c>
      <c r="N111" s="140" t="e">
        <f t="shared" si="95"/>
        <v>#N/A</v>
      </c>
      <c r="O111" s="140" t="e">
        <f t="shared" si="96"/>
        <v>#N/A</v>
      </c>
      <c r="P111" s="140" t="e">
        <f t="shared" si="97"/>
        <v>#N/A</v>
      </c>
      <c r="Q111" s="140" t="e">
        <f t="shared" si="98"/>
        <v>#N/A</v>
      </c>
      <c r="R111" s="140" t="e">
        <f t="shared" si="99"/>
        <v>#N/A</v>
      </c>
      <c r="S111" s="140" t="e">
        <f t="shared" si="100"/>
        <v>#N/A</v>
      </c>
      <c r="T111" s="140" t="e">
        <f t="shared" si="101"/>
        <v>#N/A</v>
      </c>
      <c r="U111" s="140" t="e">
        <f t="shared" si="102"/>
        <v>#N/A</v>
      </c>
      <c r="V111" s="141" t="str">
        <f t="shared" si="14"/>
        <v>DPS</v>
      </c>
      <c r="W111" s="141" t="str">
        <f t="shared" si="15"/>
        <v>DPS</v>
      </c>
      <c r="X111" s="141" t="str">
        <f t="shared" si="16"/>
        <v>DPS</v>
      </c>
      <c r="Y111" s="141" t="str">
        <f t="shared" si="17"/>
        <v>DPS</v>
      </c>
      <c r="Z111" s="141" t="str">
        <f t="shared" si="18"/>
        <v>DPS</v>
      </c>
      <c r="AA111" s="141" t="str">
        <f t="shared" si="19"/>
        <v>DPS</v>
      </c>
      <c r="AB111" s="141" t="str">
        <f t="shared" si="20"/>
        <v>DPS</v>
      </c>
      <c r="AC111" s="141" t="str">
        <f t="shared" si="21"/>
        <v>DPS</v>
      </c>
      <c r="AD111" s="141" t="str">
        <f t="shared" si="22"/>
        <v>DPS</v>
      </c>
      <c r="AE111" s="141" t="str">
        <f t="shared" si="23"/>
        <v>DPS</v>
      </c>
      <c r="AF111" s="141" t="str">
        <f t="shared" si="24"/>
        <v>DPS</v>
      </c>
      <c r="AG111" s="141" t="str">
        <f t="shared" si="25"/>
        <v>DPS</v>
      </c>
      <c r="AH111" s="141" t="str">
        <f t="shared" si="26"/>
        <v>DPS</v>
      </c>
      <c r="AI111" s="141" t="str">
        <f t="shared" si="27"/>
        <v>HPS</v>
      </c>
      <c r="AJ111" s="141" t="str">
        <f t="shared" si="28"/>
        <v>HPS</v>
      </c>
      <c r="AK111" s="141" t="str">
        <f t="shared" si="29"/>
        <v>HPS</v>
      </c>
      <c r="AL111" s="141" t="str">
        <f t="shared" si="30"/>
        <v>HPS</v>
      </c>
      <c r="AM111" s="141" t="str">
        <f t="shared" si="31"/>
        <v>HPS</v>
      </c>
      <c r="AN111" s="141" t="str">
        <f t="shared" si="32"/>
        <v>HPS</v>
      </c>
      <c r="AO111" s="141" t="str">
        <f t="shared" si="33"/>
        <v>HPS</v>
      </c>
      <c r="AP111" s="134" t="e">
        <f t="shared" si="103"/>
        <v>#N/A</v>
      </c>
      <c r="AQ111" s="134" t="e">
        <f t="shared" si="104"/>
        <v>#N/A</v>
      </c>
      <c r="AR111" s="134" t="e">
        <f t="shared" si="105"/>
        <v>#N/A</v>
      </c>
      <c r="AS111" s="134" t="e">
        <f t="shared" si="106"/>
        <v>#N/A</v>
      </c>
      <c r="AT111" s="134" t="e">
        <f t="shared" si="107"/>
        <v>#N/A</v>
      </c>
      <c r="AU111" s="134" t="e">
        <f t="shared" si="108"/>
        <v>#N/A</v>
      </c>
      <c r="AV111" s="134" t="e">
        <f t="shared" si="109"/>
        <v>#N/A</v>
      </c>
      <c r="AW111" s="134" t="e">
        <f t="shared" si="110"/>
        <v>#N/A</v>
      </c>
      <c r="AX111" s="134" t="e">
        <f t="shared" si="111"/>
        <v>#N/A</v>
      </c>
      <c r="AY111" s="134" t="e">
        <f t="shared" si="112"/>
        <v>#N/A</v>
      </c>
      <c r="AZ111" s="134" t="e">
        <f t="shared" si="113"/>
        <v>#N/A</v>
      </c>
      <c r="BA111" s="134" t="e">
        <f t="shared" si="114"/>
        <v>#N/A</v>
      </c>
      <c r="BB111" s="134" t="e">
        <f t="shared" si="115"/>
        <v>#N/A</v>
      </c>
      <c r="BC111" s="134" t="e">
        <f t="shared" si="116"/>
        <v>#N/A</v>
      </c>
      <c r="BD111" s="134" t="e">
        <f t="shared" si="117"/>
        <v>#N/A</v>
      </c>
      <c r="BE111" s="134" t="e">
        <f t="shared" si="118"/>
        <v>#N/A</v>
      </c>
      <c r="BF111" s="134" t="e">
        <f t="shared" si="119"/>
        <v>#N/A</v>
      </c>
      <c r="BG111" s="134" t="e">
        <f t="shared" si="120"/>
        <v>#N/A</v>
      </c>
      <c r="BH111" s="134" t="e">
        <f t="shared" si="121"/>
        <v>#N/A</v>
      </c>
      <c r="BI111" s="134" t="e">
        <f t="shared" si="122"/>
        <v>#N/A</v>
      </c>
      <c r="BJ111" t="e">
        <f t="shared" si="35"/>
        <v>#N/A</v>
      </c>
      <c r="BK111" t="e">
        <f t="shared" si="36"/>
        <v>#N/A</v>
      </c>
      <c r="BL111" s="142" t="e">
        <f t="shared" si="123"/>
        <v>#N/A</v>
      </c>
      <c r="BM111" s="142">
        <f t="shared" si="37"/>
        <v>2650</v>
      </c>
      <c r="BN111" t="e">
        <f t="shared" si="38"/>
        <v>#NUM!</v>
      </c>
      <c r="BO111" s="143" t="e">
        <f t="shared" si="39"/>
        <v>#N/A</v>
      </c>
      <c r="BP111" s="143" t="e">
        <f t="shared" si="40"/>
        <v>#N/A</v>
      </c>
      <c r="BQ111" s="143" t="e">
        <f t="shared" si="41"/>
        <v>#N/A</v>
      </c>
      <c r="BR111" s="143" t="e">
        <f t="shared" si="42"/>
        <v>#N/A</v>
      </c>
      <c r="BS111" s="143" t="e">
        <f t="shared" si="43"/>
        <v>#N/A</v>
      </c>
      <c r="BT111" s="143" t="e">
        <f t="shared" si="44"/>
        <v>#N/A</v>
      </c>
      <c r="BU111" s="143" t="e">
        <f t="shared" si="45"/>
        <v>#N/A</v>
      </c>
      <c r="BV111" s="143" t="e">
        <f t="shared" si="46"/>
        <v>#N/A</v>
      </c>
      <c r="BW111" s="143" t="e">
        <f t="shared" si="47"/>
        <v>#N/A</v>
      </c>
      <c r="BX111" s="143" t="e">
        <f t="shared" si="48"/>
        <v>#N/A</v>
      </c>
      <c r="BY111" s="143" t="e">
        <f t="shared" si="49"/>
        <v>#N/A</v>
      </c>
      <c r="BZ111" s="143" t="e">
        <f t="shared" si="50"/>
        <v>#N/A</v>
      </c>
      <c r="CA111" s="143" t="e">
        <f t="shared" si="51"/>
        <v>#N/A</v>
      </c>
      <c r="CB111" s="143" t="e">
        <f t="shared" si="52"/>
        <v>#N/A</v>
      </c>
      <c r="CC111" s="143" t="e">
        <f t="shared" si="53"/>
        <v>#N/A</v>
      </c>
      <c r="CD111" s="143" t="e">
        <f t="shared" si="54"/>
        <v>#N/A</v>
      </c>
      <c r="CE111" s="143" t="e">
        <f t="shared" si="55"/>
        <v>#N/A</v>
      </c>
      <c r="CF111" s="143" t="e">
        <f t="shared" si="56"/>
        <v>#N/A</v>
      </c>
      <c r="CG111" s="143" t="e">
        <f t="shared" si="57"/>
        <v>#N/A</v>
      </c>
      <c r="CH111" s="143" t="e">
        <f t="shared" si="58"/>
        <v>#N/A</v>
      </c>
      <c r="CI111" t="e">
        <f t="shared" si="59"/>
        <v>#N/A</v>
      </c>
      <c r="CJ111" t="e">
        <f t="shared" si="60"/>
        <v>#N/A</v>
      </c>
      <c r="CK111" t="e">
        <f t="shared" si="61"/>
        <v>#N/A</v>
      </c>
      <c r="CL111" t="e">
        <f t="shared" si="62"/>
        <v>#N/A</v>
      </c>
      <c r="CM111" t="e">
        <f t="shared" si="63"/>
        <v>#N/A</v>
      </c>
      <c r="CN111" t="e">
        <f t="shared" si="64"/>
        <v>#N/A</v>
      </c>
      <c r="CO111" t="e">
        <f t="shared" si="65"/>
        <v>#N/A</v>
      </c>
      <c r="CP111" t="e">
        <f t="shared" si="66"/>
        <v>#N/A</v>
      </c>
      <c r="CQ111" t="e">
        <f t="shared" si="67"/>
        <v>#N/A</v>
      </c>
      <c r="CR111" t="e">
        <f t="shared" si="68"/>
        <v>#N/A</v>
      </c>
      <c r="CS111" t="e">
        <f t="shared" si="69"/>
        <v>#N/A</v>
      </c>
      <c r="CT111" t="e">
        <f t="shared" si="70"/>
        <v>#N/A</v>
      </c>
      <c r="CU111" t="e">
        <f t="shared" si="71"/>
        <v>#N/A</v>
      </c>
      <c r="CV111" t="e">
        <f t="shared" si="72"/>
        <v>#N/A</v>
      </c>
      <c r="CW111" t="e">
        <f t="shared" si="73"/>
        <v>#N/A</v>
      </c>
      <c r="CX111" t="e">
        <f t="shared" si="74"/>
        <v>#N/A</v>
      </c>
      <c r="CY111" t="e">
        <f t="shared" si="75"/>
        <v>#N/A</v>
      </c>
      <c r="CZ111" t="e">
        <f t="shared" si="76"/>
        <v>#N/A</v>
      </c>
      <c r="DA111" t="e">
        <f t="shared" si="77"/>
        <v>#N/A</v>
      </c>
      <c r="DB111" t="e">
        <f t="shared" si="78"/>
        <v>#N/A</v>
      </c>
      <c r="DC111" s="142" t="e">
        <f t="shared" si="79"/>
        <v>#N/A</v>
      </c>
      <c r="DD111" t="e">
        <f t="shared" si="80"/>
        <v>#N/A</v>
      </c>
      <c r="DE111" t="b">
        <f t="shared" si="81"/>
        <v>0</v>
      </c>
    </row>
    <row r="112" spans="1:109">
      <c r="A112">
        <f t="shared" si="82"/>
        <v>47</v>
      </c>
      <c r="B112" s="140" t="e">
        <f t="shared" si="83"/>
        <v>#N/A</v>
      </c>
      <c r="C112" s="140" t="e">
        <f t="shared" si="84"/>
        <v>#N/A</v>
      </c>
      <c r="D112" s="140" t="e">
        <f t="shared" si="85"/>
        <v>#N/A</v>
      </c>
      <c r="E112" s="140" t="e">
        <f t="shared" si="86"/>
        <v>#N/A</v>
      </c>
      <c r="F112" s="140" t="e">
        <f t="shared" si="87"/>
        <v>#N/A</v>
      </c>
      <c r="G112" s="140" t="e">
        <f t="shared" si="88"/>
        <v>#N/A</v>
      </c>
      <c r="H112" s="140" t="e">
        <f t="shared" si="89"/>
        <v>#N/A</v>
      </c>
      <c r="I112" s="140" t="e">
        <f t="shared" si="90"/>
        <v>#N/A</v>
      </c>
      <c r="J112" s="140" t="e">
        <f t="shared" si="91"/>
        <v>#N/A</v>
      </c>
      <c r="K112" s="140" t="e">
        <f t="shared" si="92"/>
        <v>#N/A</v>
      </c>
      <c r="L112" s="140" t="e">
        <f t="shared" si="93"/>
        <v>#N/A</v>
      </c>
      <c r="M112" s="140" t="e">
        <f t="shared" si="94"/>
        <v>#N/A</v>
      </c>
      <c r="N112" s="140" t="e">
        <f t="shared" si="95"/>
        <v>#N/A</v>
      </c>
      <c r="O112" s="140" t="e">
        <f t="shared" si="96"/>
        <v>#N/A</v>
      </c>
      <c r="P112" s="140" t="e">
        <f t="shared" si="97"/>
        <v>#N/A</v>
      </c>
      <c r="Q112" s="140" t="e">
        <f t="shared" si="98"/>
        <v>#N/A</v>
      </c>
      <c r="R112" s="140" t="e">
        <f t="shared" si="99"/>
        <v>#N/A</v>
      </c>
      <c r="S112" s="140" t="e">
        <f t="shared" si="100"/>
        <v>#N/A</v>
      </c>
      <c r="T112" s="140" t="e">
        <f t="shared" si="101"/>
        <v>#N/A</v>
      </c>
      <c r="U112" s="140" t="e">
        <f t="shared" si="102"/>
        <v>#N/A</v>
      </c>
      <c r="V112" s="141" t="str">
        <f t="shared" si="14"/>
        <v>DPS</v>
      </c>
      <c r="W112" s="141" t="str">
        <f t="shared" si="15"/>
        <v>DPS</v>
      </c>
      <c r="X112" s="141" t="str">
        <f t="shared" si="16"/>
        <v>DPS</v>
      </c>
      <c r="Y112" s="141" t="str">
        <f t="shared" si="17"/>
        <v>DPS</v>
      </c>
      <c r="Z112" s="141" t="str">
        <f t="shared" si="18"/>
        <v>DPS</v>
      </c>
      <c r="AA112" s="141" t="str">
        <f t="shared" si="19"/>
        <v>DPS</v>
      </c>
      <c r="AB112" s="141" t="str">
        <f t="shared" si="20"/>
        <v>DPS</v>
      </c>
      <c r="AC112" s="141" t="str">
        <f t="shared" si="21"/>
        <v>DPS</v>
      </c>
      <c r="AD112" s="141" t="str">
        <f t="shared" si="22"/>
        <v>DPS</v>
      </c>
      <c r="AE112" s="141" t="str">
        <f t="shared" si="23"/>
        <v>DPS</v>
      </c>
      <c r="AF112" s="141" t="str">
        <f t="shared" si="24"/>
        <v>DPS</v>
      </c>
      <c r="AG112" s="141" t="str">
        <f t="shared" si="25"/>
        <v>DPS</v>
      </c>
      <c r="AH112" s="141" t="str">
        <f t="shared" si="26"/>
        <v>DPS</v>
      </c>
      <c r="AI112" s="141" t="str">
        <f t="shared" si="27"/>
        <v>HPS</v>
      </c>
      <c r="AJ112" s="141" t="str">
        <f t="shared" si="28"/>
        <v>HPS</v>
      </c>
      <c r="AK112" s="141" t="str">
        <f t="shared" si="29"/>
        <v>HPS</v>
      </c>
      <c r="AL112" s="141" t="str">
        <f t="shared" si="30"/>
        <v>HPS</v>
      </c>
      <c r="AM112" s="141" t="str">
        <f t="shared" si="31"/>
        <v>HPS</v>
      </c>
      <c r="AN112" s="141" t="str">
        <f t="shared" si="32"/>
        <v>HPS</v>
      </c>
      <c r="AO112" s="141" t="str">
        <f t="shared" si="33"/>
        <v>HPS</v>
      </c>
      <c r="AP112" s="134" t="e">
        <f t="shared" si="103"/>
        <v>#N/A</v>
      </c>
      <c r="AQ112" s="134" t="e">
        <f t="shared" si="104"/>
        <v>#N/A</v>
      </c>
      <c r="AR112" s="134" t="e">
        <f t="shared" si="105"/>
        <v>#N/A</v>
      </c>
      <c r="AS112" s="134" t="e">
        <f t="shared" si="106"/>
        <v>#N/A</v>
      </c>
      <c r="AT112" s="134" t="e">
        <f t="shared" si="107"/>
        <v>#N/A</v>
      </c>
      <c r="AU112" s="134" t="e">
        <f t="shared" si="108"/>
        <v>#N/A</v>
      </c>
      <c r="AV112" s="134" t="e">
        <f t="shared" si="109"/>
        <v>#N/A</v>
      </c>
      <c r="AW112" s="134" t="e">
        <f t="shared" si="110"/>
        <v>#N/A</v>
      </c>
      <c r="AX112" s="134" t="e">
        <f t="shared" si="111"/>
        <v>#N/A</v>
      </c>
      <c r="AY112" s="134" t="e">
        <f t="shared" si="112"/>
        <v>#N/A</v>
      </c>
      <c r="AZ112" s="134" t="e">
        <f t="shared" si="113"/>
        <v>#N/A</v>
      </c>
      <c r="BA112" s="134" t="e">
        <f t="shared" si="114"/>
        <v>#N/A</v>
      </c>
      <c r="BB112" s="134" t="e">
        <f t="shared" si="115"/>
        <v>#N/A</v>
      </c>
      <c r="BC112" s="134" t="e">
        <f t="shared" si="116"/>
        <v>#N/A</v>
      </c>
      <c r="BD112" s="134" t="e">
        <f t="shared" si="117"/>
        <v>#N/A</v>
      </c>
      <c r="BE112" s="134" t="e">
        <f t="shared" si="118"/>
        <v>#N/A</v>
      </c>
      <c r="BF112" s="134" t="e">
        <f t="shared" si="119"/>
        <v>#N/A</v>
      </c>
      <c r="BG112" s="134" t="e">
        <f t="shared" si="120"/>
        <v>#N/A</v>
      </c>
      <c r="BH112" s="134" t="e">
        <f t="shared" si="121"/>
        <v>#N/A</v>
      </c>
      <c r="BI112" s="134" t="e">
        <f t="shared" si="122"/>
        <v>#N/A</v>
      </c>
      <c r="BJ112" t="e">
        <f t="shared" si="35"/>
        <v>#N/A</v>
      </c>
      <c r="BK112" t="e">
        <f t="shared" si="36"/>
        <v>#N/A</v>
      </c>
      <c r="BL112" s="142" t="e">
        <f t="shared" si="123"/>
        <v>#N/A</v>
      </c>
      <c r="BM112" s="142">
        <f t="shared" si="37"/>
        <v>2650</v>
      </c>
      <c r="BN112" t="e">
        <f t="shared" si="38"/>
        <v>#NUM!</v>
      </c>
      <c r="BO112" s="143" t="e">
        <f t="shared" si="39"/>
        <v>#N/A</v>
      </c>
      <c r="BP112" s="143" t="e">
        <f t="shared" si="40"/>
        <v>#N/A</v>
      </c>
      <c r="BQ112" s="143" t="e">
        <f t="shared" si="41"/>
        <v>#N/A</v>
      </c>
      <c r="BR112" s="143" t="e">
        <f t="shared" si="42"/>
        <v>#N/A</v>
      </c>
      <c r="BS112" s="143" t="e">
        <f t="shared" si="43"/>
        <v>#N/A</v>
      </c>
      <c r="BT112" s="143" t="e">
        <f t="shared" si="44"/>
        <v>#N/A</v>
      </c>
      <c r="BU112" s="143" t="e">
        <f t="shared" si="45"/>
        <v>#N/A</v>
      </c>
      <c r="BV112" s="143" t="e">
        <f t="shared" si="46"/>
        <v>#N/A</v>
      </c>
      <c r="BW112" s="143" t="e">
        <f t="shared" si="47"/>
        <v>#N/A</v>
      </c>
      <c r="BX112" s="143" t="e">
        <f t="shared" si="48"/>
        <v>#N/A</v>
      </c>
      <c r="BY112" s="143" t="e">
        <f t="shared" si="49"/>
        <v>#N/A</v>
      </c>
      <c r="BZ112" s="143" t="e">
        <f t="shared" si="50"/>
        <v>#N/A</v>
      </c>
      <c r="CA112" s="143" t="e">
        <f t="shared" si="51"/>
        <v>#N/A</v>
      </c>
      <c r="CB112" s="143" t="e">
        <f t="shared" si="52"/>
        <v>#N/A</v>
      </c>
      <c r="CC112" s="143" t="e">
        <f t="shared" si="53"/>
        <v>#N/A</v>
      </c>
      <c r="CD112" s="143" t="e">
        <f t="shared" si="54"/>
        <v>#N/A</v>
      </c>
      <c r="CE112" s="143" t="e">
        <f t="shared" si="55"/>
        <v>#N/A</v>
      </c>
      <c r="CF112" s="143" t="e">
        <f t="shared" si="56"/>
        <v>#N/A</v>
      </c>
      <c r="CG112" s="143" t="e">
        <f t="shared" si="57"/>
        <v>#N/A</v>
      </c>
      <c r="CH112" s="143" t="e">
        <f t="shared" si="58"/>
        <v>#N/A</v>
      </c>
      <c r="CI112" t="e">
        <f t="shared" si="59"/>
        <v>#N/A</v>
      </c>
      <c r="CJ112" t="e">
        <f t="shared" si="60"/>
        <v>#N/A</v>
      </c>
      <c r="CK112" t="e">
        <f t="shared" si="61"/>
        <v>#N/A</v>
      </c>
      <c r="CL112" t="e">
        <f t="shared" si="62"/>
        <v>#N/A</v>
      </c>
      <c r="CM112" t="e">
        <f t="shared" si="63"/>
        <v>#N/A</v>
      </c>
      <c r="CN112" t="e">
        <f t="shared" si="64"/>
        <v>#N/A</v>
      </c>
      <c r="CO112" t="e">
        <f t="shared" si="65"/>
        <v>#N/A</v>
      </c>
      <c r="CP112" t="e">
        <f t="shared" si="66"/>
        <v>#N/A</v>
      </c>
      <c r="CQ112" t="e">
        <f t="shared" si="67"/>
        <v>#N/A</v>
      </c>
      <c r="CR112" t="e">
        <f t="shared" si="68"/>
        <v>#N/A</v>
      </c>
      <c r="CS112" t="e">
        <f t="shared" si="69"/>
        <v>#N/A</v>
      </c>
      <c r="CT112" t="e">
        <f t="shared" si="70"/>
        <v>#N/A</v>
      </c>
      <c r="CU112" t="e">
        <f t="shared" si="71"/>
        <v>#N/A</v>
      </c>
      <c r="CV112" t="e">
        <f t="shared" si="72"/>
        <v>#N/A</v>
      </c>
      <c r="CW112" t="e">
        <f t="shared" si="73"/>
        <v>#N/A</v>
      </c>
      <c r="CX112" t="e">
        <f t="shared" si="74"/>
        <v>#N/A</v>
      </c>
      <c r="CY112" t="e">
        <f t="shared" si="75"/>
        <v>#N/A</v>
      </c>
      <c r="CZ112" t="e">
        <f t="shared" si="76"/>
        <v>#N/A</v>
      </c>
      <c r="DA112" t="e">
        <f t="shared" si="77"/>
        <v>#N/A</v>
      </c>
      <c r="DB112" t="e">
        <f t="shared" si="78"/>
        <v>#N/A</v>
      </c>
      <c r="DC112" s="142" t="e">
        <f t="shared" si="79"/>
        <v>#N/A</v>
      </c>
      <c r="DD112" t="e">
        <f t="shared" si="80"/>
        <v>#N/A</v>
      </c>
      <c r="DE112" t="b">
        <f t="shared" si="81"/>
        <v>0</v>
      </c>
    </row>
    <row r="113" spans="1:109">
      <c r="A113">
        <f t="shared" si="82"/>
        <v>48</v>
      </c>
      <c r="B113" s="140" t="e">
        <f t="shared" si="83"/>
        <v>#N/A</v>
      </c>
      <c r="C113" s="140" t="e">
        <f t="shared" si="84"/>
        <v>#N/A</v>
      </c>
      <c r="D113" s="140" t="e">
        <f t="shared" si="85"/>
        <v>#N/A</v>
      </c>
      <c r="E113" s="140" t="e">
        <f t="shared" si="86"/>
        <v>#N/A</v>
      </c>
      <c r="F113" s="140" t="e">
        <f t="shared" si="87"/>
        <v>#N/A</v>
      </c>
      <c r="G113" s="140" t="e">
        <f t="shared" si="88"/>
        <v>#N/A</v>
      </c>
      <c r="H113" s="140" t="e">
        <f t="shared" si="89"/>
        <v>#N/A</v>
      </c>
      <c r="I113" s="140" t="e">
        <f t="shared" si="90"/>
        <v>#N/A</v>
      </c>
      <c r="J113" s="140" t="e">
        <f t="shared" si="91"/>
        <v>#N/A</v>
      </c>
      <c r="K113" s="140" t="e">
        <f t="shared" si="92"/>
        <v>#N/A</v>
      </c>
      <c r="L113" s="140" t="e">
        <f t="shared" si="93"/>
        <v>#N/A</v>
      </c>
      <c r="M113" s="140" t="e">
        <f t="shared" si="94"/>
        <v>#N/A</v>
      </c>
      <c r="N113" s="140" t="e">
        <f t="shared" si="95"/>
        <v>#N/A</v>
      </c>
      <c r="O113" s="140" t="e">
        <f t="shared" si="96"/>
        <v>#N/A</v>
      </c>
      <c r="P113" s="140" t="e">
        <f t="shared" si="97"/>
        <v>#N/A</v>
      </c>
      <c r="Q113" s="140" t="e">
        <f t="shared" si="98"/>
        <v>#N/A</v>
      </c>
      <c r="R113" s="140" t="e">
        <f t="shared" si="99"/>
        <v>#N/A</v>
      </c>
      <c r="S113" s="140" t="e">
        <f t="shared" si="100"/>
        <v>#N/A</v>
      </c>
      <c r="T113" s="140" t="e">
        <f t="shared" si="101"/>
        <v>#N/A</v>
      </c>
      <c r="U113" s="140" t="e">
        <f t="shared" si="102"/>
        <v>#N/A</v>
      </c>
      <c r="V113" s="141" t="str">
        <f t="shared" si="14"/>
        <v>DPS</v>
      </c>
      <c r="W113" s="141" t="str">
        <f t="shared" si="15"/>
        <v>DPS</v>
      </c>
      <c r="X113" s="141" t="str">
        <f t="shared" si="16"/>
        <v>DPS</v>
      </c>
      <c r="Y113" s="141" t="str">
        <f t="shared" si="17"/>
        <v>DPS</v>
      </c>
      <c r="Z113" s="141" t="str">
        <f t="shared" si="18"/>
        <v>DPS</v>
      </c>
      <c r="AA113" s="141" t="str">
        <f t="shared" si="19"/>
        <v>DPS</v>
      </c>
      <c r="AB113" s="141" t="str">
        <f t="shared" si="20"/>
        <v>DPS</v>
      </c>
      <c r="AC113" s="141" t="str">
        <f t="shared" si="21"/>
        <v>DPS</v>
      </c>
      <c r="AD113" s="141" t="str">
        <f t="shared" si="22"/>
        <v>DPS</v>
      </c>
      <c r="AE113" s="141" t="str">
        <f t="shared" si="23"/>
        <v>DPS</v>
      </c>
      <c r="AF113" s="141" t="str">
        <f t="shared" si="24"/>
        <v>DPS</v>
      </c>
      <c r="AG113" s="141" t="str">
        <f t="shared" si="25"/>
        <v>DPS</v>
      </c>
      <c r="AH113" s="141" t="str">
        <f t="shared" si="26"/>
        <v>DPS</v>
      </c>
      <c r="AI113" s="141" t="str">
        <f t="shared" si="27"/>
        <v>HPS</v>
      </c>
      <c r="AJ113" s="141" t="str">
        <f t="shared" si="28"/>
        <v>HPS</v>
      </c>
      <c r="AK113" s="141" t="str">
        <f t="shared" si="29"/>
        <v>HPS</v>
      </c>
      <c r="AL113" s="141" t="str">
        <f t="shared" si="30"/>
        <v>HPS</v>
      </c>
      <c r="AM113" s="141" t="str">
        <f t="shared" si="31"/>
        <v>HPS</v>
      </c>
      <c r="AN113" s="141" t="str">
        <f t="shared" si="32"/>
        <v>HPS</v>
      </c>
      <c r="AO113" s="141" t="str">
        <f t="shared" si="33"/>
        <v>HPS</v>
      </c>
      <c r="AP113" s="134" t="e">
        <f t="shared" si="103"/>
        <v>#N/A</v>
      </c>
      <c r="AQ113" s="134" t="e">
        <f t="shared" si="104"/>
        <v>#N/A</v>
      </c>
      <c r="AR113" s="134" t="e">
        <f t="shared" si="105"/>
        <v>#N/A</v>
      </c>
      <c r="AS113" s="134" t="e">
        <f t="shared" si="106"/>
        <v>#N/A</v>
      </c>
      <c r="AT113" s="134" t="e">
        <f t="shared" si="107"/>
        <v>#N/A</v>
      </c>
      <c r="AU113" s="134" t="e">
        <f t="shared" si="108"/>
        <v>#N/A</v>
      </c>
      <c r="AV113" s="134" t="e">
        <f t="shared" si="109"/>
        <v>#N/A</v>
      </c>
      <c r="AW113" s="134" t="e">
        <f t="shared" si="110"/>
        <v>#N/A</v>
      </c>
      <c r="AX113" s="134" t="e">
        <f t="shared" si="111"/>
        <v>#N/A</v>
      </c>
      <c r="AY113" s="134" t="e">
        <f t="shared" si="112"/>
        <v>#N/A</v>
      </c>
      <c r="AZ113" s="134" t="e">
        <f t="shared" si="113"/>
        <v>#N/A</v>
      </c>
      <c r="BA113" s="134" t="e">
        <f t="shared" si="114"/>
        <v>#N/A</v>
      </c>
      <c r="BB113" s="134" t="e">
        <f t="shared" si="115"/>
        <v>#N/A</v>
      </c>
      <c r="BC113" s="134" t="e">
        <f t="shared" si="116"/>
        <v>#N/A</v>
      </c>
      <c r="BD113" s="134" t="e">
        <f t="shared" si="117"/>
        <v>#N/A</v>
      </c>
      <c r="BE113" s="134" t="e">
        <f t="shared" si="118"/>
        <v>#N/A</v>
      </c>
      <c r="BF113" s="134" t="e">
        <f t="shared" si="119"/>
        <v>#N/A</v>
      </c>
      <c r="BG113" s="134" t="e">
        <f t="shared" si="120"/>
        <v>#N/A</v>
      </c>
      <c r="BH113" s="134" t="e">
        <f t="shared" si="121"/>
        <v>#N/A</v>
      </c>
      <c r="BI113" s="134" t="e">
        <f t="shared" si="122"/>
        <v>#N/A</v>
      </c>
      <c r="BJ113" t="e">
        <f t="shared" si="35"/>
        <v>#N/A</v>
      </c>
      <c r="BK113" t="e">
        <f t="shared" si="36"/>
        <v>#N/A</v>
      </c>
      <c r="BL113" s="142" t="e">
        <f t="shared" si="123"/>
        <v>#N/A</v>
      </c>
      <c r="BM113" s="142">
        <f t="shared" si="37"/>
        <v>2650</v>
      </c>
      <c r="BN113" t="e">
        <f t="shared" si="38"/>
        <v>#NUM!</v>
      </c>
      <c r="BO113" s="143" t="e">
        <f t="shared" si="39"/>
        <v>#N/A</v>
      </c>
      <c r="BP113" s="143" t="e">
        <f t="shared" si="40"/>
        <v>#N/A</v>
      </c>
      <c r="BQ113" s="143" t="e">
        <f t="shared" si="41"/>
        <v>#N/A</v>
      </c>
      <c r="BR113" s="143" t="e">
        <f t="shared" si="42"/>
        <v>#N/A</v>
      </c>
      <c r="BS113" s="143" t="e">
        <f t="shared" si="43"/>
        <v>#N/A</v>
      </c>
      <c r="BT113" s="143" t="e">
        <f t="shared" si="44"/>
        <v>#N/A</v>
      </c>
      <c r="BU113" s="143" t="e">
        <f t="shared" si="45"/>
        <v>#N/A</v>
      </c>
      <c r="BV113" s="143" t="e">
        <f t="shared" si="46"/>
        <v>#N/A</v>
      </c>
      <c r="BW113" s="143" t="e">
        <f t="shared" si="47"/>
        <v>#N/A</v>
      </c>
      <c r="BX113" s="143" t="e">
        <f t="shared" si="48"/>
        <v>#N/A</v>
      </c>
      <c r="BY113" s="143" t="e">
        <f t="shared" si="49"/>
        <v>#N/A</v>
      </c>
      <c r="BZ113" s="143" t="e">
        <f t="shared" si="50"/>
        <v>#N/A</v>
      </c>
      <c r="CA113" s="143" t="e">
        <f t="shared" si="51"/>
        <v>#N/A</v>
      </c>
      <c r="CB113" s="143" t="e">
        <f t="shared" si="52"/>
        <v>#N/A</v>
      </c>
      <c r="CC113" s="143" t="e">
        <f t="shared" si="53"/>
        <v>#N/A</v>
      </c>
      <c r="CD113" s="143" t="e">
        <f t="shared" si="54"/>
        <v>#N/A</v>
      </c>
      <c r="CE113" s="143" t="e">
        <f t="shared" si="55"/>
        <v>#N/A</v>
      </c>
      <c r="CF113" s="143" t="e">
        <f t="shared" si="56"/>
        <v>#N/A</v>
      </c>
      <c r="CG113" s="143" t="e">
        <f t="shared" si="57"/>
        <v>#N/A</v>
      </c>
      <c r="CH113" s="143" t="e">
        <f t="shared" si="58"/>
        <v>#N/A</v>
      </c>
      <c r="CI113" t="e">
        <f t="shared" si="59"/>
        <v>#N/A</v>
      </c>
      <c r="CJ113" t="e">
        <f t="shared" si="60"/>
        <v>#N/A</v>
      </c>
      <c r="CK113" t="e">
        <f t="shared" si="61"/>
        <v>#N/A</v>
      </c>
      <c r="CL113" t="e">
        <f t="shared" si="62"/>
        <v>#N/A</v>
      </c>
      <c r="CM113" t="e">
        <f t="shared" si="63"/>
        <v>#N/A</v>
      </c>
      <c r="CN113" t="e">
        <f t="shared" si="64"/>
        <v>#N/A</v>
      </c>
      <c r="CO113" t="e">
        <f t="shared" si="65"/>
        <v>#N/A</v>
      </c>
      <c r="CP113" t="e">
        <f t="shared" si="66"/>
        <v>#N/A</v>
      </c>
      <c r="CQ113" t="e">
        <f t="shared" si="67"/>
        <v>#N/A</v>
      </c>
      <c r="CR113" t="e">
        <f t="shared" si="68"/>
        <v>#N/A</v>
      </c>
      <c r="CS113" t="e">
        <f t="shared" si="69"/>
        <v>#N/A</v>
      </c>
      <c r="CT113" t="e">
        <f t="shared" si="70"/>
        <v>#N/A</v>
      </c>
      <c r="CU113" t="e">
        <f t="shared" si="71"/>
        <v>#N/A</v>
      </c>
      <c r="CV113" t="e">
        <f t="shared" si="72"/>
        <v>#N/A</v>
      </c>
      <c r="CW113" t="e">
        <f t="shared" si="73"/>
        <v>#N/A</v>
      </c>
      <c r="CX113" t="e">
        <f t="shared" si="74"/>
        <v>#N/A</v>
      </c>
      <c r="CY113" t="e">
        <f t="shared" si="75"/>
        <v>#N/A</v>
      </c>
      <c r="CZ113" t="e">
        <f t="shared" si="76"/>
        <v>#N/A</v>
      </c>
      <c r="DA113" t="e">
        <f t="shared" si="77"/>
        <v>#N/A</v>
      </c>
      <c r="DB113" t="e">
        <f t="shared" si="78"/>
        <v>#N/A</v>
      </c>
      <c r="DC113" s="142" t="e">
        <f t="shared" si="79"/>
        <v>#N/A</v>
      </c>
      <c r="DD113" t="e">
        <f t="shared" si="80"/>
        <v>#N/A</v>
      </c>
      <c r="DE113" t="b">
        <f t="shared" si="81"/>
        <v>0</v>
      </c>
    </row>
    <row r="114" spans="1:109">
      <c r="A114">
        <f t="shared" si="82"/>
        <v>49</v>
      </c>
      <c r="B114" s="140" t="e">
        <f t="shared" si="83"/>
        <v>#N/A</v>
      </c>
      <c r="C114" s="140" t="e">
        <f t="shared" si="84"/>
        <v>#N/A</v>
      </c>
      <c r="D114" s="140" t="e">
        <f t="shared" si="85"/>
        <v>#N/A</v>
      </c>
      <c r="E114" s="140" t="e">
        <f t="shared" si="86"/>
        <v>#N/A</v>
      </c>
      <c r="F114" s="140" t="e">
        <f t="shared" si="87"/>
        <v>#N/A</v>
      </c>
      <c r="G114" s="140" t="e">
        <f t="shared" si="88"/>
        <v>#N/A</v>
      </c>
      <c r="H114" s="140" t="e">
        <f t="shared" si="89"/>
        <v>#N/A</v>
      </c>
      <c r="I114" s="140" t="e">
        <f t="shared" si="90"/>
        <v>#N/A</v>
      </c>
      <c r="J114" s="140" t="e">
        <f t="shared" si="91"/>
        <v>#N/A</v>
      </c>
      <c r="K114" s="140" t="e">
        <f t="shared" si="92"/>
        <v>#N/A</v>
      </c>
      <c r="L114" s="140" t="e">
        <f t="shared" si="93"/>
        <v>#N/A</v>
      </c>
      <c r="M114" s="140" t="e">
        <f t="shared" si="94"/>
        <v>#N/A</v>
      </c>
      <c r="N114" s="140" t="e">
        <f t="shared" si="95"/>
        <v>#N/A</v>
      </c>
      <c r="O114" s="140" t="e">
        <f t="shared" si="96"/>
        <v>#N/A</v>
      </c>
      <c r="P114" s="140" t="e">
        <f t="shared" si="97"/>
        <v>#N/A</v>
      </c>
      <c r="Q114" s="140" t="e">
        <f t="shared" si="98"/>
        <v>#N/A</v>
      </c>
      <c r="R114" s="140" t="e">
        <f t="shared" si="99"/>
        <v>#N/A</v>
      </c>
      <c r="S114" s="140" t="e">
        <f t="shared" si="100"/>
        <v>#N/A</v>
      </c>
      <c r="T114" s="140" t="e">
        <f t="shared" si="101"/>
        <v>#N/A</v>
      </c>
      <c r="U114" s="140" t="e">
        <f t="shared" si="102"/>
        <v>#N/A</v>
      </c>
      <c r="V114" s="141" t="str">
        <f t="shared" si="14"/>
        <v>DPS</v>
      </c>
      <c r="W114" s="141" t="str">
        <f t="shared" si="15"/>
        <v>DPS</v>
      </c>
      <c r="X114" s="141" t="str">
        <f t="shared" si="16"/>
        <v>DPS</v>
      </c>
      <c r="Y114" s="141" t="str">
        <f t="shared" si="17"/>
        <v>DPS</v>
      </c>
      <c r="Z114" s="141" t="str">
        <f t="shared" si="18"/>
        <v>DPS</v>
      </c>
      <c r="AA114" s="141" t="str">
        <f t="shared" si="19"/>
        <v>DPS</v>
      </c>
      <c r="AB114" s="141" t="str">
        <f t="shared" si="20"/>
        <v>DPS</v>
      </c>
      <c r="AC114" s="141" t="str">
        <f t="shared" si="21"/>
        <v>DPS</v>
      </c>
      <c r="AD114" s="141" t="str">
        <f t="shared" si="22"/>
        <v>DPS</v>
      </c>
      <c r="AE114" s="141" t="str">
        <f t="shared" si="23"/>
        <v>DPS</v>
      </c>
      <c r="AF114" s="141" t="str">
        <f t="shared" si="24"/>
        <v>DPS</v>
      </c>
      <c r="AG114" s="141" t="str">
        <f t="shared" si="25"/>
        <v>DPS</v>
      </c>
      <c r="AH114" s="141" t="str">
        <f t="shared" si="26"/>
        <v>DPS</v>
      </c>
      <c r="AI114" s="141" t="str">
        <f t="shared" si="27"/>
        <v>HPS</v>
      </c>
      <c r="AJ114" s="141" t="str">
        <f t="shared" si="28"/>
        <v>HPS</v>
      </c>
      <c r="AK114" s="141" t="str">
        <f t="shared" si="29"/>
        <v>HPS</v>
      </c>
      <c r="AL114" s="141" t="str">
        <f t="shared" si="30"/>
        <v>HPS</v>
      </c>
      <c r="AM114" s="141" t="str">
        <f t="shared" si="31"/>
        <v>HPS</v>
      </c>
      <c r="AN114" s="141" t="str">
        <f t="shared" si="32"/>
        <v>HPS</v>
      </c>
      <c r="AO114" s="141" t="str">
        <f t="shared" si="33"/>
        <v>HPS</v>
      </c>
      <c r="AP114" s="134" t="e">
        <f t="shared" si="103"/>
        <v>#N/A</v>
      </c>
      <c r="AQ114" s="134" t="e">
        <f t="shared" si="104"/>
        <v>#N/A</v>
      </c>
      <c r="AR114" s="134" t="e">
        <f t="shared" si="105"/>
        <v>#N/A</v>
      </c>
      <c r="AS114" s="134" t="e">
        <f t="shared" si="106"/>
        <v>#N/A</v>
      </c>
      <c r="AT114" s="134" t="e">
        <f t="shared" si="107"/>
        <v>#N/A</v>
      </c>
      <c r="AU114" s="134" t="e">
        <f t="shared" si="108"/>
        <v>#N/A</v>
      </c>
      <c r="AV114" s="134" t="e">
        <f t="shared" si="109"/>
        <v>#N/A</v>
      </c>
      <c r="AW114" s="134" t="e">
        <f t="shared" si="110"/>
        <v>#N/A</v>
      </c>
      <c r="AX114" s="134" t="e">
        <f t="shared" si="111"/>
        <v>#N/A</v>
      </c>
      <c r="AY114" s="134" t="e">
        <f t="shared" si="112"/>
        <v>#N/A</v>
      </c>
      <c r="AZ114" s="134" t="e">
        <f t="shared" si="113"/>
        <v>#N/A</v>
      </c>
      <c r="BA114" s="134" t="e">
        <f t="shared" si="114"/>
        <v>#N/A</v>
      </c>
      <c r="BB114" s="134" t="e">
        <f t="shared" si="115"/>
        <v>#N/A</v>
      </c>
      <c r="BC114" s="134" t="e">
        <f t="shared" si="116"/>
        <v>#N/A</v>
      </c>
      <c r="BD114" s="134" t="e">
        <f t="shared" si="117"/>
        <v>#N/A</v>
      </c>
      <c r="BE114" s="134" t="e">
        <f t="shared" si="118"/>
        <v>#N/A</v>
      </c>
      <c r="BF114" s="134" t="e">
        <f t="shared" si="119"/>
        <v>#N/A</v>
      </c>
      <c r="BG114" s="134" t="e">
        <f t="shared" si="120"/>
        <v>#N/A</v>
      </c>
      <c r="BH114" s="134" t="e">
        <f t="shared" si="121"/>
        <v>#N/A</v>
      </c>
      <c r="BI114" s="134" t="e">
        <f t="shared" si="122"/>
        <v>#N/A</v>
      </c>
      <c r="BJ114" t="e">
        <f t="shared" si="35"/>
        <v>#N/A</v>
      </c>
      <c r="BK114" t="e">
        <f t="shared" si="36"/>
        <v>#N/A</v>
      </c>
      <c r="BL114" s="142" t="e">
        <f t="shared" si="123"/>
        <v>#N/A</v>
      </c>
      <c r="BM114" s="142">
        <f t="shared" si="37"/>
        <v>2650</v>
      </c>
      <c r="BN114" t="e">
        <f t="shared" si="38"/>
        <v>#NUM!</v>
      </c>
      <c r="BO114" s="143" t="e">
        <f t="shared" si="39"/>
        <v>#N/A</v>
      </c>
      <c r="BP114" s="143" t="e">
        <f t="shared" si="40"/>
        <v>#N/A</v>
      </c>
      <c r="BQ114" s="143" t="e">
        <f t="shared" si="41"/>
        <v>#N/A</v>
      </c>
      <c r="BR114" s="143" t="e">
        <f t="shared" si="42"/>
        <v>#N/A</v>
      </c>
      <c r="BS114" s="143" t="e">
        <f t="shared" si="43"/>
        <v>#N/A</v>
      </c>
      <c r="BT114" s="143" t="e">
        <f t="shared" si="44"/>
        <v>#N/A</v>
      </c>
      <c r="BU114" s="143" t="e">
        <f t="shared" si="45"/>
        <v>#N/A</v>
      </c>
      <c r="BV114" s="143" t="e">
        <f t="shared" si="46"/>
        <v>#N/A</v>
      </c>
      <c r="BW114" s="143" t="e">
        <f t="shared" si="47"/>
        <v>#N/A</v>
      </c>
      <c r="BX114" s="143" t="e">
        <f t="shared" si="48"/>
        <v>#N/A</v>
      </c>
      <c r="BY114" s="143" t="e">
        <f t="shared" si="49"/>
        <v>#N/A</v>
      </c>
      <c r="BZ114" s="143" t="e">
        <f t="shared" si="50"/>
        <v>#N/A</v>
      </c>
      <c r="CA114" s="143" t="e">
        <f t="shared" si="51"/>
        <v>#N/A</v>
      </c>
      <c r="CB114" s="143" t="e">
        <f t="shared" si="52"/>
        <v>#N/A</v>
      </c>
      <c r="CC114" s="143" t="e">
        <f t="shared" si="53"/>
        <v>#N/A</v>
      </c>
      <c r="CD114" s="143" t="e">
        <f t="shared" si="54"/>
        <v>#N/A</v>
      </c>
      <c r="CE114" s="143" t="e">
        <f t="shared" si="55"/>
        <v>#N/A</v>
      </c>
      <c r="CF114" s="143" t="e">
        <f t="shared" si="56"/>
        <v>#N/A</v>
      </c>
      <c r="CG114" s="143" t="e">
        <f t="shared" si="57"/>
        <v>#N/A</v>
      </c>
      <c r="CH114" s="143" t="e">
        <f t="shared" si="58"/>
        <v>#N/A</v>
      </c>
      <c r="CI114" t="e">
        <f t="shared" si="59"/>
        <v>#N/A</v>
      </c>
      <c r="CJ114" t="e">
        <f t="shared" si="60"/>
        <v>#N/A</v>
      </c>
      <c r="CK114" t="e">
        <f t="shared" si="61"/>
        <v>#N/A</v>
      </c>
      <c r="CL114" t="e">
        <f t="shared" si="62"/>
        <v>#N/A</v>
      </c>
      <c r="CM114" t="e">
        <f t="shared" si="63"/>
        <v>#N/A</v>
      </c>
      <c r="CN114" t="e">
        <f t="shared" si="64"/>
        <v>#N/A</v>
      </c>
      <c r="CO114" t="e">
        <f t="shared" si="65"/>
        <v>#N/A</v>
      </c>
      <c r="CP114" t="e">
        <f t="shared" si="66"/>
        <v>#N/A</v>
      </c>
      <c r="CQ114" t="e">
        <f t="shared" si="67"/>
        <v>#N/A</v>
      </c>
      <c r="CR114" t="e">
        <f t="shared" si="68"/>
        <v>#N/A</v>
      </c>
      <c r="CS114" t="e">
        <f t="shared" si="69"/>
        <v>#N/A</v>
      </c>
      <c r="CT114" t="e">
        <f t="shared" si="70"/>
        <v>#N/A</v>
      </c>
      <c r="CU114" t="e">
        <f t="shared" si="71"/>
        <v>#N/A</v>
      </c>
      <c r="CV114" t="e">
        <f t="shared" si="72"/>
        <v>#N/A</v>
      </c>
      <c r="CW114" t="e">
        <f t="shared" si="73"/>
        <v>#N/A</v>
      </c>
      <c r="CX114" t="e">
        <f t="shared" si="74"/>
        <v>#N/A</v>
      </c>
      <c r="CY114" t="e">
        <f t="shared" si="75"/>
        <v>#N/A</v>
      </c>
      <c r="CZ114" t="e">
        <f t="shared" si="76"/>
        <v>#N/A</v>
      </c>
      <c r="DA114" t="e">
        <f t="shared" si="77"/>
        <v>#N/A</v>
      </c>
      <c r="DB114" t="e">
        <f t="shared" si="78"/>
        <v>#N/A</v>
      </c>
      <c r="DC114" s="142" t="e">
        <f t="shared" si="79"/>
        <v>#N/A</v>
      </c>
      <c r="DD114" t="e">
        <f t="shared" si="80"/>
        <v>#N/A</v>
      </c>
      <c r="DE114" t="b">
        <f t="shared" si="81"/>
        <v>0</v>
      </c>
    </row>
    <row r="115" spans="1:109">
      <c r="A115">
        <f t="shared" si="82"/>
        <v>50</v>
      </c>
      <c r="B115" s="140" t="e">
        <f t="shared" si="83"/>
        <v>#N/A</v>
      </c>
      <c r="C115" s="140" t="e">
        <f t="shared" si="84"/>
        <v>#N/A</v>
      </c>
      <c r="D115" s="140" t="e">
        <f t="shared" si="85"/>
        <v>#N/A</v>
      </c>
      <c r="E115" s="140" t="e">
        <f t="shared" si="86"/>
        <v>#N/A</v>
      </c>
      <c r="F115" s="140" t="e">
        <f t="shared" si="87"/>
        <v>#N/A</v>
      </c>
      <c r="G115" s="140" t="e">
        <f t="shared" si="88"/>
        <v>#N/A</v>
      </c>
      <c r="H115" s="140" t="e">
        <f t="shared" si="89"/>
        <v>#N/A</v>
      </c>
      <c r="I115" s="140" t="e">
        <f t="shared" si="90"/>
        <v>#N/A</v>
      </c>
      <c r="J115" s="140" t="e">
        <f t="shared" si="91"/>
        <v>#N/A</v>
      </c>
      <c r="K115" s="140" t="e">
        <f t="shared" si="92"/>
        <v>#N/A</v>
      </c>
      <c r="L115" s="140" t="e">
        <f t="shared" si="93"/>
        <v>#N/A</v>
      </c>
      <c r="M115" s="140" t="e">
        <f t="shared" si="94"/>
        <v>#N/A</v>
      </c>
      <c r="N115" s="140" t="e">
        <f t="shared" si="95"/>
        <v>#N/A</v>
      </c>
      <c r="O115" s="140" t="e">
        <f t="shared" si="96"/>
        <v>#N/A</v>
      </c>
      <c r="P115" s="140" t="e">
        <f t="shared" si="97"/>
        <v>#N/A</v>
      </c>
      <c r="Q115" s="140" t="e">
        <f t="shared" si="98"/>
        <v>#N/A</v>
      </c>
      <c r="R115" s="140" t="e">
        <f t="shared" si="99"/>
        <v>#N/A</v>
      </c>
      <c r="S115" s="140" t="e">
        <f t="shared" si="100"/>
        <v>#N/A</v>
      </c>
      <c r="T115" s="140" t="e">
        <f t="shared" si="101"/>
        <v>#N/A</v>
      </c>
      <c r="U115" s="140" t="e">
        <f t="shared" si="102"/>
        <v>#N/A</v>
      </c>
      <c r="V115" s="141" t="str">
        <f t="shared" si="14"/>
        <v>DPS</v>
      </c>
      <c r="W115" s="141" t="str">
        <f t="shared" si="15"/>
        <v>DPS</v>
      </c>
      <c r="X115" s="141" t="str">
        <f t="shared" si="16"/>
        <v>DPS</v>
      </c>
      <c r="Y115" s="141" t="str">
        <f t="shared" si="17"/>
        <v>DPS</v>
      </c>
      <c r="Z115" s="141" t="str">
        <f t="shared" si="18"/>
        <v>DPS</v>
      </c>
      <c r="AA115" s="141" t="str">
        <f t="shared" si="19"/>
        <v>DPS</v>
      </c>
      <c r="AB115" s="141" t="str">
        <f t="shared" si="20"/>
        <v>DPS</v>
      </c>
      <c r="AC115" s="141" t="str">
        <f t="shared" si="21"/>
        <v>DPS</v>
      </c>
      <c r="AD115" s="141" t="str">
        <f t="shared" si="22"/>
        <v>DPS</v>
      </c>
      <c r="AE115" s="141" t="str">
        <f t="shared" si="23"/>
        <v>DPS</v>
      </c>
      <c r="AF115" s="141" t="str">
        <f t="shared" si="24"/>
        <v>DPS</v>
      </c>
      <c r="AG115" s="141" t="str">
        <f t="shared" si="25"/>
        <v>DPS</v>
      </c>
      <c r="AH115" s="141" t="str">
        <f t="shared" si="26"/>
        <v>DPS</v>
      </c>
      <c r="AI115" s="141" t="str">
        <f t="shared" si="27"/>
        <v>HPS</v>
      </c>
      <c r="AJ115" s="141" t="str">
        <f t="shared" si="28"/>
        <v>HPS</v>
      </c>
      <c r="AK115" s="141" t="str">
        <f t="shared" si="29"/>
        <v>HPS</v>
      </c>
      <c r="AL115" s="141" t="str">
        <f t="shared" si="30"/>
        <v>HPS</v>
      </c>
      <c r="AM115" s="141" t="str">
        <f t="shared" si="31"/>
        <v>HPS</v>
      </c>
      <c r="AN115" s="141" t="str">
        <f t="shared" si="32"/>
        <v>HPS</v>
      </c>
      <c r="AO115" s="141" t="str">
        <f t="shared" si="33"/>
        <v>HPS</v>
      </c>
      <c r="AP115" s="134" t="e">
        <f t="shared" si="103"/>
        <v>#N/A</v>
      </c>
      <c r="AQ115" s="134" t="e">
        <f t="shared" si="104"/>
        <v>#N/A</v>
      </c>
      <c r="AR115" s="134" t="e">
        <f t="shared" si="105"/>
        <v>#N/A</v>
      </c>
      <c r="AS115" s="134" t="e">
        <f t="shared" si="106"/>
        <v>#N/A</v>
      </c>
      <c r="AT115" s="134" t="e">
        <f t="shared" si="107"/>
        <v>#N/A</v>
      </c>
      <c r="AU115" s="134" t="e">
        <f t="shared" si="108"/>
        <v>#N/A</v>
      </c>
      <c r="AV115" s="134" t="e">
        <f t="shared" si="109"/>
        <v>#N/A</v>
      </c>
      <c r="AW115" s="134" t="e">
        <f t="shared" si="110"/>
        <v>#N/A</v>
      </c>
      <c r="AX115" s="134" t="e">
        <f t="shared" si="111"/>
        <v>#N/A</v>
      </c>
      <c r="AY115" s="134" t="e">
        <f t="shared" si="112"/>
        <v>#N/A</v>
      </c>
      <c r="AZ115" s="134" t="e">
        <f t="shared" si="113"/>
        <v>#N/A</v>
      </c>
      <c r="BA115" s="134" t="e">
        <f t="shared" si="114"/>
        <v>#N/A</v>
      </c>
      <c r="BB115" s="134" t="e">
        <f t="shared" si="115"/>
        <v>#N/A</v>
      </c>
      <c r="BC115" s="134" t="e">
        <f t="shared" si="116"/>
        <v>#N/A</v>
      </c>
      <c r="BD115" s="134" t="e">
        <f t="shared" si="117"/>
        <v>#N/A</v>
      </c>
      <c r="BE115" s="134" t="e">
        <f t="shared" si="118"/>
        <v>#N/A</v>
      </c>
      <c r="BF115" s="134" t="e">
        <f t="shared" si="119"/>
        <v>#N/A</v>
      </c>
      <c r="BG115" s="134" t="e">
        <f t="shared" si="120"/>
        <v>#N/A</v>
      </c>
      <c r="BH115" s="134" t="e">
        <f t="shared" si="121"/>
        <v>#N/A</v>
      </c>
      <c r="BI115" s="134" t="e">
        <f t="shared" si="122"/>
        <v>#N/A</v>
      </c>
      <c r="BJ115" t="e">
        <f t="shared" si="35"/>
        <v>#N/A</v>
      </c>
      <c r="BK115" t="e">
        <f t="shared" si="36"/>
        <v>#N/A</v>
      </c>
      <c r="BL115" s="142" t="e">
        <f t="shared" si="123"/>
        <v>#N/A</v>
      </c>
      <c r="BM115" s="142">
        <f t="shared" si="37"/>
        <v>2650</v>
      </c>
      <c r="BN115" t="e">
        <f t="shared" si="38"/>
        <v>#NUM!</v>
      </c>
      <c r="BO115" s="143" t="e">
        <f t="shared" si="39"/>
        <v>#N/A</v>
      </c>
      <c r="BP115" s="143" t="e">
        <f t="shared" si="40"/>
        <v>#N/A</v>
      </c>
      <c r="BQ115" s="143" t="e">
        <f t="shared" si="41"/>
        <v>#N/A</v>
      </c>
      <c r="BR115" s="143" t="e">
        <f t="shared" si="42"/>
        <v>#N/A</v>
      </c>
      <c r="BS115" s="143" t="e">
        <f t="shared" si="43"/>
        <v>#N/A</v>
      </c>
      <c r="BT115" s="143" t="e">
        <f t="shared" si="44"/>
        <v>#N/A</v>
      </c>
      <c r="BU115" s="143" t="e">
        <f t="shared" si="45"/>
        <v>#N/A</v>
      </c>
      <c r="BV115" s="143" t="e">
        <f t="shared" si="46"/>
        <v>#N/A</v>
      </c>
      <c r="BW115" s="143" t="e">
        <f t="shared" si="47"/>
        <v>#N/A</v>
      </c>
      <c r="BX115" s="143" t="e">
        <f t="shared" si="48"/>
        <v>#N/A</v>
      </c>
      <c r="BY115" s="143" t="e">
        <f t="shared" si="49"/>
        <v>#N/A</v>
      </c>
      <c r="BZ115" s="143" t="e">
        <f t="shared" si="50"/>
        <v>#N/A</v>
      </c>
      <c r="CA115" s="143" t="e">
        <f t="shared" si="51"/>
        <v>#N/A</v>
      </c>
      <c r="CB115" s="143" t="e">
        <f t="shared" si="52"/>
        <v>#N/A</v>
      </c>
      <c r="CC115" s="143" t="e">
        <f t="shared" si="53"/>
        <v>#N/A</v>
      </c>
      <c r="CD115" s="143" t="e">
        <f t="shared" si="54"/>
        <v>#N/A</v>
      </c>
      <c r="CE115" s="143" t="e">
        <f t="shared" si="55"/>
        <v>#N/A</v>
      </c>
      <c r="CF115" s="143" t="e">
        <f t="shared" si="56"/>
        <v>#N/A</v>
      </c>
      <c r="CG115" s="143" t="e">
        <f t="shared" si="57"/>
        <v>#N/A</v>
      </c>
      <c r="CH115" s="143" t="e">
        <f t="shared" si="58"/>
        <v>#N/A</v>
      </c>
      <c r="CI115" t="e">
        <f t="shared" si="59"/>
        <v>#N/A</v>
      </c>
      <c r="CJ115" t="e">
        <f t="shared" si="60"/>
        <v>#N/A</v>
      </c>
      <c r="CK115" t="e">
        <f t="shared" si="61"/>
        <v>#N/A</v>
      </c>
      <c r="CL115" t="e">
        <f t="shared" si="62"/>
        <v>#N/A</v>
      </c>
      <c r="CM115" t="e">
        <f t="shared" si="63"/>
        <v>#N/A</v>
      </c>
      <c r="CN115" t="e">
        <f t="shared" si="64"/>
        <v>#N/A</v>
      </c>
      <c r="CO115" t="e">
        <f t="shared" si="65"/>
        <v>#N/A</v>
      </c>
      <c r="CP115" t="e">
        <f t="shared" si="66"/>
        <v>#N/A</v>
      </c>
      <c r="CQ115" t="e">
        <f t="shared" si="67"/>
        <v>#N/A</v>
      </c>
      <c r="CR115" t="e">
        <f t="shared" si="68"/>
        <v>#N/A</v>
      </c>
      <c r="CS115" t="e">
        <f t="shared" si="69"/>
        <v>#N/A</v>
      </c>
      <c r="CT115" t="e">
        <f t="shared" si="70"/>
        <v>#N/A</v>
      </c>
      <c r="CU115" t="e">
        <f t="shared" si="71"/>
        <v>#N/A</v>
      </c>
      <c r="CV115" t="e">
        <f t="shared" si="72"/>
        <v>#N/A</v>
      </c>
      <c r="CW115" t="e">
        <f t="shared" si="73"/>
        <v>#N/A</v>
      </c>
      <c r="CX115" t="e">
        <f t="shared" si="74"/>
        <v>#N/A</v>
      </c>
      <c r="CY115" t="e">
        <f t="shared" si="75"/>
        <v>#N/A</v>
      </c>
      <c r="CZ115" t="e">
        <f t="shared" si="76"/>
        <v>#N/A</v>
      </c>
      <c r="DA115" t="e">
        <f t="shared" si="77"/>
        <v>#N/A</v>
      </c>
      <c r="DB115" t="e">
        <f t="shared" si="78"/>
        <v>#N/A</v>
      </c>
      <c r="DC115" s="142" t="e">
        <f t="shared" si="79"/>
        <v>#N/A</v>
      </c>
      <c r="DD115" t="e">
        <f t="shared" si="80"/>
        <v>#N/A</v>
      </c>
      <c r="DE115" t="b">
        <f t="shared" si="81"/>
        <v>0</v>
      </c>
    </row>
    <row r="116" spans="1:109">
      <c r="A116">
        <f t="shared" si="82"/>
        <v>51</v>
      </c>
      <c r="B116" s="140" t="e">
        <f t="shared" si="83"/>
        <v>#N/A</v>
      </c>
      <c r="C116" s="140" t="e">
        <f t="shared" si="84"/>
        <v>#N/A</v>
      </c>
      <c r="D116" s="140" t="e">
        <f t="shared" si="85"/>
        <v>#N/A</v>
      </c>
      <c r="E116" s="140" t="e">
        <f t="shared" si="86"/>
        <v>#N/A</v>
      </c>
      <c r="F116" s="140" t="e">
        <f t="shared" si="87"/>
        <v>#N/A</v>
      </c>
      <c r="G116" s="140" t="e">
        <f t="shared" si="88"/>
        <v>#N/A</v>
      </c>
      <c r="H116" s="140" t="e">
        <f t="shared" si="89"/>
        <v>#N/A</v>
      </c>
      <c r="I116" s="140" t="e">
        <f t="shared" si="90"/>
        <v>#N/A</v>
      </c>
      <c r="J116" s="140" t="e">
        <f t="shared" si="91"/>
        <v>#N/A</v>
      </c>
      <c r="K116" s="140" t="e">
        <f t="shared" si="92"/>
        <v>#N/A</v>
      </c>
      <c r="L116" s="140" t="e">
        <f t="shared" si="93"/>
        <v>#N/A</v>
      </c>
      <c r="M116" s="140" t="e">
        <f t="shared" si="94"/>
        <v>#N/A</v>
      </c>
      <c r="N116" s="140" t="e">
        <f t="shared" si="95"/>
        <v>#N/A</v>
      </c>
      <c r="O116" s="140" t="e">
        <f t="shared" si="96"/>
        <v>#N/A</v>
      </c>
      <c r="P116" s="140" t="e">
        <f t="shared" si="97"/>
        <v>#N/A</v>
      </c>
      <c r="Q116" s="140" t="e">
        <f t="shared" si="98"/>
        <v>#N/A</v>
      </c>
      <c r="R116" s="140" t="e">
        <f t="shared" si="99"/>
        <v>#N/A</v>
      </c>
      <c r="S116" s="140" t="e">
        <f t="shared" si="100"/>
        <v>#N/A</v>
      </c>
      <c r="T116" s="140" t="e">
        <f t="shared" si="101"/>
        <v>#N/A</v>
      </c>
      <c r="U116" s="140" t="e">
        <f t="shared" si="102"/>
        <v>#N/A</v>
      </c>
      <c r="V116" s="141" t="str">
        <f t="shared" ref="V116:V165" si="124">INDEX($E$3:$E$23,MATCH(B$62,$A$3:$A$23,0))</f>
        <v>DPS</v>
      </c>
      <c r="W116" s="141" t="str">
        <f t="shared" ref="W116:W165" si="125">INDEX($E$3:$E$23,MATCH(C$62,$A$3:$A$23,0))</f>
        <v>DPS</v>
      </c>
      <c r="X116" s="141" t="str">
        <f t="shared" ref="X116:X165" si="126">INDEX($E$3:$E$23,MATCH(D$62,$A$3:$A$23,0))</f>
        <v>DPS</v>
      </c>
      <c r="Y116" s="141" t="str">
        <f t="shared" ref="Y116:Y165" si="127">INDEX($E$3:$E$23,MATCH(E$62,$A$3:$A$23,0))</f>
        <v>DPS</v>
      </c>
      <c r="Z116" s="141" t="str">
        <f t="shared" ref="Z116:Z165" si="128">INDEX($E$3:$E$23,MATCH(F$62,$A$3:$A$23,0))</f>
        <v>DPS</v>
      </c>
      <c r="AA116" s="141" t="str">
        <f t="shared" ref="AA116:AA165" si="129">INDEX($E$3:$E$23,MATCH(G$62,$A$3:$A$23,0))</f>
        <v>DPS</v>
      </c>
      <c r="AB116" s="141" t="str">
        <f t="shared" ref="AB116:AB165" si="130">INDEX($E$3:$E$23,MATCH(H$62,$A$3:$A$23,0))</f>
        <v>DPS</v>
      </c>
      <c r="AC116" s="141" t="str">
        <f t="shared" ref="AC116:AC165" si="131">INDEX($E$3:$E$23,MATCH(I$62,$A$3:$A$23,0))</f>
        <v>DPS</v>
      </c>
      <c r="AD116" s="141" t="str">
        <f t="shared" ref="AD116:AD165" si="132">INDEX($E$3:$E$23,MATCH(J$62,$A$3:$A$23,0))</f>
        <v>DPS</v>
      </c>
      <c r="AE116" s="141" t="str">
        <f t="shared" ref="AE116:AE165" si="133">INDEX($E$3:$E$23,MATCH(K$62,$A$3:$A$23,0))</f>
        <v>DPS</v>
      </c>
      <c r="AF116" s="141" t="str">
        <f t="shared" ref="AF116:AF165" si="134">INDEX($E$3:$E$23,MATCH(L$62,$A$3:$A$23,0))</f>
        <v>DPS</v>
      </c>
      <c r="AG116" s="141" t="str">
        <f t="shared" ref="AG116:AG165" si="135">INDEX($E$3:$E$23,MATCH(M$62,$A$3:$A$23,0))</f>
        <v>DPS</v>
      </c>
      <c r="AH116" s="141" t="str">
        <f t="shared" ref="AH116:AH165" si="136">INDEX($E$3:$E$23,MATCH(N$62,$A$3:$A$23,0))</f>
        <v>DPS</v>
      </c>
      <c r="AI116" s="141" t="str">
        <f t="shared" ref="AI116:AI165" si="137">INDEX($E$3:$E$23,MATCH(O$62,$A$3:$A$23,0))</f>
        <v>HPS</v>
      </c>
      <c r="AJ116" s="141" t="str">
        <f t="shared" ref="AJ116:AJ165" si="138">INDEX($E$3:$E$23,MATCH(P$62,$A$3:$A$23,0))</f>
        <v>HPS</v>
      </c>
      <c r="AK116" s="141" t="str">
        <f t="shared" ref="AK116:AK165" si="139">INDEX($E$3:$E$23,MATCH(Q$62,$A$3:$A$23,0))</f>
        <v>HPS</v>
      </c>
      <c r="AL116" s="141" t="str">
        <f t="shared" ref="AL116:AL165" si="140">INDEX($E$3:$E$23,MATCH(R$62,$A$3:$A$23,0))</f>
        <v>HPS</v>
      </c>
      <c r="AM116" s="141" t="str">
        <f t="shared" ref="AM116:AM165" si="141">INDEX($E$3:$E$23,MATCH(S$62,$A$3:$A$23,0))</f>
        <v>HPS</v>
      </c>
      <c r="AN116" s="141" t="str">
        <f t="shared" ref="AN116:AN165" si="142">INDEX($E$3:$E$23,MATCH(T$62,$A$3:$A$23,0))</f>
        <v>HPS</v>
      </c>
      <c r="AO116" s="141" t="str">
        <f t="shared" ref="AO116:AO165" si="143">INDEX($E$3:$E$23,MATCH(U$62,$A$3:$A$23,0))</f>
        <v>HPS</v>
      </c>
      <c r="AP116" s="134" t="e">
        <f t="shared" si="103"/>
        <v>#N/A</v>
      </c>
      <c r="AQ116" s="134" t="e">
        <f t="shared" si="104"/>
        <v>#N/A</v>
      </c>
      <c r="AR116" s="134" t="e">
        <f t="shared" si="105"/>
        <v>#N/A</v>
      </c>
      <c r="AS116" s="134" t="e">
        <f t="shared" si="106"/>
        <v>#N/A</v>
      </c>
      <c r="AT116" s="134" t="e">
        <f t="shared" si="107"/>
        <v>#N/A</v>
      </c>
      <c r="AU116" s="134" t="e">
        <f t="shared" si="108"/>
        <v>#N/A</v>
      </c>
      <c r="AV116" s="134" t="e">
        <f t="shared" si="109"/>
        <v>#N/A</v>
      </c>
      <c r="AW116" s="134" t="e">
        <f t="shared" si="110"/>
        <v>#N/A</v>
      </c>
      <c r="AX116" s="134" t="e">
        <f t="shared" si="111"/>
        <v>#N/A</v>
      </c>
      <c r="AY116" s="134" t="e">
        <f t="shared" si="112"/>
        <v>#N/A</v>
      </c>
      <c r="AZ116" s="134" t="e">
        <f t="shared" si="113"/>
        <v>#N/A</v>
      </c>
      <c r="BA116" s="134" t="e">
        <f t="shared" si="114"/>
        <v>#N/A</v>
      </c>
      <c r="BB116" s="134" t="e">
        <f t="shared" si="115"/>
        <v>#N/A</v>
      </c>
      <c r="BC116" s="134" t="e">
        <f t="shared" si="116"/>
        <v>#N/A</v>
      </c>
      <c r="BD116" s="134" t="e">
        <f t="shared" si="117"/>
        <v>#N/A</v>
      </c>
      <c r="BE116" s="134" t="e">
        <f t="shared" si="118"/>
        <v>#N/A</v>
      </c>
      <c r="BF116" s="134" t="e">
        <f t="shared" si="119"/>
        <v>#N/A</v>
      </c>
      <c r="BG116" s="134" t="e">
        <f t="shared" si="120"/>
        <v>#N/A</v>
      </c>
      <c r="BH116" s="134" t="e">
        <f t="shared" si="121"/>
        <v>#N/A</v>
      </c>
      <c r="BI116" s="134" t="e">
        <f t="shared" si="122"/>
        <v>#N/A</v>
      </c>
      <c r="BJ116" t="e">
        <f t="shared" ref="BJ116:BJ165" si="144">SUMIF(V116:AO116,"DPS",AP116:BI116)</f>
        <v>#N/A</v>
      </c>
      <c r="BK116" t="e">
        <f t="shared" ref="BK116:BK165" si="145">SUMIF(V116:AO116,"HPS",AP116:BI116)</f>
        <v>#N/A</v>
      </c>
      <c r="BL116" s="142" t="e">
        <f t="shared" ref="BL116:BL165" si="146">DC115</f>
        <v>#N/A</v>
      </c>
      <c r="BM116" s="142">
        <f t="shared" si="37"/>
        <v>2650</v>
      </c>
      <c r="BN116" t="e">
        <f t="shared" ref="BN116:BN165" si="147">INDEX($B$62:$U$62,1,_xlfn.AGGREGATE(15,6,COLUMN($B$62:$U$62)/(B116:U116&gt;0),1)-1)</f>
        <v>#NUM!</v>
      </c>
      <c r="BO116" s="143" t="e">
        <f t="shared" ref="BO116:BO165" si="148">B116-IF($BN116=BO$62,$BM116,0)+IF($BN116=BO$62,$BK116,0)</f>
        <v>#N/A</v>
      </c>
      <c r="BP116" s="143" t="e">
        <f t="shared" ref="BP116:BP165" si="149">C116-IF($BN116=BP$62,$BM116,0)+IF($BN116=BP$62,$BK116,0)</f>
        <v>#N/A</v>
      </c>
      <c r="BQ116" s="143" t="e">
        <f t="shared" ref="BQ116:BQ165" si="150">D116-IF($BN116=BQ$62,$BM116,0)+IF($BN116=BQ$62,$BK116,0)</f>
        <v>#N/A</v>
      </c>
      <c r="BR116" s="143" t="e">
        <f t="shared" ref="BR116:BR165" si="151">E116-IF($BN116=BR$62,$BM116,0)+IF($BN116=BR$62,$BK116,0)</f>
        <v>#N/A</v>
      </c>
      <c r="BS116" s="143" t="e">
        <f t="shared" ref="BS116:BS165" si="152">F116-IF($BN116=BS$62,$BM116,0)+IF($BN116=BS$62,$BK116,0)</f>
        <v>#N/A</v>
      </c>
      <c r="BT116" s="143" t="e">
        <f t="shared" ref="BT116:BT165" si="153">G116-IF($BN116=BT$62,$BM116,0)+IF($BN116=BT$62,$BK116,0)</f>
        <v>#N/A</v>
      </c>
      <c r="BU116" s="143" t="e">
        <f t="shared" ref="BU116:BU165" si="154">H116-IF($BN116=BU$62,$BM116,0)+IF($BN116=BU$62,$BK116,0)</f>
        <v>#N/A</v>
      </c>
      <c r="BV116" s="143" t="e">
        <f t="shared" ref="BV116:BV165" si="155">I116-IF($BN116=BV$62,$BM116,0)+IF($BN116=BV$62,$BK116,0)</f>
        <v>#N/A</v>
      </c>
      <c r="BW116" s="143" t="e">
        <f t="shared" ref="BW116:BW165" si="156">J116-IF($BN116=BW$62,$BM116,0)+IF($BN116=BW$62,$BK116,0)</f>
        <v>#N/A</v>
      </c>
      <c r="BX116" s="143" t="e">
        <f t="shared" ref="BX116:BX165" si="157">K116-IF($BN116=BX$62,$BM116,0)+IF($BN116=BX$62,$BK116,0)</f>
        <v>#N/A</v>
      </c>
      <c r="BY116" s="143" t="e">
        <f t="shared" ref="BY116:BY165" si="158">L116-IF($BN116=BY$62,$BM116,0)+IF($BN116=BY$62,$BK116,0)</f>
        <v>#N/A</v>
      </c>
      <c r="BZ116" s="143" t="e">
        <f t="shared" ref="BZ116:BZ165" si="159">M116-IF($BN116=BZ$62,$BM116,0)+IF($BN116=BZ$62,$BK116,0)</f>
        <v>#N/A</v>
      </c>
      <c r="CA116" s="143" t="e">
        <f t="shared" ref="CA116:CA165" si="160">N116-IF($BN116=CA$62,$BM116,0)+IF($BN116=CA$62,$BK116,0)</f>
        <v>#N/A</v>
      </c>
      <c r="CB116" s="143" t="e">
        <f t="shared" ref="CB116:CB165" si="161">O116-IF($BN116=CB$62,$BM116,0)+IF($BN116=CB$62,$BK116,0)</f>
        <v>#N/A</v>
      </c>
      <c r="CC116" s="143" t="e">
        <f t="shared" ref="CC116:CC165" si="162">P116-IF($BN116=CC$62,$BM116,0)+IF($BN116=CC$62,$BK116,0)</f>
        <v>#N/A</v>
      </c>
      <c r="CD116" s="143" t="e">
        <f t="shared" ref="CD116:CD165" si="163">Q116-IF($BN116=CD$62,$BM116,0)+IF($BN116=CD$62,$BK116,0)</f>
        <v>#N/A</v>
      </c>
      <c r="CE116" s="143" t="e">
        <f t="shared" ref="CE116:CE165" si="164">R116-IF($BN116=CE$62,$BM116,0)+IF($BN116=CE$62,$BK116,0)</f>
        <v>#N/A</v>
      </c>
      <c r="CF116" s="143" t="e">
        <f t="shared" ref="CF116:CF165" si="165">S116-IF($BN116=CF$62,$BM116,0)+IF($BN116=CF$62,$BK116,0)</f>
        <v>#N/A</v>
      </c>
      <c r="CG116" s="143" t="e">
        <f t="shared" ref="CG116:CG165" si="166">T116-IF($BN116=CG$62,$BM116,0)+IF($BN116=CG$62,$BK116,0)</f>
        <v>#N/A</v>
      </c>
      <c r="CH116" s="143" t="e">
        <f t="shared" ref="CH116:CH165" si="167">U116-IF($BN116=CH$62,$BM116,0)+IF($BN116=CH$62,$BK116,0)</f>
        <v>#N/A</v>
      </c>
      <c r="CI116" t="e">
        <f t="shared" ref="CI116:CI165" si="168">BO116&lt;=0</f>
        <v>#N/A</v>
      </c>
      <c r="CJ116" t="e">
        <f t="shared" ref="CJ116:CJ165" si="169">BP116&lt;=0</f>
        <v>#N/A</v>
      </c>
      <c r="CK116" t="e">
        <f t="shared" ref="CK116:CK165" si="170">BQ116&lt;=0</f>
        <v>#N/A</v>
      </c>
      <c r="CL116" t="e">
        <f t="shared" ref="CL116:CL165" si="171">BR116&lt;=0</f>
        <v>#N/A</v>
      </c>
      <c r="CM116" t="e">
        <f t="shared" ref="CM116:CM165" si="172">BS116&lt;=0</f>
        <v>#N/A</v>
      </c>
      <c r="CN116" t="e">
        <f t="shared" ref="CN116:CN165" si="173">BT116&lt;=0</f>
        <v>#N/A</v>
      </c>
      <c r="CO116" t="e">
        <f t="shared" ref="CO116:CO165" si="174">BU116&lt;=0</f>
        <v>#N/A</v>
      </c>
      <c r="CP116" t="e">
        <f t="shared" ref="CP116:CP165" si="175">BV116&lt;=0</f>
        <v>#N/A</v>
      </c>
      <c r="CQ116" t="e">
        <f t="shared" ref="CQ116:CQ165" si="176">BW116&lt;=0</f>
        <v>#N/A</v>
      </c>
      <c r="CR116" t="e">
        <f t="shared" ref="CR116:CR165" si="177">BX116&lt;=0</f>
        <v>#N/A</v>
      </c>
      <c r="CS116" t="e">
        <f t="shared" ref="CS116:CS165" si="178">BY116&lt;=0</f>
        <v>#N/A</v>
      </c>
      <c r="CT116" t="e">
        <f t="shared" ref="CT116:CT165" si="179">BZ116&lt;=0</f>
        <v>#N/A</v>
      </c>
      <c r="CU116" t="e">
        <f t="shared" ref="CU116:CU165" si="180">CA116&lt;=0</f>
        <v>#N/A</v>
      </c>
      <c r="CV116" t="e">
        <f t="shared" ref="CV116:CV165" si="181">CB116&lt;=0</f>
        <v>#N/A</v>
      </c>
      <c r="CW116" t="e">
        <f t="shared" ref="CW116:CW165" si="182">CC116&lt;=0</f>
        <v>#N/A</v>
      </c>
      <c r="CX116" t="e">
        <f t="shared" ref="CX116:CX165" si="183">CD116&lt;=0</f>
        <v>#N/A</v>
      </c>
      <c r="CY116" t="e">
        <f t="shared" ref="CY116:CY165" si="184">CE116&lt;=0</f>
        <v>#N/A</v>
      </c>
      <c r="CZ116" t="e">
        <f t="shared" ref="CZ116:CZ165" si="185">CF116&lt;=0</f>
        <v>#N/A</v>
      </c>
      <c r="DA116" t="e">
        <f t="shared" ref="DA116:DA165" si="186">CG116&lt;=0</f>
        <v>#N/A</v>
      </c>
      <c r="DB116" t="e">
        <f t="shared" ref="DB116:DB165" si="187">CH116&lt;=0</f>
        <v>#N/A</v>
      </c>
      <c r="DC116" s="142" t="e">
        <f t="shared" ref="DC116:DC165" si="188">BL116-BJ116</f>
        <v>#N/A</v>
      </c>
      <c r="DD116" t="e">
        <f t="shared" si="80"/>
        <v>#N/A</v>
      </c>
      <c r="DE116" t="b">
        <f t="shared" ref="DE116:DE165" si="189">COUNTIF(CI116:DB116,TRUE)=20</f>
        <v>0</v>
      </c>
    </row>
    <row r="117" spans="1:109">
      <c r="A117">
        <f t="shared" si="82"/>
        <v>52</v>
      </c>
      <c r="B117" s="140" t="e">
        <f t="shared" si="83"/>
        <v>#N/A</v>
      </c>
      <c r="C117" s="140" t="e">
        <f t="shared" si="84"/>
        <v>#N/A</v>
      </c>
      <c r="D117" s="140" t="e">
        <f t="shared" si="85"/>
        <v>#N/A</v>
      </c>
      <c r="E117" s="140" t="e">
        <f t="shared" si="86"/>
        <v>#N/A</v>
      </c>
      <c r="F117" s="140" t="e">
        <f t="shared" si="87"/>
        <v>#N/A</v>
      </c>
      <c r="G117" s="140" t="e">
        <f t="shared" si="88"/>
        <v>#N/A</v>
      </c>
      <c r="H117" s="140" t="e">
        <f t="shared" si="89"/>
        <v>#N/A</v>
      </c>
      <c r="I117" s="140" t="e">
        <f t="shared" si="90"/>
        <v>#N/A</v>
      </c>
      <c r="J117" s="140" t="e">
        <f t="shared" si="91"/>
        <v>#N/A</v>
      </c>
      <c r="K117" s="140" t="e">
        <f t="shared" si="92"/>
        <v>#N/A</v>
      </c>
      <c r="L117" s="140" t="e">
        <f t="shared" si="93"/>
        <v>#N/A</v>
      </c>
      <c r="M117" s="140" t="e">
        <f t="shared" si="94"/>
        <v>#N/A</v>
      </c>
      <c r="N117" s="140" t="e">
        <f t="shared" si="95"/>
        <v>#N/A</v>
      </c>
      <c r="O117" s="140" t="e">
        <f t="shared" si="96"/>
        <v>#N/A</v>
      </c>
      <c r="P117" s="140" t="e">
        <f t="shared" si="97"/>
        <v>#N/A</v>
      </c>
      <c r="Q117" s="140" t="e">
        <f t="shared" si="98"/>
        <v>#N/A</v>
      </c>
      <c r="R117" s="140" t="e">
        <f t="shared" si="99"/>
        <v>#N/A</v>
      </c>
      <c r="S117" s="140" t="e">
        <f t="shared" si="100"/>
        <v>#N/A</v>
      </c>
      <c r="T117" s="140" t="e">
        <f t="shared" si="101"/>
        <v>#N/A</v>
      </c>
      <c r="U117" s="140" t="e">
        <f t="shared" si="102"/>
        <v>#N/A</v>
      </c>
      <c r="V117" s="141" t="str">
        <f t="shared" si="124"/>
        <v>DPS</v>
      </c>
      <c r="W117" s="141" t="str">
        <f t="shared" si="125"/>
        <v>DPS</v>
      </c>
      <c r="X117" s="141" t="str">
        <f t="shared" si="126"/>
        <v>DPS</v>
      </c>
      <c r="Y117" s="141" t="str">
        <f t="shared" si="127"/>
        <v>DPS</v>
      </c>
      <c r="Z117" s="141" t="str">
        <f t="shared" si="128"/>
        <v>DPS</v>
      </c>
      <c r="AA117" s="141" t="str">
        <f t="shared" si="129"/>
        <v>DPS</v>
      </c>
      <c r="AB117" s="141" t="str">
        <f t="shared" si="130"/>
        <v>DPS</v>
      </c>
      <c r="AC117" s="141" t="str">
        <f t="shared" si="131"/>
        <v>DPS</v>
      </c>
      <c r="AD117" s="141" t="str">
        <f t="shared" si="132"/>
        <v>DPS</v>
      </c>
      <c r="AE117" s="141" t="str">
        <f t="shared" si="133"/>
        <v>DPS</v>
      </c>
      <c r="AF117" s="141" t="str">
        <f t="shared" si="134"/>
        <v>DPS</v>
      </c>
      <c r="AG117" s="141" t="str">
        <f t="shared" si="135"/>
        <v>DPS</v>
      </c>
      <c r="AH117" s="141" t="str">
        <f t="shared" si="136"/>
        <v>DPS</v>
      </c>
      <c r="AI117" s="141" t="str">
        <f t="shared" si="137"/>
        <v>HPS</v>
      </c>
      <c r="AJ117" s="141" t="str">
        <f t="shared" si="138"/>
        <v>HPS</v>
      </c>
      <c r="AK117" s="141" t="str">
        <f t="shared" si="139"/>
        <v>HPS</v>
      </c>
      <c r="AL117" s="141" t="str">
        <f t="shared" si="140"/>
        <v>HPS</v>
      </c>
      <c r="AM117" s="141" t="str">
        <f t="shared" si="141"/>
        <v>HPS</v>
      </c>
      <c r="AN117" s="141" t="str">
        <f t="shared" si="142"/>
        <v>HPS</v>
      </c>
      <c r="AO117" s="141" t="str">
        <f t="shared" si="143"/>
        <v>HPS</v>
      </c>
      <c r="AP117" s="134" t="e">
        <f t="shared" si="103"/>
        <v>#N/A</v>
      </c>
      <c r="AQ117" s="134" t="e">
        <f t="shared" si="104"/>
        <v>#N/A</v>
      </c>
      <c r="AR117" s="134" t="e">
        <f t="shared" si="105"/>
        <v>#N/A</v>
      </c>
      <c r="AS117" s="134" t="e">
        <f t="shared" si="106"/>
        <v>#N/A</v>
      </c>
      <c r="AT117" s="134" t="e">
        <f t="shared" si="107"/>
        <v>#N/A</v>
      </c>
      <c r="AU117" s="134" t="e">
        <f t="shared" si="108"/>
        <v>#N/A</v>
      </c>
      <c r="AV117" s="134" t="e">
        <f t="shared" si="109"/>
        <v>#N/A</v>
      </c>
      <c r="AW117" s="134" t="e">
        <f t="shared" si="110"/>
        <v>#N/A</v>
      </c>
      <c r="AX117" s="134" t="e">
        <f t="shared" si="111"/>
        <v>#N/A</v>
      </c>
      <c r="AY117" s="134" t="e">
        <f t="shared" si="112"/>
        <v>#N/A</v>
      </c>
      <c r="AZ117" s="134" t="e">
        <f t="shared" si="113"/>
        <v>#N/A</v>
      </c>
      <c r="BA117" s="134" t="e">
        <f t="shared" si="114"/>
        <v>#N/A</v>
      </c>
      <c r="BB117" s="134" t="e">
        <f t="shared" si="115"/>
        <v>#N/A</v>
      </c>
      <c r="BC117" s="134" t="e">
        <f t="shared" si="116"/>
        <v>#N/A</v>
      </c>
      <c r="BD117" s="134" t="e">
        <f t="shared" si="117"/>
        <v>#N/A</v>
      </c>
      <c r="BE117" s="134" t="e">
        <f t="shared" si="118"/>
        <v>#N/A</v>
      </c>
      <c r="BF117" s="134" t="e">
        <f t="shared" si="119"/>
        <v>#N/A</v>
      </c>
      <c r="BG117" s="134" t="e">
        <f t="shared" si="120"/>
        <v>#N/A</v>
      </c>
      <c r="BH117" s="134" t="e">
        <f t="shared" si="121"/>
        <v>#N/A</v>
      </c>
      <c r="BI117" s="134" t="e">
        <f t="shared" si="122"/>
        <v>#N/A</v>
      </c>
      <c r="BJ117" t="e">
        <f t="shared" si="144"/>
        <v>#N/A</v>
      </c>
      <c r="BK117" t="e">
        <f t="shared" si="145"/>
        <v>#N/A</v>
      </c>
      <c r="BL117" s="142" t="e">
        <f t="shared" si="146"/>
        <v>#N/A</v>
      </c>
      <c r="BM117" s="142">
        <f t="shared" si="37"/>
        <v>2650</v>
      </c>
      <c r="BN117" t="e">
        <f t="shared" si="147"/>
        <v>#NUM!</v>
      </c>
      <c r="BO117" s="143" t="e">
        <f t="shared" si="148"/>
        <v>#N/A</v>
      </c>
      <c r="BP117" s="143" t="e">
        <f t="shared" si="149"/>
        <v>#N/A</v>
      </c>
      <c r="BQ117" s="143" t="e">
        <f t="shared" si="150"/>
        <v>#N/A</v>
      </c>
      <c r="BR117" s="143" t="e">
        <f t="shared" si="151"/>
        <v>#N/A</v>
      </c>
      <c r="BS117" s="143" t="e">
        <f t="shared" si="152"/>
        <v>#N/A</v>
      </c>
      <c r="BT117" s="143" t="e">
        <f t="shared" si="153"/>
        <v>#N/A</v>
      </c>
      <c r="BU117" s="143" t="e">
        <f t="shared" si="154"/>
        <v>#N/A</v>
      </c>
      <c r="BV117" s="143" t="e">
        <f t="shared" si="155"/>
        <v>#N/A</v>
      </c>
      <c r="BW117" s="143" t="e">
        <f t="shared" si="156"/>
        <v>#N/A</v>
      </c>
      <c r="BX117" s="143" t="e">
        <f t="shared" si="157"/>
        <v>#N/A</v>
      </c>
      <c r="BY117" s="143" t="e">
        <f t="shared" si="158"/>
        <v>#N/A</v>
      </c>
      <c r="BZ117" s="143" t="e">
        <f t="shared" si="159"/>
        <v>#N/A</v>
      </c>
      <c r="CA117" s="143" t="e">
        <f t="shared" si="160"/>
        <v>#N/A</v>
      </c>
      <c r="CB117" s="143" t="e">
        <f t="shared" si="161"/>
        <v>#N/A</v>
      </c>
      <c r="CC117" s="143" t="e">
        <f t="shared" si="162"/>
        <v>#N/A</v>
      </c>
      <c r="CD117" s="143" t="e">
        <f t="shared" si="163"/>
        <v>#N/A</v>
      </c>
      <c r="CE117" s="143" t="e">
        <f t="shared" si="164"/>
        <v>#N/A</v>
      </c>
      <c r="CF117" s="143" t="e">
        <f t="shared" si="165"/>
        <v>#N/A</v>
      </c>
      <c r="CG117" s="143" t="e">
        <f t="shared" si="166"/>
        <v>#N/A</v>
      </c>
      <c r="CH117" s="143" t="e">
        <f t="shared" si="167"/>
        <v>#N/A</v>
      </c>
      <c r="CI117" t="e">
        <f t="shared" si="168"/>
        <v>#N/A</v>
      </c>
      <c r="CJ117" t="e">
        <f t="shared" si="169"/>
        <v>#N/A</v>
      </c>
      <c r="CK117" t="e">
        <f t="shared" si="170"/>
        <v>#N/A</v>
      </c>
      <c r="CL117" t="e">
        <f t="shared" si="171"/>
        <v>#N/A</v>
      </c>
      <c r="CM117" t="e">
        <f t="shared" si="172"/>
        <v>#N/A</v>
      </c>
      <c r="CN117" t="e">
        <f t="shared" si="173"/>
        <v>#N/A</v>
      </c>
      <c r="CO117" t="e">
        <f t="shared" si="174"/>
        <v>#N/A</v>
      </c>
      <c r="CP117" t="e">
        <f t="shared" si="175"/>
        <v>#N/A</v>
      </c>
      <c r="CQ117" t="e">
        <f t="shared" si="176"/>
        <v>#N/A</v>
      </c>
      <c r="CR117" t="e">
        <f t="shared" si="177"/>
        <v>#N/A</v>
      </c>
      <c r="CS117" t="e">
        <f t="shared" si="178"/>
        <v>#N/A</v>
      </c>
      <c r="CT117" t="e">
        <f t="shared" si="179"/>
        <v>#N/A</v>
      </c>
      <c r="CU117" t="e">
        <f t="shared" si="180"/>
        <v>#N/A</v>
      </c>
      <c r="CV117" t="e">
        <f t="shared" si="181"/>
        <v>#N/A</v>
      </c>
      <c r="CW117" t="e">
        <f t="shared" si="182"/>
        <v>#N/A</v>
      </c>
      <c r="CX117" t="e">
        <f t="shared" si="183"/>
        <v>#N/A</v>
      </c>
      <c r="CY117" t="e">
        <f t="shared" si="184"/>
        <v>#N/A</v>
      </c>
      <c r="CZ117" t="e">
        <f t="shared" si="185"/>
        <v>#N/A</v>
      </c>
      <c r="DA117" t="e">
        <f t="shared" si="186"/>
        <v>#N/A</v>
      </c>
      <c r="DB117" t="e">
        <f t="shared" si="187"/>
        <v>#N/A</v>
      </c>
      <c r="DC117" s="142" t="e">
        <f t="shared" si="188"/>
        <v>#N/A</v>
      </c>
      <c r="DD117" t="e">
        <f t="shared" si="80"/>
        <v>#N/A</v>
      </c>
      <c r="DE117" t="b">
        <f t="shared" si="189"/>
        <v>0</v>
      </c>
    </row>
    <row r="118" spans="1:109">
      <c r="A118">
        <f t="shared" si="82"/>
        <v>53</v>
      </c>
      <c r="B118" s="140" t="e">
        <f t="shared" si="83"/>
        <v>#N/A</v>
      </c>
      <c r="C118" s="140" t="e">
        <f t="shared" si="84"/>
        <v>#N/A</v>
      </c>
      <c r="D118" s="140" t="e">
        <f t="shared" si="85"/>
        <v>#N/A</v>
      </c>
      <c r="E118" s="140" t="e">
        <f t="shared" si="86"/>
        <v>#N/A</v>
      </c>
      <c r="F118" s="140" t="e">
        <f t="shared" si="87"/>
        <v>#N/A</v>
      </c>
      <c r="G118" s="140" t="e">
        <f t="shared" si="88"/>
        <v>#N/A</v>
      </c>
      <c r="H118" s="140" t="e">
        <f t="shared" si="89"/>
        <v>#N/A</v>
      </c>
      <c r="I118" s="140" t="e">
        <f t="shared" si="90"/>
        <v>#N/A</v>
      </c>
      <c r="J118" s="140" t="e">
        <f t="shared" si="91"/>
        <v>#N/A</v>
      </c>
      <c r="K118" s="140" t="e">
        <f t="shared" si="92"/>
        <v>#N/A</v>
      </c>
      <c r="L118" s="140" t="e">
        <f t="shared" si="93"/>
        <v>#N/A</v>
      </c>
      <c r="M118" s="140" t="e">
        <f t="shared" si="94"/>
        <v>#N/A</v>
      </c>
      <c r="N118" s="140" t="e">
        <f t="shared" si="95"/>
        <v>#N/A</v>
      </c>
      <c r="O118" s="140" t="e">
        <f t="shared" si="96"/>
        <v>#N/A</v>
      </c>
      <c r="P118" s="140" t="e">
        <f t="shared" si="97"/>
        <v>#N/A</v>
      </c>
      <c r="Q118" s="140" t="e">
        <f t="shared" si="98"/>
        <v>#N/A</v>
      </c>
      <c r="R118" s="140" t="e">
        <f t="shared" si="99"/>
        <v>#N/A</v>
      </c>
      <c r="S118" s="140" t="e">
        <f t="shared" si="100"/>
        <v>#N/A</v>
      </c>
      <c r="T118" s="140" t="e">
        <f t="shared" si="101"/>
        <v>#N/A</v>
      </c>
      <c r="U118" s="140" t="e">
        <f t="shared" si="102"/>
        <v>#N/A</v>
      </c>
      <c r="V118" s="141" t="str">
        <f t="shared" si="124"/>
        <v>DPS</v>
      </c>
      <c r="W118" s="141" t="str">
        <f t="shared" si="125"/>
        <v>DPS</v>
      </c>
      <c r="X118" s="141" t="str">
        <f t="shared" si="126"/>
        <v>DPS</v>
      </c>
      <c r="Y118" s="141" t="str">
        <f t="shared" si="127"/>
        <v>DPS</v>
      </c>
      <c r="Z118" s="141" t="str">
        <f t="shared" si="128"/>
        <v>DPS</v>
      </c>
      <c r="AA118" s="141" t="str">
        <f t="shared" si="129"/>
        <v>DPS</v>
      </c>
      <c r="AB118" s="141" t="str">
        <f t="shared" si="130"/>
        <v>DPS</v>
      </c>
      <c r="AC118" s="141" t="str">
        <f t="shared" si="131"/>
        <v>DPS</v>
      </c>
      <c r="AD118" s="141" t="str">
        <f t="shared" si="132"/>
        <v>DPS</v>
      </c>
      <c r="AE118" s="141" t="str">
        <f t="shared" si="133"/>
        <v>DPS</v>
      </c>
      <c r="AF118" s="141" t="str">
        <f t="shared" si="134"/>
        <v>DPS</v>
      </c>
      <c r="AG118" s="141" t="str">
        <f t="shared" si="135"/>
        <v>DPS</v>
      </c>
      <c r="AH118" s="141" t="str">
        <f t="shared" si="136"/>
        <v>DPS</v>
      </c>
      <c r="AI118" s="141" t="str">
        <f t="shared" si="137"/>
        <v>HPS</v>
      </c>
      <c r="AJ118" s="141" t="str">
        <f t="shared" si="138"/>
        <v>HPS</v>
      </c>
      <c r="AK118" s="141" t="str">
        <f t="shared" si="139"/>
        <v>HPS</v>
      </c>
      <c r="AL118" s="141" t="str">
        <f t="shared" si="140"/>
        <v>HPS</v>
      </c>
      <c r="AM118" s="141" t="str">
        <f t="shared" si="141"/>
        <v>HPS</v>
      </c>
      <c r="AN118" s="141" t="str">
        <f t="shared" si="142"/>
        <v>HPS</v>
      </c>
      <c r="AO118" s="141" t="str">
        <f t="shared" si="143"/>
        <v>HPS</v>
      </c>
      <c r="AP118" s="134" t="e">
        <f t="shared" si="103"/>
        <v>#N/A</v>
      </c>
      <c r="AQ118" s="134" t="e">
        <f t="shared" si="104"/>
        <v>#N/A</v>
      </c>
      <c r="AR118" s="134" t="e">
        <f t="shared" si="105"/>
        <v>#N/A</v>
      </c>
      <c r="AS118" s="134" t="e">
        <f t="shared" si="106"/>
        <v>#N/A</v>
      </c>
      <c r="AT118" s="134" t="e">
        <f t="shared" si="107"/>
        <v>#N/A</v>
      </c>
      <c r="AU118" s="134" t="e">
        <f t="shared" si="108"/>
        <v>#N/A</v>
      </c>
      <c r="AV118" s="134" t="e">
        <f t="shared" si="109"/>
        <v>#N/A</v>
      </c>
      <c r="AW118" s="134" t="e">
        <f t="shared" si="110"/>
        <v>#N/A</v>
      </c>
      <c r="AX118" s="134" t="e">
        <f t="shared" si="111"/>
        <v>#N/A</v>
      </c>
      <c r="AY118" s="134" t="e">
        <f t="shared" si="112"/>
        <v>#N/A</v>
      </c>
      <c r="AZ118" s="134" t="e">
        <f t="shared" si="113"/>
        <v>#N/A</v>
      </c>
      <c r="BA118" s="134" t="e">
        <f t="shared" si="114"/>
        <v>#N/A</v>
      </c>
      <c r="BB118" s="134" t="e">
        <f t="shared" si="115"/>
        <v>#N/A</v>
      </c>
      <c r="BC118" s="134" t="e">
        <f t="shared" si="116"/>
        <v>#N/A</v>
      </c>
      <c r="BD118" s="134" t="e">
        <f t="shared" si="117"/>
        <v>#N/A</v>
      </c>
      <c r="BE118" s="134" t="e">
        <f t="shared" si="118"/>
        <v>#N/A</v>
      </c>
      <c r="BF118" s="134" t="e">
        <f t="shared" si="119"/>
        <v>#N/A</v>
      </c>
      <c r="BG118" s="134" t="e">
        <f t="shared" si="120"/>
        <v>#N/A</v>
      </c>
      <c r="BH118" s="134" t="e">
        <f t="shared" si="121"/>
        <v>#N/A</v>
      </c>
      <c r="BI118" s="134" t="e">
        <f t="shared" si="122"/>
        <v>#N/A</v>
      </c>
      <c r="BJ118" t="e">
        <f t="shared" si="144"/>
        <v>#N/A</v>
      </c>
      <c r="BK118" t="e">
        <f t="shared" si="145"/>
        <v>#N/A</v>
      </c>
      <c r="BL118" s="142" t="e">
        <f t="shared" si="146"/>
        <v>#N/A</v>
      </c>
      <c r="BM118" s="142">
        <f t="shared" si="37"/>
        <v>2650</v>
      </c>
      <c r="BN118" t="e">
        <f t="shared" si="147"/>
        <v>#NUM!</v>
      </c>
      <c r="BO118" s="143" t="e">
        <f t="shared" si="148"/>
        <v>#N/A</v>
      </c>
      <c r="BP118" s="143" t="e">
        <f t="shared" si="149"/>
        <v>#N/A</v>
      </c>
      <c r="BQ118" s="143" t="e">
        <f t="shared" si="150"/>
        <v>#N/A</v>
      </c>
      <c r="BR118" s="143" t="e">
        <f t="shared" si="151"/>
        <v>#N/A</v>
      </c>
      <c r="BS118" s="143" t="e">
        <f t="shared" si="152"/>
        <v>#N/A</v>
      </c>
      <c r="BT118" s="143" t="e">
        <f t="shared" si="153"/>
        <v>#N/A</v>
      </c>
      <c r="BU118" s="143" t="e">
        <f t="shared" si="154"/>
        <v>#N/A</v>
      </c>
      <c r="BV118" s="143" t="e">
        <f t="shared" si="155"/>
        <v>#N/A</v>
      </c>
      <c r="BW118" s="143" t="e">
        <f t="shared" si="156"/>
        <v>#N/A</v>
      </c>
      <c r="BX118" s="143" t="e">
        <f t="shared" si="157"/>
        <v>#N/A</v>
      </c>
      <c r="BY118" s="143" t="e">
        <f t="shared" si="158"/>
        <v>#N/A</v>
      </c>
      <c r="BZ118" s="143" t="e">
        <f t="shared" si="159"/>
        <v>#N/A</v>
      </c>
      <c r="CA118" s="143" t="e">
        <f t="shared" si="160"/>
        <v>#N/A</v>
      </c>
      <c r="CB118" s="143" t="e">
        <f t="shared" si="161"/>
        <v>#N/A</v>
      </c>
      <c r="CC118" s="143" t="e">
        <f t="shared" si="162"/>
        <v>#N/A</v>
      </c>
      <c r="CD118" s="143" t="e">
        <f t="shared" si="163"/>
        <v>#N/A</v>
      </c>
      <c r="CE118" s="143" t="e">
        <f t="shared" si="164"/>
        <v>#N/A</v>
      </c>
      <c r="CF118" s="143" t="e">
        <f t="shared" si="165"/>
        <v>#N/A</v>
      </c>
      <c r="CG118" s="143" t="e">
        <f t="shared" si="166"/>
        <v>#N/A</v>
      </c>
      <c r="CH118" s="143" t="e">
        <f t="shared" si="167"/>
        <v>#N/A</v>
      </c>
      <c r="CI118" t="e">
        <f t="shared" si="168"/>
        <v>#N/A</v>
      </c>
      <c r="CJ118" t="e">
        <f t="shared" si="169"/>
        <v>#N/A</v>
      </c>
      <c r="CK118" t="e">
        <f t="shared" si="170"/>
        <v>#N/A</v>
      </c>
      <c r="CL118" t="e">
        <f t="shared" si="171"/>
        <v>#N/A</v>
      </c>
      <c r="CM118" t="e">
        <f t="shared" si="172"/>
        <v>#N/A</v>
      </c>
      <c r="CN118" t="e">
        <f t="shared" si="173"/>
        <v>#N/A</v>
      </c>
      <c r="CO118" t="e">
        <f t="shared" si="174"/>
        <v>#N/A</v>
      </c>
      <c r="CP118" t="e">
        <f t="shared" si="175"/>
        <v>#N/A</v>
      </c>
      <c r="CQ118" t="e">
        <f t="shared" si="176"/>
        <v>#N/A</v>
      </c>
      <c r="CR118" t="e">
        <f t="shared" si="177"/>
        <v>#N/A</v>
      </c>
      <c r="CS118" t="e">
        <f t="shared" si="178"/>
        <v>#N/A</v>
      </c>
      <c r="CT118" t="e">
        <f t="shared" si="179"/>
        <v>#N/A</v>
      </c>
      <c r="CU118" t="e">
        <f t="shared" si="180"/>
        <v>#N/A</v>
      </c>
      <c r="CV118" t="e">
        <f t="shared" si="181"/>
        <v>#N/A</v>
      </c>
      <c r="CW118" t="e">
        <f t="shared" si="182"/>
        <v>#N/A</v>
      </c>
      <c r="CX118" t="e">
        <f t="shared" si="183"/>
        <v>#N/A</v>
      </c>
      <c r="CY118" t="e">
        <f t="shared" si="184"/>
        <v>#N/A</v>
      </c>
      <c r="CZ118" t="e">
        <f t="shared" si="185"/>
        <v>#N/A</v>
      </c>
      <c r="DA118" t="e">
        <f t="shared" si="186"/>
        <v>#N/A</v>
      </c>
      <c r="DB118" t="e">
        <f t="shared" si="187"/>
        <v>#N/A</v>
      </c>
      <c r="DC118" s="142" t="e">
        <f t="shared" si="188"/>
        <v>#N/A</v>
      </c>
      <c r="DD118" t="e">
        <f t="shared" si="80"/>
        <v>#N/A</v>
      </c>
      <c r="DE118" t="b">
        <f t="shared" si="189"/>
        <v>0</v>
      </c>
    </row>
    <row r="119" spans="1:109">
      <c r="A119">
        <f t="shared" si="82"/>
        <v>54</v>
      </c>
      <c r="B119" s="140" t="e">
        <f t="shared" si="83"/>
        <v>#N/A</v>
      </c>
      <c r="C119" s="140" t="e">
        <f t="shared" si="84"/>
        <v>#N/A</v>
      </c>
      <c r="D119" s="140" t="e">
        <f t="shared" si="85"/>
        <v>#N/A</v>
      </c>
      <c r="E119" s="140" t="e">
        <f t="shared" si="86"/>
        <v>#N/A</v>
      </c>
      <c r="F119" s="140" t="e">
        <f t="shared" si="87"/>
        <v>#N/A</v>
      </c>
      <c r="G119" s="140" t="e">
        <f t="shared" si="88"/>
        <v>#N/A</v>
      </c>
      <c r="H119" s="140" t="e">
        <f t="shared" si="89"/>
        <v>#N/A</v>
      </c>
      <c r="I119" s="140" t="e">
        <f t="shared" si="90"/>
        <v>#N/A</v>
      </c>
      <c r="J119" s="140" t="e">
        <f t="shared" si="91"/>
        <v>#N/A</v>
      </c>
      <c r="K119" s="140" t="e">
        <f t="shared" si="92"/>
        <v>#N/A</v>
      </c>
      <c r="L119" s="140" t="e">
        <f t="shared" si="93"/>
        <v>#N/A</v>
      </c>
      <c r="M119" s="140" t="e">
        <f t="shared" si="94"/>
        <v>#N/A</v>
      </c>
      <c r="N119" s="140" t="e">
        <f t="shared" si="95"/>
        <v>#N/A</v>
      </c>
      <c r="O119" s="140" t="e">
        <f t="shared" si="96"/>
        <v>#N/A</v>
      </c>
      <c r="P119" s="140" t="e">
        <f t="shared" si="97"/>
        <v>#N/A</v>
      </c>
      <c r="Q119" s="140" t="e">
        <f t="shared" si="98"/>
        <v>#N/A</v>
      </c>
      <c r="R119" s="140" t="e">
        <f t="shared" si="99"/>
        <v>#N/A</v>
      </c>
      <c r="S119" s="140" t="e">
        <f t="shared" si="100"/>
        <v>#N/A</v>
      </c>
      <c r="T119" s="140" t="e">
        <f t="shared" si="101"/>
        <v>#N/A</v>
      </c>
      <c r="U119" s="140" t="e">
        <f t="shared" si="102"/>
        <v>#N/A</v>
      </c>
      <c r="V119" s="141" t="str">
        <f t="shared" si="124"/>
        <v>DPS</v>
      </c>
      <c r="W119" s="141" t="str">
        <f t="shared" si="125"/>
        <v>DPS</v>
      </c>
      <c r="X119" s="141" t="str">
        <f t="shared" si="126"/>
        <v>DPS</v>
      </c>
      <c r="Y119" s="141" t="str">
        <f t="shared" si="127"/>
        <v>DPS</v>
      </c>
      <c r="Z119" s="141" t="str">
        <f t="shared" si="128"/>
        <v>DPS</v>
      </c>
      <c r="AA119" s="141" t="str">
        <f t="shared" si="129"/>
        <v>DPS</v>
      </c>
      <c r="AB119" s="141" t="str">
        <f t="shared" si="130"/>
        <v>DPS</v>
      </c>
      <c r="AC119" s="141" t="str">
        <f t="shared" si="131"/>
        <v>DPS</v>
      </c>
      <c r="AD119" s="141" t="str">
        <f t="shared" si="132"/>
        <v>DPS</v>
      </c>
      <c r="AE119" s="141" t="str">
        <f t="shared" si="133"/>
        <v>DPS</v>
      </c>
      <c r="AF119" s="141" t="str">
        <f t="shared" si="134"/>
        <v>DPS</v>
      </c>
      <c r="AG119" s="141" t="str">
        <f t="shared" si="135"/>
        <v>DPS</v>
      </c>
      <c r="AH119" s="141" t="str">
        <f t="shared" si="136"/>
        <v>DPS</v>
      </c>
      <c r="AI119" s="141" t="str">
        <f t="shared" si="137"/>
        <v>HPS</v>
      </c>
      <c r="AJ119" s="141" t="str">
        <f t="shared" si="138"/>
        <v>HPS</v>
      </c>
      <c r="AK119" s="141" t="str">
        <f t="shared" si="139"/>
        <v>HPS</v>
      </c>
      <c r="AL119" s="141" t="str">
        <f t="shared" si="140"/>
        <v>HPS</v>
      </c>
      <c r="AM119" s="141" t="str">
        <f t="shared" si="141"/>
        <v>HPS</v>
      </c>
      <c r="AN119" s="141" t="str">
        <f t="shared" si="142"/>
        <v>HPS</v>
      </c>
      <c r="AO119" s="141" t="str">
        <f t="shared" si="143"/>
        <v>HPS</v>
      </c>
      <c r="AP119" s="134" t="e">
        <f t="shared" si="103"/>
        <v>#N/A</v>
      </c>
      <c r="AQ119" s="134" t="e">
        <f t="shared" si="104"/>
        <v>#N/A</v>
      </c>
      <c r="AR119" s="134" t="e">
        <f t="shared" si="105"/>
        <v>#N/A</v>
      </c>
      <c r="AS119" s="134" t="e">
        <f t="shared" si="106"/>
        <v>#N/A</v>
      </c>
      <c r="AT119" s="134" t="e">
        <f t="shared" si="107"/>
        <v>#N/A</v>
      </c>
      <c r="AU119" s="134" t="e">
        <f t="shared" si="108"/>
        <v>#N/A</v>
      </c>
      <c r="AV119" s="134" t="e">
        <f t="shared" si="109"/>
        <v>#N/A</v>
      </c>
      <c r="AW119" s="134" t="e">
        <f t="shared" si="110"/>
        <v>#N/A</v>
      </c>
      <c r="AX119" s="134" t="e">
        <f t="shared" si="111"/>
        <v>#N/A</v>
      </c>
      <c r="AY119" s="134" t="e">
        <f t="shared" si="112"/>
        <v>#N/A</v>
      </c>
      <c r="AZ119" s="134" t="e">
        <f t="shared" si="113"/>
        <v>#N/A</v>
      </c>
      <c r="BA119" s="134" t="e">
        <f t="shared" si="114"/>
        <v>#N/A</v>
      </c>
      <c r="BB119" s="134" t="e">
        <f t="shared" si="115"/>
        <v>#N/A</v>
      </c>
      <c r="BC119" s="134" t="e">
        <f t="shared" si="116"/>
        <v>#N/A</v>
      </c>
      <c r="BD119" s="134" t="e">
        <f t="shared" si="117"/>
        <v>#N/A</v>
      </c>
      <c r="BE119" s="134" t="e">
        <f t="shared" si="118"/>
        <v>#N/A</v>
      </c>
      <c r="BF119" s="134" t="e">
        <f t="shared" si="119"/>
        <v>#N/A</v>
      </c>
      <c r="BG119" s="134" t="e">
        <f t="shared" si="120"/>
        <v>#N/A</v>
      </c>
      <c r="BH119" s="134" t="e">
        <f t="shared" si="121"/>
        <v>#N/A</v>
      </c>
      <c r="BI119" s="134" t="e">
        <f t="shared" si="122"/>
        <v>#N/A</v>
      </c>
      <c r="BJ119" t="e">
        <f t="shared" si="144"/>
        <v>#N/A</v>
      </c>
      <c r="BK119" t="e">
        <f t="shared" si="145"/>
        <v>#N/A</v>
      </c>
      <c r="BL119" s="142" t="e">
        <f t="shared" si="146"/>
        <v>#N/A</v>
      </c>
      <c r="BM119" s="142">
        <f t="shared" si="37"/>
        <v>2650</v>
      </c>
      <c r="BN119" t="e">
        <f t="shared" si="147"/>
        <v>#NUM!</v>
      </c>
      <c r="BO119" s="143" t="e">
        <f t="shared" si="148"/>
        <v>#N/A</v>
      </c>
      <c r="BP119" s="143" t="e">
        <f t="shared" si="149"/>
        <v>#N/A</v>
      </c>
      <c r="BQ119" s="143" t="e">
        <f t="shared" si="150"/>
        <v>#N/A</v>
      </c>
      <c r="BR119" s="143" t="e">
        <f t="shared" si="151"/>
        <v>#N/A</v>
      </c>
      <c r="BS119" s="143" t="e">
        <f t="shared" si="152"/>
        <v>#N/A</v>
      </c>
      <c r="BT119" s="143" t="e">
        <f t="shared" si="153"/>
        <v>#N/A</v>
      </c>
      <c r="BU119" s="143" t="e">
        <f t="shared" si="154"/>
        <v>#N/A</v>
      </c>
      <c r="BV119" s="143" t="e">
        <f t="shared" si="155"/>
        <v>#N/A</v>
      </c>
      <c r="BW119" s="143" t="e">
        <f t="shared" si="156"/>
        <v>#N/A</v>
      </c>
      <c r="BX119" s="143" t="e">
        <f t="shared" si="157"/>
        <v>#N/A</v>
      </c>
      <c r="BY119" s="143" t="e">
        <f t="shared" si="158"/>
        <v>#N/A</v>
      </c>
      <c r="BZ119" s="143" t="e">
        <f t="shared" si="159"/>
        <v>#N/A</v>
      </c>
      <c r="CA119" s="143" t="e">
        <f t="shared" si="160"/>
        <v>#N/A</v>
      </c>
      <c r="CB119" s="143" t="e">
        <f t="shared" si="161"/>
        <v>#N/A</v>
      </c>
      <c r="CC119" s="143" t="e">
        <f t="shared" si="162"/>
        <v>#N/A</v>
      </c>
      <c r="CD119" s="143" t="e">
        <f t="shared" si="163"/>
        <v>#N/A</v>
      </c>
      <c r="CE119" s="143" t="e">
        <f t="shared" si="164"/>
        <v>#N/A</v>
      </c>
      <c r="CF119" s="143" t="e">
        <f t="shared" si="165"/>
        <v>#N/A</v>
      </c>
      <c r="CG119" s="143" t="e">
        <f t="shared" si="166"/>
        <v>#N/A</v>
      </c>
      <c r="CH119" s="143" t="e">
        <f t="shared" si="167"/>
        <v>#N/A</v>
      </c>
      <c r="CI119" t="e">
        <f t="shared" si="168"/>
        <v>#N/A</v>
      </c>
      <c r="CJ119" t="e">
        <f t="shared" si="169"/>
        <v>#N/A</v>
      </c>
      <c r="CK119" t="e">
        <f t="shared" si="170"/>
        <v>#N/A</v>
      </c>
      <c r="CL119" t="e">
        <f t="shared" si="171"/>
        <v>#N/A</v>
      </c>
      <c r="CM119" t="e">
        <f t="shared" si="172"/>
        <v>#N/A</v>
      </c>
      <c r="CN119" t="e">
        <f t="shared" si="173"/>
        <v>#N/A</v>
      </c>
      <c r="CO119" t="e">
        <f t="shared" si="174"/>
        <v>#N/A</v>
      </c>
      <c r="CP119" t="e">
        <f t="shared" si="175"/>
        <v>#N/A</v>
      </c>
      <c r="CQ119" t="e">
        <f t="shared" si="176"/>
        <v>#N/A</v>
      </c>
      <c r="CR119" t="e">
        <f t="shared" si="177"/>
        <v>#N/A</v>
      </c>
      <c r="CS119" t="e">
        <f t="shared" si="178"/>
        <v>#N/A</v>
      </c>
      <c r="CT119" t="e">
        <f t="shared" si="179"/>
        <v>#N/A</v>
      </c>
      <c r="CU119" t="e">
        <f t="shared" si="180"/>
        <v>#N/A</v>
      </c>
      <c r="CV119" t="e">
        <f t="shared" si="181"/>
        <v>#N/A</v>
      </c>
      <c r="CW119" t="e">
        <f t="shared" si="182"/>
        <v>#N/A</v>
      </c>
      <c r="CX119" t="e">
        <f t="shared" si="183"/>
        <v>#N/A</v>
      </c>
      <c r="CY119" t="e">
        <f t="shared" si="184"/>
        <v>#N/A</v>
      </c>
      <c r="CZ119" t="e">
        <f t="shared" si="185"/>
        <v>#N/A</v>
      </c>
      <c r="DA119" t="e">
        <f t="shared" si="186"/>
        <v>#N/A</v>
      </c>
      <c r="DB119" t="e">
        <f t="shared" si="187"/>
        <v>#N/A</v>
      </c>
      <c r="DC119" s="142" t="e">
        <f t="shared" si="188"/>
        <v>#N/A</v>
      </c>
      <c r="DD119" t="e">
        <f t="shared" si="80"/>
        <v>#N/A</v>
      </c>
      <c r="DE119" t="b">
        <f t="shared" si="189"/>
        <v>0</v>
      </c>
    </row>
    <row r="120" spans="1:109">
      <c r="A120">
        <f t="shared" si="82"/>
        <v>55</v>
      </c>
      <c r="B120" s="140" t="e">
        <f t="shared" si="83"/>
        <v>#N/A</v>
      </c>
      <c r="C120" s="140" t="e">
        <f t="shared" si="84"/>
        <v>#N/A</v>
      </c>
      <c r="D120" s="140" t="e">
        <f t="shared" si="85"/>
        <v>#N/A</v>
      </c>
      <c r="E120" s="140" t="e">
        <f t="shared" si="86"/>
        <v>#N/A</v>
      </c>
      <c r="F120" s="140" t="e">
        <f t="shared" si="87"/>
        <v>#N/A</v>
      </c>
      <c r="G120" s="140" t="e">
        <f t="shared" si="88"/>
        <v>#N/A</v>
      </c>
      <c r="H120" s="140" t="e">
        <f t="shared" si="89"/>
        <v>#N/A</v>
      </c>
      <c r="I120" s="140" t="e">
        <f t="shared" si="90"/>
        <v>#N/A</v>
      </c>
      <c r="J120" s="140" t="e">
        <f t="shared" si="91"/>
        <v>#N/A</v>
      </c>
      <c r="K120" s="140" t="e">
        <f t="shared" si="92"/>
        <v>#N/A</v>
      </c>
      <c r="L120" s="140" t="e">
        <f t="shared" si="93"/>
        <v>#N/A</v>
      </c>
      <c r="M120" s="140" t="e">
        <f t="shared" si="94"/>
        <v>#N/A</v>
      </c>
      <c r="N120" s="140" t="e">
        <f t="shared" si="95"/>
        <v>#N/A</v>
      </c>
      <c r="O120" s="140" t="e">
        <f t="shared" si="96"/>
        <v>#N/A</v>
      </c>
      <c r="P120" s="140" t="e">
        <f t="shared" si="97"/>
        <v>#N/A</v>
      </c>
      <c r="Q120" s="140" t="e">
        <f t="shared" si="98"/>
        <v>#N/A</v>
      </c>
      <c r="R120" s="140" t="e">
        <f t="shared" si="99"/>
        <v>#N/A</v>
      </c>
      <c r="S120" s="140" t="e">
        <f t="shared" si="100"/>
        <v>#N/A</v>
      </c>
      <c r="T120" s="140" t="e">
        <f t="shared" si="101"/>
        <v>#N/A</v>
      </c>
      <c r="U120" s="140" t="e">
        <f t="shared" si="102"/>
        <v>#N/A</v>
      </c>
      <c r="V120" s="141" t="str">
        <f t="shared" si="124"/>
        <v>DPS</v>
      </c>
      <c r="W120" s="141" t="str">
        <f t="shared" si="125"/>
        <v>DPS</v>
      </c>
      <c r="X120" s="141" t="str">
        <f t="shared" si="126"/>
        <v>DPS</v>
      </c>
      <c r="Y120" s="141" t="str">
        <f t="shared" si="127"/>
        <v>DPS</v>
      </c>
      <c r="Z120" s="141" t="str">
        <f t="shared" si="128"/>
        <v>DPS</v>
      </c>
      <c r="AA120" s="141" t="str">
        <f t="shared" si="129"/>
        <v>DPS</v>
      </c>
      <c r="AB120" s="141" t="str">
        <f t="shared" si="130"/>
        <v>DPS</v>
      </c>
      <c r="AC120" s="141" t="str">
        <f t="shared" si="131"/>
        <v>DPS</v>
      </c>
      <c r="AD120" s="141" t="str">
        <f t="shared" si="132"/>
        <v>DPS</v>
      </c>
      <c r="AE120" s="141" t="str">
        <f t="shared" si="133"/>
        <v>DPS</v>
      </c>
      <c r="AF120" s="141" t="str">
        <f t="shared" si="134"/>
        <v>DPS</v>
      </c>
      <c r="AG120" s="141" t="str">
        <f t="shared" si="135"/>
        <v>DPS</v>
      </c>
      <c r="AH120" s="141" t="str">
        <f t="shared" si="136"/>
        <v>DPS</v>
      </c>
      <c r="AI120" s="141" t="str">
        <f t="shared" si="137"/>
        <v>HPS</v>
      </c>
      <c r="AJ120" s="141" t="str">
        <f t="shared" si="138"/>
        <v>HPS</v>
      </c>
      <c r="AK120" s="141" t="str">
        <f t="shared" si="139"/>
        <v>HPS</v>
      </c>
      <c r="AL120" s="141" t="str">
        <f t="shared" si="140"/>
        <v>HPS</v>
      </c>
      <c r="AM120" s="141" t="str">
        <f t="shared" si="141"/>
        <v>HPS</v>
      </c>
      <c r="AN120" s="141" t="str">
        <f t="shared" si="142"/>
        <v>HPS</v>
      </c>
      <c r="AO120" s="141" t="str">
        <f t="shared" si="143"/>
        <v>HPS</v>
      </c>
      <c r="AP120" s="134" t="e">
        <f t="shared" si="103"/>
        <v>#N/A</v>
      </c>
      <c r="AQ120" s="134" t="e">
        <f t="shared" si="104"/>
        <v>#N/A</v>
      </c>
      <c r="AR120" s="134" t="e">
        <f t="shared" si="105"/>
        <v>#N/A</v>
      </c>
      <c r="AS120" s="134" t="e">
        <f t="shared" si="106"/>
        <v>#N/A</v>
      </c>
      <c r="AT120" s="134" t="e">
        <f t="shared" si="107"/>
        <v>#N/A</v>
      </c>
      <c r="AU120" s="134" t="e">
        <f t="shared" si="108"/>
        <v>#N/A</v>
      </c>
      <c r="AV120" s="134" t="e">
        <f t="shared" si="109"/>
        <v>#N/A</v>
      </c>
      <c r="AW120" s="134" t="e">
        <f t="shared" si="110"/>
        <v>#N/A</v>
      </c>
      <c r="AX120" s="134" t="e">
        <f t="shared" si="111"/>
        <v>#N/A</v>
      </c>
      <c r="AY120" s="134" t="e">
        <f t="shared" si="112"/>
        <v>#N/A</v>
      </c>
      <c r="AZ120" s="134" t="e">
        <f t="shared" si="113"/>
        <v>#N/A</v>
      </c>
      <c r="BA120" s="134" t="e">
        <f t="shared" si="114"/>
        <v>#N/A</v>
      </c>
      <c r="BB120" s="134" t="e">
        <f t="shared" si="115"/>
        <v>#N/A</v>
      </c>
      <c r="BC120" s="134" t="e">
        <f t="shared" si="116"/>
        <v>#N/A</v>
      </c>
      <c r="BD120" s="134" t="e">
        <f t="shared" si="117"/>
        <v>#N/A</v>
      </c>
      <c r="BE120" s="134" t="e">
        <f t="shared" si="118"/>
        <v>#N/A</v>
      </c>
      <c r="BF120" s="134" t="e">
        <f t="shared" si="119"/>
        <v>#N/A</v>
      </c>
      <c r="BG120" s="134" t="e">
        <f t="shared" si="120"/>
        <v>#N/A</v>
      </c>
      <c r="BH120" s="134" t="e">
        <f t="shared" si="121"/>
        <v>#N/A</v>
      </c>
      <c r="BI120" s="134" t="e">
        <f t="shared" si="122"/>
        <v>#N/A</v>
      </c>
      <c r="BJ120" t="e">
        <f t="shared" si="144"/>
        <v>#N/A</v>
      </c>
      <c r="BK120" t="e">
        <f t="shared" si="145"/>
        <v>#N/A</v>
      </c>
      <c r="BL120" s="142" t="e">
        <f t="shared" si="146"/>
        <v>#N/A</v>
      </c>
      <c r="BM120" s="142">
        <f t="shared" si="37"/>
        <v>2650</v>
      </c>
      <c r="BN120" t="e">
        <f t="shared" si="147"/>
        <v>#NUM!</v>
      </c>
      <c r="BO120" s="143" t="e">
        <f t="shared" si="148"/>
        <v>#N/A</v>
      </c>
      <c r="BP120" s="143" t="e">
        <f t="shared" si="149"/>
        <v>#N/A</v>
      </c>
      <c r="BQ120" s="143" t="e">
        <f t="shared" si="150"/>
        <v>#N/A</v>
      </c>
      <c r="BR120" s="143" t="e">
        <f t="shared" si="151"/>
        <v>#N/A</v>
      </c>
      <c r="BS120" s="143" t="e">
        <f t="shared" si="152"/>
        <v>#N/A</v>
      </c>
      <c r="BT120" s="143" t="e">
        <f t="shared" si="153"/>
        <v>#N/A</v>
      </c>
      <c r="BU120" s="143" t="e">
        <f t="shared" si="154"/>
        <v>#N/A</v>
      </c>
      <c r="BV120" s="143" t="e">
        <f t="shared" si="155"/>
        <v>#N/A</v>
      </c>
      <c r="BW120" s="143" t="e">
        <f t="shared" si="156"/>
        <v>#N/A</v>
      </c>
      <c r="BX120" s="143" t="e">
        <f t="shared" si="157"/>
        <v>#N/A</v>
      </c>
      <c r="BY120" s="143" t="e">
        <f t="shared" si="158"/>
        <v>#N/A</v>
      </c>
      <c r="BZ120" s="143" t="e">
        <f t="shared" si="159"/>
        <v>#N/A</v>
      </c>
      <c r="CA120" s="143" t="e">
        <f t="shared" si="160"/>
        <v>#N/A</v>
      </c>
      <c r="CB120" s="143" t="e">
        <f t="shared" si="161"/>
        <v>#N/A</v>
      </c>
      <c r="CC120" s="143" t="e">
        <f t="shared" si="162"/>
        <v>#N/A</v>
      </c>
      <c r="CD120" s="143" t="e">
        <f t="shared" si="163"/>
        <v>#N/A</v>
      </c>
      <c r="CE120" s="143" t="e">
        <f t="shared" si="164"/>
        <v>#N/A</v>
      </c>
      <c r="CF120" s="143" t="e">
        <f t="shared" si="165"/>
        <v>#N/A</v>
      </c>
      <c r="CG120" s="143" t="e">
        <f t="shared" si="166"/>
        <v>#N/A</v>
      </c>
      <c r="CH120" s="143" t="e">
        <f t="shared" si="167"/>
        <v>#N/A</v>
      </c>
      <c r="CI120" t="e">
        <f t="shared" si="168"/>
        <v>#N/A</v>
      </c>
      <c r="CJ120" t="e">
        <f t="shared" si="169"/>
        <v>#N/A</v>
      </c>
      <c r="CK120" t="e">
        <f t="shared" si="170"/>
        <v>#N/A</v>
      </c>
      <c r="CL120" t="e">
        <f t="shared" si="171"/>
        <v>#N/A</v>
      </c>
      <c r="CM120" t="e">
        <f t="shared" si="172"/>
        <v>#N/A</v>
      </c>
      <c r="CN120" t="e">
        <f t="shared" si="173"/>
        <v>#N/A</v>
      </c>
      <c r="CO120" t="e">
        <f t="shared" si="174"/>
        <v>#N/A</v>
      </c>
      <c r="CP120" t="e">
        <f t="shared" si="175"/>
        <v>#N/A</v>
      </c>
      <c r="CQ120" t="e">
        <f t="shared" si="176"/>
        <v>#N/A</v>
      </c>
      <c r="CR120" t="e">
        <f t="shared" si="177"/>
        <v>#N/A</v>
      </c>
      <c r="CS120" t="e">
        <f t="shared" si="178"/>
        <v>#N/A</v>
      </c>
      <c r="CT120" t="e">
        <f t="shared" si="179"/>
        <v>#N/A</v>
      </c>
      <c r="CU120" t="e">
        <f t="shared" si="180"/>
        <v>#N/A</v>
      </c>
      <c r="CV120" t="e">
        <f t="shared" si="181"/>
        <v>#N/A</v>
      </c>
      <c r="CW120" t="e">
        <f t="shared" si="182"/>
        <v>#N/A</v>
      </c>
      <c r="CX120" t="e">
        <f t="shared" si="183"/>
        <v>#N/A</v>
      </c>
      <c r="CY120" t="e">
        <f t="shared" si="184"/>
        <v>#N/A</v>
      </c>
      <c r="CZ120" t="e">
        <f t="shared" si="185"/>
        <v>#N/A</v>
      </c>
      <c r="DA120" t="e">
        <f t="shared" si="186"/>
        <v>#N/A</v>
      </c>
      <c r="DB120" t="e">
        <f t="shared" si="187"/>
        <v>#N/A</v>
      </c>
      <c r="DC120" s="142" t="e">
        <f t="shared" si="188"/>
        <v>#N/A</v>
      </c>
      <c r="DD120" t="e">
        <f t="shared" si="80"/>
        <v>#N/A</v>
      </c>
      <c r="DE120" t="b">
        <f t="shared" si="189"/>
        <v>0</v>
      </c>
    </row>
    <row r="121" spans="1:109">
      <c r="A121">
        <f t="shared" si="82"/>
        <v>56</v>
      </c>
      <c r="B121" s="140" t="e">
        <f t="shared" si="83"/>
        <v>#N/A</v>
      </c>
      <c r="C121" s="140" t="e">
        <f t="shared" si="84"/>
        <v>#N/A</v>
      </c>
      <c r="D121" s="140" t="e">
        <f t="shared" si="85"/>
        <v>#N/A</v>
      </c>
      <c r="E121" s="140" t="e">
        <f t="shared" si="86"/>
        <v>#N/A</v>
      </c>
      <c r="F121" s="140" t="e">
        <f t="shared" si="87"/>
        <v>#N/A</v>
      </c>
      <c r="G121" s="140" t="e">
        <f t="shared" si="88"/>
        <v>#N/A</v>
      </c>
      <c r="H121" s="140" t="e">
        <f t="shared" si="89"/>
        <v>#N/A</v>
      </c>
      <c r="I121" s="140" t="e">
        <f t="shared" si="90"/>
        <v>#N/A</v>
      </c>
      <c r="J121" s="140" t="e">
        <f t="shared" si="91"/>
        <v>#N/A</v>
      </c>
      <c r="K121" s="140" t="e">
        <f t="shared" si="92"/>
        <v>#N/A</v>
      </c>
      <c r="L121" s="140" t="e">
        <f t="shared" si="93"/>
        <v>#N/A</v>
      </c>
      <c r="M121" s="140" t="e">
        <f t="shared" si="94"/>
        <v>#N/A</v>
      </c>
      <c r="N121" s="140" t="e">
        <f t="shared" si="95"/>
        <v>#N/A</v>
      </c>
      <c r="O121" s="140" t="e">
        <f t="shared" si="96"/>
        <v>#N/A</v>
      </c>
      <c r="P121" s="140" t="e">
        <f t="shared" si="97"/>
        <v>#N/A</v>
      </c>
      <c r="Q121" s="140" t="e">
        <f t="shared" si="98"/>
        <v>#N/A</v>
      </c>
      <c r="R121" s="140" t="e">
        <f t="shared" si="99"/>
        <v>#N/A</v>
      </c>
      <c r="S121" s="140" t="e">
        <f t="shared" si="100"/>
        <v>#N/A</v>
      </c>
      <c r="T121" s="140" t="e">
        <f t="shared" si="101"/>
        <v>#N/A</v>
      </c>
      <c r="U121" s="140" t="e">
        <f t="shared" si="102"/>
        <v>#N/A</v>
      </c>
      <c r="V121" s="141" t="str">
        <f t="shared" si="124"/>
        <v>DPS</v>
      </c>
      <c r="W121" s="141" t="str">
        <f t="shared" si="125"/>
        <v>DPS</v>
      </c>
      <c r="X121" s="141" t="str">
        <f t="shared" si="126"/>
        <v>DPS</v>
      </c>
      <c r="Y121" s="141" t="str">
        <f t="shared" si="127"/>
        <v>DPS</v>
      </c>
      <c r="Z121" s="141" t="str">
        <f t="shared" si="128"/>
        <v>DPS</v>
      </c>
      <c r="AA121" s="141" t="str">
        <f t="shared" si="129"/>
        <v>DPS</v>
      </c>
      <c r="AB121" s="141" t="str">
        <f t="shared" si="130"/>
        <v>DPS</v>
      </c>
      <c r="AC121" s="141" t="str">
        <f t="shared" si="131"/>
        <v>DPS</v>
      </c>
      <c r="AD121" s="141" t="str">
        <f t="shared" si="132"/>
        <v>DPS</v>
      </c>
      <c r="AE121" s="141" t="str">
        <f t="shared" si="133"/>
        <v>DPS</v>
      </c>
      <c r="AF121" s="141" t="str">
        <f t="shared" si="134"/>
        <v>DPS</v>
      </c>
      <c r="AG121" s="141" t="str">
        <f t="shared" si="135"/>
        <v>DPS</v>
      </c>
      <c r="AH121" s="141" t="str">
        <f t="shared" si="136"/>
        <v>DPS</v>
      </c>
      <c r="AI121" s="141" t="str">
        <f t="shared" si="137"/>
        <v>HPS</v>
      </c>
      <c r="AJ121" s="141" t="str">
        <f t="shared" si="138"/>
        <v>HPS</v>
      </c>
      <c r="AK121" s="141" t="str">
        <f t="shared" si="139"/>
        <v>HPS</v>
      </c>
      <c r="AL121" s="141" t="str">
        <f t="shared" si="140"/>
        <v>HPS</v>
      </c>
      <c r="AM121" s="141" t="str">
        <f t="shared" si="141"/>
        <v>HPS</v>
      </c>
      <c r="AN121" s="141" t="str">
        <f t="shared" si="142"/>
        <v>HPS</v>
      </c>
      <c r="AO121" s="141" t="str">
        <f t="shared" si="143"/>
        <v>HPS</v>
      </c>
      <c r="AP121" s="134" t="e">
        <f t="shared" si="103"/>
        <v>#N/A</v>
      </c>
      <c r="AQ121" s="134" t="e">
        <f t="shared" si="104"/>
        <v>#N/A</v>
      </c>
      <c r="AR121" s="134" t="e">
        <f t="shared" si="105"/>
        <v>#N/A</v>
      </c>
      <c r="AS121" s="134" t="e">
        <f t="shared" si="106"/>
        <v>#N/A</v>
      </c>
      <c r="AT121" s="134" t="e">
        <f t="shared" si="107"/>
        <v>#N/A</v>
      </c>
      <c r="AU121" s="134" t="e">
        <f t="shared" si="108"/>
        <v>#N/A</v>
      </c>
      <c r="AV121" s="134" t="e">
        <f t="shared" si="109"/>
        <v>#N/A</v>
      </c>
      <c r="AW121" s="134" t="e">
        <f t="shared" si="110"/>
        <v>#N/A</v>
      </c>
      <c r="AX121" s="134" t="e">
        <f t="shared" si="111"/>
        <v>#N/A</v>
      </c>
      <c r="AY121" s="134" t="e">
        <f t="shared" si="112"/>
        <v>#N/A</v>
      </c>
      <c r="AZ121" s="134" t="e">
        <f t="shared" si="113"/>
        <v>#N/A</v>
      </c>
      <c r="BA121" s="134" t="e">
        <f t="shared" si="114"/>
        <v>#N/A</v>
      </c>
      <c r="BB121" s="134" t="e">
        <f t="shared" si="115"/>
        <v>#N/A</v>
      </c>
      <c r="BC121" s="134" t="e">
        <f t="shared" si="116"/>
        <v>#N/A</v>
      </c>
      <c r="BD121" s="134" t="e">
        <f t="shared" si="117"/>
        <v>#N/A</v>
      </c>
      <c r="BE121" s="134" t="e">
        <f t="shared" si="118"/>
        <v>#N/A</v>
      </c>
      <c r="BF121" s="134" t="e">
        <f t="shared" si="119"/>
        <v>#N/A</v>
      </c>
      <c r="BG121" s="134" t="e">
        <f t="shared" si="120"/>
        <v>#N/A</v>
      </c>
      <c r="BH121" s="134" t="e">
        <f t="shared" si="121"/>
        <v>#N/A</v>
      </c>
      <c r="BI121" s="134" t="e">
        <f t="shared" si="122"/>
        <v>#N/A</v>
      </c>
      <c r="BJ121" t="e">
        <f t="shared" si="144"/>
        <v>#N/A</v>
      </c>
      <c r="BK121" t="e">
        <f t="shared" si="145"/>
        <v>#N/A</v>
      </c>
      <c r="BL121" s="142" t="e">
        <f t="shared" si="146"/>
        <v>#N/A</v>
      </c>
      <c r="BM121" s="142">
        <f t="shared" si="37"/>
        <v>2650</v>
      </c>
      <c r="BN121" t="e">
        <f t="shared" si="147"/>
        <v>#NUM!</v>
      </c>
      <c r="BO121" s="143" t="e">
        <f t="shared" si="148"/>
        <v>#N/A</v>
      </c>
      <c r="BP121" s="143" t="e">
        <f t="shared" si="149"/>
        <v>#N/A</v>
      </c>
      <c r="BQ121" s="143" t="e">
        <f t="shared" si="150"/>
        <v>#N/A</v>
      </c>
      <c r="BR121" s="143" t="e">
        <f t="shared" si="151"/>
        <v>#N/A</v>
      </c>
      <c r="BS121" s="143" t="e">
        <f t="shared" si="152"/>
        <v>#N/A</v>
      </c>
      <c r="BT121" s="143" t="e">
        <f t="shared" si="153"/>
        <v>#N/A</v>
      </c>
      <c r="BU121" s="143" t="e">
        <f t="shared" si="154"/>
        <v>#N/A</v>
      </c>
      <c r="BV121" s="143" t="e">
        <f t="shared" si="155"/>
        <v>#N/A</v>
      </c>
      <c r="BW121" s="143" t="e">
        <f t="shared" si="156"/>
        <v>#N/A</v>
      </c>
      <c r="BX121" s="143" t="e">
        <f t="shared" si="157"/>
        <v>#N/A</v>
      </c>
      <c r="BY121" s="143" t="e">
        <f t="shared" si="158"/>
        <v>#N/A</v>
      </c>
      <c r="BZ121" s="143" t="e">
        <f t="shared" si="159"/>
        <v>#N/A</v>
      </c>
      <c r="CA121" s="143" t="e">
        <f t="shared" si="160"/>
        <v>#N/A</v>
      </c>
      <c r="CB121" s="143" t="e">
        <f t="shared" si="161"/>
        <v>#N/A</v>
      </c>
      <c r="CC121" s="143" t="e">
        <f t="shared" si="162"/>
        <v>#N/A</v>
      </c>
      <c r="CD121" s="143" t="e">
        <f t="shared" si="163"/>
        <v>#N/A</v>
      </c>
      <c r="CE121" s="143" t="e">
        <f t="shared" si="164"/>
        <v>#N/A</v>
      </c>
      <c r="CF121" s="143" t="e">
        <f t="shared" si="165"/>
        <v>#N/A</v>
      </c>
      <c r="CG121" s="143" t="e">
        <f t="shared" si="166"/>
        <v>#N/A</v>
      </c>
      <c r="CH121" s="143" t="e">
        <f t="shared" si="167"/>
        <v>#N/A</v>
      </c>
      <c r="CI121" t="e">
        <f t="shared" si="168"/>
        <v>#N/A</v>
      </c>
      <c r="CJ121" t="e">
        <f t="shared" si="169"/>
        <v>#N/A</v>
      </c>
      <c r="CK121" t="e">
        <f t="shared" si="170"/>
        <v>#N/A</v>
      </c>
      <c r="CL121" t="e">
        <f t="shared" si="171"/>
        <v>#N/A</v>
      </c>
      <c r="CM121" t="e">
        <f t="shared" si="172"/>
        <v>#N/A</v>
      </c>
      <c r="CN121" t="e">
        <f t="shared" si="173"/>
        <v>#N/A</v>
      </c>
      <c r="CO121" t="e">
        <f t="shared" si="174"/>
        <v>#N/A</v>
      </c>
      <c r="CP121" t="e">
        <f t="shared" si="175"/>
        <v>#N/A</v>
      </c>
      <c r="CQ121" t="e">
        <f t="shared" si="176"/>
        <v>#N/A</v>
      </c>
      <c r="CR121" t="e">
        <f t="shared" si="177"/>
        <v>#N/A</v>
      </c>
      <c r="CS121" t="e">
        <f t="shared" si="178"/>
        <v>#N/A</v>
      </c>
      <c r="CT121" t="e">
        <f t="shared" si="179"/>
        <v>#N/A</v>
      </c>
      <c r="CU121" t="e">
        <f t="shared" si="180"/>
        <v>#N/A</v>
      </c>
      <c r="CV121" t="e">
        <f t="shared" si="181"/>
        <v>#N/A</v>
      </c>
      <c r="CW121" t="e">
        <f t="shared" si="182"/>
        <v>#N/A</v>
      </c>
      <c r="CX121" t="e">
        <f t="shared" si="183"/>
        <v>#N/A</v>
      </c>
      <c r="CY121" t="e">
        <f t="shared" si="184"/>
        <v>#N/A</v>
      </c>
      <c r="CZ121" t="e">
        <f t="shared" si="185"/>
        <v>#N/A</v>
      </c>
      <c r="DA121" t="e">
        <f t="shared" si="186"/>
        <v>#N/A</v>
      </c>
      <c r="DB121" t="e">
        <f t="shared" si="187"/>
        <v>#N/A</v>
      </c>
      <c r="DC121" s="142" t="e">
        <f t="shared" si="188"/>
        <v>#N/A</v>
      </c>
      <c r="DD121" t="e">
        <f t="shared" si="80"/>
        <v>#N/A</v>
      </c>
      <c r="DE121" t="b">
        <f t="shared" si="189"/>
        <v>0</v>
      </c>
    </row>
    <row r="122" spans="1:109">
      <c r="A122">
        <f t="shared" si="82"/>
        <v>57</v>
      </c>
      <c r="B122" s="140" t="e">
        <f t="shared" si="83"/>
        <v>#N/A</v>
      </c>
      <c r="C122" s="140" t="e">
        <f t="shared" si="84"/>
        <v>#N/A</v>
      </c>
      <c r="D122" s="140" t="e">
        <f t="shared" si="85"/>
        <v>#N/A</v>
      </c>
      <c r="E122" s="140" t="e">
        <f t="shared" si="86"/>
        <v>#N/A</v>
      </c>
      <c r="F122" s="140" t="e">
        <f t="shared" si="87"/>
        <v>#N/A</v>
      </c>
      <c r="G122" s="140" t="e">
        <f t="shared" si="88"/>
        <v>#N/A</v>
      </c>
      <c r="H122" s="140" t="e">
        <f t="shared" si="89"/>
        <v>#N/A</v>
      </c>
      <c r="I122" s="140" t="e">
        <f t="shared" si="90"/>
        <v>#N/A</v>
      </c>
      <c r="J122" s="140" t="e">
        <f t="shared" si="91"/>
        <v>#N/A</v>
      </c>
      <c r="K122" s="140" t="e">
        <f t="shared" si="92"/>
        <v>#N/A</v>
      </c>
      <c r="L122" s="140" t="e">
        <f t="shared" si="93"/>
        <v>#N/A</v>
      </c>
      <c r="M122" s="140" t="e">
        <f t="shared" si="94"/>
        <v>#N/A</v>
      </c>
      <c r="N122" s="140" t="e">
        <f t="shared" si="95"/>
        <v>#N/A</v>
      </c>
      <c r="O122" s="140" t="e">
        <f t="shared" si="96"/>
        <v>#N/A</v>
      </c>
      <c r="P122" s="140" t="e">
        <f t="shared" si="97"/>
        <v>#N/A</v>
      </c>
      <c r="Q122" s="140" t="e">
        <f t="shared" si="98"/>
        <v>#N/A</v>
      </c>
      <c r="R122" s="140" t="e">
        <f t="shared" si="99"/>
        <v>#N/A</v>
      </c>
      <c r="S122" s="140" t="e">
        <f t="shared" si="100"/>
        <v>#N/A</v>
      </c>
      <c r="T122" s="140" t="e">
        <f t="shared" si="101"/>
        <v>#N/A</v>
      </c>
      <c r="U122" s="140" t="e">
        <f t="shared" si="102"/>
        <v>#N/A</v>
      </c>
      <c r="V122" s="141" t="str">
        <f t="shared" si="124"/>
        <v>DPS</v>
      </c>
      <c r="W122" s="141" t="str">
        <f t="shared" si="125"/>
        <v>DPS</v>
      </c>
      <c r="X122" s="141" t="str">
        <f t="shared" si="126"/>
        <v>DPS</v>
      </c>
      <c r="Y122" s="141" t="str">
        <f t="shared" si="127"/>
        <v>DPS</v>
      </c>
      <c r="Z122" s="141" t="str">
        <f t="shared" si="128"/>
        <v>DPS</v>
      </c>
      <c r="AA122" s="141" t="str">
        <f t="shared" si="129"/>
        <v>DPS</v>
      </c>
      <c r="AB122" s="141" t="str">
        <f t="shared" si="130"/>
        <v>DPS</v>
      </c>
      <c r="AC122" s="141" t="str">
        <f t="shared" si="131"/>
        <v>DPS</v>
      </c>
      <c r="AD122" s="141" t="str">
        <f t="shared" si="132"/>
        <v>DPS</v>
      </c>
      <c r="AE122" s="141" t="str">
        <f t="shared" si="133"/>
        <v>DPS</v>
      </c>
      <c r="AF122" s="141" t="str">
        <f t="shared" si="134"/>
        <v>DPS</v>
      </c>
      <c r="AG122" s="141" t="str">
        <f t="shared" si="135"/>
        <v>DPS</v>
      </c>
      <c r="AH122" s="141" t="str">
        <f t="shared" si="136"/>
        <v>DPS</v>
      </c>
      <c r="AI122" s="141" t="str">
        <f t="shared" si="137"/>
        <v>HPS</v>
      </c>
      <c r="AJ122" s="141" t="str">
        <f t="shared" si="138"/>
        <v>HPS</v>
      </c>
      <c r="AK122" s="141" t="str">
        <f t="shared" si="139"/>
        <v>HPS</v>
      </c>
      <c r="AL122" s="141" t="str">
        <f t="shared" si="140"/>
        <v>HPS</v>
      </c>
      <c r="AM122" s="141" t="str">
        <f t="shared" si="141"/>
        <v>HPS</v>
      </c>
      <c r="AN122" s="141" t="str">
        <f t="shared" si="142"/>
        <v>HPS</v>
      </c>
      <c r="AO122" s="141" t="str">
        <f t="shared" si="143"/>
        <v>HPS</v>
      </c>
      <c r="AP122" s="134" t="e">
        <f t="shared" si="103"/>
        <v>#N/A</v>
      </c>
      <c r="AQ122" s="134" t="e">
        <f t="shared" si="104"/>
        <v>#N/A</v>
      </c>
      <c r="AR122" s="134" t="e">
        <f t="shared" si="105"/>
        <v>#N/A</v>
      </c>
      <c r="AS122" s="134" t="e">
        <f t="shared" si="106"/>
        <v>#N/A</v>
      </c>
      <c r="AT122" s="134" t="e">
        <f t="shared" si="107"/>
        <v>#N/A</v>
      </c>
      <c r="AU122" s="134" t="e">
        <f t="shared" si="108"/>
        <v>#N/A</v>
      </c>
      <c r="AV122" s="134" t="e">
        <f t="shared" si="109"/>
        <v>#N/A</v>
      </c>
      <c r="AW122" s="134" t="e">
        <f t="shared" si="110"/>
        <v>#N/A</v>
      </c>
      <c r="AX122" s="134" t="e">
        <f t="shared" si="111"/>
        <v>#N/A</v>
      </c>
      <c r="AY122" s="134" t="e">
        <f t="shared" si="112"/>
        <v>#N/A</v>
      </c>
      <c r="AZ122" s="134" t="e">
        <f t="shared" si="113"/>
        <v>#N/A</v>
      </c>
      <c r="BA122" s="134" t="e">
        <f t="shared" si="114"/>
        <v>#N/A</v>
      </c>
      <c r="BB122" s="134" t="e">
        <f t="shared" si="115"/>
        <v>#N/A</v>
      </c>
      <c r="BC122" s="134" t="e">
        <f t="shared" si="116"/>
        <v>#N/A</v>
      </c>
      <c r="BD122" s="134" t="e">
        <f t="shared" si="117"/>
        <v>#N/A</v>
      </c>
      <c r="BE122" s="134" t="e">
        <f t="shared" si="118"/>
        <v>#N/A</v>
      </c>
      <c r="BF122" s="134" t="e">
        <f t="shared" si="119"/>
        <v>#N/A</v>
      </c>
      <c r="BG122" s="134" t="e">
        <f t="shared" si="120"/>
        <v>#N/A</v>
      </c>
      <c r="BH122" s="134" t="e">
        <f t="shared" si="121"/>
        <v>#N/A</v>
      </c>
      <c r="BI122" s="134" t="e">
        <f t="shared" si="122"/>
        <v>#N/A</v>
      </c>
      <c r="BJ122" t="e">
        <f t="shared" si="144"/>
        <v>#N/A</v>
      </c>
      <c r="BK122" t="e">
        <f t="shared" si="145"/>
        <v>#N/A</v>
      </c>
      <c r="BL122" s="142" t="e">
        <f t="shared" si="146"/>
        <v>#N/A</v>
      </c>
      <c r="BM122" s="142">
        <f t="shared" si="37"/>
        <v>2650</v>
      </c>
      <c r="BN122" t="e">
        <f t="shared" si="147"/>
        <v>#NUM!</v>
      </c>
      <c r="BO122" s="143" t="e">
        <f t="shared" si="148"/>
        <v>#N/A</v>
      </c>
      <c r="BP122" s="143" t="e">
        <f t="shared" si="149"/>
        <v>#N/A</v>
      </c>
      <c r="BQ122" s="143" t="e">
        <f t="shared" si="150"/>
        <v>#N/A</v>
      </c>
      <c r="BR122" s="143" t="e">
        <f t="shared" si="151"/>
        <v>#N/A</v>
      </c>
      <c r="BS122" s="143" t="e">
        <f t="shared" si="152"/>
        <v>#N/A</v>
      </c>
      <c r="BT122" s="143" t="e">
        <f t="shared" si="153"/>
        <v>#N/A</v>
      </c>
      <c r="BU122" s="143" t="e">
        <f t="shared" si="154"/>
        <v>#N/A</v>
      </c>
      <c r="BV122" s="143" t="e">
        <f t="shared" si="155"/>
        <v>#N/A</v>
      </c>
      <c r="BW122" s="143" t="e">
        <f t="shared" si="156"/>
        <v>#N/A</v>
      </c>
      <c r="BX122" s="143" t="e">
        <f t="shared" si="157"/>
        <v>#N/A</v>
      </c>
      <c r="BY122" s="143" t="e">
        <f t="shared" si="158"/>
        <v>#N/A</v>
      </c>
      <c r="BZ122" s="143" t="e">
        <f t="shared" si="159"/>
        <v>#N/A</v>
      </c>
      <c r="CA122" s="143" t="e">
        <f t="shared" si="160"/>
        <v>#N/A</v>
      </c>
      <c r="CB122" s="143" t="e">
        <f t="shared" si="161"/>
        <v>#N/A</v>
      </c>
      <c r="CC122" s="143" t="e">
        <f t="shared" si="162"/>
        <v>#N/A</v>
      </c>
      <c r="CD122" s="143" t="e">
        <f t="shared" si="163"/>
        <v>#N/A</v>
      </c>
      <c r="CE122" s="143" t="e">
        <f t="shared" si="164"/>
        <v>#N/A</v>
      </c>
      <c r="CF122" s="143" t="e">
        <f t="shared" si="165"/>
        <v>#N/A</v>
      </c>
      <c r="CG122" s="143" t="e">
        <f t="shared" si="166"/>
        <v>#N/A</v>
      </c>
      <c r="CH122" s="143" t="e">
        <f t="shared" si="167"/>
        <v>#N/A</v>
      </c>
      <c r="CI122" t="e">
        <f t="shared" si="168"/>
        <v>#N/A</v>
      </c>
      <c r="CJ122" t="e">
        <f t="shared" si="169"/>
        <v>#N/A</v>
      </c>
      <c r="CK122" t="e">
        <f t="shared" si="170"/>
        <v>#N/A</v>
      </c>
      <c r="CL122" t="e">
        <f t="shared" si="171"/>
        <v>#N/A</v>
      </c>
      <c r="CM122" t="e">
        <f t="shared" si="172"/>
        <v>#N/A</v>
      </c>
      <c r="CN122" t="e">
        <f t="shared" si="173"/>
        <v>#N/A</v>
      </c>
      <c r="CO122" t="e">
        <f t="shared" si="174"/>
        <v>#N/A</v>
      </c>
      <c r="CP122" t="e">
        <f t="shared" si="175"/>
        <v>#N/A</v>
      </c>
      <c r="CQ122" t="e">
        <f t="shared" si="176"/>
        <v>#N/A</v>
      </c>
      <c r="CR122" t="e">
        <f t="shared" si="177"/>
        <v>#N/A</v>
      </c>
      <c r="CS122" t="e">
        <f t="shared" si="178"/>
        <v>#N/A</v>
      </c>
      <c r="CT122" t="e">
        <f t="shared" si="179"/>
        <v>#N/A</v>
      </c>
      <c r="CU122" t="e">
        <f t="shared" si="180"/>
        <v>#N/A</v>
      </c>
      <c r="CV122" t="e">
        <f t="shared" si="181"/>
        <v>#N/A</v>
      </c>
      <c r="CW122" t="e">
        <f t="shared" si="182"/>
        <v>#N/A</v>
      </c>
      <c r="CX122" t="e">
        <f t="shared" si="183"/>
        <v>#N/A</v>
      </c>
      <c r="CY122" t="e">
        <f t="shared" si="184"/>
        <v>#N/A</v>
      </c>
      <c r="CZ122" t="e">
        <f t="shared" si="185"/>
        <v>#N/A</v>
      </c>
      <c r="DA122" t="e">
        <f t="shared" si="186"/>
        <v>#N/A</v>
      </c>
      <c r="DB122" t="e">
        <f t="shared" si="187"/>
        <v>#N/A</v>
      </c>
      <c r="DC122" s="142" t="e">
        <f t="shared" si="188"/>
        <v>#N/A</v>
      </c>
      <c r="DD122" t="e">
        <f t="shared" si="80"/>
        <v>#N/A</v>
      </c>
      <c r="DE122" t="b">
        <f t="shared" si="189"/>
        <v>0</v>
      </c>
    </row>
    <row r="123" spans="1:109">
      <c r="A123">
        <f t="shared" si="82"/>
        <v>58</v>
      </c>
      <c r="B123" s="140" t="e">
        <f t="shared" si="83"/>
        <v>#N/A</v>
      </c>
      <c r="C123" s="140" t="e">
        <f t="shared" si="84"/>
        <v>#N/A</v>
      </c>
      <c r="D123" s="140" t="e">
        <f t="shared" si="85"/>
        <v>#N/A</v>
      </c>
      <c r="E123" s="140" t="e">
        <f t="shared" si="86"/>
        <v>#N/A</v>
      </c>
      <c r="F123" s="140" t="e">
        <f t="shared" si="87"/>
        <v>#N/A</v>
      </c>
      <c r="G123" s="140" t="e">
        <f t="shared" si="88"/>
        <v>#N/A</v>
      </c>
      <c r="H123" s="140" t="e">
        <f t="shared" si="89"/>
        <v>#N/A</v>
      </c>
      <c r="I123" s="140" t="e">
        <f t="shared" si="90"/>
        <v>#N/A</v>
      </c>
      <c r="J123" s="140" t="e">
        <f t="shared" si="91"/>
        <v>#N/A</v>
      </c>
      <c r="K123" s="140" t="e">
        <f t="shared" si="92"/>
        <v>#N/A</v>
      </c>
      <c r="L123" s="140" t="e">
        <f t="shared" si="93"/>
        <v>#N/A</v>
      </c>
      <c r="M123" s="140" t="e">
        <f t="shared" si="94"/>
        <v>#N/A</v>
      </c>
      <c r="N123" s="140" t="e">
        <f t="shared" si="95"/>
        <v>#N/A</v>
      </c>
      <c r="O123" s="140" t="e">
        <f t="shared" si="96"/>
        <v>#N/A</v>
      </c>
      <c r="P123" s="140" t="e">
        <f t="shared" si="97"/>
        <v>#N/A</v>
      </c>
      <c r="Q123" s="140" t="e">
        <f t="shared" si="98"/>
        <v>#N/A</v>
      </c>
      <c r="R123" s="140" t="e">
        <f t="shared" si="99"/>
        <v>#N/A</v>
      </c>
      <c r="S123" s="140" t="e">
        <f t="shared" si="100"/>
        <v>#N/A</v>
      </c>
      <c r="T123" s="140" t="e">
        <f t="shared" si="101"/>
        <v>#N/A</v>
      </c>
      <c r="U123" s="140" t="e">
        <f t="shared" si="102"/>
        <v>#N/A</v>
      </c>
      <c r="V123" s="141" t="str">
        <f t="shared" si="124"/>
        <v>DPS</v>
      </c>
      <c r="W123" s="141" t="str">
        <f t="shared" si="125"/>
        <v>DPS</v>
      </c>
      <c r="X123" s="141" t="str">
        <f t="shared" si="126"/>
        <v>DPS</v>
      </c>
      <c r="Y123" s="141" t="str">
        <f t="shared" si="127"/>
        <v>DPS</v>
      </c>
      <c r="Z123" s="141" t="str">
        <f t="shared" si="128"/>
        <v>DPS</v>
      </c>
      <c r="AA123" s="141" t="str">
        <f t="shared" si="129"/>
        <v>DPS</v>
      </c>
      <c r="AB123" s="141" t="str">
        <f t="shared" si="130"/>
        <v>DPS</v>
      </c>
      <c r="AC123" s="141" t="str">
        <f t="shared" si="131"/>
        <v>DPS</v>
      </c>
      <c r="AD123" s="141" t="str">
        <f t="shared" si="132"/>
        <v>DPS</v>
      </c>
      <c r="AE123" s="141" t="str">
        <f t="shared" si="133"/>
        <v>DPS</v>
      </c>
      <c r="AF123" s="141" t="str">
        <f t="shared" si="134"/>
        <v>DPS</v>
      </c>
      <c r="AG123" s="141" t="str">
        <f t="shared" si="135"/>
        <v>DPS</v>
      </c>
      <c r="AH123" s="141" t="str">
        <f t="shared" si="136"/>
        <v>DPS</v>
      </c>
      <c r="AI123" s="141" t="str">
        <f t="shared" si="137"/>
        <v>HPS</v>
      </c>
      <c r="AJ123" s="141" t="str">
        <f t="shared" si="138"/>
        <v>HPS</v>
      </c>
      <c r="AK123" s="141" t="str">
        <f t="shared" si="139"/>
        <v>HPS</v>
      </c>
      <c r="AL123" s="141" t="str">
        <f t="shared" si="140"/>
        <v>HPS</v>
      </c>
      <c r="AM123" s="141" t="str">
        <f t="shared" si="141"/>
        <v>HPS</v>
      </c>
      <c r="AN123" s="141" t="str">
        <f t="shared" si="142"/>
        <v>HPS</v>
      </c>
      <c r="AO123" s="141" t="str">
        <f t="shared" si="143"/>
        <v>HPS</v>
      </c>
      <c r="AP123" s="134" t="e">
        <f t="shared" si="103"/>
        <v>#N/A</v>
      </c>
      <c r="AQ123" s="134" t="e">
        <f t="shared" si="104"/>
        <v>#N/A</v>
      </c>
      <c r="AR123" s="134" t="e">
        <f t="shared" si="105"/>
        <v>#N/A</v>
      </c>
      <c r="AS123" s="134" t="e">
        <f t="shared" si="106"/>
        <v>#N/A</v>
      </c>
      <c r="AT123" s="134" t="e">
        <f t="shared" si="107"/>
        <v>#N/A</v>
      </c>
      <c r="AU123" s="134" t="e">
        <f t="shared" si="108"/>
        <v>#N/A</v>
      </c>
      <c r="AV123" s="134" t="e">
        <f t="shared" si="109"/>
        <v>#N/A</v>
      </c>
      <c r="AW123" s="134" t="e">
        <f t="shared" si="110"/>
        <v>#N/A</v>
      </c>
      <c r="AX123" s="134" t="e">
        <f t="shared" si="111"/>
        <v>#N/A</v>
      </c>
      <c r="AY123" s="134" t="e">
        <f t="shared" si="112"/>
        <v>#N/A</v>
      </c>
      <c r="AZ123" s="134" t="e">
        <f t="shared" si="113"/>
        <v>#N/A</v>
      </c>
      <c r="BA123" s="134" t="e">
        <f t="shared" si="114"/>
        <v>#N/A</v>
      </c>
      <c r="BB123" s="134" t="e">
        <f t="shared" si="115"/>
        <v>#N/A</v>
      </c>
      <c r="BC123" s="134" t="e">
        <f t="shared" si="116"/>
        <v>#N/A</v>
      </c>
      <c r="BD123" s="134" t="e">
        <f t="shared" si="117"/>
        <v>#N/A</v>
      </c>
      <c r="BE123" s="134" t="e">
        <f t="shared" si="118"/>
        <v>#N/A</v>
      </c>
      <c r="BF123" s="134" t="e">
        <f t="shared" si="119"/>
        <v>#N/A</v>
      </c>
      <c r="BG123" s="134" t="e">
        <f t="shared" si="120"/>
        <v>#N/A</v>
      </c>
      <c r="BH123" s="134" t="e">
        <f t="shared" si="121"/>
        <v>#N/A</v>
      </c>
      <c r="BI123" s="134" t="e">
        <f t="shared" si="122"/>
        <v>#N/A</v>
      </c>
      <c r="BJ123" t="e">
        <f t="shared" si="144"/>
        <v>#N/A</v>
      </c>
      <c r="BK123" t="e">
        <f t="shared" si="145"/>
        <v>#N/A</v>
      </c>
      <c r="BL123" s="142" t="e">
        <f t="shared" si="146"/>
        <v>#N/A</v>
      </c>
      <c r="BM123" s="142">
        <f t="shared" si="37"/>
        <v>2650</v>
      </c>
      <c r="BN123" t="e">
        <f t="shared" si="147"/>
        <v>#NUM!</v>
      </c>
      <c r="BO123" s="143" t="e">
        <f t="shared" si="148"/>
        <v>#N/A</v>
      </c>
      <c r="BP123" s="143" t="e">
        <f t="shared" si="149"/>
        <v>#N/A</v>
      </c>
      <c r="BQ123" s="143" t="e">
        <f t="shared" si="150"/>
        <v>#N/A</v>
      </c>
      <c r="BR123" s="143" t="e">
        <f t="shared" si="151"/>
        <v>#N/A</v>
      </c>
      <c r="BS123" s="143" t="e">
        <f t="shared" si="152"/>
        <v>#N/A</v>
      </c>
      <c r="BT123" s="143" t="e">
        <f t="shared" si="153"/>
        <v>#N/A</v>
      </c>
      <c r="BU123" s="143" t="e">
        <f t="shared" si="154"/>
        <v>#N/A</v>
      </c>
      <c r="BV123" s="143" t="e">
        <f t="shared" si="155"/>
        <v>#N/A</v>
      </c>
      <c r="BW123" s="143" t="e">
        <f t="shared" si="156"/>
        <v>#N/A</v>
      </c>
      <c r="BX123" s="143" t="e">
        <f t="shared" si="157"/>
        <v>#N/A</v>
      </c>
      <c r="BY123" s="143" t="e">
        <f t="shared" si="158"/>
        <v>#N/A</v>
      </c>
      <c r="BZ123" s="143" t="e">
        <f t="shared" si="159"/>
        <v>#N/A</v>
      </c>
      <c r="CA123" s="143" t="e">
        <f t="shared" si="160"/>
        <v>#N/A</v>
      </c>
      <c r="CB123" s="143" t="e">
        <f t="shared" si="161"/>
        <v>#N/A</v>
      </c>
      <c r="CC123" s="143" t="e">
        <f t="shared" si="162"/>
        <v>#N/A</v>
      </c>
      <c r="CD123" s="143" t="e">
        <f t="shared" si="163"/>
        <v>#N/A</v>
      </c>
      <c r="CE123" s="143" t="e">
        <f t="shared" si="164"/>
        <v>#N/A</v>
      </c>
      <c r="CF123" s="143" t="e">
        <f t="shared" si="165"/>
        <v>#N/A</v>
      </c>
      <c r="CG123" s="143" t="e">
        <f t="shared" si="166"/>
        <v>#N/A</v>
      </c>
      <c r="CH123" s="143" t="e">
        <f t="shared" si="167"/>
        <v>#N/A</v>
      </c>
      <c r="CI123" t="e">
        <f t="shared" si="168"/>
        <v>#N/A</v>
      </c>
      <c r="CJ123" t="e">
        <f t="shared" si="169"/>
        <v>#N/A</v>
      </c>
      <c r="CK123" t="e">
        <f t="shared" si="170"/>
        <v>#N/A</v>
      </c>
      <c r="CL123" t="e">
        <f t="shared" si="171"/>
        <v>#N/A</v>
      </c>
      <c r="CM123" t="e">
        <f t="shared" si="172"/>
        <v>#N/A</v>
      </c>
      <c r="CN123" t="e">
        <f t="shared" si="173"/>
        <v>#N/A</v>
      </c>
      <c r="CO123" t="e">
        <f t="shared" si="174"/>
        <v>#N/A</v>
      </c>
      <c r="CP123" t="e">
        <f t="shared" si="175"/>
        <v>#N/A</v>
      </c>
      <c r="CQ123" t="e">
        <f t="shared" si="176"/>
        <v>#N/A</v>
      </c>
      <c r="CR123" t="e">
        <f t="shared" si="177"/>
        <v>#N/A</v>
      </c>
      <c r="CS123" t="e">
        <f t="shared" si="178"/>
        <v>#N/A</v>
      </c>
      <c r="CT123" t="e">
        <f t="shared" si="179"/>
        <v>#N/A</v>
      </c>
      <c r="CU123" t="e">
        <f t="shared" si="180"/>
        <v>#N/A</v>
      </c>
      <c r="CV123" t="e">
        <f t="shared" si="181"/>
        <v>#N/A</v>
      </c>
      <c r="CW123" t="e">
        <f t="shared" si="182"/>
        <v>#N/A</v>
      </c>
      <c r="CX123" t="e">
        <f t="shared" si="183"/>
        <v>#N/A</v>
      </c>
      <c r="CY123" t="e">
        <f t="shared" si="184"/>
        <v>#N/A</v>
      </c>
      <c r="CZ123" t="e">
        <f t="shared" si="185"/>
        <v>#N/A</v>
      </c>
      <c r="DA123" t="e">
        <f t="shared" si="186"/>
        <v>#N/A</v>
      </c>
      <c r="DB123" t="e">
        <f t="shared" si="187"/>
        <v>#N/A</v>
      </c>
      <c r="DC123" s="142" t="e">
        <f t="shared" si="188"/>
        <v>#N/A</v>
      </c>
      <c r="DD123" t="e">
        <f t="shared" si="80"/>
        <v>#N/A</v>
      </c>
      <c r="DE123" t="b">
        <f t="shared" si="189"/>
        <v>0</v>
      </c>
    </row>
    <row r="124" spans="1:109">
      <c r="A124">
        <f t="shared" si="82"/>
        <v>59</v>
      </c>
      <c r="B124" s="140" t="e">
        <f t="shared" si="83"/>
        <v>#N/A</v>
      </c>
      <c r="C124" s="140" t="e">
        <f t="shared" si="84"/>
        <v>#N/A</v>
      </c>
      <c r="D124" s="140" t="e">
        <f t="shared" si="85"/>
        <v>#N/A</v>
      </c>
      <c r="E124" s="140" t="e">
        <f t="shared" si="86"/>
        <v>#N/A</v>
      </c>
      <c r="F124" s="140" t="e">
        <f t="shared" si="87"/>
        <v>#N/A</v>
      </c>
      <c r="G124" s="140" t="e">
        <f t="shared" si="88"/>
        <v>#N/A</v>
      </c>
      <c r="H124" s="140" t="e">
        <f t="shared" si="89"/>
        <v>#N/A</v>
      </c>
      <c r="I124" s="140" t="e">
        <f t="shared" si="90"/>
        <v>#N/A</v>
      </c>
      <c r="J124" s="140" t="e">
        <f t="shared" si="91"/>
        <v>#N/A</v>
      </c>
      <c r="K124" s="140" t="e">
        <f t="shared" si="92"/>
        <v>#N/A</v>
      </c>
      <c r="L124" s="140" t="e">
        <f t="shared" si="93"/>
        <v>#N/A</v>
      </c>
      <c r="M124" s="140" t="e">
        <f t="shared" si="94"/>
        <v>#N/A</v>
      </c>
      <c r="N124" s="140" t="e">
        <f t="shared" si="95"/>
        <v>#N/A</v>
      </c>
      <c r="O124" s="140" t="e">
        <f t="shared" si="96"/>
        <v>#N/A</v>
      </c>
      <c r="P124" s="140" t="e">
        <f t="shared" si="97"/>
        <v>#N/A</v>
      </c>
      <c r="Q124" s="140" t="e">
        <f t="shared" si="98"/>
        <v>#N/A</v>
      </c>
      <c r="R124" s="140" t="e">
        <f t="shared" si="99"/>
        <v>#N/A</v>
      </c>
      <c r="S124" s="140" t="e">
        <f t="shared" si="100"/>
        <v>#N/A</v>
      </c>
      <c r="T124" s="140" t="e">
        <f t="shared" si="101"/>
        <v>#N/A</v>
      </c>
      <c r="U124" s="140" t="e">
        <f t="shared" si="102"/>
        <v>#N/A</v>
      </c>
      <c r="V124" s="141" t="str">
        <f t="shared" si="124"/>
        <v>DPS</v>
      </c>
      <c r="W124" s="141" t="str">
        <f t="shared" si="125"/>
        <v>DPS</v>
      </c>
      <c r="X124" s="141" t="str">
        <f t="shared" si="126"/>
        <v>DPS</v>
      </c>
      <c r="Y124" s="141" t="str">
        <f t="shared" si="127"/>
        <v>DPS</v>
      </c>
      <c r="Z124" s="141" t="str">
        <f t="shared" si="128"/>
        <v>DPS</v>
      </c>
      <c r="AA124" s="141" t="str">
        <f t="shared" si="129"/>
        <v>DPS</v>
      </c>
      <c r="AB124" s="141" t="str">
        <f t="shared" si="130"/>
        <v>DPS</v>
      </c>
      <c r="AC124" s="141" t="str">
        <f t="shared" si="131"/>
        <v>DPS</v>
      </c>
      <c r="AD124" s="141" t="str">
        <f t="shared" si="132"/>
        <v>DPS</v>
      </c>
      <c r="AE124" s="141" t="str">
        <f t="shared" si="133"/>
        <v>DPS</v>
      </c>
      <c r="AF124" s="141" t="str">
        <f t="shared" si="134"/>
        <v>DPS</v>
      </c>
      <c r="AG124" s="141" t="str">
        <f t="shared" si="135"/>
        <v>DPS</v>
      </c>
      <c r="AH124" s="141" t="str">
        <f t="shared" si="136"/>
        <v>DPS</v>
      </c>
      <c r="AI124" s="141" t="str">
        <f t="shared" si="137"/>
        <v>HPS</v>
      </c>
      <c r="AJ124" s="141" t="str">
        <f t="shared" si="138"/>
        <v>HPS</v>
      </c>
      <c r="AK124" s="141" t="str">
        <f t="shared" si="139"/>
        <v>HPS</v>
      </c>
      <c r="AL124" s="141" t="str">
        <f t="shared" si="140"/>
        <v>HPS</v>
      </c>
      <c r="AM124" s="141" t="str">
        <f t="shared" si="141"/>
        <v>HPS</v>
      </c>
      <c r="AN124" s="141" t="str">
        <f t="shared" si="142"/>
        <v>HPS</v>
      </c>
      <c r="AO124" s="141" t="str">
        <f t="shared" si="143"/>
        <v>HPS</v>
      </c>
      <c r="AP124" s="134" t="e">
        <f t="shared" si="103"/>
        <v>#N/A</v>
      </c>
      <c r="AQ124" s="134" t="e">
        <f t="shared" si="104"/>
        <v>#N/A</v>
      </c>
      <c r="AR124" s="134" t="e">
        <f t="shared" si="105"/>
        <v>#N/A</v>
      </c>
      <c r="AS124" s="134" t="e">
        <f t="shared" si="106"/>
        <v>#N/A</v>
      </c>
      <c r="AT124" s="134" t="e">
        <f t="shared" si="107"/>
        <v>#N/A</v>
      </c>
      <c r="AU124" s="134" t="e">
        <f t="shared" si="108"/>
        <v>#N/A</v>
      </c>
      <c r="AV124" s="134" t="e">
        <f t="shared" si="109"/>
        <v>#N/A</v>
      </c>
      <c r="AW124" s="134" t="e">
        <f t="shared" si="110"/>
        <v>#N/A</v>
      </c>
      <c r="AX124" s="134" t="e">
        <f t="shared" si="111"/>
        <v>#N/A</v>
      </c>
      <c r="AY124" s="134" t="e">
        <f t="shared" si="112"/>
        <v>#N/A</v>
      </c>
      <c r="AZ124" s="134" t="e">
        <f t="shared" si="113"/>
        <v>#N/A</v>
      </c>
      <c r="BA124" s="134" t="e">
        <f t="shared" si="114"/>
        <v>#N/A</v>
      </c>
      <c r="BB124" s="134" t="e">
        <f t="shared" si="115"/>
        <v>#N/A</v>
      </c>
      <c r="BC124" s="134" t="e">
        <f t="shared" si="116"/>
        <v>#N/A</v>
      </c>
      <c r="BD124" s="134" t="e">
        <f t="shared" si="117"/>
        <v>#N/A</v>
      </c>
      <c r="BE124" s="134" t="e">
        <f t="shared" si="118"/>
        <v>#N/A</v>
      </c>
      <c r="BF124" s="134" t="e">
        <f t="shared" si="119"/>
        <v>#N/A</v>
      </c>
      <c r="BG124" s="134" t="e">
        <f t="shared" si="120"/>
        <v>#N/A</v>
      </c>
      <c r="BH124" s="134" t="e">
        <f t="shared" si="121"/>
        <v>#N/A</v>
      </c>
      <c r="BI124" s="134" t="e">
        <f t="shared" si="122"/>
        <v>#N/A</v>
      </c>
      <c r="BJ124" t="e">
        <f t="shared" si="144"/>
        <v>#N/A</v>
      </c>
      <c r="BK124" t="e">
        <f t="shared" si="145"/>
        <v>#N/A</v>
      </c>
      <c r="BL124" s="142" t="e">
        <f t="shared" si="146"/>
        <v>#N/A</v>
      </c>
      <c r="BM124" s="142">
        <f t="shared" si="37"/>
        <v>2650</v>
      </c>
      <c r="BN124" t="e">
        <f t="shared" si="147"/>
        <v>#NUM!</v>
      </c>
      <c r="BO124" s="143" t="e">
        <f t="shared" si="148"/>
        <v>#N/A</v>
      </c>
      <c r="BP124" s="143" t="e">
        <f t="shared" si="149"/>
        <v>#N/A</v>
      </c>
      <c r="BQ124" s="143" t="e">
        <f t="shared" si="150"/>
        <v>#N/A</v>
      </c>
      <c r="BR124" s="143" t="e">
        <f t="shared" si="151"/>
        <v>#N/A</v>
      </c>
      <c r="BS124" s="143" t="e">
        <f t="shared" si="152"/>
        <v>#N/A</v>
      </c>
      <c r="BT124" s="143" t="e">
        <f t="shared" si="153"/>
        <v>#N/A</v>
      </c>
      <c r="BU124" s="143" t="e">
        <f t="shared" si="154"/>
        <v>#N/A</v>
      </c>
      <c r="BV124" s="143" t="e">
        <f t="shared" si="155"/>
        <v>#N/A</v>
      </c>
      <c r="BW124" s="143" t="e">
        <f t="shared" si="156"/>
        <v>#N/A</v>
      </c>
      <c r="BX124" s="143" t="e">
        <f t="shared" si="157"/>
        <v>#N/A</v>
      </c>
      <c r="BY124" s="143" t="e">
        <f t="shared" si="158"/>
        <v>#N/A</v>
      </c>
      <c r="BZ124" s="143" t="e">
        <f t="shared" si="159"/>
        <v>#N/A</v>
      </c>
      <c r="CA124" s="143" t="e">
        <f t="shared" si="160"/>
        <v>#N/A</v>
      </c>
      <c r="CB124" s="143" t="e">
        <f t="shared" si="161"/>
        <v>#N/A</v>
      </c>
      <c r="CC124" s="143" t="e">
        <f t="shared" si="162"/>
        <v>#N/A</v>
      </c>
      <c r="CD124" s="143" t="e">
        <f t="shared" si="163"/>
        <v>#N/A</v>
      </c>
      <c r="CE124" s="143" t="e">
        <f t="shared" si="164"/>
        <v>#N/A</v>
      </c>
      <c r="CF124" s="143" t="e">
        <f t="shared" si="165"/>
        <v>#N/A</v>
      </c>
      <c r="CG124" s="143" t="e">
        <f t="shared" si="166"/>
        <v>#N/A</v>
      </c>
      <c r="CH124" s="143" t="e">
        <f t="shared" si="167"/>
        <v>#N/A</v>
      </c>
      <c r="CI124" t="e">
        <f t="shared" si="168"/>
        <v>#N/A</v>
      </c>
      <c r="CJ124" t="e">
        <f t="shared" si="169"/>
        <v>#N/A</v>
      </c>
      <c r="CK124" t="e">
        <f t="shared" si="170"/>
        <v>#N/A</v>
      </c>
      <c r="CL124" t="e">
        <f t="shared" si="171"/>
        <v>#N/A</v>
      </c>
      <c r="CM124" t="e">
        <f t="shared" si="172"/>
        <v>#N/A</v>
      </c>
      <c r="CN124" t="e">
        <f t="shared" si="173"/>
        <v>#N/A</v>
      </c>
      <c r="CO124" t="e">
        <f t="shared" si="174"/>
        <v>#N/A</v>
      </c>
      <c r="CP124" t="e">
        <f t="shared" si="175"/>
        <v>#N/A</v>
      </c>
      <c r="CQ124" t="e">
        <f t="shared" si="176"/>
        <v>#N/A</v>
      </c>
      <c r="CR124" t="e">
        <f t="shared" si="177"/>
        <v>#N/A</v>
      </c>
      <c r="CS124" t="e">
        <f t="shared" si="178"/>
        <v>#N/A</v>
      </c>
      <c r="CT124" t="e">
        <f t="shared" si="179"/>
        <v>#N/A</v>
      </c>
      <c r="CU124" t="e">
        <f t="shared" si="180"/>
        <v>#N/A</v>
      </c>
      <c r="CV124" t="e">
        <f t="shared" si="181"/>
        <v>#N/A</v>
      </c>
      <c r="CW124" t="e">
        <f t="shared" si="182"/>
        <v>#N/A</v>
      </c>
      <c r="CX124" t="e">
        <f t="shared" si="183"/>
        <v>#N/A</v>
      </c>
      <c r="CY124" t="e">
        <f t="shared" si="184"/>
        <v>#N/A</v>
      </c>
      <c r="CZ124" t="e">
        <f t="shared" si="185"/>
        <v>#N/A</v>
      </c>
      <c r="DA124" t="e">
        <f t="shared" si="186"/>
        <v>#N/A</v>
      </c>
      <c r="DB124" t="e">
        <f t="shared" si="187"/>
        <v>#N/A</v>
      </c>
      <c r="DC124" s="142" t="e">
        <f t="shared" si="188"/>
        <v>#N/A</v>
      </c>
      <c r="DD124" t="e">
        <f t="shared" si="80"/>
        <v>#N/A</v>
      </c>
      <c r="DE124" t="b">
        <f t="shared" si="189"/>
        <v>0</v>
      </c>
    </row>
    <row r="125" spans="1:109">
      <c r="A125">
        <f t="shared" si="82"/>
        <v>60</v>
      </c>
      <c r="B125" s="140" t="e">
        <f t="shared" si="83"/>
        <v>#N/A</v>
      </c>
      <c r="C125" s="140" t="e">
        <f t="shared" si="84"/>
        <v>#N/A</v>
      </c>
      <c r="D125" s="140" t="e">
        <f t="shared" si="85"/>
        <v>#N/A</v>
      </c>
      <c r="E125" s="140" t="e">
        <f t="shared" si="86"/>
        <v>#N/A</v>
      </c>
      <c r="F125" s="140" t="e">
        <f t="shared" si="87"/>
        <v>#N/A</v>
      </c>
      <c r="G125" s="140" t="e">
        <f t="shared" si="88"/>
        <v>#N/A</v>
      </c>
      <c r="H125" s="140" t="e">
        <f t="shared" si="89"/>
        <v>#N/A</v>
      </c>
      <c r="I125" s="140" t="e">
        <f t="shared" si="90"/>
        <v>#N/A</v>
      </c>
      <c r="J125" s="140" t="e">
        <f t="shared" si="91"/>
        <v>#N/A</v>
      </c>
      <c r="K125" s="140" t="e">
        <f t="shared" si="92"/>
        <v>#N/A</v>
      </c>
      <c r="L125" s="140" t="e">
        <f t="shared" si="93"/>
        <v>#N/A</v>
      </c>
      <c r="M125" s="140" t="e">
        <f t="shared" si="94"/>
        <v>#N/A</v>
      </c>
      <c r="N125" s="140" t="e">
        <f t="shared" si="95"/>
        <v>#N/A</v>
      </c>
      <c r="O125" s="140" t="e">
        <f t="shared" si="96"/>
        <v>#N/A</v>
      </c>
      <c r="P125" s="140" t="e">
        <f t="shared" si="97"/>
        <v>#N/A</v>
      </c>
      <c r="Q125" s="140" t="e">
        <f t="shared" si="98"/>
        <v>#N/A</v>
      </c>
      <c r="R125" s="140" t="e">
        <f t="shared" si="99"/>
        <v>#N/A</v>
      </c>
      <c r="S125" s="140" t="e">
        <f t="shared" si="100"/>
        <v>#N/A</v>
      </c>
      <c r="T125" s="140" t="e">
        <f t="shared" si="101"/>
        <v>#N/A</v>
      </c>
      <c r="U125" s="140" t="e">
        <f t="shared" si="102"/>
        <v>#N/A</v>
      </c>
      <c r="V125" s="141" t="str">
        <f t="shared" si="124"/>
        <v>DPS</v>
      </c>
      <c r="W125" s="141" t="str">
        <f t="shared" si="125"/>
        <v>DPS</v>
      </c>
      <c r="X125" s="141" t="str">
        <f t="shared" si="126"/>
        <v>DPS</v>
      </c>
      <c r="Y125" s="141" t="str">
        <f t="shared" si="127"/>
        <v>DPS</v>
      </c>
      <c r="Z125" s="141" t="str">
        <f t="shared" si="128"/>
        <v>DPS</v>
      </c>
      <c r="AA125" s="141" t="str">
        <f t="shared" si="129"/>
        <v>DPS</v>
      </c>
      <c r="AB125" s="141" t="str">
        <f t="shared" si="130"/>
        <v>DPS</v>
      </c>
      <c r="AC125" s="141" t="str">
        <f t="shared" si="131"/>
        <v>DPS</v>
      </c>
      <c r="AD125" s="141" t="str">
        <f t="shared" si="132"/>
        <v>DPS</v>
      </c>
      <c r="AE125" s="141" t="str">
        <f t="shared" si="133"/>
        <v>DPS</v>
      </c>
      <c r="AF125" s="141" t="str">
        <f t="shared" si="134"/>
        <v>DPS</v>
      </c>
      <c r="AG125" s="141" t="str">
        <f t="shared" si="135"/>
        <v>DPS</v>
      </c>
      <c r="AH125" s="141" t="str">
        <f t="shared" si="136"/>
        <v>DPS</v>
      </c>
      <c r="AI125" s="141" t="str">
        <f t="shared" si="137"/>
        <v>HPS</v>
      </c>
      <c r="AJ125" s="141" t="str">
        <f t="shared" si="138"/>
        <v>HPS</v>
      </c>
      <c r="AK125" s="141" t="str">
        <f t="shared" si="139"/>
        <v>HPS</v>
      </c>
      <c r="AL125" s="141" t="str">
        <f t="shared" si="140"/>
        <v>HPS</v>
      </c>
      <c r="AM125" s="141" t="str">
        <f t="shared" si="141"/>
        <v>HPS</v>
      </c>
      <c r="AN125" s="141" t="str">
        <f t="shared" si="142"/>
        <v>HPS</v>
      </c>
      <c r="AO125" s="141" t="str">
        <f t="shared" si="143"/>
        <v>HPS</v>
      </c>
      <c r="AP125" s="134" t="e">
        <f t="shared" si="103"/>
        <v>#N/A</v>
      </c>
      <c r="AQ125" s="134" t="e">
        <f t="shared" si="104"/>
        <v>#N/A</v>
      </c>
      <c r="AR125" s="134" t="e">
        <f t="shared" si="105"/>
        <v>#N/A</v>
      </c>
      <c r="AS125" s="134" t="e">
        <f t="shared" si="106"/>
        <v>#N/A</v>
      </c>
      <c r="AT125" s="134" t="e">
        <f t="shared" si="107"/>
        <v>#N/A</v>
      </c>
      <c r="AU125" s="134" t="e">
        <f t="shared" si="108"/>
        <v>#N/A</v>
      </c>
      <c r="AV125" s="134" t="e">
        <f t="shared" si="109"/>
        <v>#N/A</v>
      </c>
      <c r="AW125" s="134" t="e">
        <f t="shared" si="110"/>
        <v>#N/A</v>
      </c>
      <c r="AX125" s="134" t="e">
        <f t="shared" si="111"/>
        <v>#N/A</v>
      </c>
      <c r="AY125" s="134" t="e">
        <f t="shared" si="112"/>
        <v>#N/A</v>
      </c>
      <c r="AZ125" s="134" t="e">
        <f t="shared" si="113"/>
        <v>#N/A</v>
      </c>
      <c r="BA125" s="134" t="e">
        <f t="shared" si="114"/>
        <v>#N/A</v>
      </c>
      <c r="BB125" s="134" t="e">
        <f t="shared" si="115"/>
        <v>#N/A</v>
      </c>
      <c r="BC125" s="134" t="e">
        <f t="shared" si="116"/>
        <v>#N/A</v>
      </c>
      <c r="BD125" s="134" t="e">
        <f t="shared" si="117"/>
        <v>#N/A</v>
      </c>
      <c r="BE125" s="134" t="e">
        <f t="shared" si="118"/>
        <v>#N/A</v>
      </c>
      <c r="BF125" s="134" t="e">
        <f t="shared" si="119"/>
        <v>#N/A</v>
      </c>
      <c r="BG125" s="134" t="e">
        <f t="shared" si="120"/>
        <v>#N/A</v>
      </c>
      <c r="BH125" s="134" t="e">
        <f t="shared" si="121"/>
        <v>#N/A</v>
      </c>
      <c r="BI125" s="134" t="e">
        <f t="shared" si="122"/>
        <v>#N/A</v>
      </c>
      <c r="BJ125" t="e">
        <f t="shared" si="144"/>
        <v>#N/A</v>
      </c>
      <c r="BK125" t="e">
        <f t="shared" si="145"/>
        <v>#N/A</v>
      </c>
      <c r="BL125" s="142" t="e">
        <f t="shared" si="146"/>
        <v>#N/A</v>
      </c>
      <c r="BM125" s="142">
        <f t="shared" si="37"/>
        <v>2650</v>
      </c>
      <c r="BN125" t="e">
        <f t="shared" si="147"/>
        <v>#NUM!</v>
      </c>
      <c r="BO125" s="143" t="e">
        <f t="shared" si="148"/>
        <v>#N/A</v>
      </c>
      <c r="BP125" s="143" t="e">
        <f t="shared" si="149"/>
        <v>#N/A</v>
      </c>
      <c r="BQ125" s="143" t="e">
        <f t="shared" si="150"/>
        <v>#N/A</v>
      </c>
      <c r="BR125" s="143" t="e">
        <f t="shared" si="151"/>
        <v>#N/A</v>
      </c>
      <c r="BS125" s="143" t="e">
        <f t="shared" si="152"/>
        <v>#N/A</v>
      </c>
      <c r="BT125" s="143" t="e">
        <f t="shared" si="153"/>
        <v>#N/A</v>
      </c>
      <c r="BU125" s="143" t="e">
        <f t="shared" si="154"/>
        <v>#N/A</v>
      </c>
      <c r="BV125" s="143" t="e">
        <f t="shared" si="155"/>
        <v>#N/A</v>
      </c>
      <c r="BW125" s="143" t="e">
        <f t="shared" si="156"/>
        <v>#N/A</v>
      </c>
      <c r="BX125" s="143" t="e">
        <f t="shared" si="157"/>
        <v>#N/A</v>
      </c>
      <c r="BY125" s="143" t="e">
        <f t="shared" si="158"/>
        <v>#N/A</v>
      </c>
      <c r="BZ125" s="143" t="e">
        <f t="shared" si="159"/>
        <v>#N/A</v>
      </c>
      <c r="CA125" s="143" t="e">
        <f t="shared" si="160"/>
        <v>#N/A</v>
      </c>
      <c r="CB125" s="143" t="e">
        <f t="shared" si="161"/>
        <v>#N/A</v>
      </c>
      <c r="CC125" s="143" t="e">
        <f t="shared" si="162"/>
        <v>#N/A</v>
      </c>
      <c r="CD125" s="143" t="e">
        <f t="shared" si="163"/>
        <v>#N/A</v>
      </c>
      <c r="CE125" s="143" t="e">
        <f t="shared" si="164"/>
        <v>#N/A</v>
      </c>
      <c r="CF125" s="143" t="e">
        <f t="shared" si="165"/>
        <v>#N/A</v>
      </c>
      <c r="CG125" s="143" t="e">
        <f t="shared" si="166"/>
        <v>#N/A</v>
      </c>
      <c r="CH125" s="143" t="e">
        <f t="shared" si="167"/>
        <v>#N/A</v>
      </c>
      <c r="CI125" t="e">
        <f t="shared" si="168"/>
        <v>#N/A</v>
      </c>
      <c r="CJ125" t="e">
        <f t="shared" si="169"/>
        <v>#N/A</v>
      </c>
      <c r="CK125" t="e">
        <f t="shared" si="170"/>
        <v>#N/A</v>
      </c>
      <c r="CL125" t="e">
        <f t="shared" si="171"/>
        <v>#N/A</v>
      </c>
      <c r="CM125" t="e">
        <f t="shared" si="172"/>
        <v>#N/A</v>
      </c>
      <c r="CN125" t="e">
        <f t="shared" si="173"/>
        <v>#N/A</v>
      </c>
      <c r="CO125" t="e">
        <f t="shared" si="174"/>
        <v>#N/A</v>
      </c>
      <c r="CP125" t="e">
        <f t="shared" si="175"/>
        <v>#N/A</v>
      </c>
      <c r="CQ125" t="e">
        <f t="shared" si="176"/>
        <v>#N/A</v>
      </c>
      <c r="CR125" t="e">
        <f t="shared" si="177"/>
        <v>#N/A</v>
      </c>
      <c r="CS125" t="e">
        <f t="shared" si="178"/>
        <v>#N/A</v>
      </c>
      <c r="CT125" t="e">
        <f t="shared" si="179"/>
        <v>#N/A</v>
      </c>
      <c r="CU125" t="e">
        <f t="shared" si="180"/>
        <v>#N/A</v>
      </c>
      <c r="CV125" t="e">
        <f t="shared" si="181"/>
        <v>#N/A</v>
      </c>
      <c r="CW125" t="e">
        <f t="shared" si="182"/>
        <v>#N/A</v>
      </c>
      <c r="CX125" t="e">
        <f t="shared" si="183"/>
        <v>#N/A</v>
      </c>
      <c r="CY125" t="e">
        <f t="shared" si="184"/>
        <v>#N/A</v>
      </c>
      <c r="CZ125" t="e">
        <f t="shared" si="185"/>
        <v>#N/A</v>
      </c>
      <c r="DA125" t="e">
        <f t="shared" si="186"/>
        <v>#N/A</v>
      </c>
      <c r="DB125" t="e">
        <f t="shared" si="187"/>
        <v>#N/A</v>
      </c>
      <c r="DC125" s="142" t="e">
        <f t="shared" si="188"/>
        <v>#N/A</v>
      </c>
      <c r="DD125" t="e">
        <f t="shared" si="80"/>
        <v>#N/A</v>
      </c>
      <c r="DE125" t="b">
        <f t="shared" si="189"/>
        <v>0</v>
      </c>
    </row>
    <row r="126" spans="1:109">
      <c r="A126">
        <f t="shared" si="82"/>
        <v>61</v>
      </c>
      <c r="B126" s="140" t="e">
        <f t="shared" si="83"/>
        <v>#N/A</v>
      </c>
      <c r="C126" s="140" t="e">
        <f t="shared" si="84"/>
        <v>#N/A</v>
      </c>
      <c r="D126" s="140" t="e">
        <f t="shared" si="85"/>
        <v>#N/A</v>
      </c>
      <c r="E126" s="140" t="e">
        <f t="shared" si="86"/>
        <v>#N/A</v>
      </c>
      <c r="F126" s="140" t="e">
        <f t="shared" si="87"/>
        <v>#N/A</v>
      </c>
      <c r="G126" s="140" t="e">
        <f t="shared" si="88"/>
        <v>#N/A</v>
      </c>
      <c r="H126" s="140" t="e">
        <f t="shared" si="89"/>
        <v>#N/A</v>
      </c>
      <c r="I126" s="140" t="e">
        <f t="shared" si="90"/>
        <v>#N/A</v>
      </c>
      <c r="J126" s="140" t="e">
        <f t="shared" si="91"/>
        <v>#N/A</v>
      </c>
      <c r="K126" s="140" t="e">
        <f t="shared" si="92"/>
        <v>#N/A</v>
      </c>
      <c r="L126" s="140" t="e">
        <f t="shared" si="93"/>
        <v>#N/A</v>
      </c>
      <c r="M126" s="140" t="e">
        <f t="shared" si="94"/>
        <v>#N/A</v>
      </c>
      <c r="N126" s="140" t="e">
        <f t="shared" si="95"/>
        <v>#N/A</v>
      </c>
      <c r="O126" s="140" t="e">
        <f t="shared" si="96"/>
        <v>#N/A</v>
      </c>
      <c r="P126" s="140" t="e">
        <f t="shared" si="97"/>
        <v>#N/A</v>
      </c>
      <c r="Q126" s="140" t="e">
        <f t="shared" si="98"/>
        <v>#N/A</v>
      </c>
      <c r="R126" s="140" t="e">
        <f t="shared" si="99"/>
        <v>#N/A</v>
      </c>
      <c r="S126" s="140" t="e">
        <f t="shared" si="100"/>
        <v>#N/A</v>
      </c>
      <c r="T126" s="140" t="e">
        <f t="shared" si="101"/>
        <v>#N/A</v>
      </c>
      <c r="U126" s="140" t="e">
        <f t="shared" si="102"/>
        <v>#N/A</v>
      </c>
      <c r="V126" s="141" t="str">
        <f t="shared" si="124"/>
        <v>DPS</v>
      </c>
      <c r="W126" s="141" t="str">
        <f t="shared" si="125"/>
        <v>DPS</v>
      </c>
      <c r="X126" s="141" t="str">
        <f t="shared" si="126"/>
        <v>DPS</v>
      </c>
      <c r="Y126" s="141" t="str">
        <f t="shared" si="127"/>
        <v>DPS</v>
      </c>
      <c r="Z126" s="141" t="str">
        <f t="shared" si="128"/>
        <v>DPS</v>
      </c>
      <c r="AA126" s="141" t="str">
        <f t="shared" si="129"/>
        <v>DPS</v>
      </c>
      <c r="AB126" s="141" t="str">
        <f t="shared" si="130"/>
        <v>DPS</v>
      </c>
      <c r="AC126" s="141" t="str">
        <f t="shared" si="131"/>
        <v>DPS</v>
      </c>
      <c r="AD126" s="141" t="str">
        <f t="shared" si="132"/>
        <v>DPS</v>
      </c>
      <c r="AE126" s="141" t="str">
        <f t="shared" si="133"/>
        <v>DPS</v>
      </c>
      <c r="AF126" s="141" t="str">
        <f t="shared" si="134"/>
        <v>DPS</v>
      </c>
      <c r="AG126" s="141" t="str">
        <f t="shared" si="135"/>
        <v>DPS</v>
      </c>
      <c r="AH126" s="141" t="str">
        <f t="shared" si="136"/>
        <v>DPS</v>
      </c>
      <c r="AI126" s="141" t="str">
        <f t="shared" si="137"/>
        <v>HPS</v>
      </c>
      <c r="AJ126" s="141" t="str">
        <f t="shared" si="138"/>
        <v>HPS</v>
      </c>
      <c r="AK126" s="141" t="str">
        <f t="shared" si="139"/>
        <v>HPS</v>
      </c>
      <c r="AL126" s="141" t="str">
        <f t="shared" si="140"/>
        <v>HPS</v>
      </c>
      <c r="AM126" s="141" t="str">
        <f t="shared" si="141"/>
        <v>HPS</v>
      </c>
      <c r="AN126" s="141" t="str">
        <f t="shared" si="142"/>
        <v>HPS</v>
      </c>
      <c r="AO126" s="141" t="str">
        <f t="shared" si="143"/>
        <v>HPS</v>
      </c>
      <c r="AP126" s="134" t="e">
        <f t="shared" si="103"/>
        <v>#N/A</v>
      </c>
      <c r="AQ126" s="134" t="e">
        <f t="shared" si="104"/>
        <v>#N/A</v>
      </c>
      <c r="AR126" s="134" t="e">
        <f t="shared" si="105"/>
        <v>#N/A</v>
      </c>
      <c r="AS126" s="134" t="e">
        <f t="shared" si="106"/>
        <v>#N/A</v>
      </c>
      <c r="AT126" s="134" t="e">
        <f t="shared" si="107"/>
        <v>#N/A</v>
      </c>
      <c r="AU126" s="134" t="e">
        <f t="shared" si="108"/>
        <v>#N/A</v>
      </c>
      <c r="AV126" s="134" t="e">
        <f t="shared" si="109"/>
        <v>#N/A</v>
      </c>
      <c r="AW126" s="134" t="e">
        <f t="shared" si="110"/>
        <v>#N/A</v>
      </c>
      <c r="AX126" s="134" t="e">
        <f t="shared" si="111"/>
        <v>#N/A</v>
      </c>
      <c r="AY126" s="134" t="e">
        <f t="shared" si="112"/>
        <v>#N/A</v>
      </c>
      <c r="AZ126" s="134" t="e">
        <f t="shared" si="113"/>
        <v>#N/A</v>
      </c>
      <c r="BA126" s="134" t="e">
        <f t="shared" si="114"/>
        <v>#N/A</v>
      </c>
      <c r="BB126" s="134" t="e">
        <f t="shared" si="115"/>
        <v>#N/A</v>
      </c>
      <c r="BC126" s="134" t="e">
        <f t="shared" si="116"/>
        <v>#N/A</v>
      </c>
      <c r="BD126" s="134" t="e">
        <f t="shared" si="117"/>
        <v>#N/A</v>
      </c>
      <c r="BE126" s="134" t="e">
        <f t="shared" si="118"/>
        <v>#N/A</v>
      </c>
      <c r="BF126" s="134" t="e">
        <f t="shared" si="119"/>
        <v>#N/A</v>
      </c>
      <c r="BG126" s="134" t="e">
        <f t="shared" si="120"/>
        <v>#N/A</v>
      </c>
      <c r="BH126" s="134" t="e">
        <f t="shared" si="121"/>
        <v>#N/A</v>
      </c>
      <c r="BI126" s="134" t="e">
        <f t="shared" si="122"/>
        <v>#N/A</v>
      </c>
      <c r="BJ126" t="e">
        <f t="shared" si="144"/>
        <v>#N/A</v>
      </c>
      <c r="BK126" t="e">
        <f t="shared" si="145"/>
        <v>#N/A</v>
      </c>
      <c r="BL126" s="142" t="e">
        <f t="shared" si="146"/>
        <v>#N/A</v>
      </c>
      <c r="BM126" s="142">
        <f t="shared" si="37"/>
        <v>2650</v>
      </c>
      <c r="BN126" t="e">
        <f t="shared" si="147"/>
        <v>#NUM!</v>
      </c>
      <c r="BO126" s="143" t="e">
        <f t="shared" si="148"/>
        <v>#N/A</v>
      </c>
      <c r="BP126" s="143" t="e">
        <f t="shared" si="149"/>
        <v>#N/A</v>
      </c>
      <c r="BQ126" s="143" t="e">
        <f t="shared" si="150"/>
        <v>#N/A</v>
      </c>
      <c r="BR126" s="143" t="e">
        <f t="shared" si="151"/>
        <v>#N/A</v>
      </c>
      <c r="BS126" s="143" t="e">
        <f t="shared" si="152"/>
        <v>#N/A</v>
      </c>
      <c r="BT126" s="143" t="e">
        <f t="shared" si="153"/>
        <v>#N/A</v>
      </c>
      <c r="BU126" s="143" t="e">
        <f t="shared" si="154"/>
        <v>#N/A</v>
      </c>
      <c r="BV126" s="143" t="e">
        <f t="shared" si="155"/>
        <v>#N/A</v>
      </c>
      <c r="BW126" s="143" t="e">
        <f t="shared" si="156"/>
        <v>#N/A</v>
      </c>
      <c r="BX126" s="143" t="e">
        <f t="shared" si="157"/>
        <v>#N/A</v>
      </c>
      <c r="BY126" s="143" t="e">
        <f t="shared" si="158"/>
        <v>#N/A</v>
      </c>
      <c r="BZ126" s="143" t="e">
        <f t="shared" si="159"/>
        <v>#N/A</v>
      </c>
      <c r="CA126" s="143" t="e">
        <f t="shared" si="160"/>
        <v>#N/A</v>
      </c>
      <c r="CB126" s="143" t="e">
        <f t="shared" si="161"/>
        <v>#N/A</v>
      </c>
      <c r="CC126" s="143" t="e">
        <f t="shared" si="162"/>
        <v>#N/A</v>
      </c>
      <c r="CD126" s="143" t="e">
        <f t="shared" si="163"/>
        <v>#N/A</v>
      </c>
      <c r="CE126" s="143" t="e">
        <f t="shared" si="164"/>
        <v>#N/A</v>
      </c>
      <c r="CF126" s="143" t="e">
        <f t="shared" si="165"/>
        <v>#N/A</v>
      </c>
      <c r="CG126" s="143" t="e">
        <f t="shared" si="166"/>
        <v>#N/A</v>
      </c>
      <c r="CH126" s="143" t="e">
        <f t="shared" si="167"/>
        <v>#N/A</v>
      </c>
      <c r="CI126" t="e">
        <f t="shared" si="168"/>
        <v>#N/A</v>
      </c>
      <c r="CJ126" t="e">
        <f t="shared" si="169"/>
        <v>#N/A</v>
      </c>
      <c r="CK126" t="e">
        <f t="shared" si="170"/>
        <v>#N/A</v>
      </c>
      <c r="CL126" t="e">
        <f t="shared" si="171"/>
        <v>#N/A</v>
      </c>
      <c r="CM126" t="e">
        <f t="shared" si="172"/>
        <v>#N/A</v>
      </c>
      <c r="CN126" t="e">
        <f t="shared" si="173"/>
        <v>#N/A</v>
      </c>
      <c r="CO126" t="e">
        <f t="shared" si="174"/>
        <v>#N/A</v>
      </c>
      <c r="CP126" t="e">
        <f t="shared" si="175"/>
        <v>#N/A</v>
      </c>
      <c r="CQ126" t="e">
        <f t="shared" si="176"/>
        <v>#N/A</v>
      </c>
      <c r="CR126" t="e">
        <f t="shared" si="177"/>
        <v>#N/A</v>
      </c>
      <c r="CS126" t="e">
        <f t="shared" si="178"/>
        <v>#N/A</v>
      </c>
      <c r="CT126" t="e">
        <f t="shared" si="179"/>
        <v>#N/A</v>
      </c>
      <c r="CU126" t="e">
        <f t="shared" si="180"/>
        <v>#N/A</v>
      </c>
      <c r="CV126" t="e">
        <f t="shared" si="181"/>
        <v>#N/A</v>
      </c>
      <c r="CW126" t="e">
        <f t="shared" si="182"/>
        <v>#N/A</v>
      </c>
      <c r="CX126" t="e">
        <f t="shared" si="183"/>
        <v>#N/A</v>
      </c>
      <c r="CY126" t="e">
        <f t="shared" si="184"/>
        <v>#N/A</v>
      </c>
      <c r="CZ126" t="e">
        <f t="shared" si="185"/>
        <v>#N/A</v>
      </c>
      <c r="DA126" t="e">
        <f t="shared" si="186"/>
        <v>#N/A</v>
      </c>
      <c r="DB126" t="e">
        <f t="shared" si="187"/>
        <v>#N/A</v>
      </c>
      <c r="DC126" s="142" t="e">
        <f t="shared" si="188"/>
        <v>#N/A</v>
      </c>
      <c r="DD126" t="e">
        <f t="shared" si="80"/>
        <v>#N/A</v>
      </c>
      <c r="DE126" t="b">
        <f t="shared" si="189"/>
        <v>0</v>
      </c>
    </row>
    <row r="127" spans="1:109">
      <c r="A127">
        <f t="shared" si="82"/>
        <v>62</v>
      </c>
      <c r="B127" s="140" t="e">
        <f t="shared" si="83"/>
        <v>#N/A</v>
      </c>
      <c r="C127" s="140" t="e">
        <f t="shared" si="84"/>
        <v>#N/A</v>
      </c>
      <c r="D127" s="140" t="e">
        <f t="shared" si="85"/>
        <v>#N/A</v>
      </c>
      <c r="E127" s="140" t="e">
        <f t="shared" si="86"/>
        <v>#N/A</v>
      </c>
      <c r="F127" s="140" t="e">
        <f t="shared" si="87"/>
        <v>#N/A</v>
      </c>
      <c r="G127" s="140" t="e">
        <f t="shared" si="88"/>
        <v>#N/A</v>
      </c>
      <c r="H127" s="140" t="e">
        <f t="shared" si="89"/>
        <v>#N/A</v>
      </c>
      <c r="I127" s="140" t="e">
        <f t="shared" si="90"/>
        <v>#N/A</v>
      </c>
      <c r="J127" s="140" t="e">
        <f t="shared" si="91"/>
        <v>#N/A</v>
      </c>
      <c r="K127" s="140" t="e">
        <f t="shared" si="92"/>
        <v>#N/A</v>
      </c>
      <c r="L127" s="140" t="e">
        <f t="shared" si="93"/>
        <v>#N/A</v>
      </c>
      <c r="M127" s="140" t="e">
        <f t="shared" si="94"/>
        <v>#N/A</v>
      </c>
      <c r="N127" s="140" t="e">
        <f t="shared" si="95"/>
        <v>#N/A</v>
      </c>
      <c r="O127" s="140" t="e">
        <f t="shared" si="96"/>
        <v>#N/A</v>
      </c>
      <c r="P127" s="140" t="e">
        <f t="shared" si="97"/>
        <v>#N/A</v>
      </c>
      <c r="Q127" s="140" t="e">
        <f t="shared" si="98"/>
        <v>#N/A</v>
      </c>
      <c r="R127" s="140" t="e">
        <f t="shared" si="99"/>
        <v>#N/A</v>
      </c>
      <c r="S127" s="140" t="e">
        <f t="shared" si="100"/>
        <v>#N/A</v>
      </c>
      <c r="T127" s="140" t="e">
        <f t="shared" si="101"/>
        <v>#N/A</v>
      </c>
      <c r="U127" s="140" t="e">
        <f t="shared" si="102"/>
        <v>#N/A</v>
      </c>
      <c r="V127" s="141" t="str">
        <f t="shared" si="124"/>
        <v>DPS</v>
      </c>
      <c r="W127" s="141" t="str">
        <f t="shared" si="125"/>
        <v>DPS</v>
      </c>
      <c r="X127" s="141" t="str">
        <f t="shared" si="126"/>
        <v>DPS</v>
      </c>
      <c r="Y127" s="141" t="str">
        <f t="shared" si="127"/>
        <v>DPS</v>
      </c>
      <c r="Z127" s="141" t="str">
        <f t="shared" si="128"/>
        <v>DPS</v>
      </c>
      <c r="AA127" s="141" t="str">
        <f t="shared" si="129"/>
        <v>DPS</v>
      </c>
      <c r="AB127" s="141" t="str">
        <f t="shared" si="130"/>
        <v>DPS</v>
      </c>
      <c r="AC127" s="141" t="str">
        <f t="shared" si="131"/>
        <v>DPS</v>
      </c>
      <c r="AD127" s="141" t="str">
        <f t="shared" si="132"/>
        <v>DPS</v>
      </c>
      <c r="AE127" s="141" t="str">
        <f t="shared" si="133"/>
        <v>DPS</v>
      </c>
      <c r="AF127" s="141" t="str">
        <f t="shared" si="134"/>
        <v>DPS</v>
      </c>
      <c r="AG127" s="141" t="str">
        <f t="shared" si="135"/>
        <v>DPS</v>
      </c>
      <c r="AH127" s="141" t="str">
        <f t="shared" si="136"/>
        <v>DPS</v>
      </c>
      <c r="AI127" s="141" t="str">
        <f t="shared" si="137"/>
        <v>HPS</v>
      </c>
      <c r="AJ127" s="141" t="str">
        <f t="shared" si="138"/>
        <v>HPS</v>
      </c>
      <c r="AK127" s="141" t="str">
        <f t="shared" si="139"/>
        <v>HPS</v>
      </c>
      <c r="AL127" s="141" t="str">
        <f t="shared" si="140"/>
        <v>HPS</v>
      </c>
      <c r="AM127" s="141" t="str">
        <f t="shared" si="141"/>
        <v>HPS</v>
      </c>
      <c r="AN127" s="141" t="str">
        <f t="shared" si="142"/>
        <v>HPS</v>
      </c>
      <c r="AO127" s="141" t="str">
        <f t="shared" si="143"/>
        <v>HPS</v>
      </c>
      <c r="AP127" s="134" t="e">
        <f t="shared" si="103"/>
        <v>#N/A</v>
      </c>
      <c r="AQ127" s="134" t="e">
        <f t="shared" si="104"/>
        <v>#N/A</v>
      </c>
      <c r="AR127" s="134" t="e">
        <f t="shared" si="105"/>
        <v>#N/A</v>
      </c>
      <c r="AS127" s="134" t="e">
        <f t="shared" si="106"/>
        <v>#N/A</v>
      </c>
      <c r="AT127" s="134" t="e">
        <f t="shared" si="107"/>
        <v>#N/A</v>
      </c>
      <c r="AU127" s="134" t="e">
        <f t="shared" si="108"/>
        <v>#N/A</v>
      </c>
      <c r="AV127" s="134" t="e">
        <f t="shared" si="109"/>
        <v>#N/A</v>
      </c>
      <c r="AW127" s="134" t="e">
        <f t="shared" si="110"/>
        <v>#N/A</v>
      </c>
      <c r="AX127" s="134" t="e">
        <f t="shared" si="111"/>
        <v>#N/A</v>
      </c>
      <c r="AY127" s="134" t="e">
        <f t="shared" si="112"/>
        <v>#N/A</v>
      </c>
      <c r="AZ127" s="134" t="e">
        <f t="shared" si="113"/>
        <v>#N/A</v>
      </c>
      <c r="BA127" s="134" t="e">
        <f t="shared" si="114"/>
        <v>#N/A</v>
      </c>
      <c r="BB127" s="134" t="e">
        <f t="shared" si="115"/>
        <v>#N/A</v>
      </c>
      <c r="BC127" s="134" t="e">
        <f t="shared" si="116"/>
        <v>#N/A</v>
      </c>
      <c r="BD127" s="134" t="e">
        <f t="shared" si="117"/>
        <v>#N/A</v>
      </c>
      <c r="BE127" s="134" t="e">
        <f t="shared" si="118"/>
        <v>#N/A</v>
      </c>
      <c r="BF127" s="134" t="e">
        <f t="shared" si="119"/>
        <v>#N/A</v>
      </c>
      <c r="BG127" s="134" t="e">
        <f t="shared" si="120"/>
        <v>#N/A</v>
      </c>
      <c r="BH127" s="134" t="e">
        <f t="shared" si="121"/>
        <v>#N/A</v>
      </c>
      <c r="BI127" s="134" t="e">
        <f t="shared" si="122"/>
        <v>#N/A</v>
      </c>
      <c r="BJ127" t="e">
        <f t="shared" si="144"/>
        <v>#N/A</v>
      </c>
      <c r="BK127" t="e">
        <f t="shared" si="145"/>
        <v>#N/A</v>
      </c>
      <c r="BL127" s="142" t="e">
        <f t="shared" si="146"/>
        <v>#N/A</v>
      </c>
      <c r="BM127" s="142">
        <f t="shared" si="37"/>
        <v>2650</v>
      </c>
      <c r="BN127" t="e">
        <f t="shared" si="147"/>
        <v>#NUM!</v>
      </c>
      <c r="BO127" s="143" t="e">
        <f t="shared" si="148"/>
        <v>#N/A</v>
      </c>
      <c r="BP127" s="143" t="e">
        <f t="shared" si="149"/>
        <v>#N/A</v>
      </c>
      <c r="BQ127" s="143" t="e">
        <f t="shared" si="150"/>
        <v>#N/A</v>
      </c>
      <c r="BR127" s="143" t="e">
        <f t="shared" si="151"/>
        <v>#N/A</v>
      </c>
      <c r="BS127" s="143" t="e">
        <f t="shared" si="152"/>
        <v>#N/A</v>
      </c>
      <c r="BT127" s="143" t="e">
        <f t="shared" si="153"/>
        <v>#N/A</v>
      </c>
      <c r="BU127" s="143" t="e">
        <f t="shared" si="154"/>
        <v>#N/A</v>
      </c>
      <c r="BV127" s="143" t="e">
        <f t="shared" si="155"/>
        <v>#N/A</v>
      </c>
      <c r="BW127" s="143" t="e">
        <f t="shared" si="156"/>
        <v>#N/A</v>
      </c>
      <c r="BX127" s="143" t="e">
        <f t="shared" si="157"/>
        <v>#N/A</v>
      </c>
      <c r="BY127" s="143" t="e">
        <f t="shared" si="158"/>
        <v>#N/A</v>
      </c>
      <c r="BZ127" s="143" t="e">
        <f t="shared" si="159"/>
        <v>#N/A</v>
      </c>
      <c r="CA127" s="143" t="e">
        <f t="shared" si="160"/>
        <v>#N/A</v>
      </c>
      <c r="CB127" s="143" t="e">
        <f t="shared" si="161"/>
        <v>#N/A</v>
      </c>
      <c r="CC127" s="143" t="e">
        <f t="shared" si="162"/>
        <v>#N/A</v>
      </c>
      <c r="CD127" s="143" t="e">
        <f t="shared" si="163"/>
        <v>#N/A</v>
      </c>
      <c r="CE127" s="143" t="e">
        <f t="shared" si="164"/>
        <v>#N/A</v>
      </c>
      <c r="CF127" s="143" t="e">
        <f t="shared" si="165"/>
        <v>#N/A</v>
      </c>
      <c r="CG127" s="143" t="e">
        <f t="shared" si="166"/>
        <v>#N/A</v>
      </c>
      <c r="CH127" s="143" t="e">
        <f t="shared" si="167"/>
        <v>#N/A</v>
      </c>
      <c r="CI127" t="e">
        <f t="shared" si="168"/>
        <v>#N/A</v>
      </c>
      <c r="CJ127" t="e">
        <f t="shared" si="169"/>
        <v>#N/A</v>
      </c>
      <c r="CK127" t="e">
        <f t="shared" si="170"/>
        <v>#N/A</v>
      </c>
      <c r="CL127" t="e">
        <f t="shared" si="171"/>
        <v>#N/A</v>
      </c>
      <c r="CM127" t="e">
        <f t="shared" si="172"/>
        <v>#N/A</v>
      </c>
      <c r="CN127" t="e">
        <f t="shared" si="173"/>
        <v>#N/A</v>
      </c>
      <c r="CO127" t="e">
        <f t="shared" si="174"/>
        <v>#N/A</v>
      </c>
      <c r="CP127" t="e">
        <f t="shared" si="175"/>
        <v>#N/A</v>
      </c>
      <c r="CQ127" t="e">
        <f t="shared" si="176"/>
        <v>#N/A</v>
      </c>
      <c r="CR127" t="e">
        <f t="shared" si="177"/>
        <v>#N/A</v>
      </c>
      <c r="CS127" t="e">
        <f t="shared" si="178"/>
        <v>#N/A</v>
      </c>
      <c r="CT127" t="e">
        <f t="shared" si="179"/>
        <v>#N/A</v>
      </c>
      <c r="CU127" t="e">
        <f t="shared" si="180"/>
        <v>#N/A</v>
      </c>
      <c r="CV127" t="e">
        <f t="shared" si="181"/>
        <v>#N/A</v>
      </c>
      <c r="CW127" t="e">
        <f t="shared" si="182"/>
        <v>#N/A</v>
      </c>
      <c r="CX127" t="e">
        <f t="shared" si="183"/>
        <v>#N/A</v>
      </c>
      <c r="CY127" t="e">
        <f t="shared" si="184"/>
        <v>#N/A</v>
      </c>
      <c r="CZ127" t="e">
        <f t="shared" si="185"/>
        <v>#N/A</v>
      </c>
      <c r="DA127" t="e">
        <f t="shared" si="186"/>
        <v>#N/A</v>
      </c>
      <c r="DB127" t="e">
        <f t="shared" si="187"/>
        <v>#N/A</v>
      </c>
      <c r="DC127" s="142" t="e">
        <f t="shared" si="188"/>
        <v>#N/A</v>
      </c>
      <c r="DD127" t="e">
        <f t="shared" si="80"/>
        <v>#N/A</v>
      </c>
      <c r="DE127" t="b">
        <f t="shared" si="189"/>
        <v>0</v>
      </c>
    </row>
    <row r="128" spans="1:109">
      <c r="A128">
        <f t="shared" si="82"/>
        <v>63</v>
      </c>
      <c r="B128" s="140" t="e">
        <f t="shared" si="83"/>
        <v>#N/A</v>
      </c>
      <c r="C128" s="140" t="e">
        <f t="shared" si="84"/>
        <v>#N/A</v>
      </c>
      <c r="D128" s="140" t="e">
        <f t="shared" si="85"/>
        <v>#N/A</v>
      </c>
      <c r="E128" s="140" t="e">
        <f t="shared" si="86"/>
        <v>#N/A</v>
      </c>
      <c r="F128" s="140" t="e">
        <f t="shared" si="87"/>
        <v>#N/A</v>
      </c>
      <c r="G128" s="140" t="e">
        <f t="shared" si="88"/>
        <v>#N/A</v>
      </c>
      <c r="H128" s="140" t="e">
        <f t="shared" si="89"/>
        <v>#N/A</v>
      </c>
      <c r="I128" s="140" t="e">
        <f t="shared" si="90"/>
        <v>#N/A</v>
      </c>
      <c r="J128" s="140" t="e">
        <f t="shared" si="91"/>
        <v>#N/A</v>
      </c>
      <c r="K128" s="140" t="e">
        <f t="shared" si="92"/>
        <v>#N/A</v>
      </c>
      <c r="L128" s="140" t="e">
        <f t="shared" si="93"/>
        <v>#N/A</v>
      </c>
      <c r="M128" s="140" t="e">
        <f t="shared" si="94"/>
        <v>#N/A</v>
      </c>
      <c r="N128" s="140" t="e">
        <f t="shared" si="95"/>
        <v>#N/A</v>
      </c>
      <c r="O128" s="140" t="e">
        <f t="shared" si="96"/>
        <v>#N/A</v>
      </c>
      <c r="P128" s="140" t="e">
        <f t="shared" si="97"/>
        <v>#N/A</v>
      </c>
      <c r="Q128" s="140" t="e">
        <f t="shared" si="98"/>
        <v>#N/A</v>
      </c>
      <c r="R128" s="140" t="e">
        <f t="shared" si="99"/>
        <v>#N/A</v>
      </c>
      <c r="S128" s="140" t="e">
        <f t="shared" si="100"/>
        <v>#N/A</v>
      </c>
      <c r="T128" s="140" t="e">
        <f t="shared" si="101"/>
        <v>#N/A</v>
      </c>
      <c r="U128" s="140" t="e">
        <f t="shared" si="102"/>
        <v>#N/A</v>
      </c>
      <c r="V128" s="141" t="str">
        <f t="shared" si="124"/>
        <v>DPS</v>
      </c>
      <c r="W128" s="141" t="str">
        <f t="shared" si="125"/>
        <v>DPS</v>
      </c>
      <c r="X128" s="141" t="str">
        <f t="shared" si="126"/>
        <v>DPS</v>
      </c>
      <c r="Y128" s="141" t="str">
        <f t="shared" si="127"/>
        <v>DPS</v>
      </c>
      <c r="Z128" s="141" t="str">
        <f t="shared" si="128"/>
        <v>DPS</v>
      </c>
      <c r="AA128" s="141" t="str">
        <f t="shared" si="129"/>
        <v>DPS</v>
      </c>
      <c r="AB128" s="141" t="str">
        <f t="shared" si="130"/>
        <v>DPS</v>
      </c>
      <c r="AC128" s="141" t="str">
        <f t="shared" si="131"/>
        <v>DPS</v>
      </c>
      <c r="AD128" s="141" t="str">
        <f t="shared" si="132"/>
        <v>DPS</v>
      </c>
      <c r="AE128" s="141" t="str">
        <f t="shared" si="133"/>
        <v>DPS</v>
      </c>
      <c r="AF128" s="141" t="str">
        <f t="shared" si="134"/>
        <v>DPS</v>
      </c>
      <c r="AG128" s="141" t="str">
        <f t="shared" si="135"/>
        <v>DPS</v>
      </c>
      <c r="AH128" s="141" t="str">
        <f t="shared" si="136"/>
        <v>DPS</v>
      </c>
      <c r="AI128" s="141" t="str">
        <f t="shared" si="137"/>
        <v>HPS</v>
      </c>
      <c r="AJ128" s="141" t="str">
        <f t="shared" si="138"/>
        <v>HPS</v>
      </c>
      <c r="AK128" s="141" t="str">
        <f t="shared" si="139"/>
        <v>HPS</v>
      </c>
      <c r="AL128" s="141" t="str">
        <f t="shared" si="140"/>
        <v>HPS</v>
      </c>
      <c r="AM128" s="141" t="str">
        <f t="shared" si="141"/>
        <v>HPS</v>
      </c>
      <c r="AN128" s="141" t="str">
        <f t="shared" si="142"/>
        <v>HPS</v>
      </c>
      <c r="AO128" s="141" t="str">
        <f t="shared" si="143"/>
        <v>HPS</v>
      </c>
      <c r="AP128" s="134" t="e">
        <f t="shared" si="103"/>
        <v>#N/A</v>
      </c>
      <c r="AQ128" s="134" t="e">
        <f t="shared" si="104"/>
        <v>#N/A</v>
      </c>
      <c r="AR128" s="134" t="e">
        <f t="shared" si="105"/>
        <v>#N/A</v>
      </c>
      <c r="AS128" s="134" t="e">
        <f t="shared" si="106"/>
        <v>#N/A</v>
      </c>
      <c r="AT128" s="134" t="e">
        <f t="shared" si="107"/>
        <v>#N/A</v>
      </c>
      <c r="AU128" s="134" t="e">
        <f t="shared" si="108"/>
        <v>#N/A</v>
      </c>
      <c r="AV128" s="134" t="e">
        <f t="shared" si="109"/>
        <v>#N/A</v>
      </c>
      <c r="AW128" s="134" t="e">
        <f t="shared" si="110"/>
        <v>#N/A</v>
      </c>
      <c r="AX128" s="134" t="e">
        <f t="shared" si="111"/>
        <v>#N/A</v>
      </c>
      <c r="AY128" s="134" t="e">
        <f t="shared" si="112"/>
        <v>#N/A</v>
      </c>
      <c r="AZ128" s="134" t="e">
        <f t="shared" si="113"/>
        <v>#N/A</v>
      </c>
      <c r="BA128" s="134" t="e">
        <f t="shared" si="114"/>
        <v>#N/A</v>
      </c>
      <c r="BB128" s="134" t="e">
        <f t="shared" si="115"/>
        <v>#N/A</v>
      </c>
      <c r="BC128" s="134" t="e">
        <f t="shared" si="116"/>
        <v>#N/A</v>
      </c>
      <c r="BD128" s="134" t="e">
        <f t="shared" si="117"/>
        <v>#N/A</v>
      </c>
      <c r="BE128" s="134" t="e">
        <f t="shared" si="118"/>
        <v>#N/A</v>
      </c>
      <c r="BF128" s="134" t="e">
        <f t="shared" si="119"/>
        <v>#N/A</v>
      </c>
      <c r="BG128" s="134" t="e">
        <f t="shared" si="120"/>
        <v>#N/A</v>
      </c>
      <c r="BH128" s="134" t="e">
        <f t="shared" si="121"/>
        <v>#N/A</v>
      </c>
      <c r="BI128" s="134" t="e">
        <f t="shared" si="122"/>
        <v>#N/A</v>
      </c>
      <c r="BJ128" t="e">
        <f t="shared" si="144"/>
        <v>#N/A</v>
      </c>
      <c r="BK128" t="e">
        <f t="shared" si="145"/>
        <v>#N/A</v>
      </c>
      <c r="BL128" s="142" t="e">
        <f t="shared" si="146"/>
        <v>#N/A</v>
      </c>
      <c r="BM128" s="142">
        <f t="shared" si="37"/>
        <v>2650</v>
      </c>
      <c r="BN128" t="e">
        <f t="shared" si="147"/>
        <v>#NUM!</v>
      </c>
      <c r="BO128" s="143" t="e">
        <f t="shared" si="148"/>
        <v>#N/A</v>
      </c>
      <c r="BP128" s="143" t="e">
        <f t="shared" si="149"/>
        <v>#N/A</v>
      </c>
      <c r="BQ128" s="143" t="e">
        <f t="shared" si="150"/>
        <v>#N/A</v>
      </c>
      <c r="BR128" s="143" t="e">
        <f t="shared" si="151"/>
        <v>#N/A</v>
      </c>
      <c r="BS128" s="143" t="e">
        <f t="shared" si="152"/>
        <v>#N/A</v>
      </c>
      <c r="BT128" s="143" t="e">
        <f t="shared" si="153"/>
        <v>#N/A</v>
      </c>
      <c r="BU128" s="143" t="e">
        <f t="shared" si="154"/>
        <v>#N/A</v>
      </c>
      <c r="BV128" s="143" t="e">
        <f t="shared" si="155"/>
        <v>#N/A</v>
      </c>
      <c r="BW128" s="143" t="e">
        <f t="shared" si="156"/>
        <v>#N/A</v>
      </c>
      <c r="BX128" s="143" t="e">
        <f t="shared" si="157"/>
        <v>#N/A</v>
      </c>
      <c r="BY128" s="143" t="e">
        <f t="shared" si="158"/>
        <v>#N/A</v>
      </c>
      <c r="BZ128" s="143" t="e">
        <f t="shared" si="159"/>
        <v>#N/A</v>
      </c>
      <c r="CA128" s="143" t="e">
        <f t="shared" si="160"/>
        <v>#N/A</v>
      </c>
      <c r="CB128" s="143" t="e">
        <f t="shared" si="161"/>
        <v>#N/A</v>
      </c>
      <c r="CC128" s="143" t="e">
        <f t="shared" si="162"/>
        <v>#N/A</v>
      </c>
      <c r="CD128" s="143" t="e">
        <f t="shared" si="163"/>
        <v>#N/A</v>
      </c>
      <c r="CE128" s="143" t="e">
        <f t="shared" si="164"/>
        <v>#N/A</v>
      </c>
      <c r="CF128" s="143" t="e">
        <f t="shared" si="165"/>
        <v>#N/A</v>
      </c>
      <c r="CG128" s="143" t="e">
        <f t="shared" si="166"/>
        <v>#N/A</v>
      </c>
      <c r="CH128" s="143" t="e">
        <f t="shared" si="167"/>
        <v>#N/A</v>
      </c>
      <c r="CI128" t="e">
        <f t="shared" si="168"/>
        <v>#N/A</v>
      </c>
      <c r="CJ128" t="e">
        <f t="shared" si="169"/>
        <v>#N/A</v>
      </c>
      <c r="CK128" t="e">
        <f t="shared" si="170"/>
        <v>#N/A</v>
      </c>
      <c r="CL128" t="e">
        <f t="shared" si="171"/>
        <v>#N/A</v>
      </c>
      <c r="CM128" t="e">
        <f t="shared" si="172"/>
        <v>#N/A</v>
      </c>
      <c r="CN128" t="e">
        <f t="shared" si="173"/>
        <v>#N/A</v>
      </c>
      <c r="CO128" t="e">
        <f t="shared" si="174"/>
        <v>#N/A</v>
      </c>
      <c r="CP128" t="e">
        <f t="shared" si="175"/>
        <v>#N/A</v>
      </c>
      <c r="CQ128" t="e">
        <f t="shared" si="176"/>
        <v>#N/A</v>
      </c>
      <c r="CR128" t="e">
        <f t="shared" si="177"/>
        <v>#N/A</v>
      </c>
      <c r="CS128" t="e">
        <f t="shared" si="178"/>
        <v>#N/A</v>
      </c>
      <c r="CT128" t="e">
        <f t="shared" si="179"/>
        <v>#N/A</v>
      </c>
      <c r="CU128" t="e">
        <f t="shared" si="180"/>
        <v>#N/A</v>
      </c>
      <c r="CV128" t="e">
        <f t="shared" si="181"/>
        <v>#N/A</v>
      </c>
      <c r="CW128" t="e">
        <f t="shared" si="182"/>
        <v>#N/A</v>
      </c>
      <c r="CX128" t="e">
        <f t="shared" si="183"/>
        <v>#N/A</v>
      </c>
      <c r="CY128" t="e">
        <f t="shared" si="184"/>
        <v>#N/A</v>
      </c>
      <c r="CZ128" t="e">
        <f t="shared" si="185"/>
        <v>#N/A</v>
      </c>
      <c r="DA128" t="e">
        <f t="shared" si="186"/>
        <v>#N/A</v>
      </c>
      <c r="DB128" t="e">
        <f t="shared" si="187"/>
        <v>#N/A</v>
      </c>
      <c r="DC128" s="142" t="e">
        <f t="shared" si="188"/>
        <v>#N/A</v>
      </c>
      <c r="DD128" t="e">
        <f t="shared" si="80"/>
        <v>#N/A</v>
      </c>
      <c r="DE128" t="b">
        <f t="shared" si="189"/>
        <v>0</v>
      </c>
    </row>
    <row r="129" spans="1:109">
      <c r="A129">
        <f t="shared" si="82"/>
        <v>64</v>
      </c>
      <c r="B129" s="140" t="e">
        <f t="shared" si="83"/>
        <v>#N/A</v>
      </c>
      <c r="C129" s="140" t="e">
        <f t="shared" si="84"/>
        <v>#N/A</v>
      </c>
      <c r="D129" s="140" t="e">
        <f t="shared" si="85"/>
        <v>#N/A</v>
      </c>
      <c r="E129" s="140" t="e">
        <f t="shared" si="86"/>
        <v>#N/A</v>
      </c>
      <c r="F129" s="140" t="e">
        <f t="shared" si="87"/>
        <v>#N/A</v>
      </c>
      <c r="G129" s="140" t="e">
        <f t="shared" si="88"/>
        <v>#N/A</v>
      </c>
      <c r="H129" s="140" t="e">
        <f t="shared" si="89"/>
        <v>#N/A</v>
      </c>
      <c r="I129" s="140" t="e">
        <f t="shared" si="90"/>
        <v>#N/A</v>
      </c>
      <c r="J129" s="140" t="e">
        <f t="shared" si="91"/>
        <v>#N/A</v>
      </c>
      <c r="K129" s="140" t="e">
        <f t="shared" si="92"/>
        <v>#N/A</v>
      </c>
      <c r="L129" s="140" t="e">
        <f t="shared" si="93"/>
        <v>#N/A</v>
      </c>
      <c r="M129" s="140" t="e">
        <f t="shared" si="94"/>
        <v>#N/A</v>
      </c>
      <c r="N129" s="140" t="e">
        <f t="shared" si="95"/>
        <v>#N/A</v>
      </c>
      <c r="O129" s="140" t="e">
        <f t="shared" si="96"/>
        <v>#N/A</v>
      </c>
      <c r="P129" s="140" t="e">
        <f t="shared" si="97"/>
        <v>#N/A</v>
      </c>
      <c r="Q129" s="140" t="e">
        <f t="shared" si="98"/>
        <v>#N/A</v>
      </c>
      <c r="R129" s="140" t="e">
        <f t="shared" si="99"/>
        <v>#N/A</v>
      </c>
      <c r="S129" s="140" t="e">
        <f t="shared" si="100"/>
        <v>#N/A</v>
      </c>
      <c r="T129" s="140" t="e">
        <f t="shared" si="101"/>
        <v>#N/A</v>
      </c>
      <c r="U129" s="140" t="e">
        <f t="shared" si="102"/>
        <v>#N/A</v>
      </c>
      <c r="V129" s="141" t="str">
        <f t="shared" si="124"/>
        <v>DPS</v>
      </c>
      <c r="W129" s="141" t="str">
        <f t="shared" si="125"/>
        <v>DPS</v>
      </c>
      <c r="X129" s="141" t="str">
        <f t="shared" si="126"/>
        <v>DPS</v>
      </c>
      <c r="Y129" s="141" t="str">
        <f t="shared" si="127"/>
        <v>DPS</v>
      </c>
      <c r="Z129" s="141" t="str">
        <f t="shared" si="128"/>
        <v>DPS</v>
      </c>
      <c r="AA129" s="141" t="str">
        <f t="shared" si="129"/>
        <v>DPS</v>
      </c>
      <c r="AB129" s="141" t="str">
        <f t="shared" si="130"/>
        <v>DPS</v>
      </c>
      <c r="AC129" s="141" t="str">
        <f t="shared" si="131"/>
        <v>DPS</v>
      </c>
      <c r="AD129" s="141" t="str">
        <f t="shared" si="132"/>
        <v>DPS</v>
      </c>
      <c r="AE129" s="141" t="str">
        <f t="shared" si="133"/>
        <v>DPS</v>
      </c>
      <c r="AF129" s="141" t="str">
        <f t="shared" si="134"/>
        <v>DPS</v>
      </c>
      <c r="AG129" s="141" t="str">
        <f t="shared" si="135"/>
        <v>DPS</v>
      </c>
      <c r="AH129" s="141" t="str">
        <f t="shared" si="136"/>
        <v>DPS</v>
      </c>
      <c r="AI129" s="141" t="str">
        <f t="shared" si="137"/>
        <v>HPS</v>
      </c>
      <c r="AJ129" s="141" t="str">
        <f t="shared" si="138"/>
        <v>HPS</v>
      </c>
      <c r="AK129" s="141" t="str">
        <f t="shared" si="139"/>
        <v>HPS</v>
      </c>
      <c r="AL129" s="141" t="str">
        <f t="shared" si="140"/>
        <v>HPS</v>
      </c>
      <c r="AM129" s="141" t="str">
        <f t="shared" si="141"/>
        <v>HPS</v>
      </c>
      <c r="AN129" s="141" t="str">
        <f t="shared" si="142"/>
        <v>HPS</v>
      </c>
      <c r="AO129" s="141" t="str">
        <f t="shared" si="143"/>
        <v>HPS</v>
      </c>
      <c r="AP129" s="134" t="e">
        <f t="shared" si="103"/>
        <v>#N/A</v>
      </c>
      <c r="AQ129" s="134" t="e">
        <f t="shared" si="104"/>
        <v>#N/A</v>
      </c>
      <c r="AR129" s="134" t="e">
        <f t="shared" si="105"/>
        <v>#N/A</v>
      </c>
      <c r="AS129" s="134" t="e">
        <f t="shared" si="106"/>
        <v>#N/A</v>
      </c>
      <c r="AT129" s="134" t="e">
        <f t="shared" si="107"/>
        <v>#N/A</v>
      </c>
      <c r="AU129" s="134" t="e">
        <f t="shared" si="108"/>
        <v>#N/A</v>
      </c>
      <c r="AV129" s="134" t="e">
        <f t="shared" si="109"/>
        <v>#N/A</v>
      </c>
      <c r="AW129" s="134" t="e">
        <f t="shared" si="110"/>
        <v>#N/A</v>
      </c>
      <c r="AX129" s="134" t="e">
        <f t="shared" si="111"/>
        <v>#N/A</v>
      </c>
      <c r="AY129" s="134" t="e">
        <f t="shared" si="112"/>
        <v>#N/A</v>
      </c>
      <c r="AZ129" s="134" t="e">
        <f t="shared" si="113"/>
        <v>#N/A</v>
      </c>
      <c r="BA129" s="134" t="e">
        <f t="shared" si="114"/>
        <v>#N/A</v>
      </c>
      <c r="BB129" s="134" t="e">
        <f t="shared" si="115"/>
        <v>#N/A</v>
      </c>
      <c r="BC129" s="134" t="e">
        <f t="shared" si="116"/>
        <v>#N/A</v>
      </c>
      <c r="BD129" s="134" t="e">
        <f t="shared" si="117"/>
        <v>#N/A</v>
      </c>
      <c r="BE129" s="134" t="e">
        <f t="shared" si="118"/>
        <v>#N/A</v>
      </c>
      <c r="BF129" s="134" t="e">
        <f t="shared" si="119"/>
        <v>#N/A</v>
      </c>
      <c r="BG129" s="134" t="e">
        <f t="shared" si="120"/>
        <v>#N/A</v>
      </c>
      <c r="BH129" s="134" t="e">
        <f t="shared" si="121"/>
        <v>#N/A</v>
      </c>
      <c r="BI129" s="134" t="e">
        <f t="shared" si="122"/>
        <v>#N/A</v>
      </c>
      <c r="BJ129" t="e">
        <f t="shared" si="144"/>
        <v>#N/A</v>
      </c>
      <c r="BK129" t="e">
        <f t="shared" si="145"/>
        <v>#N/A</v>
      </c>
      <c r="BL129" s="142" t="e">
        <f t="shared" si="146"/>
        <v>#N/A</v>
      </c>
      <c r="BM129" s="142">
        <f t="shared" si="37"/>
        <v>2650</v>
      </c>
      <c r="BN129" t="e">
        <f t="shared" si="147"/>
        <v>#NUM!</v>
      </c>
      <c r="BO129" s="143" t="e">
        <f t="shared" si="148"/>
        <v>#N/A</v>
      </c>
      <c r="BP129" s="143" t="e">
        <f t="shared" si="149"/>
        <v>#N/A</v>
      </c>
      <c r="BQ129" s="143" t="e">
        <f t="shared" si="150"/>
        <v>#N/A</v>
      </c>
      <c r="BR129" s="143" t="e">
        <f t="shared" si="151"/>
        <v>#N/A</v>
      </c>
      <c r="BS129" s="143" t="e">
        <f t="shared" si="152"/>
        <v>#N/A</v>
      </c>
      <c r="BT129" s="143" t="e">
        <f t="shared" si="153"/>
        <v>#N/A</v>
      </c>
      <c r="BU129" s="143" t="e">
        <f t="shared" si="154"/>
        <v>#N/A</v>
      </c>
      <c r="BV129" s="143" t="e">
        <f t="shared" si="155"/>
        <v>#N/A</v>
      </c>
      <c r="BW129" s="143" t="e">
        <f t="shared" si="156"/>
        <v>#N/A</v>
      </c>
      <c r="BX129" s="143" t="e">
        <f t="shared" si="157"/>
        <v>#N/A</v>
      </c>
      <c r="BY129" s="143" t="e">
        <f t="shared" si="158"/>
        <v>#N/A</v>
      </c>
      <c r="BZ129" s="143" t="e">
        <f t="shared" si="159"/>
        <v>#N/A</v>
      </c>
      <c r="CA129" s="143" t="e">
        <f t="shared" si="160"/>
        <v>#N/A</v>
      </c>
      <c r="CB129" s="143" t="e">
        <f t="shared" si="161"/>
        <v>#N/A</v>
      </c>
      <c r="CC129" s="143" t="e">
        <f t="shared" si="162"/>
        <v>#N/A</v>
      </c>
      <c r="CD129" s="143" t="e">
        <f t="shared" si="163"/>
        <v>#N/A</v>
      </c>
      <c r="CE129" s="143" t="e">
        <f t="shared" si="164"/>
        <v>#N/A</v>
      </c>
      <c r="CF129" s="143" t="e">
        <f t="shared" si="165"/>
        <v>#N/A</v>
      </c>
      <c r="CG129" s="143" t="e">
        <f t="shared" si="166"/>
        <v>#N/A</v>
      </c>
      <c r="CH129" s="143" t="e">
        <f t="shared" si="167"/>
        <v>#N/A</v>
      </c>
      <c r="CI129" t="e">
        <f t="shared" si="168"/>
        <v>#N/A</v>
      </c>
      <c r="CJ129" t="e">
        <f t="shared" si="169"/>
        <v>#N/A</v>
      </c>
      <c r="CK129" t="e">
        <f t="shared" si="170"/>
        <v>#N/A</v>
      </c>
      <c r="CL129" t="e">
        <f t="shared" si="171"/>
        <v>#N/A</v>
      </c>
      <c r="CM129" t="e">
        <f t="shared" si="172"/>
        <v>#N/A</v>
      </c>
      <c r="CN129" t="e">
        <f t="shared" si="173"/>
        <v>#N/A</v>
      </c>
      <c r="CO129" t="e">
        <f t="shared" si="174"/>
        <v>#N/A</v>
      </c>
      <c r="CP129" t="e">
        <f t="shared" si="175"/>
        <v>#N/A</v>
      </c>
      <c r="CQ129" t="e">
        <f t="shared" si="176"/>
        <v>#N/A</v>
      </c>
      <c r="CR129" t="e">
        <f t="shared" si="177"/>
        <v>#N/A</v>
      </c>
      <c r="CS129" t="e">
        <f t="shared" si="178"/>
        <v>#N/A</v>
      </c>
      <c r="CT129" t="e">
        <f t="shared" si="179"/>
        <v>#N/A</v>
      </c>
      <c r="CU129" t="e">
        <f t="shared" si="180"/>
        <v>#N/A</v>
      </c>
      <c r="CV129" t="e">
        <f t="shared" si="181"/>
        <v>#N/A</v>
      </c>
      <c r="CW129" t="e">
        <f t="shared" si="182"/>
        <v>#N/A</v>
      </c>
      <c r="CX129" t="e">
        <f t="shared" si="183"/>
        <v>#N/A</v>
      </c>
      <c r="CY129" t="e">
        <f t="shared" si="184"/>
        <v>#N/A</v>
      </c>
      <c r="CZ129" t="e">
        <f t="shared" si="185"/>
        <v>#N/A</v>
      </c>
      <c r="DA129" t="e">
        <f t="shared" si="186"/>
        <v>#N/A</v>
      </c>
      <c r="DB129" t="e">
        <f t="shared" si="187"/>
        <v>#N/A</v>
      </c>
      <c r="DC129" s="142" t="e">
        <f t="shared" si="188"/>
        <v>#N/A</v>
      </c>
      <c r="DD129" t="e">
        <f t="shared" si="80"/>
        <v>#N/A</v>
      </c>
      <c r="DE129" t="b">
        <f t="shared" si="189"/>
        <v>0</v>
      </c>
    </row>
    <row r="130" spans="1:109">
      <c r="A130">
        <f t="shared" si="82"/>
        <v>65</v>
      </c>
      <c r="B130" s="140" t="e">
        <f t="shared" si="83"/>
        <v>#N/A</v>
      </c>
      <c r="C130" s="140" t="e">
        <f t="shared" si="84"/>
        <v>#N/A</v>
      </c>
      <c r="D130" s="140" t="e">
        <f t="shared" si="85"/>
        <v>#N/A</v>
      </c>
      <c r="E130" s="140" t="e">
        <f t="shared" si="86"/>
        <v>#N/A</v>
      </c>
      <c r="F130" s="140" t="e">
        <f t="shared" si="87"/>
        <v>#N/A</v>
      </c>
      <c r="G130" s="140" t="e">
        <f t="shared" si="88"/>
        <v>#N/A</v>
      </c>
      <c r="H130" s="140" t="e">
        <f t="shared" si="89"/>
        <v>#N/A</v>
      </c>
      <c r="I130" s="140" t="e">
        <f t="shared" si="90"/>
        <v>#N/A</v>
      </c>
      <c r="J130" s="140" t="e">
        <f t="shared" si="91"/>
        <v>#N/A</v>
      </c>
      <c r="K130" s="140" t="e">
        <f t="shared" si="92"/>
        <v>#N/A</v>
      </c>
      <c r="L130" s="140" t="e">
        <f t="shared" si="93"/>
        <v>#N/A</v>
      </c>
      <c r="M130" s="140" t="e">
        <f t="shared" si="94"/>
        <v>#N/A</v>
      </c>
      <c r="N130" s="140" t="e">
        <f t="shared" si="95"/>
        <v>#N/A</v>
      </c>
      <c r="O130" s="140" t="e">
        <f t="shared" si="96"/>
        <v>#N/A</v>
      </c>
      <c r="P130" s="140" t="e">
        <f t="shared" si="97"/>
        <v>#N/A</v>
      </c>
      <c r="Q130" s="140" t="e">
        <f t="shared" si="98"/>
        <v>#N/A</v>
      </c>
      <c r="R130" s="140" t="e">
        <f t="shared" si="99"/>
        <v>#N/A</v>
      </c>
      <c r="S130" s="140" t="e">
        <f t="shared" si="100"/>
        <v>#N/A</v>
      </c>
      <c r="T130" s="140" t="e">
        <f t="shared" si="101"/>
        <v>#N/A</v>
      </c>
      <c r="U130" s="140" t="e">
        <f t="shared" si="102"/>
        <v>#N/A</v>
      </c>
      <c r="V130" s="141" t="str">
        <f t="shared" si="124"/>
        <v>DPS</v>
      </c>
      <c r="W130" s="141" t="str">
        <f t="shared" si="125"/>
        <v>DPS</v>
      </c>
      <c r="X130" s="141" t="str">
        <f t="shared" si="126"/>
        <v>DPS</v>
      </c>
      <c r="Y130" s="141" t="str">
        <f t="shared" si="127"/>
        <v>DPS</v>
      </c>
      <c r="Z130" s="141" t="str">
        <f t="shared" si="128"/>
        <v>DPS</v>
      </c>
      <c r="AA130" s="141" t="str">
        <f t="shared" si="129"/>
        <v>DPS</v>
      </c>
      <c r="AB130" s="141" t="str">
        <f t="shared" si="130"/>
        <v>DPS</v>
      </c>
      <c r="AC130" s="141" t="str">
        <f t="shared" si="131"/>
        <v>DPS</v>
      </c>
      <c r="AD130" s="141" t="str">
        <f t="shared" si="132"/>
        <v>DPS</v>
      </c>
      <c r="AE130" s="141" t="str">
        <f t="shared" si="133"/>
        <v>DPS</v>
      </c>
      <c r="AF130" s="141" t="str">
        <f t="shared" si="134"/>
        <v>DPS</v>
      </c>
      <c r="AG130" s="141" t="str">
        <f t="shared" si="135"/>
        <v>DPS</v>
      </c>
      <c r="AH130" s="141" t="str">
        <f t="shared" si="136"/>
        <v>DPS</v>
      </c>
      <c r="AI130" s="141" t="str">
        <f t="shared" si="137"/>
        <v>HPS</v>
      </c>
      <c r="AJ130" s="141" t="str">
        <f t="shared" si="138"/>
        <v>HPS</v>
      </c>
      <c r="AK130" s="141" t="str">
        <f t="shared" si="139"/>
        <v>HPS</v>
      </c>
      <c r="AL130" s="141" t="str">
        <f t="shared" si="140"/>
        <v>HPS</v>
      </c>
      <c r="AM130" s="141" t="str">
        <f t="shared" si="141"/>
        <v>HPS</v>
      </c>
      <c r="AN130" s="141" t="str">
        <f t="shared" si="142"/>
        <v>HPS</v>
      </c>
      <c r="AO130" s="141" t="str">
        <f t="shared" si="143"/>
        <v>HPS</v>
      </c>
      <c r="AP130" s="134" t="e">
        <f t="shared" si="103"/>
        <v>#N/A</v>
      </c>
      <c r="AQ130" s="134" t="e">
        <f t="shared" si="104"/>
        <v>#N/A</v>
      </c>
      <c r="AR130" s="134" t="e">
        <f t="shared" si="105"/>
        <v>#N/A</v>
      </c>
      <c r="AS130" s="134" t="e">
        <f t="shared" si="106"/>
        <v>#N/A</v>
      </c>
      <c r="AT130" s="134" t="e">
        <f t="shared" si="107"/>
        <v>#N/A</v>
      </c>
      <c r="AU130" s="134" t="e">
        <f t="shared" si="108"/>
        <v>#N/A</v>
      </c>
      <c r="AV130" s="134" t="e">
        <f t="shared" si="109"/>
        <v>#N/A</v>
      </c>
      <c r="AW130" s="134" t="e">
        <f t="shared" si="110"/>
        <v>#N/A</v>
      </c>
      <c r="AX130" s="134" t="e">
        <f t="shared" si="111"/>
        <v>#N/A</v>
      </c>
      <c r="AY130" s="134" t="e">
        <f t="shared" si="112"/>
        <v>#N/A</v>
      </c>
      <c r="AZ130" s="134" t="e">
        <f t="shared" si="113"/>
        <v>#N/A</v>
      </c>
      <c r="BA130" s="134" t="e">
        <f t="shared" si="114"/>
        <v>#N/A</v>
      </c>
      <c r="BB130" s="134" t="e">
        <f t="shared" si="115"/>
        <v>#N/A</v>
      </c>
      <c r="BC130" s="134" t="e">
        <f t="shared" si="116"/>
        <v>#N/A</v>
      </c>
      <c r="BD130" s="134" t="e">
        <f t="shared" si="117"/>
        <v>#N/A</v>
      </c>
      <c r="BE130" s="134" t="e">
        <f t="shared" si="118"/>
        <v>#N/A</v>
      </c>
      <c r="BF130" s="134" t="e">
        <f t="shared" si="119"/>
        <v>#N/A</v>
      </c>
      <c r="BG130" s="134" t="e">
        <f t="shared" si="120"/>
        <v>#N/A</v>
      </c>
      <c r="BH130" s="134" t="e">
        <f t="shared" si="121"/>
        <v>#N/A</v>
      </c>
      <c r="BI130" s="134" t="e">
        <f t="shared" si="122"/>
        <v>#N/A</v>
      </c>
      <c r="BJ130" t="e">
        <f t="shared" si="144"/>
        <v>#N/A</v>
      </c>
      <c r="BK130" t="e">
        <f t="shared" si="145"/>
        <v>#N/A</v>
      </c>
      <c r="BL130" s="142" t="e">
        <f t="shared" si="146"/>
        <v>#N/A</v>
      </c>
      <c r="BM130" s="142">
        <f t="shared" si="37"/>
        <v>2650</v>
      </c>
      <c r="BN130" t="e">
        <f t="shared" si="147"/>
        <v>#NUM!</v>
      </c>
      <c r="BO130" s="143" t="e">
        <f t="shared" si="148"/>
        <v>#N/A</v>
      </c>
      <c r="BP130" s="143" t="e">
        <f t="shared" si="149"/>
        <v>#N/A</v>
      </c>
      <c r="BQ130" s="143" t="e">
        <f t="shared" si="150"/>
        <v>#N/A</v>
      </c>
      <c r="BR130" s="143" t="e">
        <f t="shared" si="151"/>
        <v>#N/A</v>
      </c>
      <c r="BS130" s="143" t="e">
        <f t="shared" si="152"/>
        <v>#N/A</v>
      </c>
      <c r="BT130" s="143" t="e">
        <f t="shared" si="153"/>
        <v>#N/A</v>
      </c>
      <c r="BU130" s="143" t="e">
        <f t="shared" si="154"/>
        <v>#N/A</v>
      </c>
      <c r="BV130" s="143" t="e">
        <f t="shared" si="155"/>
        <v>#N/A</v>
      </c>
      <c r="BW130" s="143" t="e">
        <f t="shared" si="156"/>
        <v>#N/A</v>
      </c>
      <c r="BX130" s="143" t="e">
        <f t="shared" si="157"/>
        <v>#N/A</v>
      </c>
      <c r="BY130" s="143" t="e">
        <f t="shared" si="158"/>
        <v>#N/A</v>
      </c>
      <c r="BZ130" s="143" t="e">
        <f t="shared" si="159"/>
        <v>#N/A</v>
      </c>
      <c r="CA130" s="143" t="e">
        <f t="shared" si="160"/>
        <v>#N/A</v>
      </c>
      <c r="CB130" s="143" t="e">
        <f t="shared" si="161"/>
        <v>#N/A</v>
      </c>
      <c r="CC130" s="143" t="e">
        <f t="shared" si="162"/>
        <v>#N/A</v>
      </c>
      <c r="CD130" s="143" t="e">
        <f t="shared" si="163"/>
        <v>#N/A</v>
      </c>
      <c r="CE130" s="143" t="e">
        <f t="shared" si="164"/>
        <v>#N/A</v>
      </c>
      <c r="CF130" s="143" t="e">
        <f t="shared" si="165"/>
        <v>#N/A</v>
      </c>
      <c r="CG130" s="143" t="e">
        <f t="shared" si="166"/>
        <v>#N/A</v>
      </c>
      <c r="CH130" s="143" t="e">
        <f t="shared" si="167"/>
        <v>#N/A</v>
      </c>
      <c r="CI130" t="e">
        <f t="shared" si="168"/>
        <v>#N/A</v>
      </c>
      <c r="CJ130" t="e">
        <f t="shared" si="169"/>
        <v>#N/A</v>
      </c>
      <c r="CK130" t="e">
        <f t="shared" si="170"/>
        <v>#N/A</v>
      </c>
      <c r="CL130" t="e">
        <f t="shared" si="171"/>
        <v>#N/A</v>
      </c>
      <c r="CM130" t="e">
        <f t="shared" si="172"/>
        <v>#N/A</v>
      </c>
      <c r="CN130" t="e">
        <f t="shared" si="173"/>
        <v>#N/A</v>
      </c>
      <c r="CO130" t="e">
        <f t="shared" si="174"/>
        <v>#N/A</v>
      </c>
      <c r="CP130" t="e">
        <f t="shared" si="175"/>
        <v>#N/A</v>
      </c>
      <c r="CQ130" t="e">
        <f t="shared" si="176"/>
        <v>#N/A</v>
      </c>
      <c r="CR130" t="e">
        <f t="shared" si="177"/>
        <v>#N/A</v>
      </c>
      <c r="CS130" t="e">
        <f t="shared" si="178"/>
        <v>#N/A</v>
      </c>
      <c r="CT130" t="e">
        <f t="shared" si="179"/>
        <v>#N/A</v>
      </c>
      <c r="CU130" t="e">
        <f t="shared" si="180"/>
        <v>#N/A</v>
      </c>
      <c r="CV130" t="e">
        <f t="shared" si="181"/>
        <v>#N/A</v>
      </c>
      <c r="CW130" t="e">
        <f t="shared" si="182"/>
        <v>#N/A</v>
      </c>
      <c r="CX130" t="e">
        <f t="shared" si="183"/>
        <v>#N/A</v>
      </c>
      <c r="CY130" t="e">
        <f t="shared" si="184"/>
        <v>#N/A</v>
      </c>
      <c r="CZ130" t="e">
        <f t="shared" si="185"/>
        <v>#N/A</v>
      </c>
      <c r="DA130" t="e">
        <f t="shared" si="186"/>
        <v>#N/A</v>
      </c>
      <c r="DB130" t="e">
        <f t="shared" si="187"/>
        <v>#N/A</v>
      </c>
      <c r="DC130" s="142" t="e">
        <f t="shared" si="188"/>
        <v>#N/A</v>
      </c>
      <c r="DD130" t="e">
        <f t="shared" si="80"/>
        <v>#N/A</v>
      </c>
      <c r="DE130" t="b">
        <f t="shared" si="189"/>
        <v>0</v>
      </c>
    </row>
    <row r="131" spans="1:109">
      <c r="A131">
        <f t="shared" si="82"/>
        <v>66</v>
      </c>
      <c r="B131" s="140" t="e">
        <f t="shared" si="83"/>
        <v>#N/A</v>
      </c>
      <c r="C131" s="140" t="e">
        <f t="shared" si="84"/>
        <v>#N/A</v>
      </c>
      <c r="D131" s="140" t="e">
        <f t="shared" si="85"/>
        <v>#N/A</v>
      </c>
      <c r="E131" s="140" t="e">
        <f t="shared" si="86"/>
        <v>#N/A</v>
      </c>
      <c r="F131" s="140" t="e">
        <f t="shared" si="87"/>
        <v>#N/A</v>
      </c>
      <c r="G131" s="140" t="e">
        <f t="shared" si="88"/>
        <v>#N/A</v>
      </c>
      <c r="H131" s="140" t="e">
        <f t="shared" si="89"/>
        <v>#N/A</v>
      </c>
      <c r="I131" s="140" t="e">
        <f t="shared" si="90"/>
        <v>#N/A</v>
      </c>
      <c r="J131" s="140" t="e">
        <f t="shared" si="91"/>
        <v>#N/A</v>
      </c>
      <c r="K131" s="140" t="e">
        <f t="shared" si="92"/>
        <v>#N/A</v>
      </c>
      <c r="L131" s="140" t="e">
        <f t="shared" si="93"/>
        <v>#N/A</v>
      </c>
      <c r="M131" s="140" t="e">
        <f t="shared" si="94"/>
        <v>#N/A</v>
      </c>
      <c r="N131" s="140" t="e">
        <f t="shared" si="95"/>
        <v>#N/A</v>
      </c>
      <c r="O131" s="140" t="e">
        <f t="shared" si="96"/>
        <v>#N/A</v>
      </c>
      <c r="P131" s="140" t="e">
        <f t="shared" si="97"/>
        <v>#N/A</v>
      </c>
      <c r="Q131" s="140" t="e">
        <f t="shared" si="98"/>
        <v>#N/A</v>
      </c>
      <c r="R131" s="140" t="e">
        <f t="shared" si="99"/>
        <v>#N/A</v>
      </c>
      <c r="S131" s="140" t="e">
        <f t="shared" si="100"/>
        <v>#N/A</v>
      </c>
      <c r="T131" s="140" t="e">
        <f t="shared" si="101"/>
        <v>#N/A</v>
      </c>
      <c r="U131" s="140" t="e">
        <f t="shared" si="102"/>
        <v>#N/A</v>
      </c>
      <c r="V131" s="141" t="str">
        <f t="shared" si="124"/>
        <v>DPS</v>
      </c>
      <c r="W131" s="141" t="str">
        <f t="shared" si="125"/>
        <v>DPS</v>
      </c>
      <c r="X131" s="141" t="str">
        <f t="shared" si="126"/>
        <v>DPS</v>
      </c>
      <c r="Y131" s="141" t="str">
        <f t="shared" si="127"/>
        <v>DPS</v>
      </c>
      <c r="Z131" s="141" t="str">
        <f t="shared" si="128"/>
        <v>DPS</v>
      </c>
      <c r="AA131" s="141" t="str">
        <f t="shared" si="129"/>
        <v>DPS</v>
      </c>
      <c r="AB131" s="141" t="str">
        <f t="shared" si="130"/>
        <v>DPS</v>
      </c>
      <c r="AC131" s="141" t="str">
        <f t="shared" si="131"/>
        <v>DPS</v>
      </c>
      <c r="AD131" s="141" t="str">
        <f t="shared" si="132"/>
        <v>DPS</v>
      </c>
      <c r="AE131" s="141" t="str">
        <f t="shared" si="133"/>
        <v>DPS</v>
      </c>
      <c r="AF131" s="141" t="str">
        <f t="shared" si="134"/>
        <v>DPS</v>
      </c>
      <c r="AG131" s="141" t="str">
        <f t="shared" si="135"/>
        <v>DPS</v>
      </c>
      <c r="AH131" s="141" t="str">
        <f t="shared" si="136"/>
        <v>DPS</v>
      </c>
      <c r="AI131" s="141" t="str">
        <f t="shared" si="137"/>
        <v>HPS</v>
      </c>
      <c r="AJ131" s="141" t="str">
        <f t="shared" si="138"/>
        <v>HPS</v>
      </c>
      <c r="AK131" s="141" t="str">
        <f t="shared" si="139"/>
        <v>HPS</v>
      </c>
      <c r="AL131" s="141" t="str">
        <f t="shared" si="140"/>
        <v>HPS</v>
      </c>
      <c r="AM131" s="141" t="str">
        <f t="shared" si="141"/>
        <v>HPS</v>
      </c>
      <c r="AN131" s="141" t="str">
        <f t="shared" si="142"/>
        <v>HPS</v>
      </c>
      <c r="AO131" s="141" t="str">
        <f t="shared" si="143"/>
        <v>HPS</v>
      </c>
      <c r="AP131" s="134" t="e">
        <f t="shared" si="103"/>
        <v>#N/A</v>
      </c>
      <c r="AQ131" s="134" t="e">
        <f t="shared" si="104"/>
        <v>#N/A</v>
      </c>
      <c r="AR131" s="134" t="e">
        <f t="shared" si="105"/>
        <v>#N/A</v>
      </c>
      <c r="AS131" s="134" t="e">
        <f t="shared" si="106"/>
        <v>#N/A</v>
      </c>
      <c r="AT131" s="134" t="e">
        <f t="shared" si="107"/>
        <v>#N/A</v>
      </c>
      <c r="AU131" s="134" t="e">
        <f t="shared" si="108"/>
        <v>#N/A</v>
      </c>
      <c r="AV131" s="134" t="e">
        <f t="shared" si="109"/>
        <v>#N/A</v>
      </c>
      <c r="AW131" s="134" t="e">
        <f t="shared" si="110"/>
        <v>#N/A</v>
      </c>
      <c r="AX131" s="134" t="e">
        <f t="shared" si="111"/>
        <v>#N/A</v>
      </c>
      <c r="AY131" s="134" t="e">
        <f t="shared" si="112"/>
        <v>#N/A</v>
      </c>
      <c r="AZ131" s="134" t="e">
        <f t="shared" si="113"/>
        <v>#N/A</v>
      </c>
      <c r="BA131" s="134" t="e">
        <f t="shared" si="114"/>
        <v>#N/A</v>
      </c>
      <c r="BB131" s="134" t="e">
        <f t="shared" si="115"/>
        <v>#N/A</v>
      </c>
      <c r="BC131" s="134" t="e">
        <f t="shared" si="116"/>
        <v>#N/A</v>
      </c>
      <c r="BD131" s="134" t="e">
        <f t="shared" si="117"/>
        <v>#N/A</v>
      </c>
      <c r="BE131" s="134" t="e">
        <f t="shared" si="118"/>
        <v>#N/A</v>
      </c>
      <c r="BF131" s="134" t="e">
        <f t="shared" si="119"/>
        <v>#N/A</v>
      </c>
      <c r="BG131" s="134" t="e">
        <f t="shared" si="120"/>
        <v>#N/A</v>
      </c>
      <c r="BH131" s="134" t="e">
        <f t="shared" si="121"/>
        <v>#N/A</v>
      </c>
      <c r="BI131" s="134" t="e">
        <f t="shared" si="122"/>
        <v>#N/A</v>
      </c>
      <c r="BJ131" t="e">
        <f t="shared" si="144"/>
        <v>#N/A</v>
      </c>
      <c r="BK131" t="e">
        <f t="shared" si="145"/>
        <v>#N/A</v>
      </c>
      <c r="BL131" s="142" t="e">
        <f t="shared" si="146"/>
        <v>#N/A</v>
      </c>
      <c r="BM131" s="142">
        <f t="shared" ref="BM131:BM191" si="190">$K$3</f>
        <v>2650</v>
      </c>
      <c r="BN131" t="e">
        <f t="shared" si="147"/>
        <v>#NUM!</v>
      </c>
      <c r="BO131" s="143" t="e">
        <f t="shared" si="148"/>
        <v>#N/A</v>
      </c>
      <c r="BP131" s="143" t="e">
        <f t="shared" si="149"/>
        <v>#N/A</v>
      </c>
      <c r="BQ131" s="143" t="e">
        <f t="shared" si="150"/>
        <v>#N/A</v>
      </c>
      <c r="BR131" s="143" t="e">
        <f t="shared" si="151"/>
        <v>#N/A</v>
      </c>
      <c r="BS131" s="143" t="e">
        <f t="shared" si="152"/>
        <v>#N/A</v>
      </c>
      <c r="BT131" s="143" t="e">
        <f t="shared" si="153"/>
        <v>#N/A</v>
      </c>
      <c r="BU131" s="143" t="e">
        <f t="shared" si="154"/>
        <v>#N/A</v>
      </c>
      <c r="BV131" s="143" t="e">
        <f t="shared" si="155"/>
        <v>#N/A</v>
      </c>
      <c r="BW131" s="143" t="e">
        <f t="shared" si="156"/>
        <v>#N/A</v>
      </c>
      <c r="BX131" s="143" t="e">
        <f t="shared" si="157"/>
        <v>#N/A</v>
      </c>
      <c r="BY131" s="143" t="e">
        <f t="shared" si="158"/>
        <v>#N/A</v>
      </c>
      <c r="BZ131" s="143" t="e">
        <f t="shared" si="159"/>
        <v>#N/A</v>
      </c>
      <c r="CA131" s="143" t="e">
        <f t="shared" si="160"/>
        <v>#N/A</v>
      </c>
      <c r="CB131" s="143" t="e">
        <f t="shared" si="161"/>
        <v>#N/A</v>
      </c>
      <c r="CC131" s="143" t="e">
        <f t="shared" si="162"/>
        <v>#N/A</v>
      </c>
      <c r="CD131" s="143" t="e">
        <f t="shared" si="163"/>
        <v>#N/A</v>
      </c>
      <c r="CE131" s="143" t="e">
        <f t="shared" si="164"/>
        <v>#N/A</v>
      </c>
      <c r="CF131" s="143" t="e">
        <f t="shared" si="165"/>
        <v>#N/A</v>
      </c>
      <c r="CG131" s="143" t="e">
        <f t="shared" si="166"/>
        <v>#N/A</v>
      </c>
      <c r="CH131" s="143" t="e">
        <f t="shared" si="167"/>
        <v>#N/A</v>
      </c>
      <c r="CI131" t="e">
        <f t="shared" si="168"/>
        <v>#N/A</v>
      </c>
      <c r="CJ131" t="e">
        <f t="shared" si="169"/>
        <v>#N/A</v>
      </c>
      <c r="CK131" t="e">
        <f t="shared" si="170"/>
        <v>#N/A</v>
      </c>
      <c r="CL131" t="e">
        <f t="shared" si="171"/>
        <v>#N/A</v>
      </c>
      <c r="CM131" t="e">
        <f t="shared" si="172"/>
        <v>#N/A</v>
      </c>
      <c r="CN131" t="e">
        <f t="shared" si="173"/>
        <v>#N/A</v>
      </c>
      <c r="CO131" t="e">
        <f t="shared" si="174"/>
        <v>#N/A</v>
      </c>
      <c r="CP131" t="e">
        <f t="shared" si="175"/>
        <v>#N/A</v>
      </c>
      <c r="CQ131" t="e">
        <f t="shared" si="176"/>
        <v>#N/A</v>
      </c>
      <c r="CR131" t="e">
        <f t="shared" si="177"/>
        <v>#N/A</v>
      </c>
      <c r="CS131" t="e">
        <f t="shared" si="178"/>
        <v>#N/A</v>
      </c>
      <c r="CT131" t="e">
        <f t="shared" si="179"/>
        <v>#N/A</v>
      </c>
      <c r="CU131" t="e">
        <f t="shared" si="180"/>
        <v>#N/A</v>
      </c>
      <c r="CV131" t="e">
        <f t="shared" si="181"/>
        <v>#N/A</v>
      </c>
      <c r="CW131" t="e">
        <f t="shared" si="182"/>
        <v>#N/A</v>
      </c>
      <c r="CX131" t="e">
        <f t="shared" si="183"/>
        <v>#N/A</v>
      </c>
      <c r="CY131" t="e">
        <f t="shared" si="184"/>
        <v>#N/A</v>
      </c>
      <c r="CZ131" t="e">
        <f t="shared" si="185"/>
        <v>#N/A</v>
      </c>
      <c r="DA131" t="e">
        <f t="shared" si="186"/>
        <v>#N/A</v>
      </c>
      <c r="DB131" t="e">
        <f t="shared" si="187"/>
        <v>#N/A</v>
      </c>
      <c r="DC131" s="142" t="e">
        <f t="shared" si="188"/>
        <v>#N/A</v>
      </c>
      <c r="DD131" t="e">
        <f t="shared" ref="DD131:DD191" si="191">DC131&lt;=0</f>
        <v>#N/A</v>
      </c>
      <c r="DE131" t="b">
        <f t="shared" si="189"/>
        <v>0</v>
      </c>
    </row>
    <row r="132" spans="1:109">
      <c r="A132">
        <f t="shared" ref="A132:A191" si="192">A131+1</f>
        <v>67</v>
      </c>
      <c r="B132" s="140" t="e">
        <f t="shared" ref="B132:B165" si="193">BO131</f>
        <v>#N/A</v>
      </c>
      <c r="C132" s="140" t="e">
        <f t="shared" ref="C132:C165" si="194">BP131</f>
        <v>#N/A</v>
      </c>
      <c r="D132" s="140" t="e">
        <f t="shared" ref="D132:D165" si="195">BQ131</f>
        <v>#N/A</v>
      </c>
      <c r="E132" s="140" t="e">
        <f t="shared" ref="E132:E165" si="196">BR131</f>
        <v>#N/A</v>
      </c>
      <c r="F132" s="140" t="e">
        <f t="shared" ref="F132:F165" si="197">BS131</f>
        <v>#N/A</v>
      </c>
      <c r="G132" s="140" t="e">
        <f t="shared" ref="G132:G165" si="198">BT131</f>
        <v>#N/A</v>
      </c>
      <c r="H132" s="140" t="e">
        <f t="shared" ref="H132:H165" si="199">BU131</f>
        <v>#N/A</v>
      </c>
      <c r="I132" s="140" t="e">
        <f t="shared" ref="I132:I165" si="200">BV131</f>
        <v>#N/A</v>
      </c>
      <c r="J132" s="140" t="e">
        <f t="shared" ref="J132:J165" si="201">BW131</f>
        <v>#N/A</v>
      </c>
      <c r="K132" s="140" t="e">
        <f t="shared" ref="K132:K165" si="202">BX131</f>
        <v>#N/A</v>
      </c>
      <c r="L132" s="140" t="e">
        <f t="shared" ref="L132:L165" si="203">BY131</f>
        <v>#N/A</v>
      </c>
      <c r="M132" s="140" t="e">
        <f t="shared" ref="M132:M165" si="204">BZ131</f>
        <v>#N/A</v>
      </c>
      <c r="N132" s="140" t="e">
        <f t="shared" ref="N132:N165" si="205">CA131</f>
        <v>#N/A</v>
      </c>
      <c r="O132" s="140" t="e">
        <f t="shared" ref="O132:O165" si="206">CB131</f>
        <v>#N/A</v>
      </c>
      <c r="P132" s="140" t="e">
        <f t="shared" ref="P132:P165" si="207">CC131</f>
        <v>#N/A</v>
      </c>
      <c r="Q132" s="140" t="e">
        <f t="shared" ref="Q132:Q165" si="208">CD131</f>
        <v>#N/A</v>
      </c>
      <c r="R132" s="140" t="e">
        <f t="shared" ref="R132:R165" si="209">CE131</f>
        <v>#N/A</v>
      </c>
      <c r="S132" s="140" t="e">
        <f t="shared" ref="S132:S165" si="210">CF131</f>
        <v>#N/A</v>
      </c>
      <c r="T132" s="140" t="e">
        <f t="shared" ref="T132:T165" si="211">CG131</f>
        <v>#N/A</v>
      </c>
      <c r="U132" s="140" t="e">
        <f t="shared" ref="U132:U165" si="212">CH131</f>
        <v>#N/A</v>
      </c>
      <c r="V132" s="141" t="str">
        <f t="shared" si="124"/>
        <v>DPS</v>
      </c>
      <c r="W132" s="141" t="str">
        <f t="shared" si="125"/>
        <v>DPS</v>
      </c>
      <c r="X132" s="141" t="str">
        <f t="shared" si="126"/>
        <v>DPS</v>
      </c>
      <c r="Y132" s="141" t="str">
        <f t="shared" si="127"/>
        <v>DPS</v>
      </c>
      <c r="Z132" s="141" t="str">
        <f t="shared" si="128"/>
        <v>DPS</v>
      </c>
      <c r="AA132" s="141" t="str">
        <f t="shared" si="129"/>
        <v>DPS</v>
      </c>
      <c r="AB132" s="141" t="str">
        <f t="shared" si="130"/>
        <v>DPS</v>
      </c>
      <c r="AC132" s="141" t="str">
        <f t="shared" si="131"/>
        <v>DPS</v>
      </c>
      <c r="AD132" s="141" t="str">
        <f t="shared" si="132"/>
        <v>DPS</v>
      </c>
      <c r="AE132" s="141" t="str">
        <f t="shared" si="133"/>
        <v>DPS</v>
      </c>
      <c r="AF132" s="141" t="str">
        <f t="shared" si="134"/>
        <v>DPS</v>
      </c>
      <c r="AG132" s="141" t="str">
        <f t="shared" si="135"/>
        <v>DPS</v>
      </c>
      <c r="AH132" s="141" t="str">
        <f t="shared" si="136"/>
        <v>DPS</v>
      </c>
      <c r="AI132" s="141" t="str">
        <f t="shared" si="137"/>
        <v>HPS</v>
      </c>
      <c r="AJ132" s="141" t="str">
        <f t="shared" si="138"/>
        <v>HPS</v>
      </c>
      <c r="AK132" s="141" t="str">
        <f t="shared" si="139"/>
        <v>HPS</v>
      </c>
      <c r="AL132" s="141" t="str">
        <f t="shared" si="140"/>
        <v>HPS</v>
      </c>
      <c r="AM132" s="141" t="str">
        <f t="shared" si="141"/>
        <v>HPS</v>
      </c>
      <c r="AN132" s="141" t="str">
        <f t="shared" si="142"/>
        <v>HPS</v>
      </c>
      <c r="AO132" s="141" t="str">
        <f t="shared" si="143"/>
        <v>HPS</v>
      </c>
      <c r="AP132" s="134" t="e">
        <f t="shared" ref="AP132:AP165" si="213">IF(CI131=TRUE,0,AP131)</f>
        <v>#N/A</v>
      </c>
      <c r="AQ132" s="134" t="e">
        <f t="shared" ref="AQ132:AQ165" si="214">IF(CJ131=TRUE,0,AQ131)</f>
        <v>#N/A</v>
      </c>
      <c r="AR132" s="134" t="e">
        <f t="shared" ref="AR132:AR165" si="215">IF(CK131=TRUE,0,AR131)</f>
        <v>#N/A</v>
      </c>
      <c r="AS132" s="134" t="e">
        <f t="shared" ref="AS132:AS165" si="216">IF(CL131=TRUE,0,AS131)</f>
        <v>#N/A</v>
      </c>
      <c r="AT132" s="134" t="e">
        <f t="shared" ref="AT132:AT165" si="217">IF(CM131=TRUE,0,AT131)</f>
        <v>#N/A</v>
      </c>
      <c r="AU132" s="134" t="e">
        <f t="shared" ref="AU132:AU165" si="218">IF(CN131=TRUE,0,AU131)</f>
        <v>#N/A</v>
      </c>
      <c r="AV132" s="134" t="e">
        <f t="shared" ref="AV132:AV165" si="219">IF(CO131=TRUE,0,AV131)</f>
        <v>#N/A</v>
      </c>
      <c r="AW132" s="134" t="e">
        <f t="shared" ref="AW132:AW165" si="220">IF(CP131=TRUE,0,AW131)</f>
        <v>#N/A</v>
      </c>
      <c r="AX132" s="134" t="e">
        <f t="shared" ref="AX132:AX165" si="221">IF(CQ131=TRUE,0,AX131)</f>
        <v>#N/A</v>
      </c>
      <c r="AY132" s="134" t="e">
        <f t="shared" ref="AY132:AY165" si="222">IF(CR131=TRUE,0,AY131)</f>
        <v>#N/A</v>
      </c>
      <c r="AZ132" s="134" t="e">
        <f t="shared" ref="AZ132:AZ165" si="223">IF(CS131=TRUE,0,AZ131)</f>
        <v>#N/A</v>
      </c>
      <c r="BA132" s="134" t="e">
        <f t="shared" ref="BA132:BA165" si="224">IF(CT131=TRUE,0,BA131)</f>
        <v>#N/A</v>
      </c>
      <c r="BB132" s="134" t="e">
        <f t="shared" ref="BB132:BB165" si="225">IF(CU131=TRUE,0,BB131)</f>
        <v>#N/A</v>
      </c>
      <c r="BC132" s="134" t="e">
        <f t="shared" ref="BC132:BC165" si="226">IF(CV131=TRUE,0,BC131)</f>
        <v>#N/A</v>
      </c>
      <c r="BD132" s="134" t="e">
        <f t="shared" ref="BD132:BD165" si="227">IF(CW131=TRUE,0,BD131)</f>
        <v>#N/A</v>
      </c>
      <c r="BE132" s="134" t="e">
        <f t="shared" ref="BE132:BE165" si="228">IF(CX131=TRUE,0,BE131)</f>
        <v>#N/A</v>
      </c>
      <c r="BF132" s="134" t="e">
        <f t="shared" ref="BF132:BF165" si="229">IF(CY131=TRUE,0,BF131)</f>
        <v>#N/A</v>
      </c>
      <c r="BG132" s="134" t="e">
        <f t="shared" ref="BG132:BG165" si="230">IF(CZ131=TRUE,0,BG131)</f>
        <v>#N/A</v>
      </c>
      <c r="BH132" s="134" t="e">
        <f t="shared" ref="BH132:BH165" si="231">IF(DA131=TRUE,0,BH131)</f>
        <v>#N/A</v>
      </c>
      <c r="BI132" s="134" t="e">
        <f t="shared" ref="BI132:BI165" si="232">IF(DB131=TRUE,0,BI131)</f>
        <v>#N/A</v>
      </c>
      <c r="BJ132" t="e">
        <f t="shared" si="144"/>
        <v>#N/A</v>
      </c>
      <c r="BK132" t="e">
        <f t="shared" si="145"/>
        <v>#N/A</v>
      </c>
      <c r="BL132" s="142" t="e">
        <f t="shared" si="146"/>
        <v>#N/A</v>
      </c>
      <c r="BM132" s="142">
        <f t="shared" si="190"/>
        <v>2650</v>
      </c>
      <c r="BN132" t="e">
        <f t="shared" si="147"/>
        <v>#NUM!</v>
      </c>
      <c r="BO132" s="143" t="e">
        <f t="shared" si="148"/>
        <v>#N/A</v>
      </c>
      <c r="BP132" s="143" t="e">
        <f t="shared" si="149"/>
        <v>#N/A</v>
      </c>
      <c r="BQ132" s="143" t="e">
        <f t="shared" si="150"/>
        <v>#N/A</v>
      </c>
      <c r="BR132" s="143" t="e">
        <f t="shared" si="151"/>
        <v>#N/A</v>
      </c>
      <c r="BS132" s="143" t="e">
        <f t="shared" si="152"/>
        <v>#N/A</v>
      </c>
      <c r="BT132" s="143" t="e">
        <f t="shared" si="153"/>
        <v>#N/A</v>
      </c>
      <c r="BU132" s="143" t="e">
        <f t="shared" si="154"/>
        <v>#N/A</v>
      </c>
      <c r="BV132" s="143" t="e">
        <f t="shared" si="155"/>
        <v>#N/A</v>
      </c>
      <c r="BW132" s="143" t="e">
        <f t="shared" si="156"/>
        <v>#N/A</v>
      </c>
      <c r="BX132" s="143" t="e">
        <f t="shared" si="157"/>
        <v>#N/A</v>
      </c>
      <c r="BY132" s="143" t="e">
        <f t="shared" si="158"/>
        <v>#N/A</v>
      </c>
      <c r="BZ132" s="143" t="e">
        <f t="shared" si="159"/>
        <v>#N/A</v>
      </c>
      <c r="CA132" s="143" t="e">
        <f t="shared" si="160"/>
        <v>#N/A</v>
      </c>
      <c r="CB132" s="143" t="e">
        <f t="shared" si="161"/>
        <v>#N/A</v>
      </c>
      <c r="CC132" s="143" t="e">
        <f t="shared" si="162"/>
        <v>#N/A</v>
      </c>
      <c r="CD132" s="143" t="e">
        <f t="shared" si="163"/>
        <v>#N/A</v>
      </c>
      <c r="CE132" s="143" t="e">
        <f t="shared" si="164"/>
        <v>#N/A</v>
      </c>
      <c r="CF132" s="143" t="e">
        <f t="shared" si="165"/>
        <v>#N/A</v>
      </c>
      <c r="CG132" s="143" t="e">
        <f t="shared" si="166"/>
        <v>#N/A</v>
      </c>
      <c r="CH132" s="143" t="e">
        <f t="shared" si="167"/>
        <v>#N/A</v>
      </c>
      <c r="CI132" t="e">
        <f t="shared" si="168"/>
        <v>#N/A</v>
      </c>
      <c r="CJ132" t="e">
        <f t="shared" si="169"/>
        <v>#N/A</v>
      </c>
      <c r="CK132" t="e">
        <f t="shared" si="170"/>
        <v>#N/A</v>
      </c>
      <c r="CL132" t="e">
        <f t="shared" si="171"/>
        <v>#N/A</v>
      </c>
      <c r="CM132" t="e">
        <f t="shared" si="172"/>
        <v>#N/A</v>
      </c>
      <c r="CN132" t="e">
        <f t="shared" si="173"/>
        <v>#N/A</v>
      </c>
      <c r="CO132" t="e">
        <f t="shared" si="174"/>
        <v>#N/A</v>
      </c>
      <c r="CP132" t="e">
        <f t="shared" si="175"/>
        <v>#N/A</v>
      </c>
      <c r="CQ132" t="e">
        <f t="shared" si="176"/>
        <v>#N/A</v>
      </c>
      <c r="CR132" t="e">
        <f t="shared" si="177"/>
        <v>#N/A</v>
      </c>
      <c r="CS132" t="e">
        <f t="shared" si="178"/>
        <v>#N/A</v>
      </c>
      <c r="CT132" t="e">
        <f t="shared" si="179"/>
        <v>#N/A</v>
      </c>
      <c r="CU132" t="e">
        <f t="shared" si="180"/>
        <v>#N/A</v>
      </c>
      <c r="CV132" t="e">
        <f t="shared" si="181"/>
        <v>#N/A</v>
      </c>
      <c r="CW132" t="e">
        <f t="shared" si="182"/>
        <v>#N/A</v>
      </c>
      <c r="CX132" t="e">
        <f t="shared" si="183"/>
        <v>#N/A</v>
      </c>
      <c r="CY132" t="e">
        <f t="shared" si="184"/>
        <v>#N/A</v>
      </c>
      <c r="CZ132" t="e">
        <f t="shared" si="185"/>
        <v>#N/A</v>
      </c>
      <c r="DA132" t="e">
        <f t="shared" si="186"/>
        <v>#N/A</v>
      </c>
      <c r="DB132" t="e">
        <f t="shared" si="187"/>
        <v>#N/A</v>
      </c>
      <c r="DC132" s="142" t="e">
        <f t="shared" si="188"/>
        <v>#N/A</v>
      </c>
      <c r="DD132" t="e">
        <f t="shared" si="191"/>
        <v>#N/A</v>
      </c>
      <c r="DE132" t="b">
        <f t="shared" si="189"/>
        <v>0</v>
      </c>
    </row>
    <row r="133" spans="1:109">
      <c r="A133">
        <f t="shared" si="192"/>
        <v>68</v>
      </c>
      <c r="B133" s="140" t="e">
        <f t="shared" si="193"/>
        <v>#N/A</v>
      </c>
      <c r="C133" s="140" t="e">
        <f t="shared" si="194"/>
        <v>#N/A</v>
      </c>
      <c r="D133" s="140" t="e">
        <f t="shared" si="195"/>
        <v>#N/A</v>
      </c>
      <c r="E133" s="140" t="e">
        <f t="shared" si="196"/>
        <v>#N/A</v>
      </c>
      <c r="F133" s="140" t="e">
        <f t="shared" si="197"/>
        <v>#N/A</v>
      </c>
      <c r="G133" s="140" t="e">
        <f t="shared" si="198"/>
        <v>#N/A</v>
      </c>
      <c r="H133" s="140" t="e">
        <f t="shared" si="199"/>
        <v>#N/A</v>
      </c>
      <c r="I133" s="140" t="e">
        <f t="shared" si="200"/>
        <v>#N/A</v>
      </c>
      <c r="J133" s="140" t="e">
        <f t="shared" si="201"/>
        <v>#N/A</v>
      </c>
      <c r="K133" s="140" t="e">
        <f t="shared" si="202"/>
        <v>#N/A</v>
      </c>
      <c r="L133" s="140" t="e">
        <f t="shared" si="203"/>
        <v>#N/A</v>
      </c>
      <c r="M133" s="140" t="e">
        <f t="shared" si="204"/>
        <v>#N/A</v>
      </c>
      <c r="N133" s="140" t="e">
        <f t="shared" si="205"/>
        <v>#N/A</v>
      </c>
      <c r="O133" s="140" t="e">
        <f t="shared" si="206"/>
        <v>#N/A</v>
      </c>
      <c r="P133" s="140" t="e">
        <f t="shared" si="207"/>
        <v>#N/A</v>
      </c>
      <c r="Q133" s="140" t="e">
        <f t="shared" si="208"/>
        <v>#N/A</v>
      </c>
      <c r="R133" s="140" t="e">
        <f t="shared" si="209"/>
        <v>#N/A</v>
      </c>
      <c r="S133" s="140" t="e">
        <f t="shared" si="210"/>
        <v>#N/A</v>
      </c>
      <c r="T133" s="140" t="e">
        <f t="shared" si="211"/>
        <v>#N/A</v>
      </c>
      <c r="U133" s="140" t="e">
        <f t="shared" si="212"/>
        <v>#N/A</v>
      </c>
      <c r="V133" s="141" t="str">
        <f t="shared" si="124"/>
        <v>DPS</v>
      </c>
      <c r="W133" s="141" t="str">
        <f t="shared" si="125"/>
        <v>DPS</v>
      </c>
      <c r="X133" s="141" t="str">
        <f t="shared" si="126"/>
        <v>DPS</v>
      </c>
      <c r="Y133" s="141" t="str">
        <f t="shared" si="127"/>
        <v>DPS</v>
      </c>
      <c r="Z133" s="141" t="str">
        <f t="shared" si="128"/>
        <v>DPS</v>
      </c>
      <c r="AA133" s="141" t="str">
        <f t="shared" si="129"/>
        <v>DPS</v>
      </c>
      <c r="AB133" s="141" t="str">
        <f t="shared" si="130"/>
        <v>DPS</v>
      </c>
      <c r="AC133" s="141" t="str">
        <f t="shared" si="131"/>
        <v>DPS</v>
      </c>
      <c r="AD133" s="141" t="str">
        <f t="shared" si="132"/>
        <v>DPS</v>
      </c>
      <c r="AE133" s="141" t="str">
        <f t="shared" si="133"/>
        <v>DPS</v>
      </c>
      <c r="AF133" s="141" t="str">
        <f t="shared" si="134"/>
        <v>DPS</v>
      </c>
      <c r="AG133" s="141" t="str">
        <f t="shared" si="135"/>
        <v>DPS</v>
      </c>
      <c r="AH133" s="141" t="str">
        <f t="shared" si="136"/>
        <v>DPS</v>
      </c>
      <c r="AI133" s="141" t="str">
        <f t="shared" si="137"/>
        <v>HPS</v>
      </c>
      <c r="AJ133" s="141" t="str">
        <f t="shared" si="138"/>
        <v>HPS</v>
      </c>
      <c r="AK133" s="141" t="str">
        <f t="shared" si="139"/>
        <v>HPS</v>
      </c>
      <c r="AL133" s="141" t="str">
        <f t="shared" si="140"/>
        <v>HPS</v>
      </c>
      <c r="AM133" s="141" t="str">
        <f t="shared" si="141"/>
        <v>HPS</v>
      </c>
      <c r="AN133" s="141" t="str">
        <f t="shared" si="142"/>
        <v>HPS</v>
      </c>
      <c r="AO133" s="141" t="str">
        <f t="shared" si="143"/>
        <v>HPS</v>
      </c>
      <c r="AP133" s="134" t="e">
        <f t="shared" si="213"/>
        <v>#N/A</v>
      </c>
      <c r="AQ133" s="134" t="e">
        <f t="shared" si="214"/>
        <v>#N/A</v>
      </c>
      <c r="AR133" s="134" t="e">
        <f t="shared" si="215"/>
        <v>#N/A</v>
      </c>
      <c r="AS133" s="134" t="e">
        <f t="shared" si="216"/>
        <v>#N/A</v>
      </c>
      <c r="AT133" s="134" t="e">
        <f t="shared" si="217"/>
        <v>#N/A</v>
      </c>
      <c r="AU133" s="134" t="e">
        <f t="shared" si="218"/>
        <v>#N/A</v>
      </c>
      <c r="AV133" s="134" t="e">
        <f t="shared" si="219"/>
        <v>#N/A</v>
      </c>
      <c r="AW133" s="134" t="e">
        <f t="shared" si="220"/>
        <v>#N/A</v>
      </c>
      <c r="AX133" s="134" t="e">
        <f t="shared" si="221"/>
        <v>#N/A</v>
      </c>
      <c r="AY133" s="134" t="e">
        <f t="shared" si="222"/>
        <v>#N/A</v>
      </c>
      <c r="AZ133" s="134" t="e">
        <f t="shared" si="223"/>
        <v>#N/A</v>
      </c>
      <c r="BA133" s="134" t="e">
        <f t="shared" si="224"/>
        <v>#N/A</v>
      </c>
      <c r="BB133" s="134" t="e">
        <f t="shared" si="225"/>
        <v>#N/A</v>
      </c>
      <c r="BC133" s="134" t="e">
        <f t="shared" si="226"/>
        <v>#N/A</v>
      </c>
      <c r="BD133" s="134" t="e">
        <f t="shared" si="227"/>
        <v>#N/A</v>
      </c>
      <c r="BE133" s="134" t="e">
        <f t="shared" si="228"/>
        <v>#N/A</v>
      </c>
      <c r="BF133" s="134" t="e">
        <f t="shared" si="229"/>
        <v>#N/A</v>
      </c>
      <c r="BG133" s="134" t="e">
        <f t="shared" si="230"/>
        <v>#N/A</v>
      </c>
      <c r="BH133" s="134" t="e">
        <f t="shared" si="231"/>
        <v>#N/A</v>
      </c>
      <c r="BI133" s="134" t="e">
        <f t="shared" si="232"/>
        <v>#N/A</v>
      </c>
      <c r="BJ133" t="e">
        <f t="shared" si="144"/>
        <v>#N/A</v>
      </c>
      <c r="BK133" t="e">
        <f t="shared" si="145"/>
        <v>#N/A</v>
      </c>
      <c r="BL133" s="142" t="e">
        <f t="shared" si="146"/>
        <v>#N/A</v>
      </c>
      <c r="BM133" s="142">
        <f t="shared" si="190"/>
        <v>2650</v>
      </c>
      <c r="BN133" t="e">
        <f t="shared" si="147"/>
        <v>#NUM!</v>
      </c>
      <c r="BO133" s="143" t="e">
        <f t="shared" si="148"/>
        <v>#N/A</v>
      </c>
      <c r="BP133" s="143" t="e">
        <f t="shared" si="149"/>
        <v>#N/A</v>
      </c>
      <c r="BQ133" s="143" t="e">
        <f t="shared" si="150"/>
        <v>#N/A</v>
      </c>
      <c r="BR133" s="143" t="e">
        <f t="shared" si="151"/>
        <v>#N/A</v>
      </c>
      <c r="BS133" s="143" t="e">
        <f t="shared" si="152"/>
        <v>#N/A</v>
      </c>
      <c r="BT133" s="143" t="e">
        <f t="shared" si="153"/>
        <v>#N/A</v>
      </c>
      <c r="BU133" s="143" t="e">
        <f t="shared" si="154"/>
        <v>#N/A</v>
      </c>
      <c r="BV133" s="143" t="e">
        <f t="shared" si="155"/>
        <v>#N/A</v>
      </c>
      <c r="BW133" s="143" t="e">
        <f t="shared" si="156"/>
        <v>#N/A</v>
      </c>
      <c r="BX133" s="143" t="e">
        <f t="shared" si="157"/>
        <v>#N/A</v>
      </c>
      <c r="BY133" s="143" t="e">
        <f t="shared" si="158"/>
        <v>#N/A</v>
      </c>
      <c r="BZ133" s="143" t="e">
        <f t="shared" si="159"/>
        <v>#N/A</v>
      </c>
      <c r="CA133" s="143" t="e">
        <f t="shared" si="160"/>
        <v>#N/A</v>
      </c>
      <c r="CB133" s="143" t="e">
        <f t="shared" si="161"/>
        <v>#N/A</v>
      </c>
      <c r="CC133" s="143" t="e">
        <f t="shared" si="162"/>
        <v>#N/A</v>
      </c>
      <c r="CD133" s="143" t="e">
        <f t="shared" si="163"/>
        <v>#N/A</v>
      </c>
      <c r="CE133" s="143" t="e">
        <f t="shared" si="164"/>
        <v>#N/A</v>
      </c>
      <c r="CF133" s="143" t="e">
        <f t="shared" si="165"/>
        <v>#N/A</v>
      </c>
      <c r="CG133" s="143" t="e">
        <f t="shared" si="166"/>
        <v>#N/A</v>
      </c>
      <c r="CH133" s="143" t="e">
        <f t="shared" si="167"/>
        <v>#N/A</v>
      </c>
      <c r="CI133" t="e">
        <f t="shared" si="168"/>
        <v>#N/A</v>
      </c>
      <c r="CJ133" t="e">
        <f t="shared" si="169"/>
        <v>#N/A</v>
      </c>
      <c r="CK133" t="e">
        <f t="shared" si="170"/>
        <v>#N/A</v>
      </c>
      <c r="CL133" t="e">
        <f t="shared" si="171"/>
        <v>#N/A</v>
      </c>
      <c r="CM133" t="e">
        <f t="shared" si="172"/>
        <v>#N/A</v>
      </c>
      <c r="CN133" t="e">
        <f t="shared" si="173"/>
        <v>#N/A</v>
      </c>
      <c r="CO133" t="e">
        <f t="shared" si="174"/>
        <v>#N/A</v>
      </c>
      <c r="CP133" t="e">
        <f t="shared" si="175"/>
        <v>#N/A</v>
      </c>
      <c r="CQ133" t="e">
        <f t="shared" si="176"/>
        <v>#N/A</v>
      </c>
      <c r="CR133" t="e">
        <f t="shared" si="177"/>
        <v>#N/A</v>
      </c>
      <c r="CS133" t="e">
        <f t="shared" si="178"/>
        <v>#N/A</v>
      </c>
      <c r="CT133" t="e">
        <f t="shared" si="179"/>
        <v>#N/A</v>
      </c>
      <c r="CU133" t="e">
        <f t="shared" si="180"/>
        <v>#N/A</v>
      </c>
      <c r="CV133" t="e">
        <f t="shared" si="181"/>
        <v>#N/A</v>
      </c>
      <c r="CW133" t="e">
        <f t="shared" si="182"/>
        <v>#N/A</v>
      </c>
      <c r="CX133" t="e">
        <f t="shared" si="183"/>
        <v>#N/A</v>
      </c>
      <c r="CY133" t="e">
        <f t="shared" si="184"/>
        <v>#N/A</v>
      </c>
      <c r="CZ133" t="e">
        <f t="shared" si="185"/>
        <v>#N/A</v>
      </c>
      <c r="DA133" t="e">
        <f t="shared" si="186"/>
        <v>#N/A</v>
      </c>
      <c r="DB133" t="e">
        <f t="shared" si="187"/>
        <v>#N/A</v>
      </c>
      <c r="DC133" s="142" t="e">
        <f t="shared" si="188"/>
        <v>#N/A</v>
      </c>
      <c r="DD133" t="e">
        <f t="shared" si="191"/>
        <v>#N/A</v>
      </c>
      <c r="DE133" t="b">
        <f t="shared" si="189"/>
        <v>0</v>
      </c>
    </row>
    <row r="134" spans="1:109">
      <c r="A134">
        <f t="shared" si="192"/>
        <v>69</v>
      </c>
      <c r="B134" s="140" t="e">
        <f t="shared" si="193"/>
        <v>#N/A</v>
      </c>
      <c r="C134" s="140" t="e">
        <f t="shared" si="194"/>
        <v>#N/A</v>
      </c>
      <c r="D134" s="140" t="e">
        <f t="shared" si="195"/>
        <v>#N/A</v>
      </c>
      <c r="E134" s="140" t="e">
        <f t="shared" si="196"/>
        <v>#N/A</v>
      </c>
      <c r="F134" s="140" t="e">
        <f t="shared" si="197"/>
        <v>#N/A</v>
      </c>
      <c r="G134" s="140" t="e">
        <f t="shared" si="198"/>
        <v>#N/A</v>
      </c>
      <c r="H134" s="140" t="e">
        <f t="shared" si="199"/>
        <v>#N/A</v>
      </c>
      <c r="I134" s="140" t="e">
        <f t="shared" si="200"/>
        <v>#N/A</v>
      </c>
      <c r="J134" s="140" t="e">
        <f t="shared" si="201"/>
        <v>#N/A</v>
      </c>
      <c r="K134" s="140" t="e">
        <f t="shared" si="202"/>
        <v>#N/A</v>
      </c>
      <c r="L134" s="140" t="e">
        <f t="shared" si="203"/>
        <v>#N/A</v>
      </c>
      <c r="M134" s="140" t="e">
        <f t="shared" si="204"/>
        <v>#N/A</v>
      </c>
      <c r="N134" s="140" t="e">
        <f t="shared" si="205"/>
        <v>#N/A</v>
      </c>
      <c r="O134" s="140" t="e">
        <f t="shared" si="206"/>
        <v>#N/A</v>
      </c>
      <c r="P134" s="140" t="e">
        <f t="shared" si="207"/>
        <v>#N/A</v>
      </c>
      <c r="Q134" s="140" t="e">
        <f t="shared" si="208"/>
        <v>#N/A</v>
      </c>
      <c r="R134" s="140" t="e">
        <f t="shared" si="209"/>
        <v>#N/A</v>
      </c>
      <c r="S134" s="140" t="e">
        <f t="shared" si="210"/>
        <v>#N/A</v>
      </c>
      <c r="T134" s="140" t="e">
        <f t="shared" si="211"/>
        <v>#N/A</v>
      </c>
      <c r="U134" s="140" t="e">
        <f t="shared" si="212"/>
        <v>#N/A</v>
      </c>
      <c r="V134" s="141" t="str">
        <f t="shared" si="124"/>
        <v>DPS</v>
      </c>
      <c r="W134" s="141" t="str">
        <f t="shared" si="125"/>
        <v>DPS</v>
      </c>
      <c r="X134" s="141" t="str">
        <f t="shared" si="126"/>
        <v>DPS</v>
      </c>
      <c r="Y134" s="141" t="str">
        <f t="shared" si="127"/>
        <v>DPS</v>
      </c>
      <c r="Z134" s="141" t="str">
        <f t="shared" si="128"/>
        <v>DPS</v>
      </c>
      <c r="AA134" s="141" t="str">
        <f t="shared" si="129"/>
        <v>DPS</v>
      </c>
      <c r="AB134" s="141" t="str">
        <f t="shared" si="130"/>
        <v>DPS</v>
      </c>
      <c r="AC134" s="141" t="str">
        <f t="shared" si="131"/>
        <v>DPS</v>
      </c>
      <c r="AD134" s="141" t="str">
        <f t="shared" si="132"/>
        <v>DPS</v>
      </c>
      <c r="AE134" s="141" t="str">
        <f t="shared" si="133"/>
        <v>DPS</v>
      </c>
      <c r="AF134" s="141" t="str">
        <f t="shared" si="134"/>
        <v>DPS</v>
      </c>
      <c r="AG134" s="141" t="str">
        <f t="shared" si="135"/>
        <v>DPS</v>
      </c>
      <c r="AH134" s="141" t="str">
        <f t="shared" si="136"/>
        <v>DPS</v>
      </c>
      <c r="AI134" s="141" t="str">
        <f t="shared" si="137"/>
        <v>HPS</v>
      </c>
      <c r="AJ134" s="141" t="str">
        <f t="shared" si="138"/>
        <v>HPS</v>
      </c>
      <c r="AK134" s="141" t="str">
        <f t="shared" si="139"/>
        <v>HPS</v>
      </c>
      <c r="AL134" s="141" t="str">
        <f t="shared" si="140"/>
        <v>HPS</v>
      </c>
      <c r="AM134" s="141" t="str">
        <f t="shared" si="141"/>
        <v>HPS</v>
      </c>
      <c r="AN134" s="141" t="str">
        <f t="shared" si="142"/>
        <v>HPS</v>
      </c>
      <c r="AO134" s="141" t="str">
        <f t="shared" si="143"/>
        <v>HPS</v>
      </c>
      <c r="AP134" s="134" t="e">
        <f t="shared" si="213"/>
        <v>#N/A</v>
      </c>
      <c r="AQ134" s="134" t="e">
        <f t="shared" si="214"/>
        <v>#N/A</v>
      </c>
      <c r="AR134" s="134" t="e">
        <f t="shared" si="215"/>
        <v>#N/A</v>
      </c>
      <c r="AS134" s="134" t="e">
        <f t="shared" si="216"/>
        <v>#N/A</v>
      </c>
      <c r="AT134" s="134" t="e">
        <f t="shared" si="217"/>
        <v>#N/A</v>
      </c>
      <c r="AU134" s="134" t="e">
        <f t="shared" si="218"/>
        <v>#N/A</v>
      </c>
      <c r="AV134" s="134" t="e">
        <f t="shared" si="219"/>
        <v>#N/A</v>
      </c>
      <c r="AW134" s="134" t="e">
        <f t="shared" si="220"/>
        <v>#N/A</v>
      </c>
      <c r="AX134" s="134" t="e">
        <f t="shared" si="221"/>
        <v>#N/A</v>
      </c>
      <c r="AY134" s="134" t="e">
        <f t="shared" si="222"/>
        <v>#N/A</v>
      </c>
      <c r="AZ134" s="134" t="e">
        <f t="shared" si="223"/>
        <v>#N/A</v>
      </c>
      <c r="BA134" s="134" t="e">
        <f t="shared" si="224"/>
        <v>#N/A</v>
      </c>
      <c r="BB134" s="134" t="e">
        <f t="shared" si="225"/>
        <v>#N/A</v>
      </c>
      <c r="BC134" s="134" t="e">
        <f t="shared" si="226"/>
        <v>#N/A</v>
      </c>
      <c r="BD134" s="134" t="e">
        <f t="shared" si="227"/>
        <v>#N/A</v>
      </c>
      <c r="BE134" s="134" t="e">
        <f t="shared" si="228"/>
        <v>#N/A</v>
      </c>
      <c r="BF134" s="134" t="e">
        <f t="shared" si="229"/>
        <v>#N/A</v>
      </c>
      <c r="BG134" s="134" t="e">
        <f t="shared" si="230"/>
        <v>#N/A</v>
      </c>
      <c r="BH134" s="134" t="e">
        <f t="shared" si="231"/>
        <v>#N/A</v>
      </c>
      <c r="BI134" s="134" t="e">
        <f t="shared" si="232"/>
        <v>#N/A</v>
      </c>
      <c r="BJ134" t="e">
        <f t="shared" si="144"/>
        <v>#N/A</v>
      </c>
      <c r="BK134" t="e">
        <f t="shared" si="145"/>
        <v>#N/A</v>
      </c>
      <c r="BL134" s="142" t="e">
        <f t="shared" si="146"/>
        <v>#N/A</v>
      </c>
      <c r="BM134" s="142">
        <f t="shared" si="190"/>
        <v>2650</v>
      </c>
      <c r="BN134" t="e">
        <f t="shared" si="147"/>
        <v>#NUM!</v>
      </c>
      <c r="BO134" s="143" t="e">
        <f t="shared" si="148"/>
        <v>#N/A</v>
      </c>
      <c r="BP134" s="143" t="e">
        <f t="shared" si="149"/>
        <v>#N/A</v>
      </c>
      <c r="BQ134" s="143" t="e">
        <f t="shared" si="150"/>
        <v>#N/A</v>
      </c>
      <c r="BR134" s="143" t="e">
        <f t="shared" si="151"/>
        <v>#N/A</v>
      </c>
      <c r="BS134" s="143" t="e">
        <f t="shared" si="152"/>
        <v>#N/A</v>
      </c>
      <c r="BT134" s="143" t="e">
        <f t="shared" si="153"/>
        <v>#N/A</v>
      </c>
      <c r="BU134" s="143" t="e">
        <f t="shared" si="154"/>
        <v>#N/A</v>
      </c>
      <c r="BV134" s="143" t="e">
        <f t="shared" si="155"/>
        <v>#N/A</v>
      </c>
      <c r="BW134" s="143" t="e">
        <f t="shared" si="156"/>
        <v>#N/A</v>
      </c>
      <c r="BX134" s="143" t="e">
        <f t="shared" si="157"/>
        <v>#N/A</v>
      </c>
      <c r="BY134" s="143" t="e">
        <f t="shared" si="158"/>
        <v>#N/A</v>
      </c>
      <c r="BZ134" s="143" t="e">
        <f t="shared" si="159"/>
        <v>#N/A</v>
      </c>
      <c r="CA134" s="143" t="e">
        <f t="shared" si="160"/>
        <v>#N/A</v>
      </c>
      <c r="CB134" s="143" t="e">
        <f t="shared" si="161"/>
        <v>#N/A</v>
      </c>
      <c r="CC134" s="143" t="e">
        <f t="shared" si="162"/>
        <v>#N/A</v>
      </c>
      <c r="CD134" s="143" t="e">
        <f t="shared" si="163"/>
        <v>#N/A</v>
      </c>
      <c r="CE134" s="143" t="e">
        <f t="shared" si="164"/>
        <v>#N/A</v>
      </c>
      <c r="CF134" s="143" t="e">
        <f t="shared" si="165"/>
        <v>#N/A</v>
      </c>
      <c r="CG134" s="143" t="e">
        <f t="shared" si="166"/>
        <v>#N/A</v>
      </c>
      <c r="CH134" s="143" t="e">
        <f t="shared" si="167"/>
        <v>#N/A</v>
      </c>
      <c r="CI134" t="e">
        <f t="shared" si="168"/>
        <v>#N/A</v>
      </c>
      <c r="CJ134" t="e">
        <f t="shared" si="169"/>
        <v>#N/A</v>
      </c>
      <c r="CK134" t="e">
        <f t="shared" si="170"/>
        <v>#N/A</v>
      </c>
      <c r="CL134" t="e">
        <f t="shared" si="171"/>
        <v>#N/A</v>
      </c>
      <c r="CM134" t="e">
        <f t="shared" si="172"/>
        <v>#N/A</v>
      </c>
      <c r="CN134" t="e">
        <f t="shared" si="173"/>
        <v>#N/A</v>
      </c>
      <c r="CO134" t="e">
        <f t="shared" si="174"/>
        <v>#N/A</v>
      </c>
      <c r="CP134" t="e">
        <f t="shared" si="175"/>
        <v>#N/A</v>
      </c>
      <c r="CQ134" t="e">
        <f t="shared" si="176"/>
        <v>#N/A</v>
      </c>
      <c r="CR134" t="e">
        <f t="shared" si="177"/>
        <v>#N/A</v>
      </c>
      <c r="CS134" t="e">
        <f t="shared" si="178"/>
        <v>#N/A</v>
      </c>
      <c r="CT134" t="e">
        <f t="shared" si="179"/>
        <v>#N/A</v>
      </c>
      <c r="CU134" t="e">
        <f t="shared" si="180"/>
        <v>#N/A</v>
      </c>
      <c r="CV134" t="e">
        <f t="shared" si="181"/>
        <v>#N/A</v>
      </c>
      <c r="CW134" t="e">
        <f t="shared" si="182"/>
        <v>#N/A</v>
      </c>
      <c r="CX134" t="e">
        <f t="shared" si="183"/>
        <v>#N/A</v>
      </c>
      <c r="CY134" t="e">
        <f t="shared" si="184"/>
        <v>#N/A</v>
      </c>
      <c r="CZ134" t="e">
        <f t="shared" si="185"/>
        <v>#N/A</v>
      </c>
      <c r="DA134" t="e">
        <f t="shared" si="186"/>
        <v>#N/A</v>
      </c>
      <c r="DB134" t="e">
        <f t="shared" si="187"/>
        <v>#N/A</v>
      </c>
      <c r="DC134" s="142" t="e">
        <f t="shared" si="188"/>
        <v>#N/A</v>
      </c>
      <c r="DD134" t="e">
        <f t="shared" si="191"/>
        <v>#N/A</v>
      </c>
      <c r="DE134" t="b">
        <f t="shared" si="189"/>
        <v>0</v>
      </c>
    </row>
    <row r="135" spans="1:109">
      <c r="A135">
        <f t="shared" si="192"/>
        <v>70</v>
      </c>
      <c r="B135" s="140" t="e">
        <f t="shared" si="193"/>
        <v>#N/A</v>
      </c>
      <c r="C135" s="140" t="e">
        <f t="shared" si="194"/>
        <v>#N/A</v>
      </c>
      <c r="D135" s="140" t="e">
        <f t="shared" si="195"/>
        <v>#N/A</v>
      </c>
      <c r="E135" s="140" t="e">
        <f t="shared" si="196"/>
        <v>#N/A</v>
      </c>
      <c r="F135" s="140" t="e">
        <f t="shared" si="197"/>
        <v>#N/A</v>
      </c>
      <c r="G135" s="140" t="e">
        <f t="shared" si="198"/>
        <v>#N/A</v>
      </c>
      <c r="H135" s="140" t="e">
        <f t="shared" si="199"/>
        <v>#N/A</v>
      </c>
      <c r="I135" s="140" t="e">
        <f t="shared" si="200"/>
        <v>#N/A</v>
      </c>
      <c r="J135" s="140" t="e">
        <f t="shared" si="201"/>
        <v>#N/A</v>
      </c>
      <c r="K135" s="140" t="e">
        <f t="shared" si="202"/>
        <v>#N/A</v>
      </c>
      <c r="L135" s="140" t="e">
        <f t="shared" si="203"/>
        <v>#N/A</v>
      </c>
      <c r="M135" s="140" t="e">
        <f t="shared" si="204"/>
        <v>#N/A</v>
      </c>
      <c r="N135" s="140" t="e">
        <f t="shared" si="205"/>
        <v>#N/A</v>
      </c>
      <c r="O135" s="140" t="e">
        <f t="shared" si="206"/>
        <v>#N/A</v>
      </c>
      <c r="P135" s="140" t="e">
        <f t="shared" si="207"/>
        <v>#N/A</v>
      </c>
      <c r="Q135" s="140" t="e">
        <f t="shared" si="208"/>
        <v>#N/A</v>
      </c>
      <c r="R135" s="140" t="e">
        <f t="shared" si="209"/>
        <v>#N/A</v>
      </c>
      <c r="S135" s="140" t="e">
        <f t="shared" si="210"/>
        <v>#N/A</v>
      </c>
      <c r="T135" s="140" t="e">
        <f t="shared" si="211"/>
        <v>#N/A</v>
      </c>
      <c r="U135" s="140" t="e">
        <f t="shared" si="212"/>
        <v>#N/A</v>
      </c>
      <c r="V135" s="141" t="str">
        <f t="shared" si="124"/>
        <v>DPS</v>
      </c>
      <c r="W135" s="141" t="str">
        <f t="shared" si="125"/>
        <v>DPS</v>
      </c>
      <c r="X135" s="141" t="str">
        <f t="shared" si="126"/>
        <v>DPS</v>
      </c>
      <c r="Y135" s="141" t="str">
        <f t="shared" si="127"/>
        <v>DPS</v>
      </c>
      <c r="Z135" s="141" t="str">
        <f t="shared" si="128"/>
        <v>DPS</v>
      </c>
      <c r="AA135" s="141" t="str">
        <f t="shared" si="129"/>
        <v>DPS</v>
      </c>
      <c r="AB135" s="141" t="str">
        <f t="shared" si="130"/>
        <v>DPS</v>
      </c>
      <c r="AC135" s="141" t="str">
        <f t="shared" si="131"/>
        <v>DPS</v>
      </c>
      <c r="AD135" s="141" t="str">
        <f t="shared" si="132"/>
        <v>DPS</v>
      </c>
      <c r="AE135" s="141" t="str">
        <f t="shared" si="133"/>
        <v>DPS</v>
      </c>
      <c r="AF135" s="141" t="str">
        <f t="shared" si="134"/>
        <v>DPS</v>
      </c>
      <c r="AG135" s="141" t="str">
        <f t="shared" si="135"/>
        <v>DPS</v>
      </c>
      <c r="AH135" s="141" t="str">
        <f t="shared" si="136"/>
        <v>DPS</v>
      </c>
      <c r="AI135" s="141" t="str">
        <f t="shared" si="137"/>
        <v>HPS</v>
      </c>
      <c r="AJ135" s="141" t="str">
        <f t="shared" si="138"/>
        <v>HPS</v>
      </c>
      <c r="AK135" s="141" t="str">
        <f t="shared" si="139"/>
        <v>HPS</v>
      </c>
      <c r="AL135" s="141" t="str">
        <f t="shared" si="140"/>
        <v>HPS</v>
      </c>
      <c r="AM135" s="141" t="str">
        <f t="shared" si="141"/>
        <v>HPS</v>
      </c>
      <c r="AN135" s="141" t="str">
        <f t="shared" si="142"/>
        <v>HPS</v>
      </c>
      <c r="AO135" s="141" t="str">
        <f t="shared" si="143"/>
        <v>HPS</v>
      </c>
      <c r="AP135" s="134" t="e">
        <f t="shared" si="213"/>
        <v>#N/A</v>
      </c>
      <c r="AQ135" s="134" t="e">
        <f t="shared" si="214"/>
        <v>#N/A</v>
      </c>
      <c r="AR135" s="134" t="e">
        <f t="shared" si="215"/>
        <v>#N/A</v>
      </c>
      <c r="AS135" s="134" t="e">
        <f t="shared" si="216"/>
        <v>#N/A</v>
      </c>
      <c r="AT135" s="134" t="e">
        <f t="shared" si="217"/>
        <v>#N/A</v>
      </c>
      <c r="AU135" s="134" t="e">
        <f t="shared" si="218"/>
        <v>#N/A</v>
      </c>
      <c r="AV135" s="134" t="e">
        <f t="shared" si="219"/>
        <v>#N/A</v>
      </c>
      <c r="AW135" s="134" t="e">
        <f t="shared" si="220"/>
        <v>#N/A</v>
      </c>
      <c r="AX135" s="134" t="e">
        <f t="shared" si="221"/>
        <v>#N/A</v>
      </c>
      <c r="AY135" s="134" t="e">
        <f t="shared" si="222"/>
        <v>#N/A</v>
      </c>
      <c r="AZ135" s="134" t="e">
        <f t="shared" si="223"/>
        <v>#N/A</v>
      </c>
      <c r="BA135" s="134" t="e">
        <f t="shared" si="224"/>
        <v>#N/A</v>
      </c>
      <c r="BB135" s="134" t="e">
        <f t="shared" si="225"/>
        <v>#N/A</v>
      </c>
      <c r="BC135" s="134" t="e">
        <f t="shared" si="226"/>
        <v>#N/A</v>
      </c>
      <c r="BD135" s="134" t="e">
        <f t="shared" si="227"/>
        <v>#N/A</v>
      </c>
      <c r="BE135" s="134" t="e">
        <f t="shared" si="228"/>
        <v>#N/A</v>
      </c>
      <c r="BF135" s="134" t="e">
        <f t="shared" si="229"/>
        <v>#N/A</v>
      </c>
      <c r="BG135" s="134" t="e">
        <f t="shared" si="230"/>
        <v>#N/A</v>
      </c>
      <c r="BH135" s="134" t="e">
        <f t="shared" si="231"/>
        <v>#N/A</v>
      </c>
      <c r="BI135" s="134" t="e">
        <f t="shared" si="232"/>
        <v>#N/A</v>
      </c>
      <c r="BJ135" t="e">
        <f t="shared" si="144"/>
        <v>#N/A</v>
      </c>
      <c r="BK135" t="e">
        <f t="shared" si="145"/>
        <v>#N/A</v>
      </c>
      <c r="BL135" s="142" t="e">
        <f t="shared" si="146"/>
        <v>#N/A</v>
      </c>
      <c r="BM135" s="142">
        <f t="shared" si="190"/>
        <v>2650</v>
      </c>
      <c r="BN135" t="e">
        <f t="shared" si="147"/>
        <v>#NUM!</v>
      </c>
      <c r="BO135" s="143" t="e">
        <f t="shared" si="148"/>
        <v>#N/A</v>
      </c>
      <c r="BP135" s="143" t="e">
        <f t="shared" si="149"/>
        <v>#N/A</v>
      </c>
      <c r="BQ135" s="143" t="e">
        <f t="shared" si="150"/>
        <v>#N/A</v>
      </c>
      <c r="BR135" s="143" t="e">
        <f t="shared" si="151"/>
        <v>#N/A</v>
      </c>
      <c r="BS135" s="143" t="e">
        <f t="shared" si="152"/>
        <v>#N/A</v>
      </c>
      <c r="BT135" s="143" t="e">
        <f t="shared" si="153"/>
        <v>#N/A</v>
      </c>
      <c r="BU135" s="143" t="e">
        <f t="shared" si="154"/>
        <v>#N/A</v>
      </c>
      <c r="BV135" s="143" t="e">
        <f t="shared" si="155"/>
        <v>#N/A</v>
      </c>
      <c r="BW135" s="143" t="e">
        <f t="shared" si="156"/>
        <v>#N/A</v>
      </c>
      <c r="BX135" s="143" t="e">
        <f t="shared" si="157"/>
        <v>#N/A</v>
      </c>
      <c r="BY135" s="143" t="e">
        <f t="shared" si="158"/>
        <v>#N/A</v>
      </c>
      <c r="BZ135" s="143" t="e">
        <f t="shared" si="159"/>
        <v>#N/A</v>
      </c>
      <c r="CA135" s="143" t="e">
        <f t="shared" si="160"/>
        <v>#N/A</v>
      </c>
      <c r="CB135" s="143" t="e">
        <f t="shared" si="161"/>
        <v>#N/A</v>
      </c>
      <c r="CC135" s="143" t="e">
        <f t="shared" si="162"/>
        <v>#N/A</v>
      </c>
      <c r="CD135" s="143" t="e">
        <f t="shared" si="163"/>
        <v>#N/A</v>
      </c>
      <c r="CE135" s="143" t="e">
        <f t="shared" si="164"/>
        <v>#N/A</v>
      </c>
      <c r="CF135" s="143" t="e">
        <f t="shared" si="165"/>
        <v>#N/A</v>
      </c>
      <c r="CG135" s="143" t="e">
        <f t="shared" si="166"/>
        <v>#N/A</v>
      </c>
      <c r="CH135" s="143" t="e">
        <f t="shared" si="167"/>
        <v>#N/A</v>
      </c>
      <c r="CI135" t="e">
        <f t="shared" si="168"/>
        <v>#N/A</v>
      </c>
      <c r="CJ135" t="e">
        <f t="shared" si="169"/>
        <v>#N/A</v>
      </c>
      <c r="CK135" t="e">
        <f t="shared" si="170"/>
        <v>#N/A</v>
      </c>
      <c r="CL135" t="e">
        <f t="shared" si="171"/>
        <v>#N/A</v>
      </c>
      <c r="CM135" t="e">
        <f t="shared" si="172"/>
        <v>#N/A</v>
      </c>
      <c r="CN135" t="e">
        <f t="shared" si="173"/>
        <v>#N/A</v>
      </c>
      <c r="CO135" t="e">
        <f t="shared" si="174"/>
        <v>#N/A</v>
      </c>
      <c r="CP135" t="e">
        <f t="shared" si="175"/>
        <v>#N/A</v>
      </c>
      <c r="CQ135" t="e">
        <f t="shared" si="176"/>
        <v>#N/A</v>
      </c>
      <c r="CR135" t="e">
        <f t="shared" si="177"/>
        <v>#N/A</v>
      </c>
      <c r="CS135" t="e">
        <f t="shared" si="178"/>
        <v>#N/A</v>
      </c>
      <c r="CT135" t="e">
        <f t="shared" si="179"/>
        <v>#N/A</v>
      </c>
      <c r="CU135" t="e">
        <f t="shared" si="180"/>
        <v>#N/A</v>
      </c>
      <c r="CV135" t="e">
        <f t="shared" si="181"/>
        <v>#N/A</v>
      </c>
      <c r="CW135" t="e">
        <f t="shared" si="182"/>
        <v>#N/A</v>
      </c>
      <c r="CX135" t="e">
        <f t="shared" si="183"/>
        <v>#N/A</v>
      </c>
      <c r="CY135" t="e">
        <f t="shared" si="184"/>
        <v>#N/A</v>
      </c>
      <c r="CZ135" t="e">
        <f t="shared" si="185"/>
        <v>#N/A</v>
      </c>
      <c r="DA135" t="e">
        <f t="shared" si="186"/>
        <v>#N/A</v>
      </c>
      <c r="DB135" t="e">
        <f t="shared" si="187"/>
        <v>#N/A</v>
      </c>
      <c r="DC135" s="142" t="e">
        <f t="shared" si="188"/>
        <v>#N/A</v>
      </c>
      <c r="DD135" t="e">
        <f t="shared" si="191"/>
        <v>#N/A</v>
      </c>
      <c r="DE135" t="b">
        <f t="shared" si="189"/>
        <v>0</v>
      </c>
    </row>
    <row r="136" spans="1:109">
      <c r="A136">
        <f t="shared" si="192"/>
        <v>71</v>
      </c>
      <c r="B136" s="140" t="e">
        <f t="shared" si="193"/>
        <v>#N/A</v>
      </c>
      <c r="C136" s="140" t="e">
        <f t="shared" si="194"/>
        <v>#N/A</v>
      </c>
      <c r="D136" s="140" t="e">
        <f t="shared" si="195"/>
        <v>#N/A</v>
      </c>
      <c r="E136" s="140" t="e">
        <f t="shared" si="196"/>
        <v>#N/A</v>
      </c>
      <c r="F136" s="140" t="e">
        <f t="shared" si="197"/>
        <v>#N/A</v>
      </c>
      <c r="G136" s="140" t="e">
        <f t="shared" si="198"/>
        <v>#N/A</v>
      </c>
      <c r="H136" s="140" t="e">
        <f t="shared" si="199"/>
        <v>#N/A</v>
      </c>
      <c r="I136" s="140" t="e">
        <f t="shared" si="200"/>
        <v>#N/A</v>
      </c>
      <c r="J136" s="140" t="e">
        <f t="shared" si="201"/>
        <v>#N/A</v>
      </c>
      <c r="K136" s="140" t="e">
        <f t="shared" si="202"/>
        <v>#N/A</v>
      </c>
      <c r="L136" s="140" t="e">
        <f t="shared" si="203"/>
        <v>#N/A</v>
      </c>
      <c r="M136" s="140" t="e">
        <f t="shared" si="204"/>
        <v>#N/A</v>
      </c>
      <c r="N136" s="140" t="e">
        <f t="shared" si="205"/>
        <v>#N/A</v>
      </c>
      <c r="O136" s="140" t="e">
        <f t="shared" si="206"/>
        <v>#N/A</v>
      </c>
      <c r="P136" s="140" t="e">
        <f t="shared" si="207"/>
        <v>#N/A</v>
      </c>
      <c r="Q136" s="140" t="e">
        <f t="shared" si="208"/>
        <v>#N/A</v>
      </c>
      <c r="R136" s="140" t="e">
        <f t="shared" si="209"/>
        <v>#N/A</v>
      </c>
      <c r="S136" s="140" t="e">
        <f t="shared" si="210"/>
        <v>#N/A</v>
      </c>
      <c r="T136" s="140" t="e">
        <f t="shared" si="211"/>
        <v>#N/A</v>
      </c>
      <c r="U136" s="140" t="e">
        <f t="shared" si="212"/>
        <v>#N/A</v>
      </c>
      <c r="V136" s="141" t="str">
        <f t="shared" si="124"/>
        <v>DPS</v>
      </c>
      <c r="W136" s="141" t="str">
        <f t="shared" si="125"/>
        <v>DPS</v>
      </c>
      <c r="X136" s="141" t="str">
        <f t="shared" si="126"/>
        <v>DPS</v>
      </c>
      <c r="Y136" s="141" t="str">
        <f t="shared" si="127"/>
        <v>DPS</v>
      </c>
      <c r="Z136" s="141" t="str">
        <f t="shared" si="128"/>
        <v>DPS</v>
      </c>
      <c r="AA136" s="141" t="str">
        <f t="shared" si="129"/>
        <v>DPS</v>
      </c>
      <c r="AB136" s="141" t="str">
        <f t="shared" si="130"/>
        <v>DPS</v>
      </c>
      <c r="AC136" s="141" t="str">
        <f t="shared" si="131"/>
        <v>DPS</v>
      </c>
      <c r="AD136" s="141" t="str">
        <f t="shared" si="132"/>
        <v>DPS</v>
      </c>
      <c r="AE136" s="141" t="str">
        <f t="shared" si="133"/>
        <v>DPS</v>
      </c>
      <c r="AF136" s="141" t="str">
        <f t="shared" si="134"/>
        <v>DPS</v>
      </c>
      <c r="AG136" s="141" t="str">
        <f t="shared" si="135"/>
        <v>DPS</v>
      </c>
      <c r="AH136" s="141" t="str">
        <f t="shared" si="136"/>
        <v>DPS</v>
      </c>
      <c r="AI136" s="141" t="str">
        <f t="shared" si="137"/>
        <v>HPS</v>
      </c>
      <c r="AJ136" s="141" t="str">
        <f t="shared" si="138"/>
        <v>HPS</v>
      </c>
      <c r="AK136" s="141" t="str">
        <f t="shared" si="139"/>
        <v>HPS</v>
      </c>
      <c r="AL136" s="141" t="str">
        <f t="shared" si="140"/>
        <v>HPS</v>
      </c>
      <c r="AM136" s="141" t="str">
        <f t="shared" si="141"/>
        <v>HPS</v>
      </c>
      <c r="AN136" s="141" t="str">
        <f t="shared" si="142"/>
        <v>HPS</v>
      </c>
      <c r="AO136" s="141" t="str">
        <f t="shared" si="143"/>
        <v>HPS</v>
      </c>
      <c r="AP136" s="134" t="e">
        <f t="shared" si="213"/>
        <v>#N/A</v>
      </c>
      <c r="AQ136" s="134" t="e">
        <f t="shared" si="214"/>
        <v>#N/A</v>
      </c>
      <c r="AR136" s="134" t="e">
        <f t="shared" si="215"/>
        <v>#N/A</v>
      </c>
      <c r="AS136" s="134" t="e">
        <f t="shared" si="216"/>
        <v>#N/A</v>
      </c>
      <c r="AT136" s="134" t="e">
        <f t="shared" si="217"/>
        <v>#N/A</v>
      </c>
      <c r="AU136" s="134" t="e">
        <f t="shared" si="218"/>
        <v>#N/A</v>
      </c>
      <c r="AV136" s="134" t="e">
        <f t="shared" si="219"/>
        <v>#N/A</v>
      </c>
      <c r="AW136" s="134" t="e">
        <f t="shared" si="220"/>
        <v>#N/A</v>
      </c>
      <c r="AX136" s="134" t="e">
        <f t="shared" si="221"/>
        <v>#N/A</v>
      </c>
      <c r="AY136" s="134" t="e">
        <f t="shared" si="222"/>
        <v>#N/A</v>
      </c>
      <c r="AZ136" s="134" t="e">
        <f t="shared" si="223"/>
        <v>#N/A</v>
      </c>
      <c r="BA136" s="134" t="e">
        <f t="shared" si="224"/>
        <v>#N/A</v>
      </c>
      <c r="BB136" s="134" t="e">
        <f t="shared" si="225"/>
        <v>#N/A</v>
      </c>
      <c r="BC136" s="134" t="e">
        <f t="shared" si="226"/>
        <v>#N/A</v>
      </c>
      <c r="BD136" s="134" t="e">
        <f t="shared" si="227"/>
        <v>#N/A</v>
      </c>
      <c r="BE136" s="134" t="e">
        <f t="shared" si="228"/>
        <v>#N/A</v>
      </c>
      <c r="BF136" s="134" t="e">
        <f t="shared" si="229"/>
        <v>#N/A</v>
      </c>
      <c r="BG136" s="134" t="e">
        <f t="shared" si="230"/>
        <v>#N/A</v>
      </c>
      <c r="BH136" s="134" t="e">
        <f t="shared" si="231"/>
        <v>#N/A</v>
      </c>
      <c r="BI136" s="134" t="e">
        <f t="shared" si="232"/>
        <v>#N/A</v>
      </c>
      <c r="BJ136" t="e">
        <f t="shared" si="144"/>
        <v>#N/A</v>
      </c>
      <c r="BK136" t="e">
        <f t="shared" si="145"/>
        <v>#N/A</v>
      </c>
      <c r="BL136" s="142" t="e">
        <f t="shared" si="146"/>
        <v>#N/A</v>
      </c>
      <c r="BM136" s="142">
        <f t="shared" si="190"/>
        <v>2650</v>
      </c>
      <c r="BN136" t="e">
        <f t="shared" si="147"/>
        <v>#NUM!</v>
      </c>
      <c r="BO136" s="143" t="e">
        <f t="shared" si="148"/>
        <v>#N/A</v>
      </c>
      <c r="BP136" s="143" t="e">
        <f t="shared" si="149"/>
        <v>#N/A</v>
      </c>
      <c r="BQ136" s="143" t="e">
        <f t="shared" si="150"/>
        <v>#N/A</v>
      </c>
      <c r="BR136" s="143" t="e">
        <f t="shared" si="151"/>
        <v>#N/A</v>
      </c>
      <c r="BS136" s="143" t="e">
        <f t="shared" si="152"/>
        <v>#N/A</v>
      </c>
      <c r="BT136" s="143" t="e">
        <f t="shared" si="153"/>
        <v>#N/A</v>
      </c>
      <c r="BU136" s="143" t="e">
        <f t="shared" si="154"/>
        <v>#N/A</v>
      </c>
      <c r="BV136" s="143" t="e">
        <f t="shared" si="155"/>
        <v>#N/A</v>
      </c>
      <c r="BW136" s="143" t="e">
        <f t="shared" si="156"/>
        <v>#N/A</v>
      </c>
      <c r="BX136" s="143" t="e">
        <f t="shared" si="157"/>
        <v>#N/A</v>
      </c>
      <c r="BY136" s="143" t="e">
        <f t="shared" si="158"/>
        <v>#N/A</v>
      </c>
      <c r="BZ136" s="143" t="e">
        <f t="shared" si="159"/>
        <v>#N/A</v>
      </c>
      <c r="CA136" s="143" t="e">
        <f t="shared" si="160"/>
        <v>#N/A</v>
      </c>
      <c r="CB136" s="143" t="e">
        <f t="shared" si="161"/>
        <v>#N/A</v>
      </c>
      <c r="CC136" s="143" t="e">
        <f t="shared" si="162"/>
        <v>#N/A</v>
      </c>
      <c r="CD136" s="143" t="e">
        <f t="shared" si="163"/>
        <v>#N/A</v>
      </c>
      <c r="CE136" s="143" t="e">
        <f t="shared" si="164"/>
        <v>#N/A</v>
      </c>
      <c r="CF136" s="143" t="e">
        <f t="shared" si="165"/>
        <v>#N/A</v>
      </c>
      <c r="CG136" s="143" t="e">
        <f t="shared" si="166"/>
        <v>#N/A</v>
      </c>
      <c r="CH136" s="143" t="e">
        <f t="shared" si="167"/>
        <v>#N/A</v>
      </c>
      <c r="CI136" t="e">
        <f t="shared" si="168"/>
        <v>#N/A</v>
      </c>
      <c r="CJ136" t="e">
        <f t="shared" si="169"/>
        <v>#N/A</v>
      </c>
      <c r="CK136" t="e">
        <f t="shared" si="170"/>
        <v>#N/A</v>
      </c>
      <c r="CL136" t="e">
        <f t="shared" si="171"/>
        <v>#N/A</v>
      </c>
      <c r="CM136" t="e">
        <f t="shared" si="172"/>
        <v>#N/A</v>
      </c>
      <c r="CN136" t="e">
        <f t="shared" si="173"/>
        <v>#N/A</v>
      </c>
      <c r="CO136" t="e">
        <f t="shared" si="174"/>
        <v>#N/A</v>
      </c>
      <c r="CP136" t="e">
        <f t="shared" si="175"/>
        <v>#N/A</v>
      </c>
      <c r="CQ136" t="e">
        <f t="shared" si="176"/>
        <v>#N/A</v>
      </c>
      <c r="CR136" t="e">
        <f t="shared" si="177"/>
        <v>#N/A</v>
      </c>
      <c r="CS136" t="e">
        <f t="shared" si="178"/>
        <v>#N/A</v>
      </c>
      <c r="CT136" t="e">
        <f t="shared" si="179"/>
        <v>#N/A</v>
      </c>
      <c r="CU136" t="e">
        <f t="shared" si="180"/>
        <v>#N/A</v>
      </c>
      <c r="CV136" t="e">
        <f t="shared" si="181"/>
        <v>#N/A</v>
      </c>
      <c r="CW136" t="e">
        <f t="shared" si="182"/>
        <v>#N/A</v>
      </c>
      <c r="CX136" t="e">
        <f t="shared" si="183"/>
        <v>#N/A</v>
      </c>
      <c r="CY136" t="e">
        <f t="shared" si="184"/>
        <v>#N/A</v>
      </c>
      <c r="CZ136" t="e">
        <f t="shared" si="185"/>
        <v>#N/A</v>
      </c>
      <c r="DA136" t="e">
        <f t="shared" si="186"/>
        <v>#N/A</v>
      </c>
      <c r="DB136" t="e">
        <f t="shared" si="187"/>
        <v>#N/A</v>
      </c>
      <c r="DC136" s="142" t="e">
        <f t="shared" si="188"/>
        <v>#N/A</v>
      </c>
      <c r="DD136" t="e">
        <f t="shared" si="191"/>
        <v>#N/A</v>
      </c>
      <c r="DE136" t="b">
        <f t="shared" si="189"/>
        <v>0</v>
      </c>
    </row>
    <row r="137" spans="1:109">
      <c r="A137">
        <f t="shared" si="192"/>
        <v>72</v>
      </c>
      <c r="B137" s="140" t="e">
        <f t="shared" si="193"/>
        <v>#N/A</v>
      </c>
      <c r="C137" s="140" t="e">
        <f t="shared" si="194"/>
        <v>#N/A</v>
      </c>
      <c r="D137" s="140" t="e">
        <f t="shared" si="195"/>
        <v>#N/A</v>
      </c>
      <c r="E137" s="140" t="e">
        <f t="shared" si="196"/>
        <v>#N/A</v>
      </c>
      <c r="F137" s="140" t="e">
        <f t="shared" si="197"/>
        <v>#N/A</v>
      </c>
      <c r="G137" s="140" t="e">
        <f t="shared" si="198"/>
        <v>#N/A</v>
      </c>
      <c r="H137" s="140" t="e">
        <f t="shared" si="199"/>
        <v>#N/A</v>
      </c>
      <c r="I137" s="140" t="e">
        <f t="shared" si="200"/>
        <v>#N/A</v>
      </c>
      <c r="J137" s="140" t="e">
        <f t="shared" si="201"/>
        <v>#N/A</v>
      </c>
      <c r="K137" s="140" t="e">
        <f t="shared" si="202"/>
        <v>#N/A</v>
      </c>
      <c r="L137" s="140" t="e">
        <f t="shared" si="203"/>
        <v>#N/A</v>
      </c>
      <c r="M137" s="140" t="e">
        <f t="shared" si="204"/>
        <v>#N/A</v>
      </c>
      <c r="N137" s="140" t="e">
        <f t="shared" si="205"/>
        <v>#N/A</v>
      </c>
      <c r="O137" s="140" t="e">
        <f t="shared" si="206"/>
        <v>#N/A</v>
      </c>
      <c r="P137" s="140" t="e">
        <f t="shared" si="207"/>
        <v>#N/A</v>
      </c>
      <c r="Q137" s="140" t="e">
        <f t="shared" si="208"/>
        <v>#N/A</v>
      </c>
      <c r="R137" s="140" t="e">
        <f t="shared" si="209"/>
        <v>#N/A</v>
      </c>
      <c r="S137" s="140" t="e">
        <f t="shared" si="210"/>
        <v>#N/A</v>
      </c>
      <c r="T137" s="140" t="e">
        <f t="shared" si="211"/>
        <v>#N/A</v>
      </c>
      <c r="U137" s="140" t="e">
        <f t="shared" si="212"/>
        <v>#N/A</v>
      </c>
      <c r="V137" s="141" t="str">
        <f t="shared" si="124"/>
        <v>DPS</v>
      </c>
      <c r="W137" s="141" t="str">
        <f t="shared" si="125"/>
        <v>DPS</v>
      </c>
      <c r="X137" s="141" t="str">
        <f t="shared" si="126"/>
        <v>DPS</v>
      </c>
      <c r="Y137" s="141" t="str">
        <f t="shared" si="127"/>
        <v>DPS</v>
      </c>
      <c r="Z137" s="141" t="str">
        <f t="shared" si="128"/>
        <v>DPS</v>
      </c>
      <c r="AA137" s="141" t="str">
        <f t="shared" si="129"/>
        <v>DPS</v>
      </c>
      <c r="AB137" s="141" t="str">
        <f t="shared" si="130"/>
        <v>DPS</v>
      </c>
      <c r="AC137" s="141" t="str">
        <f t="shared" si="131"/>
        <v>DPS</v>
      </c>
      <c r="AD137" s="141" t="str">
        <f t="shared" si="132"/>
        <v>DPS</v>
      </c>
      <c r="AE137" s="141" t="str">
        <f t="shared" si="133"/>
        <v>DPS</v>
      </c>
      <c r="AF137" s="141" t="str">
        <f t="shared" si="134"/>
        <v>DPS</v>
      </c>
      <c r="AG137" s="141" t="str">
        <f t="shared" si="135"/>
        <v>DPS</v>
      </c>
      <c r="AH137" s="141" t="str">
        <f t="shared" si="136"/>
        <v>DPS</v>
      </c>
      <c r="AI137" s="141" t="str">
        <f t="shared" si="137"/>
        <v>HPS</v>
      </c>
      <c r="AJ137" s="141" t="str">
        <f t="shared" si="138"/>
        <v>HPS</v>
      </c>
      <c r="AK137" s="141" t="str">
        <f t="shared" si="139"/>
        <v>HPS</v>
      </c>
      <c r="AL137" s="141" t="str">
        <f t="shared" si="140"/>
        <v>HPS</v>
      </c>
      <c r="AM137" s="141" t="str">
        <f t="shared" si="141"/>
        <v>HPS</v>
      </c>
      <c r="AN137" s="141" t="str">
        <f t="shared" si="142"/>
        <v>HPS</v>
      </c>
      <c r="AO137" s="141" t="str">
        <f t="shared" si="143"/>
        <v>HPS</v>
      </c>
      <c r="AP137" s="134" t="e">
        <f t="shared" si="213"/>
        <v>#N/A</v>
      </c>
      <c r="AQ137" s="134" t="e">
        <f t="shared" si="214"/>
        <v>#N/A</v>
      </c>
      <c r="AR137" s="134" t="e">
        <f t="shared" si="215"/>
        <v>#N/A</v>
      </c>
      <c r="AS137" s="134" t="e">
        <f t="shared" si="216"/>
        <v>#N/A</v>
      </c>
      <c r="AT137" s="134" t="e">
        <f t="shared" si="217"/>
        <v>#N/A</v>
      </c>
      <c r="AU137" s="134" t="e">
        <f t="shared" si="218"/>
        <v>#N/A</v>
      </c>
      <c r="AV137" s="134" t="e">
        <f t="shared" si="219"/>
        <v>#N/A</v>
      </c>
      <c r="AW137" s="134" t="e">
        <f t="shared" si="220"/>
        <v>#N/A</v>
      </c>
      <c r="AX137" s="134" t="e">
        <f t="shared" si="221"/>
        <v>#N/A</v>
      </c>
      <c r="AY137" s="134" t="e">
        <f t="shared" si="222"/>
        <v>#N/A</v>
      </c>
      <c r="AZ137" s="134" t="e">
        <f t="shared" si="223"/>
        <v>#N/A</v>
      </c>
      <c r="BA137" s="134" t="e">
        <f t="shared" si="224"/>
        <v>#N/A</v>
      </c>
      <c r="BB137" s="134" t="e">
        <f t="shared" si="225"/>
        <v>#N/A</v>
      </c>
      <c r="BC137" s="134" t="e">
        <f t="shared" si="226"/>
        <v>#N/A</v>
      </c>
      <c r="BD137" s="134" t="e">
        <f t="shared" si="227"/>
        <v>#N/A</v>
      </c>
      <c r="BE137" s="134" t="e">
        <f t="shared" si="228"/>
        <v>#N/A</v>
      </c>
      <c r="BF137" s="134" t="e">
        <f t="shared" si="229"/>
        <v>#N/A</v>
      </c>
      <c r="BG137" s="134" t="e">
        <f t="shared" si="230"/>
        <v>#N/A</v>
      </c>
      <c r="BH137" s="134" t="e">
        <f t="shared" si="231"/>
        <v>#N/A</v>
      </c>
      <c r="BI137" s="134" t="e">
        <f t="shared" si="232"/>
        <v>#N/A</v>
      </c>
      <c r="BJ137" t="e">
        <f t="shared" si="144"/>
        <v>#N/A</v>
      </c>
      <c r="BK137" t="e">
        <f t="shared" si="145"/>
        <v>#N/A</v>
      </c>
      <c r="BL137" s="142" t="e">
        <f t="shared" si="146"/>
        <v>#N/A</v>
      </c>
      <c r="BM137" s="142">
        <f t="shared" si="190"/>
        <v>2650</v>
      </c>
      <c r="BN137" t="e">
        <f t="shared" si="147"/>
        <v>#NUM!</v>
      </c>
      <c r="BO137" s="143" t="e">
        <f t="shared" si="148"/>
        <v>#N/A</v>
      </c>
      <c r="BP137" s="143" t="e">
        <f t="shared" si="149"/>
        <v>#N/A</v>
      </c>
      <c r="BQ137" s="143" t="e">
        <f t="shared" si="150"/>
        <v>#N/A</v>
      </c>
      <c r="BR137" s="143" t="e">
        <f t="shared" si="151"/>
        <v>#N/A</v>
      </c>
      <c r="BS137" s="143" t="e">
        <f t="shared" si="152"/>
        <v>#N/A</v>
      </c>
      <c r="BT137" s="143" t="e">
        <f t="shared" si="153"/>
        <v>#N/A</v>
      </c>
      <c r="BU137" s="143" t="e">
        <f t="shared" si="154"/>
        <v>#N/A</v>
      </c>
      <c r="BV137" s="143" t="e">
        <f t="shared" si="155"/>
        <v>#N/A</v>
      </c>
      <c r="BW137" s="143" t="e">
        <f t="shared" si="156"/>
        <v>#N/A</v>
      </c>
      <c r="BX137" s="143" t="e">
        <f t="shared" si="157"/>
        <v>#N/A</v>
      </c>
      <c r="BY137" s="143" t="e">
        <f t="shared" si="158"/>
        <v>#N/A</v>
      </c>
      <c r="BZ137" s="143" t="e">
        <f t="shared" si="159"/>
        <v>#N/A</v>
      </c>
      <c r="CA137" s="143" t="e">
        <f t="shared" si="160"/>
        <v>#N/A</v>
      </c>
      <c r="CB137" s="143" t="e">
        <f t="shared" si="161"/>
        <v>#N/A</v>
      </c>
      <c r="CC137" s="143" t="e">
        <f t="shared" si="162"/>
        <v>#N/A</v>
      </c>
      <c r="CD137" s="143" t="e">
        <f t="shared" si="163"/>
        <v>#N/A</v>
      </c>
      <c r="CE137" s="143" t="e">
        <f t="shared" si="164"/>
        <v>#N/A</v>
      </c>
      <c r="CF137" s="143" t="e">
        <f t="shared" si="165"/>
        <v>#N/A</v>
      </c>
      <c r="CG137" s="143" t="e">
        <f t="shared" si="166"/>
        <v>#N/A</v>
      </c>
      <c r="CH137" s="143" t="e">
        <f t="shared" si="167"/>
        <v>#N/A</v>
      </c>
      <c r="CI137" t="e">
        <f t="shared" si="168"/>
        <v>#N/A</v>
      </c>
      <c r="CJ137" t="e">
        <f t="shared" si="169"/>
        <v>#N/A</v>
      </c>
      <c r="CK137" t="e">
        <f t="shared" si="170"/>
        <v>#N/A</v>
      </c>
      <c r="CL137" t="e">
        <f t="shared" si="171"/>
        <v>#N/A</v>
      </c>
      <c r="CM137" t="e">
        <f t="shared" si="172"/>
        <v>#N/A</v>
      </c>
      <c r="CN137" t="e">
        <f t="shared" si="173"/>
        <v>#N/A</v>
      </c>
      <c r="CO137" t="e">
        <f t="shared" si="174"/>
        <v>#N/A</v>
      </c>
      <c r="CP137" t="e">
        <f t="shared" si="175"/>
        <v>#N/A</v>
      </c>
      <c r="CQ137" t="e">
        <f t="shared" si="176"/>
        <v>#N/A</v>
      </c>
      <c r="CR137" t="e">
        <f t="shared" si="177"/>
        <v>#N/A</v>
      </c>
      <c r="CS137" t="e">
        <f t="shared" si="178"/>
        <v>#N/A</v>
      </c>
      <c r="CT137" t="e">
        <f t="shared" si="179"/>
        <v>#N/A</v>
      </c>
      <c r="CU137" t="e">
        <f t="shared" si="180"/>
        <v>#N/A</v>
      </c>
      <c r="CV137" t="e">
        <f t="shared" si="181"/>
        <v>#N/A</v>
      </c>
      <c r="CW137" t="e">
        <f t="shared" si="182"/>
        <v>#N/A</v>
      </c>
      <c r="CX137" t="e">
        <f t="shared" si="183"/>
        <v>#N/A</v>
      </c>
      <c r="CY137" t="e">
        <f t="shared" si="184"/>
        <v>#N/A</v>
      </c>
      <c r="CZ137" t="e">
        <f t="shared" si="185"/>
        <v>#N/A</v>
      </c>
      <c r="DA137" t="e">
        <f t="shared" si="186"/>
        <v>#N/A</v>
      </c>
      <c r="DB137" t="e">
        <f t="shared" si="187"/>
        <v>#N/A</v>
      </c>
      <c r="DC137" s="142" t="e">
        <f t="shared" si="188"/>
        <v>#N/A</v>
      </c>
      <c r="DD137" t="e">
        <f t="shared" si="191"/>
        <v>#N/A</v>
      </c>
      <c r="DE137" t="b">
        <f t="shared" si="189"/>
        <v>0</v>
      </c>
    </row>
    <row r="138" spans="1:109">
      <c r="A138">
        <f t="shared" si="192"/>
        <v>73</v>
      </c>
      <c r="B138" s="140" t="e">
        <f t="shared" si="193"/>
        <v>#N/A</v>
      </c>
      <c r="C138" s="140" t="e">
        <f t="shared" si="194"/>
        <v>#N/A</v>
      </c>
      <c r="D138" s="140" t="e">
        <f t="shared" si="195"/>
        <v>#N/A</v>
      </c>
      <c r="E138" s="140" t="e">
        <f t="shared" si="196"/>
        <v>#N/A</v>
      </c>
      <c r="F138" s="140" t="e">
        <f t="shared" si="197"/>
        <v>#N/A</v>
      </c>
      <c r="G138" s="140" t="e">
        <f t="shared" si="198"/>
        <v>#N/A</v>
      </c>
      <c r="H138" s="140" t="e">
        <f t="shared" si="199"/>
        <v>#N/A</v>
      </c>
      <c r="I138" s="140" t="e">
        <f t="shared" si="200"/>
        <v>#N/A</v>
      </c>
      <c r="J138" s="140" t="e">
        <f t="shared" si="201"/>
        <v>#N/A</v>
      </c>
      <c r="K138" s="140" t="e">
        <f t="shared" si="202"/>
        <v>#N/A</v>
      </c>
      <c r="L138" s="140" t="e">
        <f t="shared" si="203"/>
        <v>#N/A</v>
      </c>
      <c r="M138" s="140" t="e">
        <f t="shared" si="204"/>
        <v>#N/A</v>
      </c>
      <c r="N138" s="140" t="e">
        <f t="shared" si="205"/>
        <v>#N/A</v>
      </c>
      <c r="O138" s="140" t="e">
        <f t="shared" si="206"/>
        <v>#N/A</v>
      </c>
      <c r="P138" s="140" t="e">
        <f t="shared" si="207"/>
        <v>#N/A</v>
      </c>
      <c r="Q138" s="140" t="e">
        <f t="shared" si="208"/>
        <v>#N/A</v>
      </c>
      <c r="R138" s="140" t="e">
        <f t="shared" si="209"/>
        <v>#N/A</v>
      </c>
      <c r="S138" s="140" t="e">
        <f t="shared" si="210"/>
        <v>#N/A</v>
      </c>
      <c r="T138" s="140" t="e">
        <f t="shared" si="211"/>
        <v>#N/A</v>
      </c>
      <c r="U138" s="140" t="e">
        <f t="shared" si="212"/>
        <v>#N/A</v>
      </c>
      <c r="V138" s="141" t="str">
        <f t="shared" si="124"/>
        <v>DPS</v>
      </c>
      <c r="W138" s="141" t="str">
        <f t="shared" si="125"/>
        <v>DPS</v>
      </c>
      <c r="X138" s="141" t="str">
        <f t="shared" si="126"/>
        <v>DPS</v>
      </c>
      <c r="Y138" s="141" t="str">
        <f t="shared" si="127"/>
        <v>DPS</v>
      </c>
      <c r="Z138" s="141" t="str">
        <f t="shared" si="128"/>
        <v>DPS</v>
      </c>
      <c r="AA138" s="141" t="str">
        <f t="shared" si="129"/>
        <v>DPS</v>
      </c>
      <c r="AB138" s="141" t="str">
        <f t="shared" si="130"/>
        <v>DPS</v>
      </c>
      <c r="AC138" s="141" t="str">
        <f t="shared" si="131"/>
        <v>DPS</v>
      </c>
      <c r="AD138" s="141" t="str">
        <f t="shared" si="132"/>
        <v>DPS</v>
      </c>
      <c r="AE138" s="141" t="str">
        <f t="shared" si="133"/>
        <v>DPS</v>
      </c>
      <c r="AF138" s="141" t="str">
        <f t="shared" si="134"/>
        <v>DPS</v>
      </c>
      <c r="AG138" s="141" t="str">
        <f t="shared" si="135"/>
        <v>DPS</v>
      </c>
      <c r="AH138" s="141" t="str">
        <f t="shared" si="136"/>
        <v>DPS</v>
      </c>
      <c r="AI138" s="141" t="str">
        <f t="shared" si="137"/>
        <v>HPS</v>
      </c>
      <c r="AJ138" s="141" t="str">
        <f t="shared" si="138"/>
        <v>HPS</v>
      </c>
      <c r="AK138" s="141" t="str">
        <f t="shared" si="139"/>
        <v>HPS</v>
      </c>
      <c r="AL138" s="141" t="str">
        <f t="shared" si="140"/>
        <v>HPS</v>
      </c>
      <c r="AM138" s="141" t="str">
        <f t="shared" si="141"/>
        <v>HPS</v>
      </c>
      <c r="AN138" s="141" t="str">
        <f t="shared" si="142"/>
        <v>HPS</v>
      </c>
      <c r="AO138" s="141" t="str">
        <f t="shared" si="143"/>
        <v>HPS</v>
      </c>
      <c r="AP138" s="134" t="e">
        <f t="shared" si="213"/>
        <v>#N/A</v>
      </c>
      <c r="AQ138" s="134" t="e">
        <f t="shared" si="214"/>
        <v>#N/A</v>
      </c>
      <c r="AR138" s="134" t="e">
        <f t="shared" si="215"/>
        <v>#N/A</v>
      </c>
      <c r="AS138" s="134" t="e">
        <f t="shared" si="216"/>
        <v>#N/A</v>
      </c>
      <c r="AT138" s="134" t="e">
        <f t="shared" si="217"/>
        <v>#N/A</v>
      </c>
      <c r="AU138" s="134" t="e">
        <f t="shared" si="218"/>
        <v>#N/A</v>
      </c>
      <c r="AV138" s="134" t="e">
        <f t="shared" si="219"/>
        <v>#N/A</v>
      </c>
      <c r="AW138" s="134" t="e">
        <f t="shared" si="220"/>
        <v>#N/A</v>
      </c>
      <c r="AX138" s="134" t="e">
        <f t="shared" si="221"/>
        <v>#N/A</v>
      </c>
      <c r="AY138" s="134" t="e">
        <f t="shared" si="222"/>
        <v>#N/A</v>
      </c>
      <c r="AZ138" s="134" t="e">
        <f t="shared" si="223"/>
        <v>#N/A</v>
      </c>
      <c r="BA138" s="134" t="e">
        <f t="shared" si="224"/>
        <v>#N/A</v>
      </c>
      <c r="BB138" s="134" t="e">
        <f t="shared" si="225"/>
        <v>#N/A</v>
      </c>
      <c r="BC138" s="134" t="e">
        <f t="shared" si="226"/>
        <v>#N/A</v>
      </c>
      <c r="BD138" s="134" t="e">
        <f t="shared" si="227"/>
        <v>#N/A</v>
      </c>
      <c r="BE138" s="134" t="e">
        <f t="shared" si="228"/>
        <v>#N/A</v>
      </c>
      <c r="BF138" s="134" t="e">
        <f t="shared" si="229"/>
        <v>#N/A</v>
      </c>
      <c r="BG138" s="134" t="e">
        <f t="shared" si="230"/>
        <v>#N/A</v>
      </c>
      <c r="BH138" s="134" t="e">
        <f t="shared" si="231"/>
        <v>#N/A</v>
      </c>
      <c r="BI138" s="134" t="e">
        <f t="shared" si="232"/>
        <v>#N/A</v>
      </c>
      <c r="BJ138" t="e">
        <f t="shared" si="144"/>
        <v>#N/A</v>
      </c>
      <c r="BK138" t="e">
        <f t="shared" si="145"/>
        <v>#N/A</v>
      </c>
      <c r="BL138" s="142" t="e">
        <f t="shared" si="146"/>
        <v>#N/A</v>
      </c>
      <c r="BM138" s="142">
        <f t="shared" si="190"/>
        <v>2650</v>
      </c>
      <c r="BN138" t="e">
        <f t="shared" si="147"/>
        <v>#NUM!</v>
      </c>
      <c r="BO138" s="143" t="e">
        <f t="shared" si="148"/>
        <v>#N/A</v>
      </c>
      <c r="BP138" s="143" t="e">
        <f t="shared" si="149"/>
        <v>#N/A</v>
      </c>
      <c r="BQ138" s="143" t="e">
        <f t="shared" si="150"/>
        <v>#N/A</v>
      </c>
      <c r="BR138" s="143" t="e">
        <f t="shared" si="151"/>
        <v>#N/A</v>
      </c>
      <c r="BS138" s="143" t="e">
        <f t="shared" si="152"/>
        <v>#N/A</v>
      </c>
      <c r="BT138" s="143" t="e">
        <f t="shared" si="153"/>
        <v>#N/A</v>
      </c>
      <c r="BU138" s="143" t="e">
        <f t="shared" si="154"/>
        <v>#N/A</v>
      </c>
      <c r="BV138" s="143" t="e">
        <f t="shared" si="155"/>
        <v>#N/A</v>
      </c>
      <c r="BW138" s="143" t="e">
        <f t="shared" si="156"/>
        <v>#N/A</v>
      </c>
      <c r="BX138" s="143" t="e">
        <f t="shared" si="157"/>
        <v>#N/A</v>
      </c>
      <c r="BY138" s="143" t="e">
        <f t="shared" si="158"/>
        <v>#N/A</v>
      </c>
      <c r="BZ138" s="143" t="e">
        <f t="shared" si="159"/>
        <v>#N/A</v>
      </c>
      <c r="CA138" s="143" t="e">
        <f t="shared" si="160"/>
        <v>#N/A</v>
      </c>
      <c r="CB138" s="143" t="e">
        <f t="shared" si="161"/>
        <v>#N/A</v>
      </c>
      <c r="CC138" s="143" t="e">
        <f t="shared" si="162"/>
        <v>#N/A</v>
      </c>
      <c r="CD138" s="143" t="e">
        <f t="shared" si="163"/>
        <v>#N/A</v>
      </c>
      <c r="CE138" s="143" t="e">
        <f t="shared" si="164"/>
        <v>#N/A</v>
      </c>
      <c r="CF138" s="143" t="e">
        <f t="shared" si="165"/>
        <v>#N/A</v>
      </c>
      <c r="CG138" s="143" t="e">
        <f t="shared" si="166"/>
        <v>#N/A</v>
      </c>
      <c r="CH138" s="143" t="e">
        <f t="shared" si="167"/>
        <v>#N/A</v>
      </c>
      <c r="CI138" t="e">
        <f t="shared" si="168"/>
        <v>#N/A</v>
      </c>
      <c r="CJ138" t="e">
        <f t="shared" si="169"/>
        <v>#N/A</v>
      </c>
      <c r="CK138" t="e">
        <f t="shared" si="170"/>
        <v>#N/A</v>
      </c>
      <c r="CL138" t="e">
        <f t="shared" si="171"/>
        <v>#N/A</v>
      </c>
      <c r="CM138" t="e">
        <f t="shared" si="172"/>
        <v>#N/A</v>
      </c>
      <c r="CN138" t="e">
        <f t="shared" si="173"/>
        <v>#N/A</v>
      </c>
      <c r="CO138" t="e">
        <f t="shared" si="174"/>
        <v>#N/A</v>
      </c>
      <c r="CP138" t="e">
        <f t="shared" si="175"/>
        <v>#N/A</v>
      </c>
      <c r="CQ138" t="e">
        <f t="shared" si="176"/>
        <v>#N/A</v>
      </c>
      <c r="CR138" t="e">
        <f t="shared" si="177"/>
        <v>#N/A</v>
      </c>
      <c r="CS138" t="e">
        <f t="shared" si="178"/>
        <v>#N/A</v>
      </c>
      <c r="CT138" t="e">
        <f t="shared" si="179"/>
        <v>#N/A</v>
      </c>
      <c r="CU138" t="e">
        <f t="shared" si="180"/>
        <v>#N/A</v>
      </c>
      <c r="CV138" t="e">
        <f t="shared" si="181"/>
        <v>#N/A</v>
      </c>
      <c r="CW138" t="e">
        <f t="shared" si="182"/>
        <v>#N/A</v>
      </c>
      <c r="CX138" t="e">
        <f t="shared" si="183"/>
        <v>#N/A</v>
      </c>
      <c r="CY138" t="e">
        <f t="shared" si="184"/>
        <v>#N/A</v>
      </c>
      <c r="CZ138" t="e">
        <f t="shared" si="185"/>
        <v>#N/A</v>
      </c>
      <c r="DA138" t="e">
        <f t="shared" si="186"/>
        <v>#N/A</v>
      </c>
      <c r="DB138" t="e">
        <f t="shared" si="187"/>
        <v>#N/A</v>
      </c>
      <c r="DC138" s="142" t="e">
        <f t="shared" si="188"/>
        <v>#N/A</v>
      </c>
      <c r="DD138" t="e">
        <f t="shared" si="191"/>
        <v>#N/A</v>
      </c>
      <c r="DE138" t="b">
        <f t="shared" si="189"/>
        <v>0</v>
      </c>
    </row>
    <row r="139" spans="1:109">
      <c r="A139">
        <f t="shared" si="192"/>
        <v>74</v>
      </c>
      <c r="B139" s="140" t="e">
        <f t="shared" si="193"/>
        <v>#N/A</v>
      </c>
      <c r="C139" s="140" t="e">
        <f t="shared" si="194"/>
        <v>#N/A</v>
      </c>
      <c r="D139" s="140" t="e">
        <f t="shared" si="195"/>
        <v>#N/A</v>
      </c>
      <c r="E139" s="140" t="e">
        <f t="shared" si="196"/>
        <v>#N/A</v>
      </c>
      <c r="F139" s="140" t="e">
        <f t="shared" si="197"/>
        <v>#N/A</v>
      </c>
      <c r="G139" s="140" t="e">
        <f t="shared" si="198"/>
        <v>#N/A</v>
      </c>
      <c r="H139" s="140" t="e">
        <f t="shared" si="199"/>
        <v>#N/A</v>
      </c>
      <c r="I139" s="140" t="e">
        <f t="shared" si="200"/>
        <v>#N/A</v>
      </c>
      <c r="J139" s="140" t="e">
        <f t="shared" si="201"/>
        <v>#N/A</v>
      </c>
      <c r="K139" s="140" t="e">
        <f t="shared" si="202"/>
        <v>#N/A</v>
      </c>
      <c r="L139" s="140" t="e">
        <f t="shared" si="203"/>
        <v>#N/A</v>
      </c>
      <c r="M139" s="140" t="e">
        <f t="shared" si="204"/>
        <v>#N/A</v>
      </c>
      <c r="N139" s="140" t="e">
        <f t="shared" si="205"/>
        <v>#N/A</v>
      </c>
      <c r="O139" s="140" t="e">
        <f t="shared" si="206"/>
        <v>#N/A</v>
      </c>
      <c r="P139" s="140" t="e">
        <f t="shared" si="207"/>
        <v>#N/A</v>
      </c>
      <c r="Q139" s="140" t="e">
        <f t="shared" si="208"/>
        <v>#N/A</v>
      </c>
      <c r="R139" s="140" t="e">
        <f t="shared" si="209"/>
        <v>#N/A</v>
      </c>
      <c r="S139" s="140" t="e">
        <f t="shared" si="210"/>
        <v>#N/A</v>
      </c>
      <c r="T139" s="140" t="e">
        <f t="shared" si="211"/>
        <v>#N/A</v>
      </c>
      <c r="U139" s="140" t="e">
        <f t="shared" si="212"/>
        <v>#N/A</v>
      </c>
      <c r="V139" s="141" t="str">
        <f t="shared" si="124"/>
        <v>DPS</v>
      </c>
      <c r="W139" s="141" t="str">
        <f t="shared" si="125"/>
        <v>DPS</v>
      </c>
      <c r="X139" s="141" t="str">
        <f t="shared" si="126"/>
        <v>DPS</v>
      </c>
      <c r="Y139" s="141" t="str">
        <f t="shared" si="127"/>
        <v>DPS</v>
      </c>
      <c r="Z139" s="141" t="str">
        <f t="shared" si="128"/>
        <v>DPS</v>
      </c>
      <c r="AA139" s="141" t="str">
        <f t="shared" si="129"/>
        <v>DPS</v>
      </c>
      <c r="AB139" s="141" t="str">
        <f t="shared" si="130"/>
        <v>DPS</v>
      </c>
      <c r="AC139" s="141" t="str">
        <f t="shared" si="131"/>
        <v>DPS</v>
      </c>
      <c r="AD139" s="141" t="str">
        <f t="shared" si="132"/>
        <v>DPS</v>
      </c>
      <c r="AE139" s="141" t="str">
        <f t="shared" si="133"/>
        <v>DPS</v>
      </c>
      <c r="AF139" s="141" t="str">
        <f t="shared" si="134"/>
        <v>DPS</v>
      </c>
      <c r="AG139" s="141" t="str">
        <f t="shared" si="135"/>
        <v>DPS</v>
      </c>
      <c r="AH139" s="141" t="str">
        <f t="shared" si="136"/>
        <v>DPS</v>
      </c>
      <c r="AI139" s="141" t="str">
        <f t="shared" si="137"/>
        <v>HPS</v>
      </c>
      <c r="AJ139" s="141" t="str">
        <f t="shared" si="138"/>
        <v>HPS</v>
      </c>
      <c r="AK139" s="141" t="str">
        <f t="shared" si="139"/>
        <v>HPS</v>
      </c>
      <c r="AL139" s="141" t="str">
        <f t="shared" si="140"/>
        <v>HPS</v>
      </c>
      <c r="AM139" s="141" t="str">
        <f t="shared" si="141"/>
        <v>HPS</v>
      </c>
      <c r="AN139" s="141" t="str">
        <f t="shared" si="142"/>
        <v>HPS</v>
      </c>
      <c r="AO139" s="141" t="str">
        <f t="shared" si="143"/>
        <v>HPS</v>
      </c>
      <c r="AP139" s="134" t="e">
        <f t="shared" si="213"/>
        <v>#N/A</v>
      </c>
      <c r="AQ139" s="134" t="e">
        <f t="shared" si="214"/>
        <v>#N/A</v>
      </c>
      <c r="AR139" s="134" t="e">
        <f t="shared" si="215"/>
        <v>#N/A</v>
      </c>
      <c r="AS139" s="134" t="e">
        <f t="shared" si="216"/>
        <v>#N/A</v>
      </c>
      <c r="AT139" s="134" t="e">
        <f t="shared" si="217"/>
        <v>#N/A</v>
      </c>
      <c r="AU139" s="134" t="e">
        <f t="shared" si="218"/>
        <v>#N/A</v>
      </c>
      <c r="AV139" s="134" t="e">
        <f t="shared" si="219"/>
        <v>#N/A</v>
      </c>
      <c r="AW139" s="134" t="e">
        <f t="shared" si="220"/>
        <v>#N/A</v>
      </c>
      <c r="AX139" s="134" t="e">
        <f t="shared" si="221"/>
        <v>#N/A</v>
      </c>
      <c r="AY139" s="134" t="e">
        <f t="shared" si="222"/>
        <v>#N/A</v>
      </c>
      <c r="AZ139" s="134" t="e">
        <f t="shared" si="223"/>
        <v>#N/A</v>
      </c>
      <c r="BA139" s="134" t="e">
        <f t="shared" si="224"/>
        <v>#N/A</v>
      </c>
      <c r="BB139" s="134" t="e">
        <f t="shared" si="225"/>
        <v>#N/A</v>
      </c>
      <c r="BC139" s="134" t="e">
        <f t="shared" si="226"/>
        <v>#N/A</v>
      </c>
      <c r="BD139" s="134" t="e">
        <f t="shared" si="227"/>
        <v>#N/A</v>
      </c>
      <c r="BE139" s="134" t="e">
        <f t="shared" si="228"/>
        <v>#N/A</v>
      </c>
      <c r="BF139" s="134" t="e">
        <f t="shared" si="229"/>
        <v>#N/A</v>
      </c>
      <c r="BG139" s="134" t="e">
        <f t="shared" si="230"/>
        <v>#N/A</v>
      </c>
      <c r="BH139" s="134" t="e">
        <f t="shared" si="231"/>
        <v>#N/A</v>
      </c>
      <c r="BI139" s="134" t="e">
        <f t="shared" si="232"/>
        <v>#N/A</v>
      </c>
      <c r="BJ139" t="e">
        <f t="shared" si="144"/>
        <v>#N/A</v>
      </c>
      <c r="BK139" t="e">
        <f t="shared" si="145"/>
        <v>#N/A</v>
      </c>
      <c r="BL139" s="142" t="e">
        <f t="shared" si="146"/>
        <v>#N/A</v>
      </c>
      <c r="BM139" s="142">
        <f t="shared" si="190"/>
        <v>2650</v>
      </c>
      <c r="BN139" t="e">
        <f t="shared" si="147"/>
        <v>#NUM!</v>
      </c>
      <c r="BO139" s="143" t="e">
        <f t="shared" si="148"/>
        <v>#N/A</v>
      </c>
      <c r="BP139" s="143" t="e">
        <f t="shared" si="149"/>
        <v>#N/A</v>
      </c>
      <c r="BQ139" s="143" t="e">
        <f t="shared" si="150"/>
        <v>#N/A</v>
      </c>
      <c r="BR139" s="143" t="e">
        <f t="shared" si="151"/>
        <v>#N/A</v>
      </c>
      <c r="BS139" s="143" t="e">
        <f t="shared" si="152"/>
        <v>#N/A</v>
      </c>
      <c r="BT139" s="143" t="e">
        <f t="shared" si="153"/>
        <v>#N/A</v>
      </c>
      <c r="BU139" s="143" t="e">
        <f t="shared" si="154"/>
        <v>#N/A</v>
      </c>
      <c r="BV139" s="143" t="e">
        <f t="shared" si="155"/>
        <v>#N/A</v>
      </c>
      <c r="BW139" s="143" t="e">
        <f t="shared" si="156"/>
        <v>#N/A</v>
      </c>
      <c r="BX139" s="143" t="e">
        <f t="shared" si="157"/>
        <v>#N/A</v>
      </c>
      <c r="BY139" s="143" t="e">
        <f t="shared" si="158"/>
        <v>#N/A</v>
      </c>
      <c r="BZ139" s="143" t="e">
        <f t="shared" si="159"/>
        <v>#N/A</v>
      </c>
      <c r="CA139" s="143" t="e">
        <f t="shared" si="160"/>
        <v>#N/A</v>
      </c>
      <c r="CB139" s="143" t="e">
        <f t="shared" si="161"/>
        <v>#N/A</v>
      </c>
      <c r="CC139" s="143" t="e">
        <f t="shared" si="162"/>
        <v>#N/A</v>
      </c>
      <c r="CD139" s="143" t="e">
        <f t="shared" si="163"/>
        <v>#N/A</v>
      </c>
      <c r="CE139" s="143" t="e">
        <f t="shared" si="164"/>
        <v>#N/A</v>
      </c>
      <c r="CF139" s="143" t="e">
        <f t="shared" si="165"/>
        <v>#N/A</v>
      </c>
      <c r="CG139" s="143" t="e">
        <f t="shared" si="166"/>
        <v>#N/A</v>
      </c>
      <c r="CH139" s="143" t="e">
        <f t="shared" si="167"/>
        <v>#N/A</v>
      </c>
      <c r="CI139" t="e">
        <f t="shared" si="168"/>
        <v>#N/A</v>
      </c>
      <c r="CJ139" t="e">
        <f t="shared" si="169"/>
        <v>#N/A</v>
      </c>
      <c r="CK139" t="e">
        <f t="shared" si="170"/>
        <v>#N/A</v>
      </c>
      <c r="CL139" t="e">
        <f t="shared" si="171"/>
        <v>#N/A</v>
      </c>
      <c r="CM139" t="e">
        <f t="shared" si="172"/>
        <v>#N/A</v>
      </c>
      <c r="CN139" t="e">
        <f t="shared" si="173"/>
        <v>#N/A</v>
      </c>
      <c r="CO139" t="e">
        <f t="shared" si="174"/>
        <v>#N/A</v>
      </c>
      <c r="CP139" t="e">
        <f t="shared" si="175"/>
        <v>#N/A</v>
      </c>
      <c r="CQ139" t="e">
        <f t="shared" si="176"/>
        <v>#N/A</v>
      </c>
      <c r="CR139" t="e">
        <f t="shared" si="177"/>
        <v>#N/A</v>
      </c>
      <c r="CS139" t="e">
        <f t="shared" si="178"/>
        <v>#N/A</v>
      </c>
      <c r="CT139" t="e">
        <f t="shared" si="179"/>
        <v>#N/A</v>
      </c>
      <c r="CU139" t="e">
        <f t="shared" si="180"/>
        <v>#N/A</v>
      </c>
      <c r="CV139" t="e">
        <f t="shared" si="181"/>
        <v>#N/A</v>
      </c>
      <c r="CW139" t="e">
        <f t="shared" si="182"/>
        <v>#N/A</v>
      </c>
      <c r="CX139" t="e">
        <f t="shared" si="183"/>
        <v>#N/A</v>
      </c>
      <c r="CY139" t="e">
        <f t="shared" si="184"/>
        <v>#N/A</v>
      </c>
      <c r="CZ139" t="e">
        <f t="shared" si="185"/>
        <v>#N/A</v>
      </c>
      <c r="DA139" t="e">
        <f t="shared" si="186"/>
        <v>#N/A</v>
      </c>
      <c r="DB139" t="e">
        <f t="shared" si="187"/>
        <v>#N/A</v>
      </c>
      <c r="DC139" s="142" t="e">
        <f t="shared" si="188"/>
        <v>#N/A</v>
      </c>
      <c r="DD139" t="e">
        <f t="shared" si="191"/>
        <v>#N/A</v>
      </c>
      <c r="DE139" t="b">
        <f t="shared" si="189"/>
        <v>0</v>
      </c>
    </row>
    <row r="140" spans="1:109">
      <c r="A140">
        <f t="shared" si="192"/>
        <v>75</v>
      </c>
      <c r="B140" s="140" t="e">
        <f t="shared" si="193"/>
        <v>#N/A</v>
      </c>
      <c r="C140" s="140" t="e">
        <f t="shared" si="194"/>
        <v>#N/A</v>
      </c>
      <c r="D140" s="140" t="e">
        <f t="shared" si="195"/>
        <v>#N/A</v>
      </c>
      <c r="E140" s="140" t="e">
        <f t="shared" si="196"/>
        <v>#N/A</v>
      </c>
      <c r="F140" s="140" t="e">
        <f t="shared" si="197"/>
        <v>#N/A</v>
      </c>
      <c r="G140" s="140" t="e">
        <f t="shared" si="198"/>
        <v>#N/A</v>
      </c>
      <c r="H140" s="140" t="e">
        <f t="shared" si="199"/>
        <v>#N/A</v>
      </c>
      <c r="I140" s="140" t="e">
        <f t="shared" si="200"/>
        <v>#N/A</v>
      </c>
      <c r="J140" s="140" t="e">
        <f t="shared" si="201"/>
        <v>#N/A</v>
      </c>
      <c r="K140" s="140" t="e">
        <f t="shared" si="202"/>
        <v>#N/A</v>
      </c>
      <c r="L140" s="140" t="e">
        <f t="shared" si="203"/>
        <v>#N/A</v>
      </c>
      <c r="M140" s="140" t="e">
        <f t="shared" si="204"/>
        <v>#N/A</v>
      </c>
      <c r="N140" s="140" t="e">
        <f t="shared" si="205"/>
        <v>#N/A</v>
      </c>
      <c r="O140" s="140" t="e">
        <f t="shared" si="206"/>
        <v>#N/A</v>
      </c>
      <c r="P140" s="140" t="e">
        <f t="shared" si="207"/>
        <v>#N/A</v>
      </c>
      <c r="Q140" s="140" t="e">
        <f t="shared" si="208"/>
        <v>#N/A</v>
      </c>
      <c r="R140" s="140" t="e">
        <f t="shared" si="209"/>
        <v>#N/A</v>
      </c>
      <c r="S140" s="140" t="e">
        <f t="shared" si="210"/>
        <v>#N/A</v>
      </c>
      <c r="T140" s="140" t="e">
        <f t="shared" si="211"/>
        <v>#N/A</v>
      </c>
      <c r="U140" s="140" t="e">
        <f t="shared" si="212"/>
        <v>#N/A</v>
      </c>
      <c r="V140" s="141" t="str">
        <f t="shared" si="124"/>
        <v>DPS</v>
      </c>
      <c r="W140" s="141" t="str">
        <f t="shared" si="125"/>
        <v>DPS</v>
      </c>
      <c r="X140" s="141" t="str">
        <f t="shared" si="126"/>
        <v>DPS</v>
      </c>
      <c r="Y140" s="141" t="str">
        <f t="shared" si="127"/>
        <v>DPS</v>
      </c>
      <c r="Z140" s="141" t="str">
        <f t="shared" si="128"/>
        <v>DPS</v>
      </c>
      <c r="AA140" s="141" t="str">
        <f t="shared" si="129"/>
        <v>DPS</v>
      </c>
      <c r="AB140" s="141" t="str">
        <f t="shared" si="130"/>
        <v>DPS</v>
      </c>
      <c r="AC140" s="141" t="str">
        <f t="shared" si="131"/>
        <v>DPS</v>
      </c>
      <c r="AD140" s="141" t="str">
        <f t="shared" si="132"/>
        <v>DPS</v>
      </c>
      <c r="AE140" s="141" t="str">
        <f t="shared" si="133"/>
        <v>DPS</v>
      </c>
      <c r="AF140" s="141" t="str">
        <f t="shared" si="134"/>
        <v>DPS</v>
      </c>
      <c r="AG140" s="141" t="str">
        <f t="shared" si="135"/>
        <v>DPS</v>
      </c>
      <c r="AH140" s="141" t="str">
        <f t="shared" si="136"/>
        <v>DPS</v>
      </c>
      <c r="AI140" s="141" t="str">
        <f t="shared" si="137"/>
        <v>HPS</v>
      </c>
      <c r="AJ140" s="141" t="str">
        <f t="shared" si="138"/>
        <v>HPS</v>
      </c>
      <c r="AK140" s="141" t="str">
        <f t="shared" si="139"/>
        <v>HPS</v>
      </c>
      <c r="AL140" s="141" t="str">
        <f t="shared" si="140"/>
        <v>HPS</v>
      </c>
      <c r="AM140" s="141" t="str">
        <f t="shared" si="141"/>
        <v>HPS</v>
      </c>
      <c r="AN140" s="141" t="str">
        <f t="shared" si="142"/>
        <v>HPS</v>
      </c>
      <c r="AO140" s="141" t="str">
        <f t="shared" si="143"/>
        <v>HPS</v>
      </c>
      <c r="AP140" s="134" t="e">
        <f t="shared" si="213"/>
        <v>#N/A</v>
      </c>
      <c r="AQ140" s="134" t="e">
        <f t="shared" si="214"/>
        <v>#N/A</v>
      </c>
      <c r="AR140" s="134" t="e">
        <f t="shared" si="215"/>
        <v>#N/A</v>
      </c>
      <c r="AS140" s="134" t="e">
        <f t="shared" si="216"/>
        <v>#N/A</v>
      </c>
      <c r="AT140" s="134" t="e">
        <f t="shared" si="217"/>
        <v>#N/A</v>
      </c>
      <c r="AU140" s="134" t="e">
        <f t="shared" si="218"/>
        <v>#N/A</v>
      </c>
      <c r="AV140" s="134" t="e">
        <f t="shared" si="219"/>
        <v>#N/A</v>
      </c>
      <c r="AW140" s="134" t="e">
        <f t="shared" si="220"/>
        <v>#N/A</v>
      </c>
      <c r="AX140" s="134" t="e">
        <f t="shared" si="221"/>
        <v>#N/A</v>
      </c>
      <c r="AY140" s="134" t="e">
        <f t="shared" si="222"/>
        <v>#N/A</v>
      </c>
      <c r="AZ140" s="134" t="e">
        <f t="shared" si="223"/>
        <v>#N/A</v>
      </c>
      <c r="BA140" s="134" t="e">
        <f t="shared" si="224"/>
        <v>#N/A</v>
      </c>
      <c r="BB140" s="134" t="e">
        <f t="shared" si="225"/>
        <v>#N/A</v>
      </c>
      <c r="BC140" s="134" t="e">
        <f t="shared" si="226"/>
        <v>#N/A</v>
      </c>
      <c r="BD140" s="134" t="e">
        <f t="shared" si="227"/>
        <v>#N/A</v>
      </c>
      <c r="BE140" s="134" t="e">
        <f t="shared" si="228"/>
        <v>#N/A</v>
      </c>
      <c r="BF140" s="134" t="e">
        <f t="shared" si="229"/>
        <v>#N/A</v>
      </c>
      <c r="BG140" s="134" t="e">
        <f t="shared" si="230"/>
        <v>#N/A</v>
      </c>
      <c r="BH140" s="134" t="e">
        <f t="shared" si="231"/>
        <v>#N/A</v>
      </c>
      <c r="BI140" s="134" t="e">
        <f t="shared" si="232"/>
        <v>#N/A</v>
      </c>
      <c r="BJ140" t="e">
        <f t="shared" si="144"/>
        <v>#N/A</v>
      </c>
      <c r="BK140" t="e">
        <f t="shared" si="145"/>
        <v>#N/A</v>
      </c>
      <c r="BL140" s="142" t="e">
        <f t="shared" si="146"/>
        <v>#N/A</v>
      </c>
      <c r="BM140" s="142">
        <f t="shared" si="190"/>
        <v>2650</v>
      </c>
      <c r="BN140" t="e">
        <f t="shared" si="147"/>
        <v>#NUM!</v>
      </c>
      <c r="BO140" s="143" t="e">
        <f t="shared" si="148"/>
        <v>#N/A</v>
      </c>
      <c r="BP140" s="143" t="e">
        <f t="shared" si="149"/>
        <v>#N/A</v>
      </c>
      <c r="BQ140" s="143" t="e">
        <f t="shared" si="150"/>
        <v>#N/A</v>
      </c>
      <c r="BR140" s="143" t="e">
        <f t="shared" si="151"/>
        <v>#N/A</v>
      </c>
      <c r="BS140" s="143" t="e">
        <f t="shared" si="152"/>
        <v>#N/A</v>
      </c>
      <c r="BT140" s="143" t="e">
        <f t="shared" si="153"/>
        <v>#N/A</v>
      </c>
      <c r="BU140" s="143" t="e">
        <f t="shared" si="154"/>
        <v>#N/A</v>
      </c>
      <c r="BV140" s="143" t="e">
        <f t="shared" si="155"/>
        <v>#N/A</v>
      </c>
      <c r="BW140" s="143" t="e">
        <f t="shared" si="156"/>
        <v>#N/A</v>
      </c>
      <c r="BX140" s="143" t="e">
        <f t="shared" si="157"/>
        <v>#N/A</v>
      </c>
      <c r="BY140" s="143" t="e">
        <f t="shared" si="158"/>
        <v>#N/A</v>
      </c>
      <c r="BZ140" s="143" t="e">
        <f t="shared" si="159"/>
        <v>#N/A</v>
      </c>
      <c r="CA140" s="143" t="e">
        <f t="shared" si="160"/>
        <v>#N/A</v>
      </c>
      <c r="CB140" s="143" t="e">
        <f t="shared" si="161"/>
        <v>#N/A</v>
      </c>
      <c r="CC140" s="143" t="e">
        <f t="shared" si="162"/>
        <v>#N/A</v>
      </c>
      <c r="CD140" s="143" t="e">
        <f t="shared" si="163"/>
        <v>#N/A</v>
      </c>
      <c r="CE140" s="143" t="e">
        <f t="shared" si="164"/>
        <v>#N/A</v>
      </c>
      <c r="CF140" s="143" t="e">
        <f t="shared" si="165"/>
        <v>#N/A</v>
      </c>
      <c r="CG140" s="143" t="e">
        <f t="shared" si="166"/>
        <v>#N/A</v>
      </c>
      <c r="CH140" s="143" t="e">
        <f t="shared" si="167"/>
        <v>#N/A</v>
      </c>
      <c r="CI140" t="e">
        <f t="shared" si="168"/>
        <v>#N/A</v>
      </c>
      <c r="CJ140" t="e">
        <f t="shared" si="169"/>
        <v>#N/A</v>
      </c>
      <c r="CK140" t="e">
        <f t="shared" si="170"/>
        <v>#N/A</v>
      </c>
      <c r="CL140" t="e">
        <f t="shared" si="171"/>
        <v>#N/A</v>
      </c>
      <c r="CM140" t="e">
        <f t="shared" si="172"/>
        <v>#N/A</v>
      </c>
      <c r="CN140" t="e">
        <f t="shared" si="173"/>
        <v>#N/A</v>
      </c>
      <c r="CO140" t="e">
        <f t="shared" si="174"/>
        <v>#N/A</v>
      </c>
      <c r="CP140" t="e">
        <f t="shared" si="175"/>
        <v>#N/A</v>
      </c>
      <c r="CQ140" t="e">
        <f t="shared" si="176"/>
        <v>#N/A</v>
      </c>
      <c r="CR140" t="e">
        <f t="shared" si="177"/>
        <v>#N/A</v>
      </c>
      <c r="CS140" t="e">
        <f t="shared" si="178"/>
        <v>#N/A</v>
      </c>
      <c r="CT140" t="e">
        <f t="shared" si="179"/>
        <v>#N/A</v>
      </c>
      <c r="CU140" t="e">
        <f t="shared" si="180"/>
        <v>#N/A</v>
      </c>
      <c r="CV140" t="e">
        <f t="shared" si="181"/>
        <v>#N/A</v>
      </c>
      <c r="CW140" t="e">
        <f t="shared" si="182"/>
        <v>#N/A</v>
      </c>
      <c r="CX140" t="e">
        <f t="shared" si="183"/>
        <v>#N/A</v>
      </c>
      <c r="CY140" t="e">
        <f t="shared" si="184"/>
        <v>#N/A</v>
      </c>
      <c r="CZ140" t="e">
        <f t="shared" si="185"/>
        <v>#N/A</v>
      </c>
      <c r="DA140" t="e">
        <f t="shared" si="186"/>
        <v>#N/A</v>
      </c>
      <c r="DB140" t="e">
        <f t="shared" si="187"/>
        <v>#N/A</v>
      </c>
      <c r="DC140" s="142" t="e">
        <f t="shared" si="188"/>
        <v>#N/A</v>
      </c>
      <c r="DD140" t="e">
        <f t="shared" si="191"/>
        <v>#N/A</v>
      </c>
      <c r="DE140" t="b">
        <f t="shared" si="189"/>
        <v>0</v>
      </c>
    </row>
    <row r="141" spans="1:109">
      <c r="A141">
        <f t="shared" si="192"/>
        <v>76</v>
      </c>
      <c r="B141" s="140" t="e">
        <f t="shared" si="193"/>
        <v>#N/A</v>
      </c>
      <c r="C141" s="140" t="e">
        <f t="shared" si="194"/>
        <v>#N/A</v>
      </c>
      <c r="D141" s="140" t="e">
        <f t="shared" si="195"/>
        <v>#N/A</v>
      </c>
      <c r="E141" s="140" t="e">
        <f t="shared" si="196"/>
        <v>#N/A</v>
      </c>
      <c r="F141" s="140" t="e">
        <f t="shared" si="197"/>
        <v>#N/A</v>
      </c>
      <c r="G141" s="140" t="e">
        <f t="shared" si="198"/>
        <v>#N/A</v>
      </c>
      <c r="H141" s="140" t="e">
        <f t="shared" si="199"/>
        <v>#N/A</v>
      </c>
      <c r="I141" s="140" t="e">
        <f t="shared" si="200"/>
        <v>#N/A</v>
      </c>
      <c r="J141" s="140" t="e">
        <f t="shared" si="201"/>
        <v>#N/A</v>
      </c>
      <c r="K141" s="140" t="e">
        <f t="shared" si="202"/>
        <v>#N/A</v>
      </c>
      <c r="L141" s="140" t="e">
        <f t="shared" si="203"/>
        <v>#N/A</v>
      </c>
      <c r="M141" s="140" t="e">
        <f t="shared" si="204"/>
        <v>#N/A</v>
      </c>
      <c r="N141" s="140" t="e">
        <f t="shared" si="205"/>
        <v>#N/A</v>
      </c>
      <c r="O141" s="140" t="e">
        <f t="shared" si="206"/>
        <v>#N/A</v>
      </c>
      <c r="P141" s="140" t="e">
        <f t="shared" si="207"/>
        <v>#N/A</v>
      </c>
      <c r="Q141" s="140" t="e">
        <f t="shared" si="208"/>
        <v>#N/A</v>
      </c>
      <c r="R141" s="140" t="e">
        <f t="shared" si="209"/>
        <v>#N/A</v>
      </c>
      <c r="S141" s="140" t="e">
        <f t="shared" si="210"/>
        <v>#N/A</v>
      </c>
      <c r="T141" s="140" t="e">
        <f t="shared" si="211"/>
        <v>#N/A</v>
      </c>
      <c r="U141" s="140" t="e">
        <f t="shared" si="212"/>
        <v>#N/A</v>
      </c>
      <c r="V141" s="141" t="str">
        <f t="shared" si="124"/>
        <v>DPS</v>
      </c>
      <c r="W141" s="141" t="str">
        <f t="shared" si="125"/>
        <v>DPS</v>
      </c>
      <c r="X141" s="141" t="str">
        <f t="shared" si="126"/>
        <v>DPS</v>
      </c>
      <c r="Y141" s="141" t="str">
        <f t="shared" si="127"/>
        <v>DPS</v>
      </c>
      <c r="Z141" s="141" t="str">
        <f t="shared" si="128"/>
        <v>DPS</v>
      </c>
      <c r="AA141" s="141" t="str">
        <f t="shared" si="129"/>
        <v>DPS</v>
      </c>
      <c r="AB141" s="141" t="str">
        <f t="shared" si="130"/>
        <v>DPS</v>
      </c>
      <c r="AC141" s="141" t="str">
        <f t="shared" si="131"/>
        <v>DPS</v>
      </c>
      <c r="AD141" s="141" t="str">
        <f t="shared" si="132"/>
        <v>DPS</v>
      </c>
      <c r="AE141" s="141" t="str">
        <f t="shared" si="133"/>
        <v>DPS</v>
      </c>
      <c r="AF141" s="141" t="str">
        <f t="shared" si="134"/>
        <v>DPS</v>
      </c>
      <c r="AG141" s="141" t="str">
        <f t="shared" si="135"/>
        <v>DPS</v>
      </c>
      <c r="AH141" s="141" t="str">
        <f t="shared" si="136"/>
        <v>DPS</v>
      </c>
      <c r="AI141" s="141" t="str">
        <f t="shared" si="137"/>
        <v>HPS</v>
      </c>
      <c r="AJ141" s="141" t="str">
        <f t="shared" si="138"/>
        <v>HPS</v>
      </c>
      <c r="AK141" s="141" t="str">
        <f t="shared" si="139"/>
        <v>HPS</v>
      </c>
      <c r="AL141" s="141" t="str">
        <f t="shared" si="140"/>
        <v>HPS</v>
      </c>
      <c r="AM141" s="141" t="str">
        <f t="shared" si="141"/>
        <v>HPS</v>
      </c>
      <c r="AN141" s="141" t="str">
        <f t="shared" si="142"/>
        <v>HPS</v>
      </c>
      <c r="AO141" s="141" t="str">
        <f t="shared" si="143"/>
        <v>HPS</v>
      </c>
      <c r="AP141" s="134" t="e">
        <f t="shared" si="213"/>
        <v>#N/A</v>
      </c>
      <c r="AQ141" s="134" t="e">
        <f t="shared" si="214"/>
        <v>#N/A</v>
      </c>
      <c r="AR141" s="134" t="e">
        <f t="shared" si="215"/>
        <v>#N/A</v>
      </c>
      <c r="AS141" s="134" t="e">
        <f t="shared" si="216"/>
        <v>#N/A</v>
      </c>
      <c r="AT141" s="134" t="e">
        <f t="shared" si="217"/>
        <v>#N/A</v>
      </c>
      <c r="AU141" s="134" t="e">
        <f t="shared" si="218"/>
        <v>#N/A</v>
      </c>
      <c r="AV141" s="134" t="e">
        <f t="shared" si="219"/>
        <v>#N/A</v>
      </c>
      <c r="AW141" s="134" t="e">
        <f t="shared" si="220"/>
        <v>#N/A</v>
      </c>
      <c r="AX141" s="134" t="e">
        <f t="shared" si="221"/>
        <v>#N/A</v>
      </c>
      <c r="AY141" s="134" t="e">
        <f t="shared" si="222"/>
        <v>#N/A</v>
      </c>
      <c r="AZ141" s="134" t="e">
        <f t="shared" si="223"/>
        <v>#N/A</v>
      </c>
      <c r="BA141" s="134" t="e">
        <f t="shared" si="224"/>
        <v>#N/A</v>
      </c>
      <c r="BB141" s="134" t="e">
        <f t="shared" si="225"/>
        <v>#N/A</v>
      </c>
      <c r="BC141" s="134" t="e">
        <f t="shared" si="226"/>
        <v>#N/A</v>
      </c>
      <c r="BD141" s="134" t="e">
        <f t="shared" si="227"/>
        <v>#N/A</v>
      </c>
      <c r="BE141" s="134" t="e">
        <f t="shared" si="228"/>
        <v>#N/A</v>
      </c>
      <c r="BF141" s="134" t="e">
        <f t="shared" si="229"/>
        <v>#N/A</v>
      </c>
      <c r="BG141" s="134" t="e">
        <f t="shared" si="230"/>
        <v>#N/A</v>
      </c>
      <c r="BH141" s="134" t="e">
        <f t="shared" si="231"/>
        <v>#N/A</v>
      </c>
      <c r="BI141" s="134" t="e">
        <f t="shared" si="232"/>
        <v>#N/A</v>
      </c>
      <c r="BJ141" t="e">
        <f t="shared" si="144"/>
        <v>#N/A</v>
      </c>
      <c r="BK141" t="e">
        <f t="shared" si="145"/>
        <v>#N/A</v>
      </c>
      <c r="BL141" s="142" t="e">
        <f t="shared" si="146"/>
        <v>#N/A</v>
      </c>
      <c r="BM141" s="142">
        <f t="shared" si="190"/>
        <v>2650</v>
      </c>
      <c r="BN141" t="e">
        <f t="shared" si="147"/>
        <v>#NUM!</v>
      </c>
      <c r="BO141" s="143" t="e">
        <f t="shared" si="148"/>
        <v>#N/A</v>
      </c>
      <c r="BP141" s="143" t="e">
        <f t="shared" si="149"/>
        <v>#N/A</v>
      </c>
      <c r="BQ141" s="143" t="e">
        <f t="shared" si="150"/>
        <v>#N/A</v>
      </c>
      <c r="BR141" s="143" t="e">
        <f t="shared" si="151"/>
        <v>#N/A</v>
      </c>
      <c r="BS141" s="143" t="e">
        <f t="shared" si="152"/>
        <v>#N/A</v>
      </c>
      <c r="BT141" s="143" t="e">
        <f t="shared" si="153"/>
        <v>#N/A</v>
      </c>
      <c r="BU141" s="143" t="e">
        <f t="shared" si="154"/>
        <v>#N/A</v>
      </c>
      <c r="BV141" s="143" t="e">
        <f t="shared" si="155"/>
        <v>#N/A</v>
      </c>
      <c r="BW141" s="143" t="e">
        <f t="shared" si="156"/>
        <v>#N/A</v>
      </c>
      <c r="BX141" s="143" t="e">
        <f t="shared" si="157"/>
        <v>#N/A</v>
      </c>
      <c r="BY141" s="143" t="e">
        <f t="shared" si="158"/>
        <v>#N/A</v>
      </c>
      <c r="BZ141" s="143" t="e">
        <f t="shared" si="159"/>
        <v>#N/A</v>
      </c>
      <c r="CA141" s="143" t="e">
        <f t="shared" si="160"/>
        <v>#N/A</v>
      </c>
      <c r="CB141" s="143" t="e">
        <f t="shared" si="161"/>
        <v>#N/A</v>
      </c>
      <c r="CC141" s="143" t="e">
        <f t="shared" si="162"/>
        <v>#N/A</v>
      </c>
      <c r="CD141" s="143" t="e">
        <f t="shared" si="163"/>
        <v>#N/A</v>
      </c>
      <c r="CE141" s="143" t="e">
        <f t="shared" si="164"/>
        <v>#N/A</v>
      </c>
      <c r="CF141" s="143" t="e">
        <f t="shared" si="165"/>
        <v>#N/A</v>
      </c>
      <c r="CG141" s="143" t="e">
        <f t="shared" si="166"/>
        <v>#N/A</v>
      </c>
      <c r="CH141" s="143" t="e">
        <f t="shared" si="167"/>
        <v>#N/A</v>
      </c>
      <c r="CI141" t="e">
        <f t="shared" si="168"/>
        <v>#N/A</v>
      </c>
      <c r="CJ141" t="e">
        <f t="shared" si="169"/>
        <v>#N/A</v>
      </c>
      <c r="CK141" t="e">
        <f t="shared" si="170"/>
        <v>#N/A</v>
      </c>
      <c r="CL141" t="e">
        <f t="shared" si="171"/>
        <v>#N/A</v>
      </c>
      <c r="CM141" t="e">
        <f t="shared" si="172"/>
        <v>#N/A</v>
      </c>
      <c r="CN141" t="e">
        <f t="shared" si="173"/>
        <v>#N/A</v>
      </c>
      <c r="CO141" t="e">
        <f t="shared" si="174"/>
        <v>#N/A</v>
      </c>
      <c r="CP141" t="e">
        <f t="shared" si="175"/>
        <v>#N/A</v>
      </c>
      <c r="CQ141" t="e">
        <f t="shared" si="176"/>
        <v>#N/A</v>
      </c>
      <c r="CR141" t="e">
        <f t="shared" si="177"/>
        <v>#N/A</v>
      </c>
      <c r="CS141" t="e">
        <f t="shared" si="178"/>
        <v>#N/A</v>
      </c>
      <c r="CT141" t="e">
        <f t="shared" si="179"/>
        <v>#N/A</v>
      </c>
      <c r="CU141" t="e">
        <f t="shared" si="180"/>
        <v>#N/A</v>
      </c>
      <c r="CV141" t="e">
        <f t="shared" si="181"/>
        <v>#N/A</v>
      </c>
      <c r="CW141" t="e">
        <f t="shared" si="182"/>
        <v>#N/A</v>
      </c>
      <c r="CX141" t="e">
        <f t="shared" si="183"/>
        <v>#N/A</v>
      </c>
      <c r="CY141" t="e">
        <f t="shared" si="184"/>
        <v>#N/A</v>
      </c>
      <c r="CZ141" t="e">
        <f t="shared" si="185"/>
        <v>#N/A</v>
      </c>
      <c r="DA141" t="e">
        <f t="shared" si="186"/>
        <v>#N/A</v>
      </c>
      <c r="DB141" t="e">
        <f t="shared" si="187"/>
        <v>#N/A</v>
      </c>
      <c r="DC141" s="142" t="e">
        <f t="shared" si="188"/>
        <v>#N/A</v>
      </c>
      <c r="DD141" t="e">
        <f t="shared" si="191"/>
        <v>#N/A</v>
      </c>
      <c r="DE141" t="b">
        <f t="shared" si="189"/>
        <v>0</v>
      </c>
    </row>
    <row r="142" spans="1:109">
      <c r="A142">
        <f t="shared" si="192"/>
        <v>77</v>
      </c>
      <c r="B142" s="140" t="e">
        <f t="shared" si="193"/>
        <v>#N/A</v>
      </c>
      <c r="C142" s="140" t="e">
        <f t="shared" si="194"/>
        <v>#N/A</v>
      </c>
      <c r="D142" s="140" t="e">
        <f t="shared" si="195"/>
        <v>#N/A</v>
      </c>
      <c r="E142" s="140" t="e">
        <f t="shared" si="196"/>
        <v>#N/A</v>
      </c>
      <c r="F142" s="140" t="e">
        <f t="shared" si="197"/>
        <v>#N/A</v>
      </c>
      <c r="G142" s="140" t="e">
        <f t="shared" si="198"/>
        <v>#N/A</v>
      </c>
      <c r="H142" s="140" t="e">
        <f t="shared" si="199"/>
        <v>#N/A</v>
      </c>
      <c r="I142" s="140" t="e">
        <f t="shared" si="200"/>
        <v>#N/A</v>
      </c>
      <c r="J142" s="140" t="e">
        <f t="shared" si="201"/>
        <v>#N/A</v>
      </c>
      <c r="K142" s="140" t="e">
        <f t="shared" si="202"/>
        <v>#N/A</v>
      </c>
      <c r="L142" s="140" t="e">
        <f t="shared" si="203"/>
        <v>#N/A</v>
      </c>
      <c r="M142" s="140" t="e">
        <f t="shared" si="204"/>
        <v>#N/A</v>
      </c>
      <c r="N142" s="140" t="e">
        <f t="shared" si="205"/>
        <v>#N/A</v>
      </c>
      <c r="O142" s="140" t="e">
        <f t="shared" si="206"/>
        <v>#N/A</v>
      </c>
      <c r="P142" s="140" t="e">
        <f t="shared" si="207"/>
        <v>#N/A</v>
      </c>
      <c r="Q142" s="140" t="e">
        <f t="shared" si="208"/>
        <v>#N/A</v>
      </c>
      <c r="R142" s="140" t="e">
        <f t="shared" si="209"/>
        <v>#N/A</v>
      </c>
      <c r="S142" s="140" t="e">
        <f t="shared" si="210"/>
        <v>#N/A</v>
      </c>
      <c r="T142" s="140" t="e">
        <f t="shared" si="211"/>
        <v>#N/A</v>
      </c>
      <c r="U142" s="140" t="e">
        <f t="shared" si="212"/>
        <v>#N/A</v>
      </c>
      <c r="V142" s="141" t="str">
        <f t="shared" si="124"/>
        <v>DPS</v>
      </c>
      <c r="W142" s="141" t="str">
        <f t="shared" si="125"/>
        <v>DPS</v>
      </c>
      <c r="X142" s="141" t="str">
        <f t="shared" si="126"/>
        <v>DPS</v>
      </c>
      <c r="Y142" s="141" t="str">
        <f t="shared" si="127"/>
        <v>DPS</v>
      </c>
      <c r="Z142" s="141" t="str">
        <f t="shared" si="128"/>
        <v>DPS</v>
      </c>
      <c r="AA142" s="141" t="str">
        <f t="shared" si="129"/>
        <v>DPS</v>
      </c>
      <c r="AB142" s="141" t="str">
        <f t="shared" si="130"/>
        <v>DPS</v>
      </c>
      <c r="AC142" s="141" t="str">
        <f t="shared" si="131"/>
        <v>DPS</v>
      </c>
      <c r="AD142" s="141" t="str">
        <f t="shared" si="132"/>
        <v>DPS</v>
      </c>
      <c r="AE142" s="141" t="str">
        <f t="shared" si="133"/>
        <v>DPS</v>
      </c>
      <c r="AF142" s="141" t="str">
        <f t="shared" si="134"/>
        <v>DPS</v>
      </c>
      <c r="AG142" s="141" t="str">
        <f t="shared" si="135"/>
        <v>DPS</v>
      </c>
      <c r="AH142" s="141" t="str">
        <f t="shared" si="136"/>
        <v>DPS</v>
      </c>
      <c r="AI142" s="141" t="str">
        <f t="shared" si="137"/>
        <v>HPS</v>
      </c>
      <c r="AJ142" s="141" t="str">
        <f t="shared" si="138"/>
        <v>HPS</v>
      </c>
      <c r="AK142" s="141" t="str">
        <f t="shared" si="139"/>
        <v>HPS</v>
      </c>
      <c r="AL142" s="141" t="str">
        <f t="shared" si="140"/>
        <v>HPS</v>
      </c>
      <c r="AM142" s="141" t="str">
        <f t="shared" si="141"/>
        <v>HPS</v>
      </c>
      <c r="AN142" s="141" t="str">
        <f t="shared" si="142"/>
        <v>HPS</v>
      </c>
      <c r="AO142" s="141" t="str">
        <f t="shared" si="143"/>
        <v>HPS</v>
      </c>
      <c r="AP142" s="134" t="e">
        <f t="shared" si="213"/>
        <v>#N/A</v>
      </c>
      <c r="AQ142" s="134" t="e">
        <f t="shared" si="214"/>
        <v>#N/A</v>
      </c>
      <c r="AR142" s="134" t="e">
        <f t="shared" si="215"/>
        <v>#N/A</v>
      </c>
      <c r="AS142" s="134" t="e">
        <f t="shared" si="216"/>
        <v>#N/A</v>
      </c>
      <c r="AT142" s="134" t="e">
        <f t="shared" si="217"/>
        <v>#N/A</v>
      </c>
      <c r="AU142" s="134" t="e">
        <f t="shared" si="218"/>
        <v>#N/A</v>
      </c>
      <c r="AV142" s="134" t="e">
        <f t="shared" si="219"/>
        <v>#N/A</v>
      </c>
      <c r="AW142" s="134" t="e">
        <f t="shared" si="220"/>
        <v>#N/A</v>
      </c>
      <c r="AX142" s="134" t="e">
        <f t="shared" si="221"/>
        <v>#N/A</v>
      </c>
      <c r="AY142" s="134" t="e">
        <f t="shared" si="222"/>
        <v>#N/A</v>
      </c>
      <c r="AZ142" s="134" t="e">
        <f t="shared" si="223"/>
        <v>#N/A</v>
      </c>
      <c r="BA142" s="134" t="e">
        <f t="shared" si="224"/>
        <v>#N/A</v>
      </c>
      <c r="BB142" s="134" t="e">
        <f t="shared" si="225"/>
        <v>#N/A</v>
      </c>
      <c r="BC142" s="134" t="e">
        <f t="shared" si="226"/>
        <v>#N/A</v>
      </c>
      <c r="BD142" s="134" t="e">
        <f t="shared" si="227"/>
        <v>#N/A</v>
      </c>
      <c r="BE142" s="134" t="e">
        <f t="shared" si="228"/>
        <v>#N/A</v>
      </c>
      <c r="BF142" s="134" t="e">
        <f t="shared" si="229"/>
        <v>#N/A</v>
      </c>
      <c r="BG142" s="134" t="e">
        <f t="shared" si="230"/>
        <v>#N/A</v>
      </c>
      <c r="BH142" s="134" t="e">
        <f t="shared" si="231"/>
        <v>#N/A</v>
      </c>
      <c r="BI142" s="134" t="e">
        <f t="shared" si="232"/>
        <v>#N/A</v>
      </c>
      <c r="BJ142" t="e">
        <f t="shared" si="144"/>
        <v>#N/A</v>
      </c>
      <c r="BK142" t="e">
        <f t="shared" si="145"/>
        <v>#N/A</v>
      </c>
      <c r="BL142" s="142" t="e">
        <f t="shared" si="146"/>
        <v>#N/A</v>
      </c>
      <c r="BM142" s="142">
        <f t="shared" si="190"/>
        <v>2650</v>
      </c>
      <c r="BN142" t="e">
        <f t="shared" si="147"/>
        <v>#NUM!</v>
      </c>
      <c r="BO142" s="143" t="e">
        <f t="shared" si="148"/>
        <v>#N/A</v>
      </c>
      <c r="BP142" s="143" t="e">
        <f t="shared" si="149"/>
        <v>#N/A</v>
      </c>
      <c r="BQ142" s="143" t="e">
        <f t="shared" si="150"/>
        <v>#N/A</v>
      </c>
      <c r="BR142" s="143" t="e">
        <f t="shared" si="151"/>
        <v>#N/A</v>
      </c>
      <c r="BS142" s="143" t="e">
        <f t="shared" si="152"/>
        <v>#N/A</v>
      </c>
      <c r="BT142" s="143" t="e">
        <f t="shared" si="153"/>
        <v>#N/A</v>
      </c>
      <c r="BU142" s="143" t="e">
        <f t="shared" si="154"/>
        <v>#N/A</v>
      </c>
      <c r="BV142" s="143" t="e">
        <f t="shared" si="155"/>
        <v>#N/A</v>
      </c>
      <c r="BW142" s="143" t="e">
        <f t="shared" si="156"/>
        <v>#N/A</v>
      </c>
      <c r="BX142" s="143" t="e">
        <f t="shared" si="157"/>
        <v>#N/A</v>
      </c>
      <c r="BY142" s="143" t="e">
        <f t="shared" si="158"/>
        <v>#N/A</v>
      </c>
      <c r="BZ142" s="143" t="e">
        <f t="shared" si="159"/>
        <v>#N/A</v>
      </c>
      <c r="CA142" s="143" t="e">
        <f t="shared" si="160"/>
        <v>#N/A</v>
      </c>
      <c r="CB142" s="143" t="e">
        <f t="shared" si="161"/>
        <v>#N/A</v>
      </c>
      <c r="CC142" s="143" t="e">
        <f t="shared" si="162"/>
        <v>#N/A</v>
      </c>
      <c r="CD142" s="143" t="e">
        <f t="shared" si="163"/>
        <v>#N/A</v>
      </c>
      <c r="CE142" s="143" t="e">
        <f t="shared" si="164"/>
        <v>#N/A</v>
      </c>
      <c r="CF142" s="143" t="e">
        <f t="shared" si="165"/>
        <v>#N/A</v>
      </c>
      <c r="CG142" s="143" t="e">
        <f t="shared" si="166"/>
        <v>#N/A</v>
      </c>
      <c r="CH142" s="143" t="e">
        <f t="shared" si="167"/>
        <v>#N/A</v>
      </c>
      <c r="CI142" t="e">
        <f t="shared" si="168"/>
        <v>#N/A</v>
      </c>
      <c r="CJ142" t="e">
        <f t="shared" si="169"/>
        <v>#N/A</v>
      </c>
      <c r="CK142" t="e">
        <f t="shared" si="170"/>
        <v>#N/A</v>
      </c>
      <c r="CL142" t="e">
        <f t="shared" si="171"/>
        <v>#N/A</v>
      </c>
      <c r="CM142" t="e">
        <f t="shared" si="172"/>
        <v>#N/A</v>
      </c>
      <c r="CN142" t="e">
        <f t="shared" si="173"/>
        <v>#N/A</v>
      </c>
      <c r="CO142" t="e">
        <f t="shared" si="174"/>
        <v>#N/A</v>
      </c>
      <c r="CP142" t="e">
        <f t="shared" si="175"/>
        <v>#N/A</v>
      </c>
      <c r="CQ142" t="e">
        <f t="shared" si="176"/>
        <v>#N/A</v>
      </c>
      <c r="CR142" t="e">
        <f t="shared" si="177"/>
        <v>#N/A</v>
      </c>
      <c r="CS142" t="e">
        <f t="shared" si="178"/>
        <v>#N/A</v>
      </c>
      <c r="CT142" t="e">
        <f t="shared" si="179"/>
        <v>#N/A</v>
      </c>
      <c r="CU142" t="e">
        <f t="shared" si="180"/>
        <v>#N/A</v>
      </c>
      <c r="CV142" t="e">
        <f t="shared" si="181"/>
        <v>#N/A</v>
      </c>
      <c r="CW142" t="e">
        <f t="shared" si="182"/>
        <v>#N/A</v>
      </c>
      <c r="CX142" t="e">
        <f t="shared" si="183"/>
        <v>#N/A</v>
      </c>
      <c r="CY142" t="e">
        <f t="shared" si="184"/>
        <v>#N/A</v>
      </c>
      <c r="CZ142" t="e">
        <f t="shared" si="185"/>
        <v>#N/A</v>
      </c>
      <c r="DA142" t="e">
        <f t="shared" si="186"/>
        <v>#N/A</v>
      </c>
      <c r="DB142" t="e">
        <f t="shared" si="187"/>
        <v>#N/A</v>
      </c>
      <c r="DC142" s="142" t="e">
        <f t="shared" si="188"/>
        <v>#N/A</v>
      </c>
      <c r="DD142" t="e">
        <f t="shared" si="191"/>
        <v>#N/A</v>
      </c>
      <c r="DE142" t="b">
        <f t="shared" si="189"/>
        <v>0</v>
      </c>
    </row>
    <row r="143" spans="1:109">
      <c r="A143">
        <f t="shared" si="192"/>
        <v>78</v>
      </c>
      <c r="B143" s="140" t="e">
        <f t="shared" si="193"/>
        <v>#N/A</v>
      </c>
      <c r="C143" s="140" t="e">
        <f t="shared" si="194"/>
        <v>#N/A</v>
      </c>
      <c r="D143" s="140" t="e">
        <f t="shared" si="195"/>
        <v>#N/A</v>
      </c>
      <c r="E143" s="140" t="e">
        <f t="shared" si="196"/>
        <v>#N/A</v>
      </c>
      <c r="F143" s="140" t="e">
        <f t="shared" si="197"/>
        <v>#N/A</v>
      </c>
      <c r="G143" s="140" t="e">
        <f t="shared" si="198"/>
        <v>#N/A</v>
      </c>
      <c r="H143" s="140" t="e">
        <f t="shared" si="199"/>
        <v>#N/A</v>
      </c>
      <c r="I143" s="140" t="e">
        <f t="shared" si="200"/>
        <v>#N/A</v>
      </c>
      <c r="J143" s="140" t="e">
        <f t="shared" si="201"/>
        <v>#N/A</v>
      </c>
      <c r="K143" s="140" t="e">
        <f t="shared" si="202"/>
        <v>#N/A</v>
      </c>
      <c r="L143" s="140" t="e">
        <f t="shared" si="203"/>
        <v>#N/A</v>
      </c>
      <c r="M143" s="140" t="e">
        <f t="shared" si="204"/>
        <v>#N/A</v>
      </c>
      <c r="N143" s="140" t="e">
        <f t="shared" si="205"/>
        <v>#N/A</v>
      </c>
      <c r="O143" s="140" t="e">
        <f t="shared" si="206"/>
        <v>#N/A</v>
      </c>
      <c r="P143" s="140" t="e">
        <f t="shared" si="207"/>
        <v>#N/A</v>
      </c>
      <c r="Q143" s="140" t="e">
        <f t="shared" si="208"/>
        <v>#N/A</v>
      </c>
      <c r="R143" s="140" t="e">
        <f t="shared" si="209"/>
        <v>#N/A</v>
      </c>
      <c r="S143" s="140" t="e">
        <f t="shared" si="210"/>
        <v>#N/A</v>
      </c>
      <c r="T143" s="140" t="e">
        <f t="shared" si="211"/>
        <v>#N/A</v>
      </c>
      <c r="U143" s="140" t="e">
        <f t="shared" si="212"/>
        <v>#N/A</v>
      </c>
      <c r="V143" s="141" t="str">
        <f t="shared" si="124"/>
        <v>DPS</v>
      </c>
      <c r="W143" s="141" t="str">
        <f t="shared" si="125"/>
        <v>DPS</v>
      </c>
      <c r="X143" s="141" t="str">
        <f t="shared" si="126"/>
        <v>DPS</v>
      </c>
      <c r="Y143" s="141" t="str">
        <f t="shared" si="127"/>
        <v>DPS</v>
      </c>
      <c r="Z143" s="141" t="str">
        <f t="shared" si="128"/>
        <v>DPS</v>
      </c>
      <c r="AA143" s="141" t="str">
        <f t="shared" si="129"/>
        <v>DPS</v>
      </c>
      <c r="AB143" s="141" t="str">
        <f t="shared" si="130"/>
        <v>DPS</v>
      </c>
      <c r="AC143" s="141" t="str">
        <f t="shared" si="131"/>
        <v>DPS</v>
      </c>
      <c r="AD143" s="141" t="str">
        <f t="shared" si="132"/>
        <v>DPS</v>
      </c>
      <c r="AE143" s="141" t="str">
        <f t="shared" si="133"/>
        <v>DPS</v>
      </c>
      <c r="AF143" s="141" t="str">
        <f t="shared" si="134"/>
        <v>DPS</v>
      </c>
      <c r="AG143" s="141" t="str">
        <f t="shared" si="135"/>
        <v>DPS</v>
      </c>
      <c r="AH143" s="141" t="str">
        <f t="shared" si="136"/>
        <v>DPS</v>
      </c>
      <c r="AI143" s="141" t="str">
        <f t="shared" si="137"/>
        <v>HPS</v>
      </c>
      <c r="AJ143" s="141" t="str">
        <f t="shared" si="138"/>
        <v>HPS</v>
      </c>
      <c r="AK143" s="141" t="str">
        <f t="shared" si="139"/>
        <v>HPS</v>
      </c>
      <c r="AL143" s="141" t="str">
        <f t="shared" si="140"/>
        <v>HPS</v>
      </c>
      <c r="AM143" s="141" t="str">
        <f t="shared" si="141"/>
        <v>HPS</v>
      </c>
      <c r="AN143" s="141" t="str">
        <f t="shared" si="142"/>
        <v>HPS</v>
      </c>
      <c r="AO143" s="141" t="str">
        <f t="shared" si="143"/>
        <v>HPS</v>
      </c>
      <c r="AP143" s="134" t="e">
        <f t="shared" si="213"/>
        <v>#N/A</v>
      </c>
      <c r="AQ143" s="134" t="e">
        <f t="shared" si="214"/>
        <v>#N/A</v>
      </c>
      <c r="AR143" s="134" t="e">
        <f t="shared" si="215"/>
        <v>#N/A</v>
      </c>
      <c r="AS143" s="134" t="e">
        <f t="shared" si="216"/>
        <v>#N/A</v>
      </c>
      <c r="AT143" s="134" t="e">
        <f t="shared" si="217"/>
        <v>#N/A</v>
      </c>
      <c r="AU143" s="134" t="e">
        <f t="shared" si="218"/>
        <v>#N/A</v>
      </c>
      <c r="AV143" s="134" t="e">
        <f t="shared" si="219"/>
        <v>#N/A</v>
      </c>
      <c r="AW143" s="134" t="e">
        <f t="shared" si="220"/>
        <v>#N/A</v>
      </c>
      <c r="AX143" s="134" t="e">
        <f t="shared" si="221"/>
        <v>#N/A</v>
      </c>
      <c r="AY143" s="134" t="e">
        <f t="shared" si="222"/>
        <v>#N/A</v>
      </c>
      <c r="AZ143" s="134" t="e">
        <f t="shared" si="223"/>
        <v>#N/A</v>
      </c>
      <c r="BA143" s="134" t="e">
        <f t="shared" si="224"/>
        <v>#N/A</v>
      </c>
      <c r="BB143" s="134" t="e">
        <f t="shared" si="225"/>
        <v>#N/A</v>
      </c>
      <c r="BC143" s="134" t="e">
        <f t="shared" si="226"/>
        <v>#N/A</v>
      </c>
      <c r="BD143" s="134" t="e">
        <f t="shared" si="227"/>
        <v>#N/A</v>
      </c>
      <c r="BE143" s="134" t="e">
        <f t="shared" si="228"/>
        <v>#N/A</v>
      </c>
      <c r="BF143" s="134" t="e">
        <f t="shared" si="229"/>
        <v>#N/A</v>
      </c>
      <c r="BG143" s="134" t="e">
        <f t="shared" si="230"/>
        <v>#N/A</v>
      </c>
      <c r="BH143" s="134" t="e">
        <f t="shared" si="231"/>
        <v>#N/A</v>
      </c>
      <c r="BI143" s="134" t="e">
        <f t="shared" si="232"/>
        <v>#N/A</v>
      </c>
      <c r="BJ143" t="e">
        <f t="shared" si="144"/>
        <v>#N/A</v>
      </c>
      <c r="BK143" t="e">
        <f t="shared" si="145"/>
        <v>#N/A</v>
      </c>
      <c r="BL143" s="142" t="e">
        <f t="shared" si="146"/>
        <v>#N/A</v>
      </c>
      <c r="BM143" s="142">
        <f t="shared" si="190"/>
        <v>2650</v>
      </c>
      <c r="BN143" t="e">
        <f t="shared" si="147"/>
        <v>#NUM!</v>
      </c>
      <c r="BO143" s="143" t="e">
        <f t="shared" si="148"/>
        <v>#N/A</v>
      </c>
      <c r="BP143" s="143" t="e">
        <f t="shared" si="149"/>
        <v>#N/A</v>
      </c>
      <c r="BQ143" s="143" t="e">
        <f t="shared" si="150"/>
        <v>#N/A</v>
      </c>
      <c r="BR143" s="143" t="e">
        <f t="shared" si="151"/>
        <v>#N/A</v>
      </c>
      <c r="BS143" s="143" t="e">
        <f t="shared" si="152"/>
        <v>#N/A</v>
      </c>
      <c r="BT143" s="143" t="e">
        <f t="shared" si="153"/>
        <v>#N/A</v>
      </c>
      <c r="BU143" s="143" t="e">
        <f t="shared" si="154"/>
        <v>#N/A</v>
      </c>
      <c r="BV143" s="143" t="e">
        <f t="shared" si="155"/>
        <v>#N/A</v>
      </c>
      <c r="BW143" s="143" t="e">
        <f t="shared" si="156"/>
        <v>#N/A</v>
      </c>
      <c r="BX143" s="143" t="e">
        <f t="shared" si="157"/>
        <v>#N/A</v>
      </c>
      <c r="BY143" s="143" t="e">
        <f t="shared" si="158"/>
        <v>#N/A</v>
      </c>
      <c r="BZ143" s="143" t="e">
        <f t="shared" si="159"/>
        <v>#N/A</v>
      </c>
      <c r="CA143" s="143" t="e">
        <f t="shared" si="160"/>
        <v>#N/A</v>
      </c>
      <c r="CB143" s="143" t="e">
        <f t="shared" si="161"/>
        <v>#N/A</v>
      </c>
      <c r="CC143" s="143" t="e">
        <f t="shared" si="162"/>
        <v>#N/A</v>
      </c>
      <c r="CD143" s="143" t="e">
        <f t="shared" si="163"/>
        <v>#N/A</v>
      </c>
      <c r="CE143" s="143" t="e">
        <f t="shared" si="164"/>
        <v>#N/A</v>
      </c>
      <c r="CF143" s="143" t="e">
        <f t="shared" si="165"/>
        <v>#N/A</v>
      </c>
      <c r="CG143" s="143" t="e">
        <f t="shared" si="166"/>
        <v>#N/A</v>
      </c>
      <c r="CH143" s="143" t="e">
        <f t="shared" si="167"/>
        <v>#N/A</v>
      </c>
      <c r="CI143" t="e">
        <f t="shared" si="168"/>
        <v>#N/A</v>
      </c>
      <c r="CJ143" t="e">
        <f t="shared" si="169"/>
        <v>#N/A</v>
      </c>
      <c r="CK143" t="e">
        <f t="shared" si="170"/>
        <v>#N/A</v>
      </c>
      <c r="CL143" t="e">
        <f t="shared" si="171"/>
        <v>#N/A</v>
      </c>
      <c r="CM143" t="e">
        <f t="shared" si="172"/>
        <v>#N/A</v>
      </c>
      <c r="CN143" t="e">
        <f t="shared" si="173"/>
        <v>#N/A</v>
      </c>
      <c r="CO143" t="e">
        <f t="shared" si="174"/>
        <v>#N/A</v>
      </c>
      <c r="CP143" t="e">
        <f t="shared" si="175"/>
        <v>#N/A</v>
      </c>
      <c r="CQ143" t="e">
        <f t="shared" si="176"/>
        <v>#N/A</v>
      </c>
      <c r="CR143" t="e">
        <f t="shared" si="177"/>
        <v>#N/A</v>
      </c>
      <c r="CS143" t="e">
        <f t="shared" si="178"/>
        <v>#N/A</v>
      </c>
      <c r="CT143" t="e">
        <f t="shared" si="179"/>
        <v>#N/A</v>
      </c>
      <c r="CU143" t="e">
        <f t="shared" si="180"/>
        <v>#N/A</v>
      </c>
      <c r="CV143" t="e">
        <f t="shared" si="181"/>
        <v>#N/A</v>
      </c>
      <c r="CW143" t="e">
        <f t="shared" si="182"/>
        <v>#N/A</v>
      </c>
      <c r="CX143" t="e">
        <f t="shared" si="183"/>
        <v>#N/A</v>
      </c>
      <c r="CY143" t="e">
        <f t="shared" si="184"/>
        <v>#N/A</v>
      </c>
      <c r="CZ143" t="e">
        <f t="shared" si="185"/>
        <v>#N/A</v>
      </c>
      <c r="DA143" t="e">
        <f t="shared" si="186"/>
        <v>#N/A</v>
      </c>
      <c r="DB143" t="e">
        <f t="shared" si="187"/>
        <v>#N/A</v>
      </c>
      <c r="DC143" s="142" t="e">
        <f t="shared" si="188"/>
        <v>#N/A</v>
      </c>
      <c r="DD143" t="e">
        <f t="shared" si="191"/>
        <v>#N/A</v>
      </c>
      <c r="DE143" t="b">
        <f t="shared" si="189"/>
        <v>0</v>
      </c>
    </row>
    <row r="144" spans="1:109">
      <c r="A144">
        <f t="shared" si="192"/>
        <v>79</v>
      </c>
      <c r="B144" s="140" t="e">
        <f t="shared" si="193"/>
        <v>#N/A</v>
      </c>
      <c r="C144" s="140" t="e">
        <f t="shared" si="194"/>
        <v>#N/A</v>
      </c>
      <c r="D144" s="140" t="e">
        <f t="shared" si="195"/>
        <v>#N/A</v>
      </c>
      <c r="E144" s="140" t="e">
        <f t="shared" si="196"/>
        <v>#N/A</v>
      </c>
      <c r="F144" s="140" t="e">
        <f t="shared" si="197"/>
        <v>#N/A</v>
      </c>
      <c r="G144" s="140" t="e">
        <f t="shared" si="198"/>
        <v>#N/A</v>
      </c>
      <c r="H144" s="140" t="e">
        <f t="shared" si="199"/>
        <v>#N/A</v>
      </c>
      <c r="I144" s="140" t="e">
        <f t="shared" si="200"/>
        <v>#N/A</v>
      </c>
      <c r="J144" s="140" t="e">
        <f t="shared" si="201"/>
        <v>#N/A</v>
      </c>
      <c r="K144" s="140" t="e">
        <f t="shared" si="202"/>
        <v>#N/A</v>
      </c>
      <c r="L144" s="140" t="e">
        <f t="shared" si="203"/>
        <v>#N/A</v>
      </c>
      <c r="M144" s="140" t="e">
        <f t="shared" si="204"/>
        <v>#N/A</v>
      </c>
      <c r="N144" s="140" t="e">
        <f t="shared" si="205"/>
        <v>#N/A</v>
      </c>
      <c r="O144" s="140" t="e">
        <f t="shared" si="206"/>
        <v>#N/A</v>
      </c>
      <c r="P144" s="140" t="e">
        <f t="shared" si="207"/>
        <v>#N/A</v>
      </c>
      <c r="Q144" s="140" t="e">
        <f t="shared" si="208"/>
        <v>#N/A</v>
      </c>
      <c r="R144" s="140" t="e">
        <f t="shared" si="209"/>
        <v>#N/A</v>
      </c>
      <c r="S144" s="140" t="e">
        <f t="shared" si="210"/>
        <v>#N/A</v>
      </c>
      <c r="T144" s="140" t="e">
        <f t="shared" si="211"/>
        <v>#N/A</v>
      </c>
      <c r="U144" s="140" t="e">
        <f t="shared" si="212"/>
        <v>#N/A</v>
      </c>
      <c r="V144" s="141" t="str">
        <f t="shared" si="124"/>
        <v>DPS</v>
      </c>
      <c r="W144" s="141" t="str">
        <f t="shared" si="125"/>
        <v>DPS</v>
      </c>
      <c r="X144" s="141" t="str">
        <f t="shared" si="126"/>
        <v>DPS</v>
      </c>
      <c r="Y144" s="141" t="str">
        <f t="shared" si="127"/>
        <v>DPS</v>
      </c>
      <c r="Z144" s="141" t="str">
        <f t="shared" si="128"/>
        <v>DPS</v>
      </c>
      <c r="AA144" s="141" t="str">
        <f t="shared" si="129"/>
        <v>DPS</v>
      </c>
      <c r="AB144" s="141" t="str">
        <f t="shared" si="130"/>
        <v>DPS</v>
      </c>
      <c r="AC144" s="141" t="str">
        <f t="shared" si="131"/>
        <v>DPS</v>
      </c>
      <c r="AD144" s="141" t="str">
        <f t="shared" si="132"/>
        <v>DPS</v>
      </c>
      <c r="AE144" s="141" t="str">
        <f t="shared" si="133"/>
        <v>DPS</v>
      </c>
      <c r="AF144" s="141" t="str">
        <f t="shared" si="134"/>
        <v>DPS</v>
      </c>
      <c r="AG144" s="141" t="str">
        <f t="shared" si="135"/>
        <v>DPS</v>
      </c>
      <c r="AH144" s="141" t="str">
        <f t="shared" si="136"/>
        <v>DPS</v>
      </c>
      <c r="AI144" s="141" t="str">
        <f t="shared" si="137"/>
        <v>HPS</v>
      </c>
      <c r="AJ144" s="141" t="str">
        <f t="shared" si="138"/>
        <v>HPS</v>
      </c>
      <c r="AK144" s="141" t="str">
        <f t="shared" si="139"/>
        <v>HPS</v>
      </c>
      <c r="AL144" s="141" t="str">
        <f t="shared" si="140"/>
        <v>HPS</v>
      </c>
      <c r="AM144" s="141" t="str">
        <f t="shared" si="141"/>
        <v>HPS</v>
      </c>
      <c r="AN144" s="141" t="str">
        <f t="shared" si="142"/>
        <v>HPS</v>
      </c>
      <c r="AO144" s="141" t="str">
        <f t="shared" si="143"/>
        <v>HPS</v>
      </c>
      <c r="AP144" s="134" t="e">
        <f t="shared" si="213"/>
        <v>#N/A</v>
      </c>
      <c r="AQ144" s="134" t="e">
        <f t="shared" si="214"/>
        <v>#N/A</v>
      </c>
      <c r="AR144" s="134" t="e">
        <f t="shared" si="215"/>
        <v>#N/A</v>
      </c>
      <c r="AS144" s="134" t="e">
        <f t="shared" si="216"/>
        <v>#N/A</v>
      </c>
      <c r="AT144" s="134" t="e">
        <f t="shared" si="217"/>
        <v>#N/A</v>
      </c>
      <c r="AU144" s="134" t="e">
        <f t="shared" si="218"/>
        <v>#N/A</v>
      </c>
      <c r="AV144" s="134" t="e">
        <f t="shared" si="219"/>
        <v>#N/A</v>
      </c>
      <c r="AW144" s="134" t="e">
        <f t="shared" si="220"/>
        <v>#N/A</v>
      </c>
      <c r="AX144" s="134" t="e">
        <f t="shared" si="221"/>
        <v>#N/A</v>
      </c>
      <c r="AY144" s="134" t="e">
        <f t="shared" si="222"/>
        <v>#N/A</v>
      </c>
      <c r="AZ144" s="134" t="e">
        <f t="shared" si="223"/>
        <v>#N/A</v>
      </c>
      <c r="BA144" s="134" t="e">
        <f t="shared" si="224"/>
        <v>#N/A</v>
      </c>
      <c r="BB144" s="134" t="e">
        <f t="shared" si="225"/>
        <v>#N/A</v>
      </c>
      <c r="BC144" s="134" t="e">
        <f t="shared" si="226"/>
        <v>#N/A</v>
      </c>
      <c r="BD144" s="134" t="e">
        <f t="shared" si="227"/>
        <v>#N/A</v>
      </c>
      <c r="BE144" s="134" t="e">
        <f t="shared" si="228"/>
        <v>#N/A</v>
      </c>
      <c r="BF144" s="134" t="e">
        <f t="shared" si="229"/>
        <v>#N/A</v>
      </c>
      <c r="BG144" s="134" t="e">
        <f t="shared" si="230"/>
        <v>#N/A</v>
      </c>
      <c r="BH144" s="134" t="e">
        <f t="shared" si="231"/>
        <v>#N/A</v>
      </c>
      <c r="BI144" s="134" t="e">
        <f t="shared" si="232"/>
        <v>#N/A</v>
      </c>
      <c r="BJ144" t="e">
        <f t="shared" si="144"/>
        <v>#N/A</v>
      </c>
      <c r="BK144" t="e">
        <f t="shared" si="145"/>
        <v>#N/A</v>
      </c>
      <c r="BL144" s="142" t="e">
        <f t="shared" si="146"/>
        <v>#N/A</v>
      </c>
      <c r="BM144" s="142">
        <f t="shared" si="190"/>
        <v>2650</v>
      </c>
      <c r="BN144" t="e">
        <f t="shared" si="147"/>
        <v>#NUM!</v>
      </c>
      <c r="BO144" s="143" t="e">
        <f t="shared" si="148"/>
        <v>#N/A</v>
      </c>
      <c r="BP144" s="143" t="e">
        <f t="shared" si="149"/>
        <v>#N/A</v>
      </c>
      <c r="BQ144" s="143" t="e">
        <f t="shared" si="150"/>
        <v>#N/A</v>
      </c>
      <c r="BR144" s="143" t="e">
        <f t="shared" si="151"/>
        <v>#N/A</v>
      </c>
      <c r="BS144" s="143" t="e">
        <f t="shared" si="152"/>
        <v>#N/A</v>
      </c>
      <c r="BT144" s="143" t="e">
        <f t="shared" si="153"/>
        <v>#N/A</v>
      </c>
      <c r="BU144" s="143" t="e">
        <f t="shared" si="154"/>
        <v>#N/A</v>
      </c>
      <c r="BV144" s="143" t="e">
        <f t="shared" si="155"/>
        <v>#N/A</v>
      </c>
      <c r="BW144" s="143" t="e">
        <f t="shared" si="156"/>
        <v>#N/A</v>
      </c>
      <c r="BX144" s="143" t="e">
        <f t="shared" si="157"/>
        <v>#N/A</v>
      </c>
      <c r="BY144" s="143" t="e">
        <f t="shared" si="158"/>
        <v>#N/A</v>
      </c>
      <c r="BZ144" s="143" t="e">
        <f t="shared" si="159"/>
        <v>#N/A</v>
      </c>
      <c r="CA144" s="143" t="e">
        <f t="shared" si="160"/>
        <v>#N/A</v>
      </c>
      <c r="CB144" s="143" t="e">
        <f t="shared" si="161"/>
        <v>#N/A</v>
      </c>
      <c r="CC144" s="143" t="e">
        <f t="shared" si="162"/>
        <v>#N/A</v>
      </c>
      <c r="CD144" s="143" t="e">
        <f t="shared" si="163"/>
        <v>#N/A</v>
      </c>
      <c r="CE144" s="143" t="e">
        <f t="shared" si="164"/>
        <v>#N/A</v>
      </c>
      <c r="CF144" s="143" t="e">
        <f t="shared" si="165"/>
        <v>#N/A</v>
      </c>
      <c r="CG144" s="143" t="e">
        <f t="shared" si="166"/>
        <v>#N/A</v>
      </c>
      <c r="CH144" s="143" t="e">
        <f t="shared" si="167"/>
        <v>#N/A</v>
      </c>
      <c r="CI144" t="e">
        <f t="shared" si="168"/>
        <v>#N/A</v>
      </c>
      <c r="CJ144" t="e">
        <f t="shared" si="169"/>
        <v>#N/A</v>
      </c>
      <c r="CK144" t="e">
        <f t="shared" si="170"/>
        <v>#N/A</v>
      </c>
      <c r="CL144" t="e">
        <f t="shared" si="171"/>
        <v>#N/A</v>
      </c>
      <c r="CM144" t="e">
        <f t="shared" si="172"/>
        <v>#N/A</v>
      </c>
      <c r="CN144" t="e">
        <f t="shared" si="173"/>
        <v>#N/A</v>
      </c>
      <c r="CO144" t="e">
        <f t="shared" si="174"/>
        <v>#N/A</v>
      </c>
      <c r="CP144" t="e">
        <f t="shared" si="175"/>
        <v>#N/A</v>
      </c>
      <c r="CQ144" t="e">
        <f t="shared" si="176"/>
        <v>#N/A</v>
      </c>
      <c r="CR144" t="e">
        <f t="shared" si="177"/>
        <v>#N/A</v>
      </c>
      <c r="CS144" t="e">
        <f t="shared" si="178"/>
        <v>#N/A</v>
      </c>
      <c r="CT144" t="e">
        <f t="shared" si="179"/>
        <v>#N/A</v>
      </c>
      <c r="CU144" t="e">
        <f t="shared" si="180"/>
        <v>#N/A</v>
      </c>
      <c r="CV144" t="e">
        <f t="shared" si="181"/>
        <v>#N/A</v>
      </c>
      <c r="CW144" t="e">
        <f t="shared" si="182"/>
        <v>#N/A</v>
      </c>
      <c r="CX144" t="e">
        <f t="shared" si="183"/>
        <v>#N/A</v>
      </c>
      <c r="CY144" t="e">
        <f t="shared" si="184"/>
        <v>#N/A</v>
      </c>
      <c r="CZ144" t="e">
        <f t="shared" si="185"/>
        <v>#N/A</v>
      </c>
      <c r="DA144" t="e">
        <f t="shared" si="186"/>
        <v>#N/A</v>
      </c>
      <c r="DB144" t="e">
        <f t="shared" si="187"/>
        <v>#N/A</v>
      </c>
      <c r="DC144" s="142" t="e">
        <f t="shared" si="188"/>
        <v>#N/A</v>
      </c>
      <c r="DD144" t="e">
        <f t="shared" si="191"/>
        <v>#N/A</v>
      </c>
      <c r="DE144" t="b">
        <f t="shared" si="189"/>
        <v>0</v>
      </c>
    </row>
    <row r="145" spans="1:109">
      <c r="A145">
        <f t="shared" si="192"/>
        <v>80</v>
      </c>
      <c r="B145" s="140" t="e">
        <f t="shared" si="193"/>
        <v>#N/A</v>
      </c>
      <c r="C145" s="140" t="e">
        <f t="shared" si="194"/>
        <v>#N/A</v>
      </c>
      <c r="D145" s="140" t="e">
        <f t="shared" si="195"/>
        <v>#N/A</v>
      </c>
      <c r="E145" s="140" t="e">
        <f t="shared" si="196"/>
        <v>#N/A</v>
      </c>
      <c r="F145" s="140" t="e">
        <f t="shared" si="197"/>
        <v>#N/A</v>
      </c>
      <c r="G145" s="140" t="e">
        <f t="shared" si="198"/>
        <v>#N/A</v>
      </c>
      <c r="H145" s="140" t="e">
        <f t="shared" si="199"/>
        <v>#N/A</v>
      </c>
      <c r="I145" s="140" t="e">
        <f t="shared" si="200"/>
        <v>#N/A</v>
      </c>
      <c r="J145" s="140" t="e">
        <f t="shared" si="201"/>
        <v>#N/A</v>
      </c>
      <c r="K145" s="140" t="e">
        <f t="shared" si="202"/>
        <v>#N/A</v>
      </c>
      <c r="L145" s="140" t="e">
        <f t="shared" si="203"/>
        <v>#N/A</v>
      </c>
      <c r="M145" s="140" t="e">
        <f t="shared" si="204"/>
        <v>#N/A</v>
      </c>
      <c r="N145" s="140" t="e">
        <f t="shared" si="205"/>
        <v>#N/A</v>
      </c>
      <c r="O145" s="140" t="e">
        <f t="shared" si="206"/>
        <v>#N/A</v>
      </c>
      <c r="P145" s="140" t="e">
        <f t="shared" si="207"/>
        <v>#N/A</v>
      </c>
      <c r="Q145" s="140" t="e">
        <f t="shared" si="208"/>
        <v>#N/A</v>
      </c>
      <c r="R145" s="140" t="e">
        <f t="shared" si="209"/>
        <v>#N/A</v>
      </c>
      <c r="S145" s="140" t="e">
        <f t="shared" si="210"/>
        <v>#N/A</v>
      </c>
      <c r="T145" s="140" t="e">
        <f t="shared" si="211"/>
        <v>#N/A</v>
      </c>
      <c r="U145" s="140" t="e">
        <f t="shared" si="212"/>
        <v>#N/A</v>
      </c>
      <c r="V145" s="141" t="str">
        <f t="shared" si="124"/>
        <v>DPS</v>
      </c>
      <c r="W145" s="141" t="str">
        <f t="shared" si="125"/>
        <v>DPS</v>
      </c>
      <c r="X145" s="141" t="str">
        <f t="shared" si="126"/>
        <v>DPS</v>
      </c>
      <c r="Y145" s="141" t="str">
        <f t="shared" si="127"/>
        <v>DPS</v>
      </c>
      <c r="Z145" s="141" t="str">
        <f t="shared" si="128"/>
        <v>DPS</v>
      </c>
      <c r="AA145" s="141" t="str">
        <f t="shared" si="129"/>
        <v>DPS</v>
      </c>
      <c r="AB145" s="141" t="str">
        <f t="shared" si="130"/>
        <v>DPS</v>
      </c>
      <c r="AC145" s="141" t="str">
        <f t="shared" si="131"/>
        <v>DPS</v>
      </c>
      <c r="AD145" s="141" t="str">
        <f t="shared" si="132"/>
        <v>DPS</v>
      </c>
      <c r="AE145" s="141" t="str">
        <f t="shared" si="133"/>
        <v>DPS</v>
      </c>
      <c r="AF145" s="141" t="str">
        <f t="shared" si="134"/>
        <v>DPS</v>
      </c>
      <c r="AG145" s="141" t="str">
        <f t="shared" si="135"/>
        <v>DPS</v>
      </c>
      <c r="AH145" s="141" t="str">
        <f t="shared" si="136"/>
        <v>DPS</v>
      </c>
      <c r="AI145" s="141" t="str">
        <f t="shared" si="137"/>
        <v>HPS</v>
      </c>
      <c r="AJ145" s="141" t="str">
        <f t="shared" si="138"/>
        <v>HPS</v>
      </c>
      <c r="AK145" s="141" t="str">
        <f t="shared" si="139"/>
        <v>HPS</v>
      </c>
      <c r="AL145" s="141" t="str">
        <f t="shared" si="140"/>
        <v>HPS</v>
      </c>
      <c r="AM145" s="141" t="str">
        <f t="shared" si="141"/>
        <v>HPS</v>
      </c>
      <c r="AN145" s="141" t="str">
        <f t="shared" si="142"/>
        <v>HPS</v>
      </c>
      <c r="AO145" s="141" t="str">
        <f t="shared" si="143"/>
        <v>HPS</v>
      </c>
      <c r="AP145" s="134" t="e">
        <f t="shared" si="213"/>
        <v>#N/A</v>
      </c>
      <c r="AQ145" s="134" t="e">
        <f t="shared" si="214"/>
        <v>#N/A</v>
      </c>
      <c r="AR145" s="134" t="e">
        <f t="shared" si="215"/>
        <v>#N/A</v>
      </c>
      <c r="AS145" s="134" t="e">
        <f t="shared" si="216"/>
        <v>#N/A</v>
      </c>
      <c r="AT145" s="134" t="e">
        <f t="shared" si="217"/>
        <v>#N/A</v>
      </c>
      <c r="AU145" s="134" t="e">
        <f t="shared" si="218"/>
        <v>#N/A</v>
      </c>
      <c r="AV145" s="134" t="e">
        <f t="shared" si="219"/>
        <v>#N/A</v>
      </c>
      <c r="AW145" s="134" t="e">
        <f t="shared" si="220"/>
        <v>#N/A</v>
      </c>
      <c r="AX145" s="134" t="e">
        <f t="shared" si="221"/>
        <v>#N/A</v>
      </c>
      <c r="AY145" s="134" t="e">
        <f t="shared" si="222"/>
        <v>#N/A</v>
      </c>
      <c r="AZ145" s="134" t="e">
        <f t="shared" si="223"/>
        <v>#N/A</v>
      </c>
      <c r="BA145" s="134" t="e">
        <f t="shared" si="224"/>
        <v>#N/A</v>
      </c>
      <c r="BB145" s="134" t="e">
        <f t="shared" si="225"/>
        <v>#N/A</v>
      </c>
      <c r="BC145" s="134" t="e">
        <f t="shared" si="226"/>
        <v>#N/A</v>
      </c>
      <c r="BD145" s="134" t="e">
        <f t="shared" si="227"/>
        <v>#N/A</v>
      </c>
      <c r="BE145" s="134" t="e">
        <f t="shared" si="228"/>
        <v>#N/A</v>
      </c>
      <c r="BF145" s="134" t="e">
        <f t="shared" si="229"/>
        <v>#N/A</v>
      </c>
      <c r="BG145" s="134" t="e">
        <f t="shared" si="230"/>
        <v>#N/A</v>
      </c>
      <c r="BH145" s="134" t="e">
        <f t="shared" si="231"/>
        <v>#N/A</v>
      </c>
      <c r="BI145" s="134" t="e">
        <f t="shared" si="232"/>
        <v>#N/A</v>
      </c>
      <c r="BJ145" t="e">
        <f t="shared" si="144"/>
        <v>#N/A</v>
      </c>
      <c r="BK145" t="e">
        <f t="shared" si="145"/>
        <v>#N/A</v>
      </c>
      <c r="BL145" s="142" t="e">
        <f t="shared" si="146"/>
        <v>#N/A</v>
      </c>
      <c r="BM145" s="142">
        <f t="shared" si="190"/>
        <v>2650</v>
      </c>
      <c r="BN145" t="e">
        <f t="shared" si="147"/>
        <v>#NUM!</v>
      </c>
      <c r="BO145" s="143" t="e">
        <f t="shared" si="148"/>
        <v>#N/A</v>
      </c>
      <c r="BP145" s="143" t="e">
        <f t="shared" si="149"/>
        <v>#N/A</v>
      </c>
      <c r="BQ145" s="143" t="e">
        <f t="shared" si="150"/>
        <v>#N/A</v>
      </c>
      <c r="BR145" s="143" t="e">
        <f t="shared" si="151"/>
        <v>#N/A</v>
      </c>
      <c r="BS145" s="143" t="e">
        <f t="shared" si="152"/>
        <v>#N/A</v>
      </c>
      <c r="BT145" s="143" t="e">
        <f t="shared" si="153"/>
        <v>#N/A</v>
      </c>
      <c r="BU145" s="143" t="e">
        <f t="shared" si="154"/>
        <v>#N/A</v>
      </c>
      <c r="BV145" s="143" t="e">
        <f t="shared" si="155"/>
        <v>#N/A</v>
      </c>
      <c r="BW145" s="143" t="e">
        <f t="shared" si="156"/>
        <v>#N/A</v>
      </c>
      <c r="BX145" s="143" t="e">
        <f t="shared" si="157"/>
        <v>#N/A</v>
      </c>
      <c r="BY145" s="143" t="e">
        <f t="shared" si="158"/>
        <v>#N/A</v>
      </c>
      <c r="BZ145" s="143" t="e">
        <f t="shared" si="159"/>
        <v>#N/A</v>
      </c>
      <c r="CA145" s="143" t="e">
        <f t="shared" si="160"/>
        <v>#N/A</v>
      </c>
      <c r="CB145" s="143" t="e">
        <f t="shared" si="161"/>
        <v>#N/A</v>
      </c>
      <c r="CC145" s="143" t="e">
        <f t="shared" si="162"/>
        <v>#N/A</v>
      </c>
      <c r="CD145" s="143" t="e">
        <f t="shared" si="163"/>
        <v>#N/A</v>
      </c>
      <c r="CE145" s="143" t="e">
        <f t="shared" si="164"/>
        <v>#N/A</v>
      </c>
      <c r="CF145" s="143" t="e">
        <f t="shared" si="165"/>
        <v>#N/A</v>
      </c>
      <c r="CG145" s="143" t="e">
        <f t="shared" si="166"/>
        <v>#N/A</v>
      </c>
      <c r="CH145" s="143" t="e">
        <f t="shared" si="167"/>
        <v>#N/A</v>
      </c>
      <c r="CI145" t="e">
        <f t="shared" si="168"/>
        <v>#N/A</v>
      </c>
      <c r="CJ145" t="e">
        <f t="shared" si="169"/>
        <v>#N/A</v>
      </c>
      <c r="CK145" t="e">
        <f t="shared" si="170"/>
        <v>#N/A</v>
      </c>
      <c r="CL145" t="e">
        <f t="shared" si="171"/>
        <v>#N/A</v>
      </c>
      <c r="CM145" t="e">
        <f t="shared" si="172"/>
        <v>#N/A</v>
      </c>
      <c r="CN145" t="e">
        <f t="shared" si="173"/>
        <v>#N/A</v>
      </c>
      <c r="CO145" t="e">
        <f t="shared" si="174"/>
        <v>#N/A</v>
      </c>
      <c r="CP145" t="e">
        <f t="shared" si="175"/>
        <v>#N/A</v>
      </c>
      <c r="CQ145" t="e">
        <f t="shared" si="176"/>
        <v>#N/A</v>
      </c>
      <c r="CR145" t="e">
        <f t="shared" si="177"/>
        <v>#N/A</v>
      </c>
      <c r="CS145" t="e">
        <f t="shared" si="178"/>
        <v>#N/A</v>
      </c>
      <c r="CT145" t="e">
        <f t="shared" si="179"/>
        <v>#N/A</v>
      </c>
      <c r="CU145" t="e">
        <f t="shared" si="180"/>
        <v>#N/A</v>
      </c>
      <c r="CV145" t="e">
        <f t="shared" si="181"/>
        <v>#N/A</v>
      </c>
      <c r="CW145" t="e">
        <f t="shared" si="182"/>
        <v>#N/A</v>
      </c>
      <c r="CX145" t="e">
        <f t="shared" si="183"/>
        <v>#N/A</v>
      </c>
      <c r="CY145" t="e">
        <f t="shared" si="184"/>
        <v>#N/A</v>
      </c>
      <c r="CZ145" t="e">
        <f t="shared" si="185"/>
        <v>#N/A</v>
      </c>
      <c r="DA145" t="e">
        <f t="shared" si="186"/>
        <v>#N/A</v>
      </c>
      <c r="DB145" t="e">
        <f t="shared" si="187"/>
        <v>#N/A</v>
      </c>
      <c r="DC145" s="142" t="e">
        <f t="shared" si="188"/>
        <v>#N/A</v>
      </c>
      <c r="DD145" t="e">
        <f t="shared" si="191"/>
        <v>#N/A</v>
      </c>
      <c r="DE145" t="b">
        <f t="shared" si="189"/>
        <v>0</v>
      </c>
    </row>
    <row r="146" spans="1:109">
      <c r="A146">
        <f t="shared" si="192"/>
        <v>81</v>
      </c>
      <c r="B146" s="140" t="e">
        <f t="shared" si="193"/>
        <v>#N/A</v>
      </c>
      <c r="C146" s="140" t="e">
        <f t="shared" si="194"/>
        <v>#N/A</v>
      </c>
      <c r="D146" s="140" t="e">
        <f t="shared" si="195"/>
        <v>#N/A</v>
      </c>
      <c r="E146" s="140" t="e">
        <f t="shared" si="196"/>
        <v>#N/A</v>
      </c>
      <c r="F146" s="140" t="e">
        <f t="shared" si="197"/>
        <v>#N/A</v>
      </c>
      <c r="G146" s="140" t="e">
        <f t="shared" si="198"/>
        <v>#N/A</v>
      </c>
      <c r="H146" s="140" t="e">
        <f t="shared" si="199"/>
        <v>#N/A</v>
      </c>
      <c r="I146" s="140" t="e">
        <f t="shared" si="200"/>
        <v>#N/A</v>
      </c>
      <c r="J146" s="140" t="e">
        <f t="shared" si="201"/>
        <v>#N/A</v>
      </c>
      <c r="K146" s="140" t="e">
        <f t="shared" si="202"/>
        <v>#N/A</v>
      </c>
      <c r="L146" s="140" t="e">
        <f t="shared" si="203"/>
        <v>#N/A</v>
      </c>
      <c r="M146" s="140" t="e">
        <f t="shared" si="204"/>
        <v>#N/A</v>
      </c>
      <c r="N146" s="140" t="e">
        <f t="shared" si="205"/>
        <v>#N/A</v>
      </c>
      <c r="O146" s="140" t="e">
        <f t="shared" si="206"/>
        <v>#N/A</v>
      </c>
      <c r="P146" s="140" t="e">
        <f t="shared" si="207"/>
        <v>#N/A</v>
      </c>
      <c r="Q146" s="140" t="e">
        <f t="shared" si="208"/>
        <v>#N/A</v>
      </c>
      <c r="R146" s="140" t="e">
        <f t="shared" si="209"/>
        <v>#N/A</v>
      </c>
      <c r="S146" s="140" t="e">
        <f t="shared" si="210"/>
        <v>#N/A</v>
      </c>
      <c r="T146" s="140" t="e">
        <f t="shared" si="211"/>
        <v>#N/A</v>
      </c>
      <c r="U146" s="140" t="e">
        <f t="shared" si="212"/>
        <v>#N/A</v>
      </c>
      <c r="V146" s="141" t="str">
        <f t="shared" si="124"/>
        <v>DPS</v>
      </c>
      <c r="W146" s="141" t="str">
        <f t="shared" si="125"/>
        <v>DPS</v>
      </c>
      <c r="X146" s="141" t="str">
        <f t="shared" si="126"/>
        <v>DPS</v>
      </c>
      <c r="Y146" s="141" t="str">
        <f t="shared" si="127"/>
        <v>DPS</v>
      </c>
      <c r="Z146" s="141" t="str">
        <f t="shared" si="128"/>
        <v>DPS</v>
      </c>
      <c r="AA146" s="141" t="str">
        <f t="shared" si="129"/>
        <v>DPS</v>
      </c>
      <c r="AB146" s="141" t="str">
        <f t="shared" si="130"/>
        <v>DPS</v>
      </c>
      <c r="AC146" s="141" t="str">
        <f t="shared" si="131"/>
        <v>DPS</v>
      </c>
      <c r="AD146" s="141" t="str">
        <f t="shared" si="132"/>
        <v>DPS</v>
      </c>
      <c r="AE146" s="141" t="str">
        <f t="shared" si="133"/>
        <v>DPS</v>
      </c>
      <c r="AF146" s="141" t="str">
        <f t="shared" si="134"/>
        <v>DPS</v>
      </c>
      <c r="AG146" s="141" t="str">
        <f t="shared" si="135"/>
        <v>DPS</v>
      </c>
      <c r="AH146" s="141" t="str">
        <f t="shared" si="136"/>
        <v>DPS</v>
      </c>
      <c r="AI146" s="141" t="str">
        <f t="shared" si="137"/>
        <v>HPS</v>
      </c>
      <c r="AJ146" s="141" t="str">
        <f t="shared" si="138"/>
        <v>HPS</v>
      </c>
      <c r="AK146" s="141" t="str">
        <f t="shared" si="139"/>
        <v>HPS</v>
      </c>
      <c r="AL146" s="141" t="str">
        <f t="shared" si="140"/>
        <v>HPS</v>
      </c>
      <c r="AM146" s="141" t="str">
        <f t="shared" si="141"/>
        <v>HPS</v>
      </c>
      <c r="AN146" s="141" t="str">
        <f t="shared" si="142"/>
        <v>HPS</v>
      </c>
      <c r="AO146" s="141" t="str">
        <f t="shared" si="143"/>
        <v>HPS</v>
      </c>
      <c r="AP146" s="134" t="e">
        <f t="shared" si="213"/>
        <v>#N/A</v>
      </c>
      <c r="AQ146" s="134" t="e">
        <f t="shared" si="214"/>
        <v>#N/A</v>
      </c>
      <c r="AR146" s="134" t="e">
        <f t="shared" si="215"/>
        <v>#N/A</v>
      </c>
      <c r="AS146" s="134" t="e">
        <f t="shared" si="216"/>
        <v>#N/A</v>
      </c>
      <c r="AT146" s="134" t="e">
        <f t="shared" si="217"/>
        <v>#N/A</v>
      </c>
      <c r="AU146" s="134" t="e">
        <f t="shared" si="218"/>
        <v>#N/A</v>
      </c>
      <c r="AV146" s="134" t="e">
        <f t="shared" si="219"/>
        <v>#N/A</v>
      </c>
      <c r="AW146" s="134" t="e">
        <f t="shared" si="220"/>
        <v>#N/A</v>
      </c>
      <c r="AX146" s="134" t="e">
        <f t="shared" si="221"/>
        <v>#N/A</v>
      </c>
      <c r="AY146" s="134" t="e">
        <f t="shared" si="222"/>
        <v>#N/A</v>
      </c>
      <c r="AZ146" s="134" t="e">
        <f t="shared" si="223"/>
        <v>#N/A</v>
      </c>
      <c r="BA146" s="134" t="e">
        <f t="shared" si="224"/>
        <v>#N/A</v>
      </c>
      <c r="BB146" s="134" t="e">
        <f t="shared" si="225"/>
        <v>#N/A</v>
      </c>
      <c r="BC146" s="134" t="e">
        <f t="shared" si="226"/>
        <v>#N/A</v>
      </c>
      <c r="BD146" s="134" t="e">
        <f t="shared" si="227"/>
        <v>#N/A</v>
      </c>
      <c r="BE146" s="134" t="e">
        <f t="shared" si="228"/>
        <v>#N/A</v>
      </c>
      <c r="BF146" s="134" t="e">
        <f t="shared" si="229"/>
        <v>#N/A</v>
      </c>
      <c r="BG146" s="134" t="e">
        <f t="shared" si="230"/>
        <v>#N/A</v>
      </c>
      <c r="BH146" s="134" t="e">
        <f t="shared" si="231"/>
        <v>#N/A</v>
      </c>
      <c r="BI146" s="134" t="e">
        <f t="shared" si="232"/>
        <v>#N/A</v>
      </c>
      <c r="BJ146" t="e">
        <f t="shared" si="144"/>
        <v>#N/A</v>
      </c>
      <c r="BK146" t="e">
        <f t="shared" si="145"/>
        <v>#N/A</v>
      </c>
      <c r="BL146" s="142" t="e">
        <f t="shared" si="146"/>
        <v>#N/A</v>
      </c>
      <c r="BM146" s="142">
        <f t="shared" si="190"/>
        <v>2650</v>
      </c>
      <c r="BN146" t="e">
        <f t="shared" si="147"/>
        <v>#NUM!</v>
      </c>
      <c r="BO146" s="143" t="e">
        <f t="shared" si="148"/>
        <v>#N/A</v>
      </c>
      <c r="BP146" s="143" t="e">
        <f t="shared" si="149"/>
        <v>#N/A</v>
      </c>
      <c r="BQ146" s="143" t="e">
        <f t="shared" si="150"/>
        <v>#N/A</v>
      </c>
      <c r="BR146" s="143" t="e">
        <f t="shared" si="151"/>
        <v>#N/A</v>
      </c>
      <c r="BS146" s="143" t="e">
        <f t="shared" si="152"/>
        <v>#N/A</v>
      </c>
      <c r="BT146" s="143" t="e">
        <f t="shared" si="153"/>
        <v>#N/A</v>
      </c>
      <c r="BU146" s="143" t="e">
        <f t="shared" si="154"/>
        <v>#N/A</v>
      </c>
      <c r="BV146" s="143" t="e">
        <f t="shared" si="155"/>
        <v>#N/A</v>
      </c>
      <c r="BW146" s="143" t="e">
        <f t="shared" si="156"/>
        <v>#N/A</v>
      </c>
      <c r="BX146" s="143" t="e">
        <f t="shared" si="157"/>
        <v>#N/A</v>
      </c>
      <c r="BY146" s="143" t="e">
        <f t="shared" si="158"/>
        <v>#N/A</v>
      </c>
      <c r="BZ146" s="143" t="e">
        <f t="shared" si="159"/>
        <v>#N/A</v>
      </c>
      <c r="CA146" s="143" t="e">
        <f t="shared" si="160"/>
        <v>#N/A</v>
      </c>
      <c r="CB146" s="143" t="e">
        <f t="shared" si="161"/>
        <v>#N/A</v>
      </c>
      <c r="CC146" s="143" t="e">
        <f t="shared" si="162"/>
        <v>#N/A</v>
      </c>
      <c r="CD146" s="143" t="e">
        <f t="shared" si="163"/>
        <v>#N/A</v>
      </c>
      <c r="CE146" s="143" t="e">
        <f t="shared" si="164"/>
        <v>#N/A</v>
      </c>
      <c r="CF146" s="143" t="e">
        <f t="shared" si="165"/>
        <v>#N/A</v>
      </c>
      <c r="CG146" s="143" t="e">
        <f t="shared" si="166"/>
        <v>#N/A</v>
      </c>
      <c r="CH146" s="143" t="e">
        <f t="shared" si="167"/>
        <v>#N/A</v>
      </c>
      <c r="CI146" t="e">
        <f t="shared" si="168"/>
        <v>#N/A</v>
      </c>
      <c r="CJ146" t="e">
        <f t="shared" si="169"/>
        <v>#N/A</v>
      </c>
      <c r="CK146" t="e">
        <f t="shared" si="170"/>
        <v>#N/A</v>
      </c>
      <c r="CL146" t="e">
        <f t="shared" si="171"/>
        <v>#N/A</v>
      </c>
      <c r="CM146" t="e">
        <f t="shared" si="172"/>
        <v>#N/A</v>
      </c>
      <c r="CN146" t="e">
        <f t="shared" si="173"/>
        <v>#N/A</v>
      </c>
      <c r="CO146" t="e">
        <f t="shared" si="174"/>
        <v>#N/A</v>
      </c>
      <c r="CP146" t="e">
        <f t="shared" si="175"/>
        <v>#N/A</v>
      </c>
      <c r="CQ146" t="e">
        <f t="shared" si="176"/>
        <v>#N/A</v>
      </c>
      <c r="CR146" t="e">
        <f t="shared" si="177"/>
        <v>#N/A</v>
      </c>
      <c r="CS146" t="e">
        <f t="shared" si="178"/>
        <v>#N/A</v>
      </c>
      <c r="CT146" t="e">
        <f t="shared" si="179"/>
        <v>#N/A</v>
      </c>
      <c r="CU146" t="e">
        <f t="shared" si="180"/>
        <v>#N/A</v>
      </c>
      <c r="CV146" t="e">
        <f t="shared" si="181"/>
        <v>#N/A</v>
      </c>
      <c r="CW146" t="e">
        <f t="shared" si="182"/>
        <v>#N/A</v>
      </c>
      <c r="CX146" t="e">
        <f t="shared" si="183"/>
        <v>#N/A</v>
      </c>
      <c r="CY146" t="e">
        <f t="shared" si="184"/>
        <v>#N/A</v>
      </c>
      <c r="CZ146" t="e">
        <f t="shared" si="185"/>
        <v>#N/A</v>
      </c>
      <c r="DA146" t="e">
        <f t="shared" si="186"/>
        <v>#N/A</v>
      </c>
      <c r="DB146" t="e">
        <f t="shared" si="187"/>
        <v>#N/A</v>
      </c>
      <c r="DC146" s="142" t="e">
        <f t="shared" si="188"/>
        <v>#N/A</v>
      </c>
      <c r="DD146" t="e">
        <f t="shared" si="191"/>
        <v>#N/A</v>
      </c>
      <c r="DE146" t="b">
        <f t="shared" si="189"/>
        <v>0</v>
      </c>
    </row>
    <row r="147" spans="1:109">
      <c r="A147">
        <f t="shared" si="192"/>
        <v>82</v>
      </c>
      <c r="B147" s="140" t="e">
        <f t="shared" si="193"/>
        <v>#N/A</v>
      </c>
      <c r="C147" s="140" t="e">
        <f t="shared" si="194"/>
        <v>#N/A</v>
      </c>
      <c r="D147" s="140" t="e">
        <f t="shared" si="195"/>
        <v>#N/A</v>
      </c>
      <c r="E147" s="140" t="e">
        <f t="shared" si="196"/>
        <v>#N/A</v>
      </c>
      <c r="F147" s="140" t="e">
        <f t="shared" si="197"/>
        <v>#N/A</v>
      </c>
      <c r="G147" s="140" t="e">
        <f t="shared" si="198"/>
        <v>#N/A</v>
      </c>
      <c r="H147" s="140" t="e">
        <f t="shared" si="199"/>
        <v>#N/A</v>
      </c>
      <c r="I147" s="140" t="e">
        <f t="shared" si="200"/>
        <v>#N/A</v>
      </c>
      <c r="J147" s="140" t="e">
        <f t="shared" si="201"/>
        <v>#N/A</v>
      </c>
      <c r="K147" s="140" t="e">
        <f t="shared" si="202"/>
        <v>#N/A</v>
      </c>
      <c r="L147" s="140" t="e">
        <f t="shared" si="203"/>
        <v>#N/A</v>
      </c>
      <c r="M147" s="140" t="e">
        <f t="shared" si="204"/>
        <v>#N/A</v>
      </c>
      <c r="N147" s="140" t="e">
        <f t="shared" si="205"/>
        <v>#N/A</v>
      </c>
      <c r="O147" s="140" t="e">
        <f t="shared" si="206"/>
        <v>#N/A</v>
      </c>
      <c r="P147" s="140" t="e">
        <f t="shared" si="207"/>
        <v>#N/A</v>
      </c>
      <c r="Q147" s="140" t="e">
        <f t="shared" si="208"/>
        <v>#N/A</v>
      </c>
      <c r="R147" s="140" t="e">
        <f t="shared" si="209"/>
        <v>#N/A</v>
      </c>
      <c r="S147" s="140" t="e">
        <f t="shared" si="210"/>
        <v>#N/A</v>
      </c>
      <c r="T147" s="140" t="e">
        <f t="shared" si="211"/>
        <v>#N/A</v>
      </c>
      <c r="U147" s="140" t="e">
        <f t="shared" si="212"/>
        <v>#N/A</v>
      </c>
      <c r="V147" s="141" t="str">
        <f t="shared" si="124"/>
        <v>DPS</v>
      </c>
      <c r="W147" s="141" t="str">
        <f t="shared" si="125"/>
        <v>DPS</v>
      </c>
      <c r="X147" s="141" t="str">
        <f t="shared" si="126"/>
        <v>DPS</v>
      </c>
      <c r="Y147" s="141" t="str">
        <f t="shared" si="127"/>
        <v>DPS</v>
      </c>
      <c r="Z147" s="141" t="str">
        <f t="shared" si="128"/>
        <v>DPS</v>
      </c>
      <c r="AA147" s="141" t="str">
        <f t="shared" si="129"/>
        <v>DPS</v>
      </c>
      <c r="AB147" s="141" t="str">
        <f t="shared" si="130"/>
        <v>DPS</v>
      </c>
      <c r="AC147" s="141" t="str">
        <f t="shared" si="131"/>
        <v>DPS</v>
      </c>
      <c r="AD147" s="141" t="str">
        <f t="shared" si="132"/>
        <v>DPS</v>
      </c>
      <c r="AE147" s="141" t="str">
        <f t="shared" si="133"/>
        <v>DPS</v>
      </c>
      <c r="AF147" s="141" t="str">
        <f t="shared" si="134"/>
        <v>DPS</v>
      </c>
      <c r="AG147" s="141" t="str">
        <f t="shared" si="135"/>
        <v>DPS</v>
      </c>
      <c r="AH147" s="141" t="str">
        <f t="shared" si="136"/>
        <v>DPS</v>
      </c>
      <c r="AI147" s="141" t="str">
        <f t="shared" si="137"/>
        <v>HPS</v>
      </c>
      <c r="AJ147" s="141" t="str">
        <f t="shared" si="138"/>
        <v>HPS</v>
      </c>
      <c r="AK147" s="141" t="str">
        <f t="shared" si="139"/>
        <v>HPS</v>
      </c>
      <c r="AL147" s="141" t="str">
        <f t="shared" si="140"/>
        <v>HPS</v>
      </c>
      <c r="AM147" s="141" t="str">
        <f t="shared" si="141"/>
        <v>HPS</v>
      </c>
      <c r="AN147" s="141" t="str">
        <f t="shared" si="142"/>
        <v>HPS</v>
      </c>
      <c r="AO147" s="141" t="str">
        <f t="shared" si="143"/>
        <v>HPS</v>
      </c>
      <c r="AP147" s="134" t="e">
        <f t="shared" si="213"/>
        <v>#N/A</v>
      </c>
      <c r="AQ147" s="134" t="e">
        <f t="shared" si="214"/>
        <v>#N/A</v>
      </c>
      <c r="AR147" s="134" t="e">
        <f t="shared" si="215"/>
        <v>#N/A</v>
      </c>
      <c r="AS147" s="134" t="e">
        <f t="shared" si="216"/>
        <v>#N/A</v>
      </c>
      <c r="AT147" s="134" t="e">
        <f t="shared" si="217"/>
        <v>#N/A</v>
      </c>
      <c r="AU147" s="134" t="e">
        <f t="shared" si="218"/>
        <v>#N/A</v>
      </c>
      <c r="AV147" s="134" t="e">
        <f t="shared" si="219"/>
        <v>#N/A</v>
      </c>
      <c r="AW147" s="134" t="e">
        <f t="shared" si="220"/>
        <v>#N/A</v>
      </c>
      <c r="AX147" s="134" t="e">
        <f t="shared" si="221"/>
        <v>#N/A</v>
      </c>
      <c r="AY147" s="134" t="e">
        <f t="shared" si="222"/>
        <v>#N/A</v>
      </c>
      <c r="AZ147" s="134" t="e">
        <f t="shared" si="223"/>
        <v>#N/A</v>
      </c>
      <c r="BA147" s="134" t="e">
        <f t="shared" si="224"/>
        <v>#N/A</v>
      </c>
      <c r="BB147" s="134" t="e">
        <f t="shared" si="225"/>
        <v>#N/A</v>
      </c>
      <c r="BC147" s="134" t="e">
        <f t="shared" si="226"/>
        <v>#N/A</v>
      </c>
      <c r="BD147" s="134" t="e">
        <f t="shared" si="227"/>
        <v>#N/A</v>
      </c>
      <c r="BE147" s="134" t="e">
        <f t="shared" si="228"/>
        <v>#N/A</v>
      </c>
      <c r="BF147" s="134" t="e">
        <f t="shared" si="229"/>
        <v>#N/A</v>
      </c>
      <c r="BG147" s="134" t="e">
        <f t="shared" si="230"/>
        <v>#N/A</v>
      </c>
      <c r="BH147" s="134" t="e">
        <f t="shared" si="231"/>
        <v>#N/A</v>
      </c>
      <c r="BI147" s="134" t="e">
        <f t="shared" si="232"/>
        <v>#N/A</v>
      </c>
      <c r="BJ147" t="e">
        <f t="shared" si="144"/>
        <v>#N/A</v>
      </c>
      <c r="BK147" t="e">
        <f t="shared" si="145"/>
        <v>#N/A</v>
      </c>
      <c r="BL147" s="142" t="e">
        <f t="shared" si="146"/>
        <v>#N/A</v>
      </c>
      <c r="BM147" s="142">
        <f t="shared" si="190"/>
        <v>2650</v>
      </c>
      <c r="BN147" t="e">
        <f t="shared" si="147"/>
        <v>#NUM!</v>
      </c>
      <c r="BO147" s="143" t="e">
        <f t="shared" si="148"/>
        <v>#N/A</v>
      </c>
      <c r="BP147" s="143" t="e">
        <f t="shared" si="149"/>
        <v>#N/A</v>
      </c>
      <c r="BQ147" s="143" t="e">
        <f t="shared" si="150"/>
        <v>#N/A</v>
      </c>
      <c r="BR147" s="143" t="e">
        <f t="shared" si="151"/>
        <v>#N/A</v>
      </c>
      <c r="BS147" s="143" t="e">
        <f t="shared" si="152"/>
        <v>#N/A</v>
      </c>
      <c r="BT147" s="143" t="e">
        <f t="shared" si="153"/>
        <v>#N/A</v>
      </c>
      <c r="BU147" s="143" t="e">
        <f t="shared" si="154"/>
        <v>#N/A</v>
      </c>
      <c r="BV147" s="143" t="e">
        <f t="shared" si="155"/>
        <v>#N/A</v>
      </c>
      <c r="BW147" s="143" t="e">
        <f t="shared" si="156"/>
        <v>#N/A</v>
      </c>
      <c r="BX147" s="143" t="e">
        <f t="shared" si="157"/>
        <v>#N/A</v>
      </c>
      <c r="BY147" s="143" t="e">
        <f t="shared" si="158"/>
        <v>#N/A</v>
      </c>
      <c r="BZ147" s="143" t="e">
        <f t="shared" si="159"/>
        <v>#N/A</v>
      </c>
      <c r="CA147" s="143" t="e">
        <f t="shared" si="160"/>
        <v>#N/A</v>
      </c>
      <c r="CB147" s="143" t="e">
        <f t="shared" si="161"/>
        <v>#N/A</v>
      </c>
      <c r="CC147" s="143" t="e">
        <f t="shared" si="162"/>
        <v>#N/A</v>
      </c>
      <c r="CD147" s="143" t="e">
        <f t="shared" si="163"/>
        <v>#N/A</v>
      </c>
      <c r="CE147" s="143" t="e">
        <f t="shared" si="164"/>
        <v>#N/A</v>
      </c>
      <c r="CF147" s="143" t="e">
        <f t="shared" si="165"/>
        <v>#N/A</v>
      </c>
      <c r="CG147" s="143" t="e">
        <f t="shared" si="166"/>
        <v>#N/A</v>
      </c>
      <c r="CH147" s="143" t="e">
        <f t="shared" si="167"/>
        <v>#N/A</v>
      </c>
      <c r="CI147" t="e">
        <f t="shared" si="168"/>
        <v>#N/A</v>
      </c>
      <c r="CJ147" t="e">
        <f t="shared" si="169"/>
        <v>#N/A</v>
      </c>
      <c r="CK147" t="e">
        <f t="shared" si="170"/>
        <v>#N/A</v>
      </c>
      <c r="CL147" t="e">
        <f t="shared" si="171"/>
        <v>#N/A</v>
      </c>
      <c r="CM147" t="e">
        <f t="shared" si="172"/>
        <v>#N/A</v>
      </c>
      <c r="CN147" t="e">
        <f t="shared" si="173"/>
        <v>#N/A</v>
      </c>
      <c r="CO147" t="e">
        <f t="shared" si="174"/>
        <v>#N/A</v>
      </c>
      <c r="CP147" t="e">
        <f t="shared" si="175"/>
        <v>#N/A</v>
      </c>
      <c r="CQ147" t="e">
        <f t="shared" si="176"/>
        <v>#N/A</v>
      </c>
      <c r="CR147" t="e">
        <f t="shared" si="177"/>
        <v>#N/A</v>
      </c>
      <c r="CS147" t="e">
        <f t="shared" si="178"/>
        <v>#N/A</v>
      </c>
      <c r="CT147" t="e">
        <f t="shared" si="179"/>
        <v>#N/A</v>
      </c>
      <c r="CU147" t="e">
        <f t="shared" si="180"/>
        <v>#N/A</v>
      </c>
      <c r="CV147" t="e">
        <f t="shared" si="181"/>
        <v>#N/A</v>
      </c>
      <c r="CW147" t="e">
        <f t="shared" si="182"/>
        <v>#N/A</v>
      </c>
      <c r="CX147" t="e">
        <f t="shared" si="183"/>
        <v>#N/A</v>
      </c>
      <c r="CY147" t="e">
        <f t="shared" si="184"/>
        <v>#N/A</v>
      </c>
      <c r="CZ147" t="e">
        <f t="shared" si="185"/>
        <v>#N/A</v>
      </c>
      <c r="DA147" t="e">
        <f t="shared" si="186"/>
        <v>#N/A</v>
      </c>
      <c r="DB147" t="e">
        <f t="shared" si="187"/>
        <v>#N/A</v>
      </c>
      <c r="DC147" s="142" t="e">
        <f t="shared" si="188"/>
        <v>#N/A</v>
      </c>
      <c r="DD147" t="e">
        <f t="shared" si="191"/>
        <v>#N/A</v>
      </c>
      <c r="DE147" t="b">
        <f t="shared" si="189"/>
        <v>0</v>
      </c>
    </row>
    <row r="148" spans="1:109">
      <c r="A148">
        <f t="shared" si="192"/>
        <v>83</v>
      </c>
      <c r="B148" s="140" t="e">
        <f t="shared" si="193"/>
        <v>#N/A</v>
      </c>
      <c r="C148" s="140" t="e">
        <f t="shared" si="194"/>
        <v>#N/A</v>
      </c>
      <c r="D148" s="140" t="e">
        <f t="shared" si="195"/>
        <v>#N/A</v>
      </c>
      <c r="E148" s="140" t="e">
        <f t="shared" si="196"/>
        <v>#N/A</v>
      </c>
      <c r="F148" s="140" t="e">
        <f t="shared" si="197"/>
        <v>#N/A</v>
      </c>
      <c r="G148" s="140" t="e">
        <f t="shared" si="198"/>
        <v>#N/A</v>
      </c>
      <c r="H148" s="140" t="e">
        <f t="shared" si="199"/>
        <v>#N/A</v>
      </c>
      <c r="I148" s="140" t="e">
        <f t="shared" si="200"/>
        <v>#N/A</v>
      </c>
      <c r="J148" s="140" t="e">
        <f t="shared" si="201"/>
        <v>#N/A</v>
      </c>
      <c r="K148" s="140" t="e">
        <f t="shared" si="202"/>
        <v>#N/A</v>
      </c>
      <c r="L148" s="140" t="e">
        <f t="shared" si="203"/>
        <v>#N/A</v>
      </c>
      <c r="M148" s="140" t="e">
        <f t="shared" si="204"/>
        <v>#N/A</v>
      </c>
      <c r="N148" s="140" t="e">
        <f t="shared" si="205"/>
        <v>#N/A</v>
      </c>
      <c r="O148" s="140" t="e">
        <f t="shared" si="206"/>
        <v>#N/A</v>
      </c>
      <c r="P148" s="140" t="e">
        <f t="shared" si="207"/>
        <v>#N/A</v>
      </c>
      <c r="Q148" s="140" t="e">
        <f t="shared" si="208"/>
        <v>#N/A</v>
      </c>
      <c r="R148" s="140" t="e">
        <f t="shared" si="209"/>
        <v>#N/A</v>
      </c>
      <c r="S148" s="140" t="e">
        <f t="shared" si="210"/>
        <v>#N/A</v>
      </c>
      <c r="T148" s="140" t="e">
        <f t="shared" si="211"/>
        <v>#N/A</v>
      </c>
      <c r="U148" s="140" t="e">
        <f t="shared" si="212"/>
        <v>#N/A</v>
      </c>
      <c r="V148" s="141" t="str">
        <f t="shared" si="124"/>
        <v>DPS</v>
      </c>
      <c r="W148" s="141" t="str">
        <f t="shared" si="125"/>
        <v>DPS</v>
      </c>
      <c r="X148" s="141" t="str">
        <f t="shared" si="126"/>
        <v>DPS</v>
      </c>
      <c r="Y148" s="141" t="str">
        <f t="shared" si="127"/>
        <v>DPS</v>
      </c>
      <c r="Z148" s="141" t="str">
        <f t="shared" si="128"/>
        <v>DPS</v>
      </c>
      <c r="AA148" s="141" t="str">
        <f t="shared" si="129"/>
        <v>DPS</v>
      </c>
      <c r="AB148" s="141" t="str">
        <f t="shared" si="130"/>
        <v>DPS</v>
      </c>
      <c r="AC148" s="141" t="str">
        <f t="shared" si="131"/>
        <v>DPS</v>
      </c>
      <c r="AD148" s="141" t="str">
        <f t="shared" si="132"/>
        <v>DPS</v>
      </c>
      <c r="AE148" s="141" t="str">
        <f t="shared" si="133"/>
        <v>DPS</v>
      </c>
      <c r="AF148" s="141" t="str">
        <f t="shared" si="134"/>
        <v>DPS</v>
      </c>
      <c r="AG148" s="141" t="str">
        <f t="shared" si="135"/>
        <v>DPS</v>
      </c>
      <c r="AH148" s="141" t="str">
        <f t="shared" si="136"/>
        <v>DPS</v>
      </c>
      <c r="AI148" s="141" t="str">
        <f t="shared" si="137"/>
        <v>HPS</v>
      </c>
      <c r="AJ148" s="141" t="str">
        <f t="shared" si="138"/>
        <v>HPS</v>
      </c>
      <c r="AK148" s="141" t="str">
        <f t="shared" si="139"/>
        <v>HPS</v>
      </c>
      <c r="AL148" s="141" t="str">
        <f t="shared" si="140"/>
        <v>HPS</v>
      </c>
      <c r="AM148" s="141" t="str">
        <f t="shared" si="141"/>
        <v>HPS</v>
      </c>
      <c r="AN148" s="141" t="str">
        <f t="shared" si="142"/>
        <v>HPS</v>
      </c>
      <c r="AO148" s="141" t="str">
        <f t="shared" si="143"/>
        <v>HPS</v>
      </c>
      <c r="AP148" s="134" t="e">
        <f t="shared" si="213"/>
        <v>#N/A</v>
      </c>
      <c r="AQ148" s="134" t="e">
        <f t="shared" si="214"/>
        <v>#N/A</v>
      </c>
      <c r="AR148" s="134" t="e">
        <f t="shared" si="215"/>
        <v>#N/A</v>
      </c>
      <c r="AS148" s="134" t="e">
        <f t="shared" si="216"/>
        <v>#N/A</v>
      </c>
      <c r="AT148" s="134" t="e">
        <f t="shared" si="217"/>
        <v>#N/A</v>
      </c>
      <c r="AU148" s="134" t="e">
        <f t="shared" si="218"/>
        <v>#N/A</v>
      </c>
      <c r="AV148" s="134" t="e">
        <f t="shared" si="219"/>
        <v>#N/A</v>
      </c>
      <c r="AW148" s="134" t="e">
        <f t="shared" si="220"/>
        <v>#N/A</v>
      </c>
      <c r="AX148" s="134" t="e">
        <f t="shared" si="221"/>
        <v>#N/A</v>
      </c>
      <c r="AY148" s="134" t="e">
        <f t="shared" si="222"/>
        <v>#N/A</v>
      </c>
      <c r="AZ148" s="134" t="e">
        <f t="shared" si="223"/>
        <v>#N/A</v>
      </c>
      <c r="BA148" s="134" t="e">
        <f t="shared" si="224"/>
        <v>#N/A</v>
      </c>
      <c r="BB148" s="134" t="e">
        <f t="shared" si="225"/>
        <v>#N/A</v>
      </c>
      <c r="BC148" s="134" t="e">
        <f t="shared" si="226"/>
        <v>#N/A</v>
      </c>
      <c r="BD148" s="134" t="e">
        <f t="shared" si="227"/>
        <v>#N/A</v>
      </c>
      <c r="BE148" s="134" t="e">
        <f t="shared" si="228"/>
        <v>#N/A</v>
      </c>
      <c r="BF148" s="134" t="e">
        <f t="shared" si="229"/>
        <v>#N/A</v>
      </c>
      <c r="BG148" s="134" t="e">
        <f t="shared" si="230"/>
        <v>#N/A</v>
      </c>
      <c r="BH148" s="134" t="e">
        <f t="shared" si="231"/>
        <v>#N/A</v>
      </c>
      <c r="BI148" s="134" t="e">
        <f t="shared" si="232"/>
        <v>#N/A</v>
      </c>
      <c r="BJ148" t="e">
        <f t="shared" si="144"/>
        <v>#N/A</v>
      </c>
      <c r="BK148" t="e">
        <f t="shared" si="145"/>
        <v>#N/A</v>
      </c>
      <c r="BL148" s="142" t="e">
        <f t="shared" si="146"/>
        <v>#N/A</v>
      </c>
      <c r="BM148" s="142">
        <f t="shared" si="190"/>
        <v>2650</v>
      </c>
      <c r="BN148" t="e">
        <f t="shared" si="147"/>
        <v>#NUM!</v>
      </c>
      <c r="BO148" s="143" t="e">
        <f t="shared" si="148"/>
        <v>#N/A</v>
      </c>
      <c r="BP148" s="143" t="e">
        <f t="shared" si="149"/>
        <v>#N/A</v>
      </c>
      <c r="BQ148" s="143" t="e">
        <f t="shared" si="150"/>
        <v>#N/A</v>
      </c>
      <c r="BR148" s="143" t="e">
        <f t="shared" si="151"/>
        <v>#N/A</v>
      </c>
      <c r="BS148" s="143" t="e">
        <f t="shared" si="152"/>
        <v>#N/A</v>
      </c>
      <c r="BT148" s="143" t="e">
        <f t="shared" si="153"/>
        <v>#N/A</v>
      </c>
      <c r="BU148" s="143" t="e">
        <f t="shared" si="154"/>
        <v>#N/A</v>
      </c>
      <c r="BV148" s="143" t="e">
        <f t="shared" si="155"/>
        <v>#N/A</v>
      </c>
      <c r="BW148" s="143" t="e">
        <f t="shared" si="156"/>
        <v>#N/A</v>
      </c>
      <c r="BX148" s="143" t="e">
        <f t="shared" si="157"/>
        <v>#N/A</v>
      </c>
      <c r="BY148" s="143" t="e">
        <f t="shared" si="158"/>
        <v>#N/A</v>
      </c>
      <c r="BZ148" s="143" t="e">
        <f t="shared" si="159"/>
        <v>#N/A</v>
      </c>
      <c r="CA148" s="143" t="e">
        <f t="shared" si="160"/>
        <v>#N/A</v>
      </c>
      <c r="CB148" s="143" t="e">
        <f t="shared" si="161"/>
        <v>#N/A</v>
      </c>
      <c r="CC148" s="143" t="e">
        <f t="shared" si="162"/>
        <v>#N/A</v>
      </c>
      <c r="CD148" s="143" t="e">
        <f t="shared" si="163"/>
        <v>#N/A</v>
      </c>
      <c r="CE148" s="143" t="e">
        <f t="shared" si="164"/>
        <v>#N/A</v>
      </c>
      <c r="CF148" s="143" t="e">
        <f t="shared" si="165"/>
        <v>#N/A</v>
      </c>
      <c r="CG148" s="143" t="e">
        <f t="shared" si="166"/>
        <v>#N/A</v>
      </c>
      <c r="CH148" s="143" t="e">
        <f t="shared" si="167"/>
        <v>#N/A</v>
      </c>
      <c r="CI148" t="e">
        <f t="shared" si="168"/>
        <v>#N/A</v>
      </c>
      <c r="CJ148" t="e">
        <f t="shared" si="169"/>
        <v>#N/A</v>
      </c>
      <c r="CK148" t="e">
        <f t="shared" si="170"/>
        <v>#N/A</v>
      </c>
      <c r="CL148" t="e">
        <f t="shared" si="171"/>
        <v>#N/A</v>
      </c>
      <c r="CM148" t="e">
        <f t="shared" si="172"/>
        <v>#N/A</v>
      </c>
      <c r="CN148" t="e">
        <f t="shared" si="173"/>
        <v>#N/A</v>
      </c>
      <c r="CO148" t="e">
        <f t="shared" si="174"/>
        <v>#N/A</v>
      </c>
      <c r="CP148" t="e">
        <f t="shared" si="175"/>
        <v>#N/A</v>
      </c>
      <c r="CQ148" t="e">
        <f t="shared" si="176"/>
        <v>#N/A</v>
      </c>
      <c r="CR148" t="e">
        <f t="shared" si="177"/>
        <v>#N/A</v>
      </c>
      <c r="CS148" t="e">
        <f t="shared" si="178"/>
        <v>#N/A</v>
      </c>
      <c r="CT148" t="e">
        <f t="shared" si="179"/>
        <v>#N/A</v>
      </c>
      <c r="CU148" t="e">
        <f t="shared" si="180"/>
        <v>#N/A</v>
      </c>
      <c r="CV148" t="e">
        <f t="shared" si="181"/>
        <v>#N/A</v>
      </c>
      <c r="CW148" t="e">
        <f t="shared" si="182"/>
        <v>#N/A</v>
      </c>
      <c r="CX148" t="e">
        <f t="shared" si="183"/>
        <v>#N/A</v>
      </c>
      <c r="CY148" t="e">
        <f t="shared" si="184"/>
        <v>#N/A</v>
      </c>
      <c r="CZ148" t="e">
        <f t="shared" si="185"/>
        <v>#N/A</v>
      </c>
      <c r="DA148" t="e">
        <f t="shared" si="186"/>
        <v>#N/A</v>
      </c>
      <c r="DB148" t="e">
        <f t="shared" si="187"/>
        <v>#N/A</v>
      </c>
      <c r="DC148" s="142" t="e">
        <f t="shared" si="188"/>
        <v>#N/A</v>
      </c>
      <c r="DD148" t="e">
        <f t="shared" si="191"/>
        <v>#N/A</v>
      </c>
      <c r="DE148" t="b">
        <f t="shared" si="189"/>
        <v>0</v>
      </c>
    </row>
    <row r="149" spans="1:109">
      <c r="A149">
        <f t="shared" si="192"/>
        <v>84</v>
      </c>
      <c r="B149" s="140" t="e">
        <f t="shared" si="193"/>
        <v>#N/A</v>
      </c>
      <c r="C149" s="140" t="e">
        <f t="shared" si="194"/>
        <v>#N/A</v>
      </c>
      <c r="D149" s="140" t="e">
        <f t="shared" si="195"/>
        <v>#N/A</v>
      </c>
      <c r="E149" s="140" t="e">
        <f t="shared" si="196"/>
        <v>#N/A</v>
      </c>
      <c r="F149" s="140" t="e">
        <f t="shared" si="197"/>
        <v>#N/A</v>
      </c>
      <c r="G149" s="140" t="e">
        <f t="shared" si="198"/>
        <v>#N/A</v>
      </c>
      <c r="H149" s="140" t="e">
        <f t="shared" si="199"/>
        <v>#N/A</v>
      </c>
      <c r="I149" s="140" t="e">
        <f t="shared" si="200"/>
        <v>#N/A</v>
      </c>
      <c r="J149" s="140" t="e">
        <f t="shared" si="201"/>
        <v>#N/A</v>
      </c>
      <c r="K149" s="140" t="e">
        <f t="shared" si="202"/>
        <v>#N/A</v>
      </c>
      <c r="L149" s="140" t="e">
        <f t="shared" si="203"/>
        <v>#N/A</v>
      </c>
      <c r="M149" s="140" t="e">
        <f t="shared" si="204"/>
        <v>#N/A</v>
      </c>
      <c r="N149" s="140" t="e">
        <f t="shared" si="205"/>
        <v>#N/A</v>
      </c>
      <c r="O149" s="140" t="e">
        <f t="shared" si="206"/>
        <v>#N/A</v>
      </c>
      <c r="P149" s="140" t="e">
        <f t="shared" si="207"/>
        <v>#N/A</v>
      </c>
      <c r="Q149" s="140" t="e">
        <f t="shared" si="208"/>
        <v>#N/A</v>
      </c>
      <c r="R149" s="140" t="e">
        <f t="shared" si="209"/>
        <v>#N/A</v>
      </c>
      <c r="S149" s="140" t="e">
        <f t="shared" si="210"/>
        <v>#N/A</v>
      </c>
      <c r="T149" s="140" t="e">
        <f t="shared" si="211"/>
        <v>#N/A</v>
      </c>
      <c r="U149" s="140" t="e">
        <f t="shared" si="212"/>
        <v>#N/A</v>
      </c>
      <c r="V149" s="141" t="str">
        <f t="shared" si="124"/>
        <v>DPS</v>
      </c>
      <c r="W149" s="141" t="str">
        <f t="shared" si="125"/>
        <v>DPS</v>
      </c>
      <c r="X149" s="141" t="str">
        <f t="shared" si="126"/>
        <v>DPS</v>
      </c>
      <c r="Y149" s="141" t="str">
        <f t="shared" si="127"/>
        <v>DPS</v>
      </c>
      <c r="Z149" s="141" t="str">
        <f t="shared" si="128"/>
        <v>DPS</v>
      </c>
      <c r="AA149" s="141" t="str">
        <f t="shared" si="129"/>
        <v>DPS</v>
      </c>
      <c r="AB149" s="141" t="str">
        <f t="shared" si="130"/>
        <v>DPS</v>
      </c>
      <c r="AC149" s="141" t="str">
        <f t="shared" si="131"/>
        <v>DPS</v>
      </c>
      <c r="AD149" s="141" t="str">
        <f t="shared" si="132"/>
        <v>DPS</v>
      </c>
      <c r="AE149" s="141" t="str">
        <f t="shared" si="133"/>
        <v>DPS</v>
      </c>
      <c r="AF149" s="141" t="str">
        <f t="shared" si="134"/>
        <v>DPS</v>
      </c>
      <c r="AG149" s="141" t="str">
        <f t="shared" si="135"/>
        <v>DPS</v>
      </c>
      <c r="AH149" s="141" t="str">
        <f t="shared" si="136"/>
        <v>DPS</v>
      </c>
      <c r="AI149" s="141" t="str">
        <f t="shared" si="137"/>
        <v>HPS</v>
      </c>
      <c r="AJ149" s="141" t="str">
        <f t="shared" si="138"/>
        <v>HPS</v>
      </c>
      <c r="AK149" s="141" t="str">
        <f t="shared" si="139"/>
        <v>HPS</v>
      </c>
      <c r="AL149" s="141" t="str">
        <f t="shared" si="140"/>
        <v>HPS</v>
      </c>
      <c r="AM149" s="141" t="str">
        <f t="shared" si="141"/>
        <v>HPS</v>
      </c>
      <c r="AN149" s="141" t="str">
        <f t="shared" si="142"/>
        <v>HPS</v>
      </c>
      <c r="AO149" s="141" t="str">
        <f t="shared" si="143"/>
        <v>HPS</v>
      </c>
      <c r="AP149" s="134" t="e">
        <f t="shared" si="213"/>
        <v>#N/A</v>
      </c>
      <c r="AQ149" s="134" t="e">
        <f t="shared" si="214"/>
        <v>#N/A</v>
      </c>
      <c r="AR149" s="134" t="e">
        <f t="shared" si="215"/>
        <v>#N/A</v>
      </c>
      <c r="AS149" s="134" t="e">
        <f t="shared" si="216"/>
        <v>#N/A</v>
      </c>
      <c r="AT149" s="134" t="e">
        <f t="shared" si="217"/>
        <v>#N/A</v>
      </c>
      <c r="AU149" s="134" t="e">
        <f t="shared" si="218"/>
        <v>#N/A</v>
      </c>
      <c r="AV149" s="134" t="e">
        <f t="shared" si="219"/>
        <v>#N/A</v>
      </c>
      <c r="AW149" s="134" t="e">
        <f t="shared" si="220"/>
        <v>#N/A</v>
      </c>
      <c r="AX149" s="134" t="e">
        <f t="shared" si="221"/>
        <v>#N/A</v>
      </c>
      <c r="AY149" s="134" t="e">
        <f t="shared" si="222"/>
        <v>#N/A</v>
      </c>
      <c r="AZ149" s="134" t="e">
        <f t="shared" si="223"/>
        <v>#N/A</v>
      </c>
      <c r="BA149" s="134" t="e">
        <f t="shared" si="224"/>
        <v>#N/A</v>
      </c>
      <c r="BB149" s="134" t="e">
        <f t="shared" si="225"/>
        <v>#N/A</v>
      </c>
      <c r="BC149" s="134" t="e">
        <f t="shared" si="226"/>
        <v>#N/A</v>
      </c>
      <c r="BD149" s="134" t="e">
        <f t="shared" si="227"/>
        <v>#N/A</v>
      </c>
      <c r="BE149" s="134" t="e">
        <f t="shared" si="228"/>
        <v>#N/A</v>
      </c>
      <c r="BF149" s="134" t="e">
        <f t="shared" si="229"/>
        <v>#N/A</v>
      </c>
      <c r="BG149" s="134" t="e">
        <f t="shared" si="230"/>
        <v>#N/A</v>
      </c>
      <c r="BH149" s="134" t="e">
        <f t="shared" si="231"/>
        <v>#N/A</v>
      </c>
      <c r="BI149" s="134" t="e">
        <f t="shared" si="232"/>
        <v>#N/A</v>
      </c>
      <c r="BJ149" t="e">
        <f t="shared" si="144"/>
        <v>#N/A</v>
      </c>
      <c r="BK149" t="e">
        <f t="shared" si="145"/>
        <v>#N/A</v>
      </c>
      <c r="BL149" s="142" t="e">
        <f t="shared" si="146"/>
        <v>#N/A</v>
      </c>
      <c r="BM149" s="142">
        <f t="shared" si="190"/>
        <v>2650</v>
      </c>
      <c r="BN149" t="e">
        <f t="shared" si="147"/>
        <v>#NUM!</v>
      </c>
      <c r="BO149" s="143" t="e">
        <f t="shared" si="148"/>
        <v>#N/A</v>
      </c>
      <c r="BP149" s="143" t="e">
        <f t="shared" si="149"/>
        <v>#N/A</v>
      </c>
      <c r="BQ149" s="143" t="e">
        <f t="shared" si="150"/>
        <v>#N/A</v>
      </c>
      <c r="BR149" s="143" t="e">
        <f t="shared" si="151"/>
        <v>#N/A</v>
      </c>
      <c r="BS149" s="143" t="e">
        <f t="shared" si="152"/>
        <v>#N/A</v>
      </c>
      <c r="BT149" s="143" t="e">
        <f t="shared" si="153"/>
        <v>#N/A</v>
      </c>
      <c r="BU149" s="143" t="e">
        <f t="shared" si="154"/>
        <v>#N/A</v>
      </c>
      <c r="BV149" s="143" t="e">
        <f t="shared" si="155"/>
        <v>#N/A</v>
      </c>
      <c r="BW149" s="143" t="e">
        <f t="shared" si="156"/>
        <v>#N/A</v>
      </c>
      <c r="BX149" s="143" t="e">
        <f t="shared" si="157"/>
        <v>#N/A</v>
      </c>
      <c r="BY149" s="143" t="e">
        <f t="shared" si="158"/>
        <v>#N/A</v>
      </c>
      <c r="BZ149" s="143" t="e">
        <f t="shared" si="159"/>
        <v>#N/A</v>
      </c>
      <c r="CA149" s="143" t="e">
        <f t="shared" si="160"/>
        <v>#N/A</v>
      </c>
      <c r="CB149" s="143" t="e">
        <f t="shared" si="161"/>
        <v>#N/A</v>
      </c>
      <c r="CC149" s="143" t="e">
        <f t="shared" si="162"/>
        <v>#N/A</v>
      </c>
      <c r="CD149" s="143" t="e">
        <f t="shared" si="163"/>
        <v>#N/A</v>
      </c>
      <c r="CE149" s="143" t="e">
        <f t="shared" si="164"/>
        <v>#N/A</v>
      </c>
      <c r="CF149" s="143" t="e">
        <f t="shared" si="165"/>
        <v>#N/A</v>
      </c>
      <c r="CG149" s="143" t="e">
        <f t="shared" si="166"/>
        <v>#N/A</v>
      </c>
      <c r="CH149" s="143" t="e">
        <f t="shared" si="167"/>
        <v>#N/A</v>
      </c>
      <c r="CI149" t="e">
        <f t="shared" si="168"/>
        <v>#N/A</v>
      </c>
      <c r="CJ149" t="e">
        <f t="shared" si="169"/>
        <v>#N/A</v>
      </c>
      <c r="CK149" t="e">
        <f t="shared" si="170"/>
        <v>#N/A</v>
      </c>
      <c r="CL149" t="e">
        <f t="shared" si="171"/>
        <v>#N/A</v>
      </c>
      <c r="CM149" t="e">
        <f t="shared" si="172"/>
        <v>#N/A</v>
      </c>
      <c r="CN149" t="e">
        <f t="shared" si="173"/>
        <v>#N/A</v>
      </c>
      <c r="CO149" t="e">
        <f t="shared" si="174"/>
        <v>#N/A</v>
      </c>
      <c r="CP149" t="e">
        <f t="shared" si="175"/>
        <v>#N/A</v>
      </c>
      <c r="CQ149" t="e">
        <f t="shared" si="176"/>
        <v>#N/A</v>
      </c>
      <c r="CR149" t="e">
        <f t="shared" si="177"/>
        <v>#N/A</v>
      </c>
      <c r="CS149" t="e">
        <f t="shared" si="178"/>
        <v>#N/A</v>
      </c>
      <c r="CT149" t="e">
        <f t="shared" si="179"/>
        <v>#N/A</v>
      </c>
      <c r="CU149" t="e">
        <f t="shared" si="180"/>
        <v>#N/A</v>
      </c>
      <c r="CV149" t="e">
        <f t="shared" si="181"/>
        <v>#N/A</v>
      </c>
      <c r="CW149" t="e">
        <f t="shared" si="182"/>
        <v>#N/A</v>
      </c>
      <c r="CX149" t="e">
        <f t="shared" si="183"/>
        <v>#N/A</v>
      </c>
      <c r="CY149" t="e">
        <f t="shared" si="184"/>
        <v>#N/A</v>
      </c>
      <c r="CZ149" t="e">
        <f t="shared" si="185"/>
        <v>#N/A</v>
      </c>
      <c r="DA149" t="e">
        <f t="shared" si="186"/>
        <v>#N/A</v>
      </c>
      <c r="DB149" t="e">
        <f t="shared" si="187"/>
        <v>#N/A</v>
      </c>
      <c r="DC149" s="142" t="e">
        <f t="shared" si="188"/>
        <v>#N/A</v>
      </c>
      <c r="DD149" t="e">
        <f t="shared" si="191"/>
        <v>#N/A</v>
      </c>
      <c r="DE149" t="b">
        <f t="shared" si="189"/>
        <v>0</v>
      </c>
    </row>
    <row r="150" spans="1:109">
      <c r="A150">
        <f t="shared" si="192"/>
        <v>85</v>
      </c>
      <c r="B150" s="140" t="e">
        <f t="shared" si="193"/>
        <v>#N/A</v>
      </c>
      <c r="C150" s="140" t="e">
        <f t="shared" si="194"/>
        <v>#N/A</v>
      </c>
      <c r="D150" s="140" t="e">
        <f t="shared" si="195"/>
        <v>#N/A</v>
      </c>
      <c r="E150" s="140" t="e">
        <f t="shared" si="196"/>
        <v>#N/A</v>
      </c>
      <c r="F150" s="140" t="e">
        <f t="shared" si="197"/>
        <v>#N/A</v>
      </c>
      <c r="G150" s="140" t="e">
        <f t="shared" si="198"/>
        <v>#N/A</v>
      </c>
      <c r="H150" s="140" t="e">
        <f t="shared" si="199"/>
        <v>#N/A</v>
      </c>
      <c r="I150" s="140" t="e">
        <f t="shared" si="200"/>
        <v>#N/A</v>
      </c>
      <c r="J150" s="140" t="e">
        <f t="shared" si="201"/>
        <v>#N/A</v>
      </c>
      <c r="K150" s="140" t="e">
        <f t="shared" si="202"/>
        <v>#N/A</v>
      </c>
      <c r="L150" s="140" t="e">
        <f t="shared" si="203"/>
        <v>#N/A</v>
      </c>
      <c r="M150" s="140" t="e">
        <f t="shared" si="204"/>
        <v>#N/A</v>
      </c>
      <c r="N150" s="140" t="e">
        <f t="shared" si="205"/>
        <v>#N/A</v>
      </c>
      <c r="O150" s="140" t="e">
        <f t="shared" si="206"/>
        <v>#N/A</v>
      </c>
      <c r="P150" s="140" t="e">
        <f t="shared" si="207"/>
        <v>#N/A</v>
      </c>
      <c r="Q150" s="140" t="e">
        <f t="shared" si="208"/>
        <v>#N/A</v>
      </c>
      <c r="R150" s="140" t="e">
        <f t="shared" si="209"/>
        <v>#N/A</v>
      </c>
      <c r="S150" s="140" t="e">
        <f t="shared" si="210"/>
        <v>#N/A</v>
      </c>
      <c r="T150" s="140" t="e">
        <f t="shared" si="211"/>
        <v>#N/A</v>
      </c>
      <c r="U150" s="140" t="e">
        <f t="shared" si="212"/>
        <v>#N/A</v>
      </c>
      <c r="V150" s="141" t="str">
        <f t="shared" si="124"/>
        <v>DPS</v>
      </c>
      <c r="W150" s="141" t="str">
        <f t="shared" si="125"/>
        <v>DPS</v>
      </c>
      <c r="X150" s="141" t="str">
        <f t="shared" si="126"/>
        <v>DPS</v>
      </c>
      <c r="Y150" s="141" t="str">
        <f t="shared" si="127"/>
        <v>DPS</v>
      </c>
      <c r="Z150" s="141" t="str">
        <f t="shared" si="128"/>
        <v>DPS</v>
      </c>
      <c r="AA150" s="141" t="str">
        <f t="shared" si="129"/>
        <v>DPS</v>
      </c>
      <c r="AB150" s="141" t="str">
        <f t="shared" si="130"/>
        <v>DPS</v>
      </c>
      <c r="AC150" s="141" t="str">
        <f t="shared" si="131"/>
        <v>DPS</v>
      </c>
      <c r="AD150" s="141" t="str">
        <f t="shared" si="132"/>
        <v>DPS</v>
      </c>
      <c r="AE150" s="141" t="str">
        <f t="shared" si="133"/>
        <v>DPS</v>
      </c>
      <c r="AF150" s="141" t="str">
        <f t="shared" si="134"/>
        <v>DPS</v>
      </c>
      <c r="AG150" s="141" t="str">
        <f t="shared" si="135"/>
        <v>DPS</v>
      </c>
      <c r="AH150" s="141" t="str">
        <f t="shared" si="136"/>
        <v>DPS</v>
      </c>
      <c r="AI150" s="141" t="str">
        <f t="shared" si="137"/>
        <v>HPS</v>
      </c>
      <c r="AJ150" s="141" t="str">
        <f t="shared" si="138"/>
        <v>HPS</v>
      </c>
      <c r="AK150" s="141" t="str">
        <f t="shared" si="139"/>
        <v>HPS</v>
      </c>
      <c r="AL150" s="141" t="str">
        <f t="shared" si="140"/>
        <v>HPS</v>
      </c>
      <c r="AM150" s="141" t="str">
        <f t="shared" si="141"/>
        <v>HPS</v>
      </c>
      <c r="AN150" s="141" t="str">
        <f t="shared" si="142"/>
        <v>HPS</v>
      </c>
      <c r="AO150" s="141" t="str">
        <f t="shared" si="143"/>
        <v>HPS</v>
      </c>
      <c r="AP150" s="134" t="e">
        <f t="shared" si="213"/>
        <v>#N/A</v>
      </c>
      <c r="AQ150" s="134" t="e">
        <f t="shared" si="214"/>
        <v>#N/A</v>
      </c>
      <c r="AR150" s="134" t="e">
        <f t="shared" si="215"/>
        <v>#N/A</v>
      </c>
      <c r="AS150" s="134" t="e">
        <f t="shared" si="216"/>
        <v>#N/A</v>
      </c>
      <c r="AT150" s="134" t="e">
        <f t="shared" si="217"/>
        <v>#N/A</v>
      </c>
      <c r="AU150" s="134" t="e">
        <f t="shared" si="218"/>
        <v>#N/A</v>
      </c>
      <c r="AV150" s="134" t="e">
        <f t="shared" si="219"/>
        <v>#N/A</v>
      </c>
      <c r="AW150" s="134" t="e">
        <f t="shared" si="220"/>
        <v>#N/A</v>
      </c>
      <c r="AX150" s="134" t="e">
        <f t="shared" si="221"/>
        <v>#N/A</v>
      </c>
      <c r="AY150" s="134" t="e">
        <f t="shared" si="222"/>
        <v>#N/A</v>
      </c>
      <c r="AZ150" s="134" t="e">
        <f t="shared" si="223"/>
        <v>#N/A</v>
      </c>
      <c r="BA150" s="134" t="e">
        <f t="shared" si="224"/>
        <v>#N/A</v>
      </c>
      <c r="BB150" s="134" t="e">
        <f t="shared" si="225"/>
        <v>#N/A</v>
      </c>
      <c r="BC150" s="134" t="e">
        <f t="shared" si="226"/>
        <v>#N/A</v>
      </c>
      <c r="BD150" s="134" t="e">
        <f t="shared" si="227"/>
        <v>#N/A</v>
      </c>
      <c r="BE150" s="134" t="e">
        <f t="shared" si="228"/>
        <v>#N/A</v>
      </c>
      <c r="BF150" s="134" t="e">
        <f t="shared" si="229"/>
        <v>#N/A</v>
      </c>
      <c r="BG150" s="134" t="e">
        <f t="shared" si="230"/>
        <v>#N/A</v>
      </c>
      <c r="BH150" s="134" t="e">
        <f t="shared" si="231"/>
        <v>#N/A</v>
      </c>
      <c r="BI150" s="134" t="e">
        <f t="shared" si="232"/>
        <v>#N/A</v>
      </c>
      <c r="BJ150" t="e">
        <f t="shared" si="144"/>
        <v>#N/A</v>
      </c>
      <c r="BK150" t="e">
        <f t="shared" si="145"/>
        <v>#N/A</v>
      </c>
      <c r="BL150" s="142" t="e">
        <f t="shared" si="146"/>
        <v>#N/A</v>
      </c>
      <c r="BM150" s="142">
        <f t="shared" si="190"/>
        <v>2650</v>
      </c>
      <c r="BN150" t="e">
        <f t="shared" si="147"/>
        <v>#NUM!</v>
      </c>
      <c r="BO150" s="143" t="e">
        <f t="shared" si="148"/>
        <v>#N/A</v>
      </c>
      <c r="BP150" s="143" t="e">
        <f t="shared" si="149"/>
        <v>#N/A</v>
      </c>
      <c r="BQ150" s="143" t="e">
        <f t="shared" si="150"/>
        <v>#N/A</v>
      </c>
      <c r="BR150" s="143" t="e">
        <f t="shared" si="151"/>
        <v>#N/A</v>
      </c>
      <c r="BS150" s="143" t="e">
        <f t="shared" si="152"/>
        <v>#N/A</v>
      </c>
      <c r="BT150" s="143" t="e">
        <f t="shared" si="153"/>
        <v>#N/A</v>
      </c>
      <c r="BU150" s="143" t="e">
        <f t="shared" si="154"/>
        <v>#N/A</v>
      </c>
      <c r="BV150" s="143" t="e">
        <f t="shared" si="155"/>
        <v>#N/A</v>
      </c>
      <c r="BW150" s="143" t="e">
        <f t="shared" si="156"/>
        <v>#N/A</v>
      </c>
      <c r="BX150" s="143" t="e">
        <f t="shared" si="157"/>
        <v>#N/A</v>
      </c>
      <c r="BY150" s="143" t="e">
        <f t="shared" si="158"/>
        <v>#N/A</v>
      </c>
      <c r="BZ150" s="143" t="e">
        <f t="shared" si="159"/>
        <v>#N/A</v>
      </c>
      <c r="CA150" s="143" t="e">
        <f t="shared" si="160"/>
        <v>#N/A</v>
      </c>
      <c r="CB150" s="143" t="e">
        <f t="shared" si="161"/>
        <v>#N/A</v>
      </c>
      <c r="CC150" s="143" t="e">
        <f t="shared" si="162"/>
        <v>#N/A</v>
      </c>
      <c r="CD150" s="143" t="e">
        <f t="shared" si="163"/>
        <v>#N/A</v>
      </c>
      <c r="CE150" s="143" t="e">
        <f t="shared" si="164"/>
        <v>#N/A</v>
      </c>
      <c r="CF150" s="143" t="e">
        <f t="shared" si="165"/>
        <v>#N/A</v>
      </c>
      <c r="CG150" s="143" t="e">
        <f t="shared" si="166"/>
        <v>#N/A</v>
      </c>
      <c r="CH150" s="143" t="e">
        <f t="shared" si="167"/>
        <v>#N/A</v>
      </c>
      <c r="CI150" t="e">
        <f t="shared" si="168"/>
        <v>#N/A</v>
      </c>
      <c r="CJ150" t="e">
        <f t="shared" si="169"/>
        <v>#N/A</v>
      </c>
      <c r="CK150" t="e">
        <f t="shared" si="170"/>
        <v>#N/A</v>
      </c>
      <c r="CL150" t="e">
        <f t="shared" si="171"/>
        <v>#N/A</v>
      </c>
      <c r="CM150" t="e">
        <f t="shared" si="172"/>
        <v>#N/A</v>
      </c>
      <c r="CN150" t="e">
        <f t="shared" si="173"/>
        <v>#N/A</v>
      </c>
      <c r="CO150" t="e">
        <f t="shared" si="174"/>
        <v>#N/A</v>
      </c>
      <c r="CP150" t="e">
        <f t="shared" si="175"/>
        <v>#N/A</v>
      </c>
      <c r="CQ150" t="e">
        <f t="shared" si="176"/>
        <v>#N/A</v>
      </c>
      <c r="CR150" t="e">
        <f t="shared" si="177"/>
        <v>#N/A</v>
      </c>
      <c r="CS150" t="e">
        <f t="shared" si="178"/>
        <v>#N/A</v>
      </c>
      <c r="CT150" t="e">
        <f t="shared" si="179"/>
        <v>#N/A</v>
      </c>
      <c r="CU150" t="e">
        <f t="shared" si="180"/>
        <v>#N/A</v>
      </c>
      <c r="CV150" t="e">
        <f t="shared" si="181"/>
        <v>#N/A</v>
      </c>
      <c r="CW150" t="e">
        <f t="shared" si="182"/>
        <v>#N/A</v>
      </c>
      <c r="CX150" t="e">
        <f t="shared" si="183"/>
        <v>#N/A</v>
      </c>
      <c r="CY150" t="e">
        <f t="shared" si="184"/>
        <v>#N/A</v>
      </c>
      <c r="CZ150" t="e">
        <f t="shared" si="185"/>
        <v>#N/A</v>
      </c>
      <c r="DA150" t="e">
        <f t="shared" si="186"/>
        <v>#N/A</v>
      </c>
      <c r="DB150" t="e">
        <f t="shared" si="187"/>
        <v>#N/A</v>
      </c>
      <c r="DC150" s="142" t="e">
        <f t="shared" si="188"/>
        <v>#N/A</v>
      </c>
      <c r="DD150" t="e">
        <f t="shared" si="191"/>
        <v>#N/A</v>
      </c>
      <c r="DE150" t="b">
        <f t="shared" si="189"/>
        <v>0</v>
      </c>
    </row>
    <row r="151" spans="1:109">
      <c r="A151">
        <f t="shared" si="192"/>
        <v>86</v>
      </c>
      <c r="B151" s="140" t="e">
        <f t="shared" si="193"/>
        <v>#N/A</v>
      </c>
      <c r="C151" s="140" t="e">
        <f t="shared" si="194"/>
        <v>#N/A</v>
      </c>
      <c r="D151" s="140" t="e">
        <f t="shared" si="195"/>
        <v>#N/A</v>
      </c>
      <c r="E151" s="140" t="e">
        <f t="shared" si="196"/>
        <v>#N/A</v>
      </c>
      <c r="F151" s="140" t="e">
        <f t="shared" si="197"/>
        <v>#N/A</v>
      </c>
      <c r="G151" s="140" t="e">
        <f t="shared" si="198"/>
        <v>#N/A</v>
      </c>
      <c r="H151" s="140" t="e">
        <f t="shared" si="199"/>
        <v>#N/A</v>
      </c>
      <c r="I151" s="140" t="e">
        <f t="shared" si="200"/>
        <v>#N/A</v>
      </c>
      <c r="J151" s="140" t="e">
        <f t="shared" si="201"/>
        <v>#N/A</v>
      </c>
      <c r="K151" s="140" t="e">
        <f t="shared" si="202"/>
        <v>#N/A</v>
      </c>
      <c r="L151" s="140" t="e">
        <f t="shared" si="203"/>
        <v>#N/A</v>
      </c>
      <c r="M151" s="140" t="e">
        <f t="shared" si="204"/>
        <v>#N/A</v>
      </c>
      <c r="N151" s="140" t="e">
        <f t="shared" si="205"/>
        <v>#N/A</v>
      </c>
      <c r="O151" s="140" t="e">
        <f t="shared" si="206"/>
        <v>#N/A</v>
      </c>
      <c r="P151" s="140" t="e">
        <f t="shared" si="207"/>
        <v>#N/A</v>
      </c>
      <c r="Q151" s="140" t="e">
        <f t="shared" si="208"/>
        <v>#N/A</v>
      </c>
      <c r="R151" s="140" t="e">
        <f t="shared" si="209"/>
        <v>#N/A</v>
      </c>
      <c r="S151" s="140" t="e">
        <f t="shared" si="210"/>
        <v>#N/A</v>
      </c>
      <c r="T151" s="140" t="e">
        <f t="shared" si="211"/>
        <v>#N/A</v>
      </c>
      <c r="U151" s="140" t="e">
        <f t="shared" si="212"/>
        <v>#N/A</v>
      </c>
      <c r="V151" s="141" t="str">
        <f t="shared" si="124"/>
        <v>DPS</v>
      </c>
      <c r="W151" s="141" t="str">
        <f t="shared" si="125"/>
        <v>DPS</v>
      </c>
      <c r="X151" s="141" t="str">
        <f t="shared" si="126"/>
        <v>DPS</v>
      </c>
      <c r="Y151" s="141" t="str">
        <f t="shared" si="127"/>
        <v>DPS</v>
      </c>
      <c r="Z151" s="141" t="str">
        <f t="shared" si="128"/>
        <v>DPS</v>
      </c>
      <c r="AA151" s="141" t="str">
        <f t="shared" si="129"/>
        <v>DPS</v>
      </c>
      <c r="AB151" s="141" t="str">
        <f t="shared" si="130"/>
        <v>DPS</v>
      </c>
      <c r="AC151" s="141" t="str">
        <f t="shared" si="131"/>
        <v>DPS</v>
      </c>
      <c r="AD151" s="141" t="str">
        <f t="shared" si="132"/>
        <v>DPS</v>
      </c>
      <c r="AE151" s="141" t="str">
        <f t="shared" si="133"/>
        <v>DPS</v>
      </c>
      <c r="AF151" s="141" t="str">
        <f t="shared" si="134"/>
        <v>DPS</v>
      </c>
      <c r="AG151" s="141" t="str">
        <f t="shared" si="135"/>
        <v>DPS</v>
      </c>
      <c r="AH151" s="141" t="str">
        <f t="shared" si="136"/>
        <v>DPS</v>
      </c>
      <c r="AI151" s="141" t="str">
        <f t="shared" si="137"/>
        <v>HPS</v>
      </c>
      <c r="AJ151" s="141" t="str">
        <f t="shared" si="138"/>
        <v>HPS</v>
      </c>
      <c r="AK151" s="141" t="str">
        <f t="shared" si="139"/>
        <v>HPS</v>
      </c>
      <c r="AL151" s="141" t="str">
        <f t="shared" si="140"/>
        <v>HPS</v>
      </c>
      <c r="AM151" s="141" t="str">
        <f t="shared" si="141"/>
        <v>HPS</v>
      </c>
      <c r="AN151" s="141" t="str">
        <f t="shared" si="142"/>
        <v>HPS</v>
      </c>
      <c r="AO151" s="141" t="str">
        <f t="shared" si="143"/>
        <v>HPS</v>
      </c>
      <c r="AP151" s="134" t="e">
        <f t="shared" si="213"/>
        <v>#N/A</v>
      </c>
      <c r="AQ151" s="134" t="e">
        <f t="shared" si="214"/>
        <v>#N/A</v>
      </c>
      <c r="AR151" s="134" t="e">
        <f t="shared" si="215"/>
        <v>#N/A</v>
      </c>
      <c r="AS151" s="134" t="e">
        <f t="shared" si="216"/>
        <v>#N/A</v>
      </c>
      <c r="AT151" s="134" t="e">
        <f t="shared" si="217"/>
        <v>#N/A</v>
      </c>
      <c r="AU151" s="134" t="e">
        <f t="shared" si="218"/>
        <v>#N/A</v>
      </c>
      <c r="AV151" s="134" t="e">
        <f t="shared" si="219"/>
        <v>#N/A</v>
      </c>
      <c r="AW151" s="134" t="e">
        <f t="shared" si="220"/>
        <v>#N/A</v>
      </c>
      <c r="AX151" s="134" t="e">
        <f t="shared" si="221"/>
        <v>#N/A</v>
      </c>
      <c r="AY151" s="134" t="e">
        <f t="shared" si="222"/>
        <v>#N/A</v>
      </c>
      <c r="AZ151" s="134" t="e">
        <f t="shared" si="223"/>
        <v>#N/A</v>
      </c>
      <c r="BA151" s="134" t="e">
        <f t="shared" si="224"/>
        <v>#N/A</v>
      </c>
      <c r="BB151" s="134" t="e">
        <f t="shared" si="225"/>
        <v>#N/A</v>
      </c>
      <c r="BC151" s="134" t="e">
        <f t="shared" si="226"/>
        <v>#N/A</v>
      </c>
      <c r="BD151" s="134" t="e">
        <f t="shared" si="227"/>
        <v>#N/A</v>
      </c>
      <c r="BE151" s="134" t="e">
        <f t="shared" si="228"/>
        <v>#N/A</v>
      </c>
      <c r="BF151" s="134" t="e">
        <f t="shared" si="229"/>
        <v>#N/A</v>
      </c>
      <c r="BG151" s="134" t="e">
        <f t="shared" si="230"/>
        <v>#N/A</v>
      </c>
      <c r="BH151" s="134" t="e">
        <f t="shared" si="231"/>
        <v>#N/A</v>
      </c>
      <c r="BI151" s="134" t="e">
        <f t="shared" si="232"/>
        <v>#N/A</v>
      </c>
      <c r="BJ151" t="e">
        <f t="shared" si="144"/>
        <v>#N/A</v>
      </c>
      <c r="BK151" t="e">
        <f t="shared" si="145"/>
        <v>#N/A</v>
      </c>
      <c r="BL151" s="142" t="e">
        <f t="shared" si="146"/>
        <v>#N/A</v>
      </c>
      <c r="BM151" s="142">
        <f t="shared" si="190"/>
        <v>2650</v>
      </c>
      <c r="BN151" t="e">
        <f t="shared" si="147"/>
        <v>#NUM!</v>
      </c>
      <c r="BO151" s="143" t="e">
        <f t="shared" si="148"/>
        <v>#N/A</v>
      </c>
      <c r="BP151" s="143" t="e">
        <f t="shared" si="149"/>
        <v>#N/A</v>
      </c>
      <c r="BQ151" s="143" t="e">
        <f t="shared" si="150"/>
        <v>#N/A</v>
      </c>
      <c r="BR151" s="143" t="e">
        <f t="shared" si="151"/>
        <v>#N/A</v>
      </c>
      <c r="BS151" s="143" t="e">
        <f t="shared" si="152"/>
        <v>#N/A</v>
      </c>
      <c r="BT151" s="143" t="e">
        <f t="shared" si="153"/>
        <v>#N/A</v>
      </c>
      <c r="BU151" s="143" t="e">
        <f t="shared" si="154"/>
        <v>#N/A</v>
      </c>
      <c r="BV151" s="143" t="e">
        <f t="shared" si="155"/>
        <v>#N/A</v>
      </c>
      <c r="BW151" s="143" t="e">
        <f t="shared" si="156"/>
        <v>#N/A</v>
      </c>
      <c r="BX151" s="143" t="e">
        <f t="shared" si="157"/>
        <v>#N/A</v>
      </c>
      <c r="BY151" s="143" t="e">
        <f t="shared" si="158"/>
        <v>#N/A</v>
      </c>
      <c r="BZ151" s="143" t="e">
        <f t="shared" si="159"/>
        <v>#N/A</v>
      </c>
      <c r="CA151" s="143" t="e">
        <f t="shared" si="160"/>
        <v>#N/A</v>
      </c>
      <c r="CB151" s="143" t="e">
        <f t="shared" si="161"/>
        <v>#N/A</v>
      </c>
      <c r="CC151" s="143" t="e">
        <f t="shared" si="162"/>
        <v>#N/A</v>
      </c>
      <c r="CD151" s="143" t="e">
        <f t="shared" si="163"/>
        <v>#N/A</v>
      </c>
      <c r="CE151" s="143" t="e">
        <f t="shared" si="164"/>
        <v>#N/A</v>
      </c>
      <c r="CF151" s="143" t="e">
        <f t="shared" si="165"/>
        <v>#N/A</v>
      </c>
      <c r="CG151" s="143" t="e">
        <f t="shared" si="166"/>
        <v>#N/A</v>
      </c>
      <c r="CH151" s="143" t="e">
        <f t="shared" si="167"/>
        <v>#N/A</v>
      </c>
      <c r="CI151" t="e">
        <f t="shared" si="168"/>
        <v>#N/A</v>
      </c>
      <c r="CJ151" t="e">
        <f t="shared" si="169"/>
        <v>#N/A</v>
      </c>
      <c r="CK151" t="e">
        <f t="shared" si="170"/>
        <v>#N/A</v>
      </c>
      <c r="CL151" t="e">
        <f t="shared" si="171"/>
        <v>#N/A</v>
      </c>
      <c r="CM151" t="e">
        <f t="shared" si="172"/>
        <v>#N/A</v>
      </c>
      <c r="CN151" t="e">
        <f t="shared" si="173"/>
        <v>#N/A</v>
      </c>
      <c r="CO151" t="e">
        <f t="shared" si="174"/>
        <v>#N/A</v>
      </c>
      <c r="CP151" t="e">
        <f t="shared" si="175"/>
        <v>#N/A</v>
      </c>
      <c r="CQ151" t="e">
        <f t="shared" si="176"/>
        <v>#N/A</v>
      </c>
      <c r="CR151" t="e">
        <f t="shared" si="177"/>
        <v>#N/A</v>
      </c>
      <c r="CS151" t="e">
        <f t="shared" si="178"/>
        <v>#N/A</v>
      </c>
      <c r="CT151" t="e">
        <f t="shared" si="179"/>
        <v>#N/A</v>
      </c>
      <c r="CU151" t="e">
        <f t="shared" si="180"/>
        <v>#N/A</v>
      </c>
      <c r="CV151" t="e">
        <f t="shared" si="181"/>
        <v>#N/A</v>
      </c>
      <c r="CW151" t="e">
        <f t="shared" si="182"/>
        <v>#N/A</v>
      </c>
      <c r="CX151" t="e">
        <f t="shared" si="183"/>
        <v>#N/A</v>
      </c>
      <c r="CY151" t="e">
        <f t="shared" si="184"/>
        <v>#N/A</v>
      </c>
      <c r="CZ151" t="e">
        <f t="shared" si="185"/>
        <v>#N/A</v>
      </c>
      <c r="DA151" t="e">
        <f t="shared" si="186"/>
        <v>#N/A</v>
      </c>
      <c r="DB151" t="e">
        <f t="shared" si="187"/>
        <v>#N/A</v>
      </c>
      <c r="DC151" s="142" t="e">
        <f t="shared" si="188"/>
        <v>#N/A</v>
      </c>
      <c r="DD151" t="e">
        <f t="shared" si="191"/>
        <v>#N/A</v>
      </c>
      <c r="DE151" t="b">
        <f t="shared" si="189"/>
        <v>0</v>
      </c>
    </row>
    <row r="152" spans="1:109">
      <c r="A152">
        <f t="shared" si="192"/>
        <v>87</v>
      </c>
      <c r="B152" s="140" t="e">
        <f t="shared" si="193"/>
        <v>#N/A</v>
      </c>
      <c r="C152" s="140" t="e">
        <f t="shared" si="194"/>
        <v>#N/A</v>
      </c>
      <c r="D152" s="140" t="e">
        <f t="shared" si="195"/>
        <v>#N/A</v>
      </c>
      <c r="E152" s="140" t="e">
        <f t="shared" si="196"/>
        <v>#N/A</v>
      </c>
      <c r="F152" s="140" t="e">
        <f t="shared" si="197"/>
        <v>#N/A</v>
      </c>
      <c r="G152" s="140" t="e">
        <f t="shared" si="198"/>
        <v>#N/A</v>
      </c>
      <c r="H152" s="140" t="e">
        <f t="shared" si="199"/>
        <v>#N/A</v>
      </c>
      <c r="I152" s="140" t="e">
        <f t="shared" si="200"/>
        <v>#N/A</v>
      </c>
      <c r="J152" s="140" t="e">
        <f t="shared" si="201"/>
        <v>#N/A</v>
      </c>
      <c r="K152" s="140" t="e">
        <f t="shared" si="202"/>
        <v>#N/A</v>
      </c>
      <c r="L152" s="140" t="e">
        <f t="shared" si="203"/>
        <v>#N/A</v>
      </c>
      <c r="M152" s="140" t="e">
        <f t="shared" si="204"/>
        <v>#N/A</v>
      </c>
      <c r="N152" s="140" t="e">
        <f t="shared" si="205"/>
        <v>#N/A</v>
      </c>
      <c r="O152" s="140" t="e">
        <f t="shared" si="206"/>
        <v>#N/A</v>
      </c>
      <c r="P152" s="140" t="e">
        <f t="shared" si="207"/>
        <v>#N/A</v>
      </c>
      <c r="Q152" s="140" t="e">
        <f t="shared" si="208"/>
        <v>#N/A</v>
      </c>
      <c r="R152" s="140" t="e">
        <f t="shared" si="209"/>
        <v>#N/A</v>
      </c>
      <c r="S152" s="140" t="e">
        <f t="shared" si="210"/>
        <v>#N/A</v>
      </c>
      <c r="T152" s="140" t="e">
        <f t="shared" si="211"/>
        <v>#N/A</v>
      </c>
      <c r="U152" s="140" t="e">
        <f t="shared" si="212"/>
        <v>#N/A</v>
      </c>
      <c r="V152" s="141" t="str">
        <f t="shared" si="124"/>
        <v>DPS</v>
      </c>
      <c r="W152" s="141" t="str">
        <f t="shared" si="125"/>
        <v>DPS</v>
      </c>
      <c r="X152" s="141" t="str">
        <f t="shared" si="126"/>
        <v>DPS</v>
      </c>
      <c r="Y152" s="141" t="str">
        <f t="shared" si="127"/>
        <v>DPS</v>
      </c>
      <c r="Z152" s="141" t="str">
        <f t="shared" si="128"/>
        <v>DPS</v>
      </c>
      <c r="AA152" s="141" t="str">
        <f t="shared" si="129"/>
        <v>DPS</v>
      </c>
      <c r="AB152" s="141" t="str">
        <f t="shared" si="130"/>
        <v>DPS</v>
      </c>
      <c r="AC152" s="141" t="str">
        <f t="shared" si="131"/>
        <v>DPS</v>
      </c>
      <c r="AD152" s="141" t="str">
        <f t="shared" si="132"/>
        <v>DPS</v>
      </c>
      <c r="AE152" s="141" t="str">
        <f t="shared" si="133"/>
        <v>DPS</v>
      </c>
      <c r="AF152" s="141" t="str">
        <f t="shared" si="134"/>
        <v>DPS</v>
      </c>
      <c r="AG152" s="141" t="str">
        <f t="shared" si="135"/>
        <v>DPS</v>
      </c>
      <c r="AH152" s="141" t="str">
        <f t="shared" si="136"/>
        <v>DPS</v>
      </c>
      <c r="AI152" s="141" t="str">
        <f t="shared" si="137"/>
        <v>HPS</v>
      </c>
      <c r="AJ152" s="141" t="str">
        <f t="shared" si="138"/>
        <v>HPS</v>
      </c>
      <c r="AK152" s="141" t="str">
        <f t="shared" si="139"/>
        <v>HPS</v>
      </c>
      <c r="AL152" s="141" t="str">
        <f t="shared" si="140"/>
        <v>HPS</v>
      </c>
      <c r="AM152" s="141" t="str">
        <f t="shared" si="141"/>
        <v>HPS</v>
      </c>
      <c r="AN152" s="141" t="str">
        <f t="shared" si="142"/>
        <v>HPS</v>
      </c>
      <c r="AO152" s="141" t="str">
        <f t="shared" si="143"/>
        <v>HPS</v>
      </c>
      <c r="AP152" s="134" t="e">
        <f t="shared" si="213"/>
        <v>#N/A</v>
      </c>
      <c r="AQ152" s="134" t="e">
        <f t="shared" si="214"/>
        <v>#N/A</v>
      </c>
      <c r="AR152" s="134" t="e">
        <f t="shared" si="215"/>
        <v>#N/A</v>
      </c>
      <c r="AS152" s="134" t="e">
        <f t="shared" si="216"/>
        <v>#N/A</v>
      </c>
      <c r="AT152" s="134" t="e">
        <f t="shared" si="217"/>
        <v>#N/A</v>
      </c>
      <c r="AU152" s="134" t="e">
        <f t="shared" si="218"/>
        <v>#N/A</v>
      </c>
      <c r="AV152" s="134" t="e">
        <f t="shared" si="219"/>
        <v>#N/A</v>
      </c>
      <c r="AW152" s="134" t="e">
        <f t="shared" si="220"/>
        <v>#N/A</v>
      </c>
      <c r="AX152" s="134" t="e">
        <f t="shared" si="221"/>
        <v>#N/A</v>
      </c>
      <c r="AY152" s="134" t="e">
        <f t="shared" si="222"/>
        <v>#N/A</v>
      </c>
      <c r="AZ152" s="134" t="e">
        <f t="shared" si="223"/>
        <v>#N/A</v>
      </c>
      <c r="BA152" s="134" t="e">
        <f t="shared" si="224"/>
        <v>#N/A</v>
      </c>
      <c r="BB152" s="134" t="e">
        <f t="shared" si="225"/>
        <v>#N/A</v>
      </c>
      <c r="BC152" s="134" t="e">
        <f t="shared" si="226"/>
        <v>#N/A</v>
      </c>
      <c r="BD152" s="134" t="e">
        <f t="shared" si="227"/>
        <v>#N/A</v>
      </c>
      <c r="BE152" s="134" t="e">
        <f t="shared" si="228"/>
        <v>#N/A</v>
      </c>
      <c r="BF152" s="134" t="e">
        <f t="shared" si="229"/>
        <v>#N/A</v>
      </c>
      <c r="BG152" s="134" t="e">
        <f t="shared" si="230"/>
        <v>#N/A</v>
      </c>
      <c r="BH152" s="134" t="e">
        <f t="shared" si="231"/>
        <v>#N/A</v>
      </c>
      <c r="BI152" s="134" t="e">
        <f t="shared" si="232"/>
        <v>#N/A</v>
      </c>
      <c r="BJ152" t="e">
        <f t="shared" si="144"/>
        <v>#N/A</v>
      </c>
      <c r="BK152" t="e">
        <f t="shared" si="145"/>
        <v>#N/A</v>
      </c>
      <c r="BL152" s="142" t="e">
        <f t="shared" si="146"/>
        <v>#N/A</v>
      </c>
      <c r="BM152" s="142">
        <f t="shared" si="190"/>
        <v>2650</v>
      </c>
      <c r="BN152" t="e">
        <f t="shared" si="147"/>
        <v>#NUM!</v>
      </c>
      <c r="BO152" s="143" t="e">
        <f t="shared" si="148"/>
        <v>#N/A</v>
      </c>
      <c r="BP152" s="143" t="e">
        <f t="shared" si="149"/>
        <v>#N/A</v>
      </c>
      <c r="BQ152" s="143" t="e">
        <f t="shared" si="150"/>
        <v>#N/A</v>
      </c>
      <c r="BR152" s="143" t="e">
        <f t="shared" si="151"/>
        <v>#N/A</v>
      </c>
      <c r="BS152" s="143" t="e">
        <f t="shared" si="152"/>
        <v>#N/A</v>
      </c>
      <c r="BT152" s="143" t="e">
        <f t="shared" si="153"/>
        <v>#N/A</v>
      </c>
      <c r="BU152" s="143" t="e">
        <f t="shared" si="154"/>
        <v>#N/A</v>
      </c>
      <c r="BV152" s="143" t="e">
        <f t="shared" si="155"/>
        <v>#N/A</v>
      </c>
      <c r="BW152" s="143" t="e">
        <f t="shared" si="156"/>
        <v>#N/A</v>
      </c>
      <c r="BX152" s="143" t="e">
        <f t="shared" si="157"/>
        <v>#N/A</v>
      </c>
      <c r="BY152" s="143" t="e">
        <f t="shared" si="158"/>
        <v>#N/A</v>
      </c>
      <c r="BZ152" s="143" t="e">
        <f t="shared" si="159"/>
        <v>#N/A</v>
      </c>
      <c r="CA152" s="143" t="e">
        <f t="shared" si="160"/>
        <v>#N/A</v>
      </c>
      <c r="CB152" s="143" t="e">
        <f t="shared" si="161"/>
        <v>#N/A</v>
      </c>
      <c r="CC152" s="143" t="e">
        <f t="shared" si="162"/>
        <v>#N/A</v>
      </c>
      <c r="CD152" s="143" t="e">
        <f t="shared" si="163"/>
        <v>#N/A</v>
      </c>
      <c r="CE152" s="143" t="e">
        <f t="shared" si="164"/>
        <v>#N/A</v>
      </c>
      <c r="CF152" s="143" t="e">
        <f t="shared" si="165"/>
        <v>#N/A</v>
      </c>
      <c r="CG152" s="143" t="e">
        <f t="shared" si="166"/>
        <v>#N/A</v>
      </c>
      <c r="CH152" s="143" t="e">
        <f t="shared" si="167"/>
        <v>#N/A</v>
      </c>
      <c r="CI152" t="e">
        <f t="shared" si="168"/>
        <v>#N/A</v>
      </c>
      <c r="CJ152" t="e">
        <f t="shared" si="169"/>
        <v>#N/A</v>
      </c>
      <c r="CK152" t="e">
        <f t="shared" si="170"/>
        <v>#N/A</v>
      </c>
      <c r="CL152" t="e">
        <f t="shared" si="171"/>
        <v>#N/A</v>
      </c>
      <c r="CM152" t="e">
        <f t="shared" si="172"/>
        <v>#N/A</v>
      </c>
      <c r="CN152" t="e">
        <f t="shared" si="173"/>
        <v>#N/A</v>
      </c>
      <c r="CO152" t="e">
        <f t="shared" si="174"/>
        <v>#N/A</v>
      </c>
      <c r="CP152" t="e">
        <f t="shared" si="175"/>
        <v>#N/A</v>
      </c>
      <c r="CQ152" t="e">
        <f t="shared" si="176"/>
        <v>#N/A</v>
      </c>
      <c r="CR152" t="e">
        <f t="shared" si="177"/>
        <v>#N/A</v>
      </c>
      <c r="CS152" t="e">
        <f t="shared" si="178"/>
        <v>#N/A</v>
      </c>
      <c r="CT152" t="e">
        <f t="shared" si="179"/>
        <v>#N/A</v>
      </c>
      <c r="CU152" t="e">
        <f t="shared" si="180"/>
        <v>#N/A</v>
      </c>
      <c r="CV152" t="e">
        <f t="shared" si="181"/>
        <v>#N/A</v>
      </c>
      <c r="CW152" t="e">
        <f t="shared" si="182"/>
        <v>#N/A</v>
      </c>
      <c r="CX152" t="e">
        <f t="shared" si="183"/>
        <v>#N/A</v>
      </c>
      <c r="CY152" t="e">
        <f t="shared" si="184"/>
        <v>#N/A</v>
      </c>
      <c r="CZ152" t="e">
        <f t="shared" si="185"/>
        <v>#N/A</v>
      </c>
      <c r="DA152" t="e">
        <f t="shared" si="186"/>
        <v>#N/A</v>
      </c>
      <c r="DB152" t="e">
        <f t="shared" si="187"/>
        <v>#N/A</v>
      </c>
      <c r="DC152" s="142" t="e">
        <f t="shared" si="188"/>
        <v>#N/A</v>
      </c>
      <c r="DD152" t="e">
        <f t="shared" si="191"/>
        <v>#N/A</v>
      </c>
      <c r="DE152" t="b">
        <f t="shared" si="189"/>
        <v>0</v>
      </c>
    </row>
    <row r="153" spans="1:109">
      <c r="A153">
        <f t="shared" si="192"/>
        <v>88</v>
      </c>
      <c r="B153" s="140" t="e">
        <f t="shared" si="193"/>
        <v>#N/A</v>
      </c>
      <c r="C153" s="140" t="e">
        <f t="shared" si="194"/>
        <v>#N/A</v>
      </c>
      <c r="D153" s="140" t="e">
        <f t="shared" si="195"/>
        <v>#N/A</v>
      </c>
      <c r="E153" s="140" t="e">
        <f t="shared" si="196"/>
        <v>#N/A</v>
      </c>
      <c r="F153" s="140" t="e">
        <f t="shared" si="197"/>
        <v>#N/A</v>
      </c>
      <c r="G153" s="140" t="e">
        <f t="shared" si="198"/>
        <v>#N/A</v>
      </c>
      <c r="H153" s="140" t="e">
        <f t="shared" si="199"/>
        <v>#N/A</v>
      </c>
      <c r="I153" s="140" t="e">
        <f t="shared" si="200"/>
        <v>#N/A</v>
      </c>
      <c r="J153" s="140" t="e">
        <f t="shared" si="201"/>
        <v>#N/A</v>
      </c>
      <c r="K153" s="140" t="e">
        <f t="shared" si="202"/>
        <v>#N/A</v>
      </c>
      <c r="L153" s="140" t="e">
        <f t="shared" si="203"/>
        <v>#N/A</v>
      </c>
      <c r="M153" s="140" t="e">
        <f t="shared" si="204"/>
        <v>#N/A</v>
      </c>
      <c r="N153" s="140" t="e">
        <f t="shared" si="205"/>
        <v>#N/A</v>
      </c>
      <c r="O153" s="140" t="e">
        <f t="shared" si="206"/>
        <v>#N/A</v>
      </c>
      <c r="P153" s="140" t="e">
        <f t="shared" si="207"/>
        <v>#N/A</v>
      </c>
      <c r="Q153" s="140" t="e">
        <f t="shared" si="208"/>
        <v>#N/A</v>
      </c>
      <c r="R153" s="140" t="e">
        <f t="shared" si="209"/>
        <v>#N/A</v>
      </c>
      <c r="S153" s="140" t="e">
        <f t="shared" si="210"/>
        <v>#N/A</v>
      </c>
      <c r="T153" s="140" t="e">
        <f t="shared" si="211"/>
        <v>#N/A</v>
      </c>
      <c r="U153" s="140" t="e">
        <f t="shared" si="212"/>
        <v>#N/A</v>
      </c>
      <c r="V153" s="141" t="str">
        <f t="shared" si="124"/>
        <v>DPS</v>
      </c>
      <c r="W153" s="141" t="str">
        <f t="shared" si="125"/>
        <v>DPS</v>
      </c>
      <c r="X153" s="141" t="str">
        <f t="shared" si="126"/>
        <v>DPS</v>
      </c>
      <c r="Y153" s="141" t="str">
        <f t="shared" si="127"/>
        <v>DPS</v>
      </c>
      <c r="Z153" s="141" t="str">
        <f t="shared" si="128"/>
        <v>DPS</v>
      </c>
      <c r="AA153" s="141" t="str">
        <f t="shared" si="129"/>
        <v>DPS</v>
      </c>
      <c r="AB153" s="141" t="str">
        <f t="shared" si="130"/>
        <v>DPS</v>
      </c>
      <c r="AC153" s="141" t="str">
        <f t="shared" si="131"/>
        <v>DPS</v>
      </c>
      <c r="AD153" s="141" t="str">
        <f t="shared" si="132"/>
        <v>DPS</v>
      </c>
      <c r="AE153" s="141" t="str">
        <f t="shared" si="133"/>
        <v>DPS</v>
      </c>
      <c r="AF153" s="141" t="str">
        <f t="shared" si="134"/>
        <v>DPS</v>
      </c>
      <c r="AG153" s="141" t="str">
        <f t="shared" si="135"/>
        <v>DPS</v>
      </c>
      <c r="AH153" s="141" t="str">
        <f t="shared" si="136"/>
        <v>DPS</v>
      </c>
      <c r="AI153" s="141" t="str">
        <f t="shared" si="137"/>
        <v>HPS</v>
      </c>
      <c r="AJ153" s="141" t="str">
        <f t="shared" si="138"/>
        <v>HPS</v>
      </c>
      <c r="AK153" s="141" t="str">
        <f t="shared" si="139"/>
        <v>HPS</v>
      </c>
      <c r="AL153" s="141" t="str">
        <f t="shared" si="140"/>
        <v>HPS</v>
      </c>
      <c r="AM153" s="141" t="str">
        <f t="shared" si="141"/>
        <v>HPS</v>
      </c>
      <c r="AN153" s="141" t="str">
        <f t="shared" si="142"/>
        <v>HPS</v>
      </c>
      <c r="AO153" s="141" t="str">
        <f t="shared" si="143"/>
        <v>HPS</v>
      </c>
      <c r="AP153" s="134" t="e">
        <f t="shared" si="213"/>
        <v>#N/A</v>
      </c>
      <c r="AQ153" s="134" t="e">
        <f t="shared" si="214"/>
        <v>#N/A</v>
      </c>
      <c r="AR153" s="134" t="e">
        <f t="shared" si="215"/>
        <v>#N/A</v>
      </c>
      <c r="AS153" s="134" t="e">
        <f t="shared" si="216"/>
        <v>#N/A</v>
      </c>
      <c r="AT153" s="134" t="e">
        <f t="shared" si="217"/>
        <v>#N/A</v>
      </c>
      <c r="AU153" s="134" t="e">
        <f t="shared" si="218"/>
        <v>#N/A</v>
      </c>
      <c r="AV153" s="134" t="e">
        <f t="shared" si="219"/>
        <v>#N/A</v>
      </c>
      <c r="AW153" s="134" t="e">
        <f t="shared" si="220"/>
        <v>#N/A</v>
      </c>
      <c r="AX153" s="134" t="e">
        <f t="shared" si="221"/>
        <v>#N/A</v>
      </c>
      <c r="AY153" s="134" t="e">
        <f t="shared" si="222"/>
        <v>#N/A</v>
      </c>
      <c r="AZ153" s="134" t="e">
        <f t="shared" si="223"/>
        <v>#N/A</v>
      </c>
      <c r="BA153" s="134" t="e">
        <f t="shared" si="224"/>
        <v>#N/A</v>
      </c>
      <c r="BB153" s="134" t="e">
        <f t="shared" si="225"/>
        <v>#N/A</v>
      </c>
      <c r="BC153" s="134" t="e">
        <f t="shared" si="226"/>
        <v>#N/A</v>
      </c>
      <c r="BD153" s="134" t="e">
        <f t="shared" si="227"/>
        <v>#N/A</v>
      </c>
      <c r="BE153" s="134" t="e">
        <f t="shared" si="228"/>
        <v>#N/A</v>
      </c>
      <c r="BF153" s="134" t="e">
        <f t="shared" si="229"/>
        <v>#N/A</v>
      </c>
      <c r="BG153" s="134" t="e">
        <f t="shared" si="230"/>
        <v>#N/A</v>
      </c>
      <c r="BH153" s="134" t="e">
        <f t="shared" si="231"/>
        <v>#N/A</v>
      </c>
      <c r="BI153" s="134" t="e">
        <f t="shared" si="232"/>
        <v>#N/A</v>
      </c>
      <c r="BJ153" t="e">
        <f t="shared" si="144"/>
        <v>#N/A</v>
      </c>
      <c r="BK153" t="e">
        <f t="shared" si="145"/>
        <v>#N/A</v>
      </c>
      <c r="BL153" s="142" t="e">
        <f t="shared" si="146"/>
        <v>#N/A</v>
      </c>
      <c r="BM153" s="142">
        <f t="shared" si="190"/>
        <v>2650</v>
      </c>
      <c r="BN153" t="e">
        <f t="shared" si="147"/>
        <v>#NUM!</v>
      </c>
      <c r="BO153" s="143" t="e">
        <f t="shared" si="148"/>
        <v>#N/A</v>
      </c>
      <c r="BP153" s="143" t="e">
        <f t="shared" si="149"/>
        <v>#N/A</v>
      </c>
      <c r="BQ153" s="143" t="e">
        <f t="shared" si="150"/>
        <v>#N/A</v>
      </c>
      <c r="BR153" s="143" t="e">
        <f t="shared" si="151"/>
        <v>#N/A</v>
      </c>
      <c r="BS153" s="143" t="e">
        <f t="shared" si="152"/>
        <v>#N/A</v>
      </c>
      <c r="BT153" s="143" t="e">
        <f t="shared" si="153"/>
        <v>#N/A</v>
      </c>
      <c r="BU153" s="143" t="e">
        <f t="shared" si="154"/>
        <v>#N/A</v>
      </c>
      <c r="BV153" s="143" t="e">
        <f t="shared" si="155"/>
        <v>#N/A</v>
      </c>
      <c r="BW153" s="143" t="e">
        <f t="shared" si="156"/>
        <v>#N/A</v>
      </c>
      <c r="BX153" s="143" t="e">
        <f t="shared" si="157"/>
        <v>#N/A</v>
      </c>
      <c r="BY153" s="143" t="e">
        <f t="shared" si="158"/>
        <v>#N/A</v>
      </c>
      <c r="BZ153" s="143" t="e">
        <f t="shared" si="159"/>
        <v>#N/A</v>
      </c>
      <c r="CA153" s="143" t="e">
        <f t="shared" si="160"/>
        <v>#N/A</v>
      </c>
      <c r="CB153" s="143" t="e">
        <f t="shared" si="161"/>
        <v>#N/A</v>
      </c>
      <c r="CC153" s="143" t="e">
        <f t="shared" si="162"/>
        <v>#N/A</v>
      </c>
      <c r="CD153" s="143" t="e">
        <f t="shared" si="163"/>
        <v>#N/A</v>
      </c>
      <c r="CE153" s="143" t="e">
        <f t="shared" si="164"/>
        <v>#N/A</v>
      </c>
      <c r="CF153" s="143" t="e">
        <f t="shared" si="165"/>
        <v>#N/A</v>
      </c>
      <c r="CG153" s="143" t="e">
        <f t="shared" si="166"/>
        <v>#N/A</v>
      </c>
      <c r="CH153" s="143" t="e">
        <f t="shared" si="167"/>
        <v>#N/A</v>
      </c>
      <c r="CI153" t="e">
        <f t="shared" si="168"/>
        <v>#N/A</v>
      </c>
      <c r="CJ153" t="e">
        <f t="shared" si="169"/>
        <v>#N/A</v>
      </c>
      <c r="CK153" t="e">
        <f t="shared" si="170"/>
        <v>#N/A</v>
      </c>
      <c r="CL153" t="e">
        <f t="shared" si="171"/>
        <v>#N/A</v>
      </c>
      <c r="CM153" t="e">
        <f t="shared" si="172"/>
        <v>#N/A</v>
      </c>
      <c r="CN153" t="e">
        <f t="shared" si="173"/>
        <v>#N/A</v>
      </c>
      <c r="CO153" t="e">
        <f t="shared" si="174"/>
        <v>#N/A</v>
      </c>
      <c r="CP153" t="e">
        <f t="shared" si="175"/>
        <v>#N/A</v>
      </c>
      <c r="CQ153" t="e">
        <f t="shared" si="176"/>
        <v>#N/A</v>
      </c>
      <c r="CR153" t="e">
        <f t="shared" si="177"/>
        <v>#N/A</v>
      </c>
      <c r="CS153" t="e">
        <f t="shared" si="178"/>
        <v>#N/A</v>
      </c>
      <c r="CT153" t="e">
        <f t="shared" si="179"/>
        <v>#N/A</v>
      </c>
      <c r="CU153" t="e">
        <f t="shared" si="180"/>
        <v>#N/A</v>
      </c>
      <c r="CV153" t="e">
        <f t="shared" si="181"/>
        <v>#N/A</v>
      </c>
      <c r="CW153" t="e">
        <f t="shared" si="182"/>
        <v>#N/A</v>
      </c>
      <c r="CX153" t="e">
        <f t="shared" si="183"/>
        <v>#N/A</v>
      </c>
      <c r="CY153" t="e">
        <f t="shared" si="184"/>
        <v>#N/A</v>
      </c>
      <c r="CZ153" t="e">
        <f t="shared" si="185"/>
        <v>#N/A</v>
      </c>
      <c r="DA153" t="e">
        <f t="shared" si="186"/>
        <v>#N/A</v>
      </c>
      <c r="DB153" t="e">
        <f t="shared" si="187"/>
        <v>#N/A</v>
      </c>
      <c r="DC153" s="142" t="e">
        <f t="shared" si="188"/>
        <v>#N/A</v>
      </c>
      <c r="DD153" t="e">
        <f t="shared" si="191"/>
        <v>#N/A</v>
      </c>
      <c r="DE153" t="b">
        <f t="shared" si="189"/>
        <v>0</v>
      </c>
    </row>
    <row r="154" spans="1:109">
      <c r="A154">
        <f t="shared" si="192"/>
        <v>89</v>
      </c>
      <c r="B154" s="140" t="e">
        <f t="shared" si="193"/>
        <v>#N/A</v>
      </c>
      <c r="C154" s="140" t="e">
        <f t="shared" si="194"/>
        <v>#N/A</v>
      </c>
      <c r="D154" s="140" t="e">
        <f t="shared" si="195"/>
        <v>#N/A</v>
      </c>
      <c r="E154" s="140" t="e">
        <f t="shared" si="196"/>
        <v>#N/A</v>
      </c>
      <c r="F154" s="140" t="e">
        <f t="shared" si="197"/>
        <v>#N/A</v>
      </c>
      <c r="G154" s="140" t="e">
        <f t="shared" si="198"/>
        <v>#N/A</v>
      </c>
      <c r="H154" s="140" t="e">
        <f t="shared" si="199"/>
        <v>#N/A</v>
      </c>
      <c r="I154" s="140" t="e">
        <f t="shared" si="200"/>
        <v>#N/A</v>
      </c>
      <c r="J154" s="140" t="e">
        <f t="shared" si="201"/>
        <v>#N/A</v>
      </c>
      <c r="K154" s="140" t="e">
        <f t="shared" si="202"/>
        <v>#N/A</v>
      </c>
      <c r="L154" s="140" t="e">
        <f t="shared" si="203"/>
        <v>#N/A</v>
      </c>
      <c r="M154" s="140" t="e">
        <f t="shared" si="204"/>
        <v>#N/A</v>
      </c>
      <c r="N154" s="140" t="e">
        <f t="shared" si="205"/>
        <v>#N/A</v>
      </c>
      <c r="O154" s="140" t="e">
        <f t="shared" si="206"/>
        <v>#N/A</v>
      </c>
      <c r="P154" s="140" t="e">
        <f t="shared" si="207"/>
        <v>#N/A</v>
      </c>
      <c r="Q154" s="140" t="e">
        <f t="shared" si="208"/>
        <v>#N/A</v>
      </c>
      <c r="R154" s="140" t="e">
        <f t="shared" si="209"/>
        <v>#N/A</v>
      </c>
      <c r="S154" s="140" t="e">
        <f t="shared" si="210"/>
        <v>#N/A</v>
      </c>
      <c r="T154" s="140" t="e">
        <f t="shared" si="211"/>
        <v>#N/A</v>
      </c>
      <c r="U154" s="140" t="e">
        <f t="shared" si="212"/>
        <v>#N/A</v>
      </c>
      <c r="V154" s="141" t="str">
        <f t="shared" si="124"/>
        <v>DPS</v>
      </c>
      <c r="W154" s="141" t="str">
        <f t="shared" si="125"/>
        <v>DPS</v>
      </c>
      <c r="X154" s="141" t="str">
        <f t="shared" si="126"/>
        <v>DPS</v>
      </c>
      <c r="Y154" s="141" t="str">
        <f t="shared" si="127"/>
        <v>DPS</v>
      </c>
      <c r="Z154" s="141" t="str">
        <f t="shared" si="128"/>
        <v>DPS</v>
      </c>
      <c r="AA154" s="141" t="str">
        <f t="shared" si="129"/>
        <v>DPS</v>
      </c>
      <c r="AB154" s="141" t="str">
        <f t="shared" si="130"/>
        <v>DPS</v>
      </c>
      <c r="AC154" s="141" t="str">
        <f t="shared" si="131"/>
        <v>DPS</v>
      </c>
      <c r="AD154" s="141" t="str">
        <f t="shared" si="132"/>
        <v>DPS</v>
      </c>
      <c r="AE154" s="141" t="str">
        <f t="shared" si="133"/>
        <v>DPS</v>
      </c>
      <c r="AF154" s="141" t="str">
        <f t="shared" si="134"/>
        <v>DPS</v>
      </c>
      <c r="AG154" s="141" t="str">
        <f t="shared" si="135"/>
        <v>DPS</v>
      </c>
      <c r="AH154" s="141" t="str">
        <f t="shared" si="136"/>
        <v>DPS</v>
      </c>
      <c r="AI154" s="141" t="str">
        <f t="shared" si="137"/>
        <v>HPS</v>
      </c>
      <c r="AJ154" s="141" t="str">
        <f t="shared" si="138"/>
        <v>HPS</v>
      </c>
      <c r="AK154" s="141" t="str">
        <f t="shared" si="139"/>
        <v>HPS</v>
      </c>
      <c r="AL154" s="141" t="str">
        <f t="shared" si="140"/>
        <v>HPS</v>
      </c>
      <c r="AM154" s="141" t="str">
        <f t="shared" si="141"/>
        <v>HPS</v>
      </c>
      <c r="AN154" s="141" t="str">
        <f t="shared" si="142"/>
        <v>HPS</v>
      </c>
      <c r="AO154" s="141" t="str">
        <f t="shared" si="143"/>
        <v>HPS</v>
      </c>
      <c r="AP154" s="134" t="e">
        <f t="shared" si="213"/>
        <v>#N/A</v>
      </c>
      <c r="AQ154" s="134" t="e">
        <f t="shared" si="214"/>
        <v>#N/A</v>
      </c>
      <c r="AR154" s="134" t="e">
        <f t="shared" si="215"/>
        <v>#N/A</v>
      </c>
      <c r="AS154" s="134" t="e">
        <f t="shared" si="216"/>
        <v>#N/A</v>
      </c>
      <c r="AT154" s="134" t="e">
        <f t="shared" si="217"/>
        <v>#N/A</v>
      </c>
      <c r="AU154" s="134" t="e">
        <f t="shared" si="218"/>
        <v>#N/A</v>
      </c>
      <c r="AV154" s="134" t="e">
        <f t="shared" si="219"/>
        <v>#N/A</v>
      </c>
      <c r="AW154" s="134" t="e">
        <f t="shared" si="220"/>
        <v>#N/A</v>
      </c>
      <c r="AX154" s="134" t="e">
        <f t="shared" si="221"/>
        <v>#N/A</v>
      </c>
      <c r="AY154" s="134" t="e">
        <f t="shared" si="222"/>
        <v>#N/A</v>
      </c>
      <c r="AZ154" s="134" t="e">
        <f t="shared" si="223"/>
        <v>#N/A</v>
      </c>
      <c r="BA154" s="134" t="e">
        <f t="shared" si="224"/>
        <v>#N/A</v>
      </c>
      <c r="BB154" s="134" t="e">
        <f t="shared" si="225"/>
        <v>#N/A</v>
      </c>
      <c r="BC154" s="134" t="e">
        <f t="shared" si="226"/>
        <v>#N/A</v>
      </c>
      <c r="BD154" s="134" t="e">
        <f t="shared" si="227"/>
        <v>#N/A</v>
      </c>
      <c r="BE154" s="134" t="e">
        <f t="shared" si="228"/>
        <v>#N/A</v>
      </c>
      <c r="BF154" s="134" t="e">
        <f t="shared" si="229"/>
        <v>#N/A</v>
      </c>
      <c r="BG154" s="134" t="e">
        <f t="shared" si="230"/>
        <v>#N/A</v>
      </c>
      <c r="BH154" s="134" t="e">
        <f t="shared" si="231"/>
        <v>#N/A</v>
      </c>
      <c r="BI154" s="134" t="e">
        <f t="shared" si="232"/>
        <v>#N/A</v>
      </c>
      <c r="BJ154" t="e">
        <f t="shared" si="144"/>
        <v>#N/A</v>
      </c>
      <c r="BK154" t="e">
        <f t="shared" si="145"/>
        <v>#N/A</v>
      </c>
      <c r="BL154" s="142" t="e">
        <f t="shared" si="146"/>
        <v>#N/A</v>
      </c>
      <c r="BM154" s="142">
        <f t="shared" si="190"/>
        <v>2650</v>
      </c>
      <c r="BN154" t="e">
        <f t="shared" si="147"/>
        <v>#NUM!</v>
      </c>
      <c r="BO154" s="143" t="e">
        <f t="shared" si="148"/>
        <v>#N/A</v>
      </c>
      <c r="BP154" s="143" t="e">
        <f t="shared" si="149"/>
        <v>#N/A</v>
      </c>
      <c r="BQ154" s="143" t="e">
        <f t="shared" si="150"/>
        <v>#N/A</v>
      </c>
      <c r="BR154" s="143" t="e">
        <f t="shared" si="151"/>
        <v>#N/A</v>
      </c>
      <c r="BS154" s="143" t="e">
        <f t="shared" si="152"/>
        <v>#N/A</v>
      </c>
      <c r="BT154" s="143" t="e">
        <f t="shared" si="153"/>
        <v>#N/A</v>
      </c>
      <c r="BU154" s="143" t="e">
        <f t="shared" si="154"/>
        <v>#N/A</v>
      </c>
      <c r="BV154" s="143" t="e">
        <f t="shared" si="155"/>
        <v>#N/A</v>
      </c>
      <c r="BW154" s="143" t="e">
        <f t="shared" si="156"/>
        <v>#N/A</v>
      </c>
      <c r="BX154" s="143" t="e">
        <f t="shared" si="157"/>
        <v>#N/A</v>
      </c>
      <c r="BY154" s="143" t="e">
        <f t="shared" si="158"/>
        <v>#N/A</v>
      </c>
      <c r="BZ154" s="143" t="e">
        <f t="shared" si="159"/>
        <v>#N/A</v>
      </c>
      <c r="CA154" s="143" t="e">
        <f t="shared" si="160"/>
        <v>#N/A</v>
      </c>
      <c r="CB154" s="143" t="e">
        <f t="shared" si="161"/>
        <v>#N/A</v>
      </c>
      <c r="CC154" s="143" t="e">
        <f t="shared" si="162"/>
        <v>#N/A</v>
      </c>
      <c r="CD154" s="143" t="e">
        <f t="shared" si="163"/>
        <v>#N/A</v>
      </c>
      <c r="CE154" s="143" t="e">
        <f t="shared" si="164"/>
        <v>#N/A</v>
      </c>
      <c r="CF154" s="143" t="e">
        <f t="shared" si="165"/>
        <v>#N/A</v>
      </c>
      <c r="CG154" s="143" t="e">
        <f t="shared" si="166"/>
        <v>#N/A</v>
      </c>
      <c r="CH154" s="143" t="e">
        <f t="shared" si="167"/>
        <v>#N/A</v>
      </c>
      <c r="CI154" t="e">
        <f t="shared" si="168"/>
        <v>#N/A</v>
      </c>
      <c r="CJ154" t="e">
        <f t="shared" si="169"/>
        <v>#N/A</v>
      </c>
      <c r="CK154" t="e">
        <f t="shared" si="170"/>
        <v>#N/A</v>
      </c>
      <c r="CL154" t="e">
        <f t="shared" si="171"/>
        <v>#N/A</v>
      </c>
      <c r="CM154" t="e">
        <f t="shared" si="172"/>
        <v>#N/A</v>
      </c>
      <c r="CN154" t="e">
        <f t="shared" si="173"/>
        <v>#N/A</v>
      </c>
      <c r="CO154" t="e">
        <f t="shared" si="174"/>
        <v>#N/A</v>
      </c>
      <c r="CP154" t="e">
        <f t="shared" si="175"/>
        <v>#N/A</v>
      </c>
      <c r="CQ154" t="e">
        <f t="shared" si="176"/>
        <v>#N/A</v>
      </c>
      <c r="CR154" t="e">
        <f t="shared" si="177"/>
        <v>#N/A</v>
      </c>
      <c r="CS154" t="e">
        <f t="shared" si="178"/>
        <v>#N/A</v>
      </c>
      <c r="CT154" t="e">
        <f t="shared" si="179"/>
        <v>#N/A</v>
      </c>
      <c r="CU154" t="e">
        <f t="shared" si="180"/>
        <v>#N/A</v>
      </c>
      <c r="CV154" t="e">
        <f t="shared" si="181"/>
        <v>#N/A</v>
      </c>
      <c r="CW154" t="e">
        <f t="shared" si="182"/>
        <v>#N/A</v>
      </c>
      <c r="CX154" t="e">
        <f t="shared" si="183"/>
        <v>#N/A</v>
      </c>
      <c r="CY154" t="e">
        <f t="shared" si="184"/>
        <v>#N/A</v>
      </c>
      <c r="CZ154" t="e">
        <f t="shared" si="185"/>
        <v>#N/A</v>
      </c>
      <c r="DA154" t="e">
        <f t="shared" si="186"/>
        <v>#N/A</v>
      </c>
      <c r="DB154" t="e">
        <f t="shared" si="187"/>
        <v>#N/A</v>
      </c>
      <c r="DC154" s="142" t="e">
        <f t="shared" si="188"/>
        <v>#N/A</v>
      </c>
      <c r="DD154" t="e">
        <f t="shared" si="191"/>
        <v>#N/A</v>
      </c>
      <c r="DE154" t="b">
        <f t="shared" si="189"/>
        <v>0</v>
      </c>
    </row>
    <row r="155" spans="1:109">
      <c r="A155">
        <f t="shared" si="192"/>
        <v>90</v>
      </c>
      <c r="B155" s="140" t="e">
        <f t="shared" si="193"/>
        <v>#N/A</v>
      </c>
      <c r="C155" s="140" t="e">
        <f t="shared" si="194"/>
        <v>#N/A</v>
      </c>
      <c r="D155" s="140" t="e">
        <f t="shared" si="195"/>
        <v>#N/A</v>
      </c>
      <c r="E155" s="140" t="e">
        <f t="shared" si="196"/>
        <v>#N/A</v>
      </c>
      <c r="F155" s="140" t="e">
        <f t="shared" si="197"/>
        <v>#N/A</v>
      </c>
      <c r="G155" s="140" t="e">
        <f t="shared" si="198"/>
        <v>#N/A</v>
      </c>
      <c r="H155" s="140" t="e">
        <f t="shared" si="199"/>
        <v>#N/A</v>
      </c>
      <c r="I155" s="140" t="e">
        <f t="shared" si="200"/>
        <v>#N/A</v>
      </c>
      <c r="J155" s="140" t="e">
        <f t="shared" si="201"/>
        <v>#N/A</v>
      </c>
      <c r="K155" s="140" t="e">
        <f t="shared" si="202"/>
        <v>#N/A</v>
      </c>
      <c r="L155" s="140" t="e">
        <f t="shared" si="203"/>
        <v>#N/A</v>
      </c>
      <c r="M155" s="140" t="e">
        <f t="shared" si="204"/>
        <v>#N/A</v>
      </c>
      <c r="N155" s="140" t="e">
        <f t="shared" si="205"/>
        <v>#N/A</v>
      </c>
      <c r="O155" s="140" t="e">
        <f t="shared" si="206"/>
        <v>#N/A</v>
      </c>
      <c r="P155" s="140" t="e">
        <f t="shared" si="207"/>
        <v>#N/A</v>
      </c>
      <c r="Q155" s="140" t="e">
        <f t="shared" si="208"/>
        <v>#N/A</v>
      </c>
      <c r="R155" s="140" t="e">
        <f t="shared" si="209"/>
        <v>#N/A</v>
      </c>
      <c r="S155" s="140" t="e">
        <f t="shared" si="210"/>
        <v>#N/A</v>
      </c>
      <c r="T155" s="140" t="e">
        <f t="shared" si="211"/>
        <v>#N/A</v>
      </c>
      <c r="U155" s="140" t="e">
        <f t="shared" si="212"/>
        <v>#N/A</v>
      </c>
      <c r="V155" s="141" t="str">
        <f t="shared" si="124"/>
        <v>DPS</v>
      </c>
      <c r="W155" s="141" t="str">
        <f t="shared" si="125"/>
        <v>DPS</v>
      </c>
      <c r="X155" s="141" t="str">
        <f t="shared" si="126"/>
        <v>DPS</v>
      </c>
      <c r="Y155" s="141" t="str">
        <f t="shared" si="127"/>
        <v>DPS</v>
      </c>
      <c r="Z155" s="141" t="str">
        <f t="shared" si="128"/>
        <v>DPS</v>
      </c>
      <c r="AA155" s="141" t="str">
        <f t="shared" si="129"/>
        <v>DPS</v>
      </c>
      <c r="AB155" s="141" t="str">
        <f t="shared" si="130"/>
        <v>DPS</v>
      </c>
      <c r="AC155" s="141" t="str">
        <f t="shared" si="131"/>
        <v>DPS</v>
      </c>
      <c r="AD155" s="141" t="str">
        <f t="shared" si="132"/>
        <v>DPS</v>
      </c>
      <c r="AE155" s="141" t="str">
        <f t="shared" si="133"/>
        <v>DPS</v>
      </c>
      <c r="AF155" s="141" t="str">
        <f t="shared" si="134"/>
        <v>DPS</v>
      </c>
      <c r="AG155" s="141" t="str">
        <f t="shared" si="135"/>
        <v>DPS</v>
      </c>
      <c r="AH155" s="141" t="str">
        <f t="shared" si="136"/>
        <v>DPS</v>
      </c>
      <c r="AI155" s="141" t="str">
        <f t="shared" si="137"/>
        <v>HPS</v>
      </c>
      <c r="AJ155" s="141" t="str">
        <f t="shared" si="138"/>
        <v>HPS</v>
      </c>
      <c r="AK155" s="141" t="str">
        <f t="shared" si="139"/>
        <v>HPS</v>
      </c>
      <c r="AL155" s="141" t="str">
        <f t="shared" si="140"/>
        <v>HPS</v>
      </c>
      <c r="AM155" s="141" t="str">
        <f t="shared" si="141"/>
        <v>HPS</v>
      </c>
      <c r="AN155" s="141" t="str">
        <f t="shared" si="142"/>
        <v>HPS</v>
      </c>
      <c r="AO155" s="141" t="str">
        <f t="shared" si="143"/>
        <v>HPS</v>
      </c>
      <c r="AP155" s="134" t="e">
        <f t="shared" si="213"/>
        <v>#N/A</v>
      </c>
      <c r="AQ155" s="134" t="e">
        <f t="shared" si="214"/>
        <v>#N/A</v>
      </c>
      <c r="AR155" s="134" t="e">
        <f t="shared" si="215"/>
        <v>#N/A</v>
      </c>
      <c r="AS155" s="134" t="e">
        <f t="shared" si="216"/>
        <v>#N/A</v>
      </c>
      <c r="AT155" s="134" t="e">
        <f t="shared" si="217"/>
        <v>#N/A</v>
      </c>
      <c r="AU155" s="134" t="e">
        <f t="shared" si="218"/>
        <v>#N/A</v>
      </c>
      <c r="AV155" s="134" t="e">
        <f t="shared" si="219"/>
        <v>#N/A</v>
      </c>
      <c r="AW155" s="134" t="e">
        <f t="shared" si="220"/>
        <v>#N/A</v>
      </c>
      <c r="AX155" s="134" t="e">
        <f t="shared" si="221"/>
        <v>#N/A</v>
      </c>
      <c r="AY155" s="134" t="e">
        <f t="shared" si="222"/>
        <v>#N/A</v>
      </c>
      <c r="AZ155" s="134" t="e">
        <f t="shared" si="223"/>
        <v>#N/A</v>
      </c>
      <c r="BA155" s="134" t="e">
        <f t="shared" si="224"/>
        <v>#N/A</v>
      </c>
      <c r="BB155" s="134" t="e">
        <f t="shared" si="225"/>
        <v>#N/A</v>
      </c>
      <c r="BC155" s="134" t="e">
        <f t="shared" si="226"/>
        <v>#N/A</v>
      </c>
      <c r="BD155" s="134" t="e">
        <f t="shared" si="227"/>
        <v>#N/A</v>
      </c>
      <c r="BE155" s="134" t="e">
        <f t="shared" si="228"/>
        <v>#N/A</v>
      </c>
      <c r="BF155" s="134" t="e">
        <f t="shared" si="229"/>
        <v>#N/A</v>
      </c>
      <c r="BG155" s="134" t="e">
        <f t="shared" si="230"/>
        <v>#N/A</v>
      </c>
      <c r="BH155" s="134" t="e">
        <f t="shared" si="231"/>
        <v>#N/A</v>
      </c>
      <c r="BI155" s="134" t="e">
        <f t="shared" si="232"/>
        <v>#N/A</v>
      </c>
      <c r="BJ155" t="e">
        <f t="shared" si="144"/>
        <v>#N/A</v>
      </c>
      <c r="BK155" t="e">
        <f t="shared" si="145"/>
        <v>#N/A</v>
      </c>
      <c r="BL155" s="142" t="e">
        <f t="shared" si="146"/>
        <v>#N/A</v>
      </c>
      <c r="BM155" s="142">
        <f t="shared" si="190"/>
        <v>2650</v>
      </c>
      <c r="BN155" t="e">
        <f t="shared" si="147"/>
        <v>#NUM!</v>
      </c>
      <c r="BO155" s="143" t="e">
        <f t="shared" si="148"/>
        <v>#N/A</v>
      </c>
      <c r="BP155" s="143" t="e">
        <f t="shared" si="149"/>
        <v>#N/A</v>
      </c>
      <c r="BQ155" s="143" t="e">
        <f t="shared" si="150"/>
        <v>#N/A</v>
      </c>
      <c r="BR155" s="143" t="e">
        <f t="shared" si="151"/>
        <v>#N/A</v>
      </c>
      <c r="BS155" s="143" t="e">
        <f t="shared" si="152"/>
        <v>#N/A</v>
      </c>
      <c r="BT155" s="143" t="e">
        <f t="shared" si="153"/>
        <v>#N/A</v>
      </c>
      <c r="BU155" s="143" t="e">
        <f t="shared" si="154"/>
        <v>#N/A</v>
      </c>
      <c r="BV155" s="143" t="e">
        <f t="shared" si="155"/>
        <v>#N/A</v>
      </c>
      <c r="BW155" s="143" t="e">
        <f t="shared" si="156"/>
        <v>#N/A</v>
      </c>
      <c r="BX155" s="143" t="e">
        <f t="shared" si="157"/>
        <v>#N/A</v>
      </c>
      <c r="BY155" s="143" t="e">
        <f t="shared" si="158"/>
        <v>#N/A</v>
      </c>
      <c r="BZ155" s="143" t="e">
        <f t="shared" si="159"/>
        <v>#N/A</v>
      </c>
      <c r="CA155" s="143" t="e">
        <f t="shared" si="160"/>
        <v>#N/A</v>
      </c>
      <c r="CB155" s="143" t="e">
        <f t="shared" si="161"/>
        <v>#N/A</v>
      </c>
      <c r="CC155" s="143" t="e">
        <f t="shared" si="162"/>
        <v>#N/A</v>
      </c>
      <c r="CD155" s="143" t="e">
        <f t="shared" si="163"/>
        <v>#N/A</v>
      </c>
      <c r="CE155" s="143" t="e">
        <f t="shared" si="164"/>
        <v>#N/A</v>
      </c>
      <c r="CF155" s="143" t="e">
        <f t="shared" si="165"/>
        <v>#N/A</v>
      </c>
      <c r="CG155" s="143" t="e">
        <f t="shared" si="166"/>
        <v>#N/A</v>
      </c>
      <c r="CH155" s="143" t="e">
        <f t="shared" si="167"/>
        <v>#N/A</v>
      </c>
      <c r="CI155" t="e">
        <f t="shared" si="168"/>
        <v>#N/A</v>
      </c>
      <c r="CJ155" t="e">
        <f t="shared" si="169"/>
        <v>#N/A</v>
      </c>
      <c r="CK155" t="e">
        <f t="shared" si="170"/>
        <v>#N/A</v>
      </c>
      <c r="CL155" t="e">
        <f t="shared" si="171"/>
        <v>#N/A</v>
      </c>
      <c r="CM155" t="e">
        <f t="shared" si="172"/>
        <v>#N/A</v>
      </c>
      <c r="CN155" t="e">
        <f t="shared" si="173"/>
        <v>#N/A</v>
      </c>
      <c r="CO155" t="e">
        <f t="shared" si="174"/>
        <v>#N/A</v>
      </c>
      <c r="CP155" t="e">
        <f t="shared" si="175"/>
        <v>#N/A</v>
      </c>
      <c r="CQ155" t="e">
        <f t="shared" si="176"/>
        <v>#N/A</v>
      </c>
      <c r="CR155" t="e">
        <f t="shared" si="177"/>
        <v>#N/A</v>
      </c>
      <c r="CS155" t="e">
        <f t="shared" si="178"/>
        <v>#N/A</v>
      </c>
      <c r="CT155" t="e">
        <f t="shared" si="179"/>
        <v>#N/A</v>
      </c>
      <c r="CU155" t="e">
        <f t="shared" si="180"/>
        <v>#N/A</v>
      </c>
      <c r="CV155" t="e">
        <f t="shared" si="181"/>
        <v>#N/A</v>
      </c>
      <c r="CW155" t="e">
        <f t="shared" si="182"/>
        <v>#N/A</v>
      </c>
      <c r="CX155" t="e">
        <f t="shared" si="183"/>
        <v>#N/A</v>
      </c>
      <c r="CY155" t="e">
        <f t="shared" si="184"/>
        <v>#N/A</v>
      </c>
      <c r="CZ155" t="e">
        <f t="shared" si="185"/>
        <v>#N/A</v>
      </c>
      <c r="DA155" t="e">
        <f t="shared" si="186"/>
        <v>#N/A</v>
      </c>
      <c r="DB155" t="e">
        <f t="shared" si="187"/>
        <v>#N/A</v>
      </c>
      <c r="DC155" s="142" t="e">
        <f t="shared" si="188"/>
        <v>#N/A</v>
      </c>
      <c r="DD155" t="e">
        <f t="shared" si="191"/>
        <v>#N/A</v>
      </c>
      <c r="DE155" t="b">
        <f t="shared" si="189"/>
        <v>0</v>
      </c>
    </row>
    <row r="156" spans="1:109">
      <c r="A156">
        <f t="shared" si="192"/>
        <v>91</v>
      </c>
      <c r="B156" s="140" t="e">
        <f t="shared" si="193"/>
        <v>#N/A</v>
      </c>
      <c r="C156" s="140" t="e">
        <f t="shared" si="194"/>
        <v>#N/A</v>
      </c>
      <c r="D156" s="140" t="e">
        <f t="shared" si="195"/>
        <v>#N/A</v>
      </c>
      <c r="E156" s="140" t="e">
        <f t="shared" si="196"/>
        <v>#N/A</v>
      </c>
      <c r="F156" s="140" t="e">
        <f t="shared" si="197"/>
        <v>#N/A</v>
      </c>
      <c r="G156" s="140" t="e">
        <f t="shared" si="198"/>
        <v>#N/A</v>
      </c>
      <c r="H156" s="140" t="e">
        <f t="shared" si="199"/>
        <v>#N/A</v>
      </c>
      <c r="I156" s="140" t="e">
        <f t="shared" si="200"/>
        <v>#N/A</v>
      </c>
      <c r="J156" s="140" t="e">
        <f t="shared" si="201"/>
        <v>#N/A</v>
      </c>
      <c r="K156" s="140" t="e">
        <f t="shared" si="202"/>
        <v>#N/A</v>
      </c>
      <c r="L156" s="140" t="e">
        <f t="shared" si="203"/>
        <v>#N/A</v>
      </c>
      <c r="M156" s="140" t="e">
        <f t="shared" si="204"/>
        <v>#N/A</v>
      </c>
      <c r="N156" s="140" t="e">
        <f t="shared" si="205"/>
        <v>#N/A</v>
      </c>
      <c r="O156" s="140" t="e">
        <f t="shared" si="206"/>
        <v>#N/A</v>
      </c>
      <c r="P156" s="140" t="e">
        <f t="shared" si="207"/>
        <v>#N/A</v>
      </c>
      <c r="Q156" s="140" t="e">
        <f t="shared" si="208"/>
        <v>#N/A</v>
      </c>
      <c r="R156" s="140" t="e">
        <f t="shared" si="209"/>
        <v>#N/A</v>
      </c>
      <c r="S156" s="140" t="e">
        <f t="shared" si="210"/>
        <v>#N/A</v>
      </c>
      <c r="T156" s="140" t="e">
        <f t="shared" si="211"/>
        <v>#N/A</v>
      </c>
      <c r="U156" s="140" t="e">
        <f t="shared" si="212"/>
        <v>#N/A</v>
      </c>
      <c r="V156" s="141" t="str">
        <f t="shared" si="124"/>
        <v>DPS</v>
      </c>
      <c r="W156" s="141" t="str">
        <f t="shared" si="125"/>
        <v>DPS</v>
      </c>
      <c r="X156" s="141" t="str">
        <f t="shared" si="126"/>
        <v>DPS</v>
      </c>
      <c r="Y156" s="141" t="str">
        <f t="shared" si="127"/>
        <v>DPS</v>
      </c>
      <c r="Z156" s="141" t="str">
        <f t="shared" si="128"/>
        <v>DPS</v>
      </c>
      <c r="AA156" s="141" t="str">
        <f t="shared" si="129"/>
        <v>DPS</v>
      </c>
      <c r="AB156" s="141" t="str">
        <f t="shared" si="130"/>
        <v>DPS</v>
      </c>
      <c r="AC156" s="141" t="str">
        <f t="shared" si="131"/>
        <v>DPS</v>
      </c>
      <c r="AD156" s="141" t="str">
        <f t="shared" si="132"/>
        <v>DPS</v>
      </c>
      <c r="AE156" s="141" t="str">
        <f t="shared" si="133"/>
        <v>DPS</v>
      </c>
      <c r="AF156" s="141" t="str">
        <f t="shared" si="134"/>
        <v>DPS</v>
      </c>
      <c r="AG156" s="141" t="str">
        <f t="shared" si="135"/>
        <v>DPS</v>
      </c>
      <c r="AH156" s="141" t="str">
        <f t="shared" si="136"/>
        <v>DPS</v>
      </c>
      <c r="AI156" s="141" t="str">
        <f t="shared" si="137"/>
        <v>HPS</v>
      </c>
      <c r="AJ156" s="141" t="str">
        <f t="shared" si="138"/>
        <v>HPS</v>
      </c>
      <c r="AK156" s="141" t="str">
        <f t="shared" si="139"/>
        <v>HPS</v>
      </c>
      <c r="AL156" s="141" t="str">
        <f t="shared" si="140"/>
        <v>HPS</v>
      </c>
      <c r="AM156" s="141" t="str">
        <f t="shared" si="141"/>
        <v>HPS</v>
      </c>
      <c r="AN156" s="141" t="str">
        <f t="shared" si="142"/>
        <v>HPS</v>
      </c>
      <c r="AO156" s="141" t="str">
        <f t="shared" si="143"/>
        <v>HPS</v>
      </c>
      <c r="AP156" s="134" t="e">
        <f t="shared" si="213"/>
        <v>#N/A</v>
      </c>
      <c r="AQ156" s="134" t="e">
        <f t="shared" si="214"/>
        <v>#N/A</v>
      </c>
      <c r="AR156" s="134" t="e">
        <f t="shared" si="215"/>
        <v>#N/A</v>
      </c>
      <c r="AS156" s="134" t="e">
        <f t="shared" si="216"/>
        <v>#N/A</v>
      </c>
      <c r="AT156" s="134" t="e">
        <f t="shared" si="217"/>
        <v>#N/A</v>
      </c>
      <c r="AU156" s="134" t="e">
        <f t="shared" si="218"/>
        <v>#N/A</v>
      </c>
      <c r="AV156" s="134" t="e">
        <f t="shared" si="219"/>
        <v>#N/A</v>
      </c>
      <c r="AW156" s="134" t="e">
        <f t="shared" si="220"/>
        <v>#N/A</v>
      </c>
      <c r="AX156" s="134" t="e">
        <f t="shared" si="221"/>
        <v>#N/A</v>
      </c>
      <c r="AY156" s="134" t="e">
        <f t="shared" si="222"/>
        <v>#N/A</v>
      </c>
      <c r="AZ156" s="134" t="e">
        <f t="shared" si="223"/>
        <v>#N/A</v>
      </c>
      <c r="BA156" s="134" t="e">
        <f t="shared" si="224"/>
        <v>#N/A</v>
      </c>
      <c r="BB156" s="134" t="e">
        <f t="shared" si="225"/>
        <v>#N/A</v>
      </c>
      <c r="BC156" s="134" t="e">
        <f t="shared" si="226"/>
        <v>#N/A</v>
      </c>
      <c r="BD156" s="134" t="e">
        <f t="shared" si="227"/>
        <v>#N/A</v>
      </c>
      <c r="BE156" s="134" t="e">
        <f t="shared" si="228"/>
        <v>#N/A</v>
      </c>
      <c r="BF156" s="134" t="e">
        <f t="shared" si="229"/>
        <v>#N/A</v>
      </c>
      <c r="BG156" s="134" t="e">
        <f t="shared" si="230"/>
        <v>#N/A</v>
      </c>
      <c r="BH156" s="134" t="e">
        <f t="shared" si="231"/>
        <v>#N/A</v>
      </c>
      <c r="BI156" s="134" t="e">
        <f t="shared" si="232"/>
        <v>#N/A</v>
      </c>
      <c r="BJ156" t="e">
        <f t="shared" si="144"/>
        <v>#N/A</v>
      </c>
      <c r="BK156" t="e">
        <f t="shared" si="145"/>
        <v>#N/A</v>
      </c>
      <c r="BL156" s="142" t="e">
        <f t="shared" si="146"/>
        <v>#N/A</v>
      </c>
      <c r="BM156" s="142">
        <f t="shared" si="190"/>
        <v>2650</v>
      </c>
      <c r="BN156" t="e">
        <f t="shared" si="147"/>
        <v>#NUM!</v>
      </c>
      <c r="BO156" s="143" t="e">
        <f t="shared" si="148"/>
        <v>#N/A</v>
      </c>
      <c r="BP156" s="143" t="e">
        <f t="shared" si="149"/>
        <v>#N/A</v>
      </c>
      <c r="BQ156" s="143" t="e">
        <f t="shared" si="150"/>
        <v>#N/A</v>
      </c>
      <c r="BR156" s="143" t="e">
        <f t="shared" si="151"/>
        <v>#N/A</v>
      </c>
      <c r="BS156" s="143" t="e">
        <f t="shared" si="152"/>
        <v>#N/A</v>
      </c>
      <c r="BT156" s="143" t="e">
        <f t="shared" si="153"/>
        <v>#N/A</v>
      </c>
      <c r="BU156" s="143" t="e">
        <f t="shared" si="154"/>
        <v>#N/A</v>
      </c>
      <c r="BV156" s="143" t="e">
        <f t="shared" si="155"/>
        <v>#N/A</v>
      </c>
      <c r="BW156" s="143" t="e">
        <f t="shared" si="156"/>
        <v>#N/A</v>
      </c>
      <c r="BX156" s="143" t="e">
        <f t="shared" si="157"/>
        <v>#N/A</v>
      </c>
      <c r="BY156" s="143" t="e">
        <f t="shared" si="158"/>
        <v>#N/A</v>
      </c>
      <c r="BZ156" s="143" t="e">
        <f t="shared" si="159"/>
        <v>#N/A</v>
      </c>
      <c r="CA156" s="143" t="e">
        <f t="shared" si="160"/>
        <v>#N/A</v>
      </c>
      <c r="CB156" s="143" t="e">
        <f t="shared" si="161"/>
        <v>#N/A</v>
      </c>
      <c r="CC156" s="143" t="e">
        <f t="shared" si="162"/>
        <v>#N/A</v>
      </c>
      <c r="CD156" s="143" t="e">
        <f t="shared" si="163"/>
        <v>#N/A</v>
      </c>
      <c r="CE156" s="143" t="e">
        <f t="shared" si="164"/>
        <v>#N/A</v>
      </c>
      <c r="CF156" s="143" t="e">
        <f t="shared" si="165"/>
        <v>#N/A</v>
      </c>
      <c r="CG156" s="143" t="e">
        <f t="shared" si="166"/>
        <v>#N/A</v>
      </c>
      <c r="CH156" s="143" t="e">
        <f t="shared" si="167"/>
        <v>#N/A</v>
      </c>
      <c r="CI156" t="e">
        <f t="shared" si="168"/>
        <v>#N/A</v>
      </c>
      <c r="CJ156" t="e">
        <f t="shared" si="169"/>
        <v>#N/A</v>
      </c>
      <c r="CK156" t="e">
        <f t="shared" si="170"/>
        <v>#N/A</v>
      </c>
      <c r="CL156" t="e">
        <f t="shared" si="171"/>
        <v>#N/A</v>
      </c>
      <c r="CM156" t="e">
        <f t="shared" si="172"/>
        <v>#N/A</v>
      </c>
      <c r="CN156" t="e">
        <f t="shared" si="173"/>
        <v>#N/A</v>
      </c>
      <c r="CO156" t="e">
        <f t="shared" si="174"/>
        <v>#N/A</v>
      </c>
      <c r="CP156" t="e">
        <f t="shared" si="175"/>
        <v>#N/A</v>
      </c>
      <c r="CQ156" t="e">
        <f t="shared" si="176"/>
        <v>#N/A</v>
      </c>
      <c r="CR156" t="e">
        <f t="shared" si="177"/>
        <v>#N/A</v>
      </c>
      <c r="CS156" t="e">
        <f t="shared" si="178"/>
        <v>#N/A</v>
      </c>
      <c r="CT156" t="e">
        <f t="shared" si="179"/>
        <v>#N/A</v>
      </c>
      <c r="CU156" t="e">
        <f t="shared" si="180"/>
        <v>#N/A</v>
      </c>
      <c r="CV156" t="e">
        <f t="shared" si="181"/>
        <v>#N/A</v>
      </c>
      <c r="CW156" t="e">
        <f t="shared" si="182"/>
        <v>#N/A</v>
      </c>
      <c r="CX156" t="e">
        <f t="shared" si="183"/>
        <v>#N/A</v>
      </c>
      <c r="CY156" t="e">
        <f t="shared" si="184"/>
        <v>#N/A</v>
      </c>
      <c r="CZ156" t="e">
        <f t="shared" si="185"/>
        <v>#N/A</v>
      </c>
      <c r="DA156" t="e">
        <f t="shared" si="186"/>
        <v>#N/A</v>
      </c>
      <c r="DB156" t="e">
        <f t="shared" si="187"/>
        <v>#N/A</v>
      </c>
      <c r="DC156" s="142" t="e">
        <f t="shared" si="188"/>
        <v>#N/A</v>
      </c>
      <c r="DD156" t="e">
        <f t="shared" si="191"/>
        <v>#N/A</v>
      </c>
      <c r="DE156" t="b">
        <f t="shared" si="189"/>
        <v>0</v>
      </c>
    </row>
    <row r="157" spans="1:109">
      <c r="A157">
        <f t="shared" si="192"/>
        <v>92</v>
      </c>
      <c r="B157" s="140" t="e">
        <f t="shared" si="193"/>
        <v>#N/A</v>
      </c>
      <c r="C157" s="140" t="e">
        <f t="shared" si="194"/>
        <v>#N/A</v>
      </c>
      <c r="D157" s="140" t="e">
        <f t="shared" si="195"/>
        <v>#N/A</v>
      </c>
      <c r="E157" s="140" t="e">
        <f t="shared" si="196"/>
        <v>#N/A</v>
      </c>
      <c r="F157" s="140" t="e">
        <f t="shared" si="197"/>
        <v>#N/A</v>
      </c>
      <c r="G157" s="140" t="e">
        <f t="shared" si="198"/>
        <v>#N/A</v>
      </c>
      <c r="H157" s="140" t="e">
        <f t="shared" si="199"/>
        <v>#N/A</v>
      </c>
      <c r="I157" s="140" t="e">
        <f t="shared" si="200"/>
        <v>#N/A</v>
      </c>
      <c r="J157" s="140" t="e">
        <f t="shared" si="201"/>
        <v>#N/A</v>
      </c>
      <c r="K157" s="140" t="e">
        <f t="shared" si="202"/>
        <v>#N/A</v>
      </c>
      <c r="L157" s="140" t="e">
        <f t="shared" si="203"/>
        <v>#N/A</v>
      </c>
      <c r="M157" s="140" t="e">
        <f t="shared" si="204"/>
        <v>#N/A</v>
      </c>
      <c r="N157" s="140" t="e">
        <f t="shared" si="205"/>
        <v>#N/A</v>
      </c>
      <c r="O157" s="140" t="e">
        <f t="shared" si="206"/>
        <v>#N/A</v>
      </c>
      <c r="P157" s="140" t="e">
        <f t="shared" si="207"/>
        <v>#N/A</v>
      </c>
      <c r="Q157" s="140" t="e">
        <f t="shared" si="208"/>
        <v>#N/A</v>
      </c>
      <c r="R157" s="140" t="e">
        <f t="shared" si="209"/>
        <v>#N/A</v>
      </c>
      <c r="S157" s="140" t="e">
        <f t="shared" si="210"/>
        <v>#N/A</v>
      </c>
      <c r="T157" s="140" t="e">
        <f t="shared" si="211"/>
        <v>#N/A</v>
      </c>
      <c r="U157" s="140" t="e">
        <f t="shared" si="212"/>
        <v>#N/A</v>
      </c>
      <c r="V157" s="141" t="str">
        <f t="shared" si="124"/>
        <v>DPS</v>
      </c>
      <c r="W157" s="141" t="str">
        <f t="shared" si="125"/>
        <v>DPS</v>
      </c>
      <c r="X157" s="141" t="str">
        <f t="shared" si="126"/>
        <v>DPS</v>
      </c>
      <c r="Y157" s="141" t="str">
        <f t="shared" si="127"/>
        <v>DPS</v>
      </c>
      <c r="Z157" s="141" t="str">
        <f t="shared" si="128"/>
        <v>DPS</v>
      </c>
      <c r="AA157" s="141" t="str">
        <f t="shared" si="129"/>
        <v>DPS</v>
      </c>
      <c r="AB157" s="141" t="str">
        <f t="shared" si="130"/>
        <v>DPS</v>
      </c>
      <c r="AC157" s="141" t="str">
        <f t="shared" si="131"/>
        <v>DPS</v>
      </c>
      <c r="AD157" s="141" t="str">
        <f t="shared" si="132"/>
        <v>DPS</v>
      </c>
      <c r="AE157" s="141" t="str">
        <f t="shared" si="133"/>
        <v>DPS</v>
      </c>
      <c r="AF157" s="141" t="str">
        <f t="shared" si="134"/>
        <v>DPS</v>
      </c>
      <c r="AG157" s="141" t="str">
        <f t="shared" si="135"/>
        <v>DPS</v>
      </c>
      <c r="AH157" s="141" t="str">
        <f t="shared" si="136"/>
        <v>DPS</v>
      </c>
      <c r="AI157" s="141" t="str">
        <f t="shared" si="137"/>
        <v>HPS</v>
      </c>
      <c r="AJ157" s="141" t="str">
        <f t="shared" si="138"/>
        <v>HPS</v>
      </c>
      <c r="AK157" s="141" t="str">
        <f t="shared" si="139"/>
        <v>HPS</v>
      </c>
      <c r="AL157" s="141" t="str">
        <f t="shared" si="140"/>
        <v>HPS</v>
      </c>
      <c r="AM157" s="141" t="str">
        <f t="shared" si="141"/>
        <v>HPS</v>
      </c>
      <c r="AN157" s="141" t="str">
        <f t="shared" si="142"/>
        <v>HPS</v>
      </c>
      <c r="AO157" s="141" t="str">
        <f t="shared" si="143"/>
        <v>HPS</v>
      </c>
      <c r="AP157" s="134" t="e">
        <f t="shared" si="213"/>
        <v>#N/A</v>
      </c>
      <c r="AQ157" s="134" t="e">
        <f t="shared" si="214"/>
        <v>#N/A</v>
      </c>
      <c r="AR157" s="134" t="e">
        <f t="shared" si="215"/>
        <v>#N/A</v>
      </c>
      <c r="AS157" s="134" t="e">
        <f t="shared" si="216"/>
        <v>#N/A</v>
      </c>
      <c r="AT157" s="134" t="e">
        <f t="shared" si="217"/>
        <v>#N/A</v>
      </c>
      <c r="AU157" s="134" t="e">
        <f t="shared" si="218"/>
        <v>#N/A</v>
      </c>
      <c r="AV157" s="134" t="e">
        <f t="shared" si="219"/>
        <v>#N/A</v>
      </c>
      <c r="AW157" s="134" t="e">
        <f t="shared" si="220"/>
        <v>#N/A</v>
      </c>
      <c r="AX157" s="134" t="e">
        <f t="shared" si="221"/>
        <v>#N/A</v>
      </c>
      <c r="AY157" s="134" t="e">
        <f t="shared" si="222"/>
        <v>#N/A</v>
      </c>
      <c r="AZ157" s="134" t="e">
        <f t="shared" si="223"/>
        <v>#N/A</v>
      </c>
      <c r="BA157" s="134" t="e">
        <f t="shared" si="224"/>
        <v>#N/A</v>
      </c>
      <c r="BB157" s="134" t="e">
        <f t="shared" si="225"/>
        <v>#N/A</v>
      </c>
      <c r="BC157" s="134" t="e">
        <f t="shared" si="226"/>
        <v>#N/A</v>
      </c>
      <c r="BD157" s="134" t="e">
        <f t="shared" si="227"/>
        <v>#N/A</v>
      </c>
      <c r="BE157" s="134" t="e">
        <f t="shared" si="228"/>
        <v>#N/A</v>
      </c>
      <c r="BF157" s="134" t="e">
        <f t="shared" si="229"/>
        <v>#N/A</v>
      </c>
      <c r="BG157" s="134" t="e">
        <f t="shared" si="230"/>
        <v>#N/A</v>
      </c>
      <c r="BH157" s="134" t="e">
        <f t="shared" si="231"/>
        <v>#N/A</v>
      </c>
      <c r="BI157" s="134" t="e">
        <f t="shared" si="232"/>
        <v>#N/A</v>
      </c>
      <c r="BJ157" t="e">
        <f t="shared" si="144"/>
        <v>#N/A</v>
      </c>
      <c r="BK157" t="e">
        <f t="shared" si="145"/>
        <v>#N/A</v>
      </c>
      <c r="BL157" s="142" t="e">
        <f t="shared" si="146"/>
        <v>#N/A</v>
      </c>
      <c r="BM157" s="142">
        <f t="shared" si="190"/>
        <v>2650</v>
      </c>
      <c r="BN157" t="e">
        <f t="shared" si="147"/>
        <v>#NUM!</v>
      </c>
      <c r="BO157" s="143" t="e">
        <f t="shared" si="148"/>
        <v>#N/A</v>
      </c>
      <c r="BP157" s="143" t="e">
        <f t="shared" si="149"/>
        <v>#N/A</v>
      </c>
      <c r="BQ157" s="143" t="e">
        <f t="shared" si="150"/>
        <v>#N/A</v>
      </c>
      <c r="BR157" s="143" t="e">
        <f t="shared" si="151"/>
        <v>#N/A</v>
      </c>
      <c r="BS157" s="143" t="e">
        <f t="shared" si="152"/>
        <v>#N/A</v>
      </c>
      <c r="BT157" s="143" t="e">
        <f t="shared" si="153"/>
        <v>#N/A</v>
      </c>
      <c r="BU157" s="143" t="e">
        <f t="shared" si="154"/>
        <v>#N/A</v>
      </c>
      <c r="BV157" s="143" t="e">
        <f t="shared" si="155"/>
        <v>#N/A</v>
      </c>
      <c r="BW157" s="143" t="e">
        <f t="shared" si="156"/>
        <v>#N/A</v>
      </c>
      <c r="BX157" s="143" t="e">
        <f t="shared" si="157"/>
        <v>#N/A</v>
      </c>
      <c r="BY157" s="143" t="e">
        <f t="shared" si="158"/>
        <v>#N/A</v>
      </c>
      <c r="BZ157" s="143" t="e">
        <f t="shared" si="159"/>
        <v>#N/A</v>
      </c>
      <c r="CA157" s="143" t="e">
        <f t="shared" si="160"/>
        <v>#N/A</v>
      </c>
      <c r="CB157" s="143" t="e">
        <f t="shared" si="161"/>
        <v>#N/A</v>
      </c>
      <c r="CC157" s="143" t="e">
        <f t="shared" si="162"/>
        <v>#N/A</v>
      </c>
      <c r="CD157" s="143" t="e">
        <f t="shared" si="163"/>
        <v>#N/A</v>
      </c>
      <c r="CE157" s="143" t="e">
        <f t="shared" si="164"/>
        <v>#N/A</v>
      </c>
      <c r="CF157" s="143" t="e">
        <f t="shared" si="165"/>
        <v>#N/A</v>
      </c>
      <c r="CG157" s="143" t="e">
        <f t="shared" si="166"/>
        <v>#N/A</v>
      </c>
      <c r="CH157" s="143" t="e">
        <f t="shared" si="167"/>
        <v>#N/A</v>
      </c>
      <c r="CI157" t="e">
        <f t="shared" si="168"/>
        <v>#N/A</v>
      </c>
      <c r="CJ157" t="e">
        <f t="shared" si="169"/>
        <v>#N/A</v>
      </c>
      <c r="CK157" t="e">
        <f t="shared" si="170"/>
        <v>#N/A</v>
      </c>
      <c r="CL157" t="e">
        <f t="shared" si="171"/>
        <v>#N/A</v>
      </c>
      <c r="CM157" t="e">
        <f t="shared" si="172"/>
        <v>#N/A</v>
      </c>
      <c r="CN157" t="e">
        <f t="shared" si="173"/>
        <v>#N/A</v>
      </c>
      <c r="CO157" t="e">
        <f t="shared" si="174"/>
        <v>#N/A</v>
      </c>
      <c r="CP157" t="e">
        <f t="shared" si="175"/>
        <v>#N/A</v>
      </c>
      <c r="CQ157" t="e">
        <f t="shared" si="176"/>
        <v>#N/A</v>
      </c>
      <c r="CR157" t="e">
        <f t="shared" si="177"/>
        <v>#N/A</v>
      </c>
      <c r="CS157" t="e">
        <f t="shared" si="178"/>
        <v>#N/A</v>
      </c>
      <c r="CT157" t="e">
        <f t="shared" si="179"/>
        <v>#N/A</v>
      </c>
      <c r="CU157" t="e">
        <f t="shared" si="180"/>
        <v>#N/A</v>
      </c>
      <c r="CV157" t="e">
        <f t="shared" si="181"/>
        <v>#N/A</v>
      </c>
      <c r="CW157" t="e">
        <f t="shared" si="182"/>
        <v>#N/A</v>
      </c>
      <c r="CX157" t="e">
        <f t="shared" si="183"/>
        <v>#N/A</v>
      </c>
      <c r="CY157" t="e">
        <f t="shared" si="184"/>
        <v>#N/A</v>
      </c>
      <c r="CZ157" t="e">
        <f t="shared" si="185"/>
        <v>#N/A</v>
      </c>
      <c r="DA157" t="e">
        <f t="shared" si="186"/>
        <v>#N/A</v>
      </c>
      <c r="DB157" t="e">
        <f t="shared" si="187"/>
        <v>#N/A</v>
      </c>
      <c r="DC157" s="142" t="e">
        <f t="shared" si="188"/>
        <v>#N/A</v>
      </c>
      <c r="DD157" t="e">
        <f t="shared" si="191"/>
        <v>#N/A</v>
      </c>
      <c r="DE157" t="b">
        <f t="shared" si="189"/>
        <v>0</v>
      </c>
    </row>
    <row r="158" spans="1:109">
      <c r="A158">
        <f t="shared" si="192"/>
        <v>93</v>
      </c>
      <c r="B158" s="140" t="e">
        <f t="shared" si="193"/>
        <v>#N/A</v>
      </c>
      <c r="C158" s="140" t="e">
        <f t="shared" si="194"/>
        <v>#N/A</v>
      </c>
      <c r="D158" s="140" t="e">
        <f t="shared" si="195"/>
        <v>#N/A</v>
      </c>
      <c r="E158" s="140" t="e">
        <f t="shared" si="196"/>
        <v>#N/A</v>
      </c>
      <c r="F158" s="140" t="e">
        <f t="shared" si="197"/>
        <v>#N/A</v>
      </c>
      <c r="G158" s="140" t="e">
        <f t="shared" si="198"/>
        <v>#N/A</v>
      </c>
      <c r="H158" s="140" t="e">
        <f t="shared" si="199"/>
        <v>#N/A</v>
      </c>
      <c r="I158" s="140" t="e">
        <f t="shared" si="200"/>
        <v>#N/A</v>
      </c>
      <c r="J158" s="140" t="e">
        <f t="shared" si="201"/>
        <v>#N/A</v>
      </c>
      <c r="K158" s="140" t="e">
        <f t="shared" si="202"/>
        <v>#N/A</v>
      </c>
      <c r="L158" s="140" t="e">
        <f t="shared" si="203"/>
        <v>#N/A</v>
      </c>
      <c r="M158" s="140" t="e">
        <f t="shared" si="204"/>
        <v>#N/A</v>
      </c>
      <c r="N158" s="140" t="e">
        <f t="shared" si="205"/>
        <v>#N/A</v>
      </c>
      <c r="O158" s="140" t="e">
        <f t="shared" si="206"/>
        <v>#N/A</v>
      </c>
      <c r="P158" s="140" t="e">
        <f t="shared" si="207"/>
        <v>#N/A</v>
      </c>
      <c r="Q158" s="140" t="e">
        <f t="shared" si="208"/>
        <v>#N/A</v>
      </c>
      <c r="R158" s="140" t="e">
        <f t="shared" si="209"/>
        <v>#N/A</v>
      </c>
      <c r="S158" s="140" t="e">
        <f t="shared" si="210"/>
        <v>#N/A</v>
      </c>
      <c r="T158" s="140" t="e">
        <f t="shared" si="211"/>
        <v>#N/A</v>
      </c>
      <c r="U158" s="140" t="e">
        <f t="shared" si="212"/>
        <v>#N/A</v>
      </c>
      <c r="V158" s="141" t="str">
        <f t="shared" si="124"/>
        <v>DPS</v>
      </c>
      <c r="W158" s="141" t="str">
        <f t="shared" si="125"/>
        <v>DPS</v>
      </c>
      <c r="X158" s="141" t="str">
        <f t="shared" si="126"/>
        <v>DPS</v>
      </c>
      <c r="Y158" s="141" t="str">
        <f t="shared" si="127"/>
        <v>DPS</v>
      </c>
      <c r="Z158" s="141" t="str">
        <f t="shared" si="128"/>
        <v>DPS</v>
      </c>
      <c r="AA158" s="141" t="str">
        <f t="shared" si="129"/>
        <v>DPS</v>
      </c>
      <c r="AB158" s="141" t="str">
        <f t="shared" si="130"/>
        <v>DPS</v>
      </c>
      <c r="AC158" s="141" t="str">
        <f t="shared" si="131"/>
        <v>DPS</v>
      </c>
      <c r="AD158" s="141" t="str">
        <f t="shared" si="132"/>
        <v>DPS</v>
      </c>
      <c r="AE158" s="141" t="str">
        <f t="shared" si="133"/>
        <v>DPS</v>
      </c>
      <c r="AF158" s="141" t="str">
        <f t="shared" si="134"/>
        <v>DPS</v>
      </c>
      <c r="AG158" s="141" t="str">
        <f t="shared" si="135"/>
        <v>DPS</v>
      </c>
      <c r="AH158" s="141" t="str">
        <f t="shared" si="136"/>
        <v>DPS</v>
      </c>
      <c r="AI158" s="141" t="str">
        <f t="shared" si="137"/>
        <v>HPS</v>
      </c>
      <c r="AJ158" s="141" t="str">
        <f t="shared" si="138"/>
        <v>HPS</v>
      </c>
      <c r="AK158" s="141" t="str">
        <f t="shared" si="139"/>
        <v>HPS</v>
      </c>
      <c r="AL158" s="141" t="str">
        <f t="shared" si="140"/>
        <v>HPS</v>
      </c>
      <c r="AM158" s="141" t="str">
        <f t="shared" si="141"/>
        <v>HPS</v>
      </c>
      <c r="AN158" s="141" t="str">
        <f t="shared" si="142"/>
        <v>HPS</v>
      </c>
      <c r="AO158" s="141" t="str">
        <f t="shared" si="143"/>
        <v>HPS</v>
      </c>
      <c r="AP158" s="134" t="e">
        <f t="shared" si="213"/>
        <v>#N/A</v>
      </c>
      <c r="AQ158" s="134" t="e">
        <f t="shared" si="214"/>
        <v>#N/A</v>
      </c>
      <c r="AR158" s="134" t="e">
        <f t="shared" si="215"/>
        <v>#N/A</v>
      </c>
      <c r="AS158" s="134" t="e">
        <f t="shared" si="216"/>
        <v>#N/A</v>
      </c>
      <c r="AT158" s="134" t="e">
        <f t="shared" si="217"/>
        <v>#N/A</v>
      </c>
      <c r="AU158" s="134" t="e">
        <f t="shared" si="218"/>
        <v>#N/A</v>
      </c>
      <c r="AV158" s="134" t="e">
        <f t="shared" si="219"/>
        <v>#N/A</v>
      </c>
      <c r="AW158" s="134" t="e">
        <f t="shared" si="220"/>
        <v>#N/A</v>
      </c>
      <c r="AX158" s="134" t="e">
        <f t="shared" si="221"/>
        <v>#N/A</v>
      </c>
      <c r="AY158" s="134" t="e">
        <f t="shared" si="222"/>
        <v>#N/A</v>
      </c>
      <c r="AZ158" s="134" t="e">
        <f t="shared" si="223"/>
        <v>#N/A</v>
      </c>
      <c r="BA158" s="134" t="e">
        <f t="shared" si="224"/>
        <v>#N/A</v>
      </c>
      <c r="BB158" s="134" t="e">
        <f t="shared" si="225"/>
        <v>#N/A</v>
      </c>
      <c r="BC158" s="134" t="e">
        <f t="shared" si="226"/>
        <v>#N/A</v>
      </c>
      <c r="BD158" s="134" t="e">
        <f t="shared" si="227"/>
        <v>#N/A</v>
      </c>
      <c r="BE158" s="134" t="e">
        <f t="shared" si="228"/>
        <v>#N/A</v>
      </c>
      <c r="BF158" s="134" t="e">
        <f t="shared" si="229"/>
        <v>#N/A</v>
      </c>
      <c r="BG158" s="134" t="e">
        <f t="shared" si="230"/>
        <v>#N/A</v>
      </c>
      <c r="BH158" s="134" t="e">
        <f t="shared" si="231"/>
        <v>#N/A</v>
      </c>
      <c r="BI158" s="134" t="e">
        <f t="shared" si="232"/>
        <v>#N/A</v>
      </c>
      <c r="BJ158" t="e">
        <f t="shared" si="144"/>
        <v>#N/A</v>
      </c>
      <c r="BK158" t="e">
        <f t="shared" si="145"/>
        <v>#N/A</v>
      </c>
      <c r="BL158" s="142" t="e">
        <f t="shared" si="146"/>
        <v>#N/A</v>
      </c>
      <c r="BM158" s="142">
        <f t="shared" si="190"/>
        <v>2650</v>
      </c>
      <c r="BN158" t="e">
        <f t="shared" si="147"/>
        <v>#NUM!</v>
      </c>
      <c r="BO158" s="143" t="e">
        <f t="shared" si="148"/>
        <v>#N/A</v>
      </c>
      <c r="BP158" s="143" t="e">
        <f t="shared" si="149"/>
        <v>#N/A</v>
      </c>
      <c r="BQ158" s="143" t="e">
        <f t="shared" si="150"/>
        <v>#N/A</v>
      </c>
      <c r="BR158" s="143" t="e">
        <f t="shared" si="151"/>
        <v>#N/A</v>
      </c>
      <c r="BS158" s="143" t="e">
        <f t="shared" si="152"/>
        <v>#N/A</v>
      </c>
      <c r="BT158" s="143" t="e">
        <f t="shared" si="153"/>
        <v>#N/A</v>
      </c>
      <c r="BU158" s="143" t="e">
        <f t="shared" si="154"/>
        <v>#N/A</v>
      </c>
      <c r="BV158" s="143" t="e">
        <f t="shared" si="155"/>
        <v>#N/A</v>
      </c>
      <c r="BW158" s="143" t="e">
        <f t="shared" si="156"/>
        <v>#N/A</v>
      </c>
      <c r="BX158" s="143" t="e">
        <f t="shared" si="157"/>
        <v>#N/A</v>
      </c>
      <c r="BY158" s="143" t="e">
        <f t="shared" si="158"/>
        <v>#N/A</v>
      </c>
      <c r="BZ158" s="143" t="e">
        <f t="shared" si="159"/>
        <v>#N/A</v>
      </c>
      <c r="CA158" s="143" t="e">
        <f t="shared" si="160"/>
        <v>#N/A</v>
      </c>
      <c r="CB158" s="143" t="e">
        <f t="shared" si="161"/>
        <v>#N/A</v>
      </c>
      <c r="CC158" s="143" t="e">
        <f t="shared" si="162"/>
        <v>#N/A</v>
      </c>
      <c r="CD158" s="143" t="e">
        <f t="shared" si="163"/>
        <v>#N/A</v>
      </c>
      <c r="CE158" s="143" t="e">
        <f t="shared" si="164"/>
        <v>#N/A</v>
      </c>
      <c r="CF158" s="143" t="e">
        <f t="shared" si="165"/>
        <v>#N/A</v>
      </c>
      <c r="CG158" s="143" t="e">
        <f t="shared" si="166"/>
        <v>#N/A</v>
      </c>
      <c r="CH158" s="143" t="e">
        <f t="shared" si="167"/>
        <v>#N/A</v>
      </c>
      <c r="CI158" t="e">
        <f t="shared" si="168"/>
        <v>#N/A</v>
      </c>
      <c r="CJ158" t="e">
        <f t="shared" si="169"/>
        <v>#N/A</v>
      </c>
      <c r="CK158" t="e">
        <f t="shared" si="170"/>
        <v>#N/A</v>
      </c>
      <c r="CL158" t="e">
        <f t="shared" si="171"/>
        <v>#N/A</v>
      </c>
      <c r="CM158" t="e">
        <f t="shared" si="172"/>
        <v>#N/A</v>
      </c>
      <c r="CN158" t="e">
        <f t="shared" si="173"/>
        <v>#N/A</v>
      </c>
      <c r="CO158" t="e">
        <f t="shared" si="174"/>
        <v>#N/A</v>
      </c>
      <c r="CP158" t="e">
        <f t="shared" si="175"/>
        <v>#N/A</v>
      </c>
      <c r="CQ158" t="e">
        <f t="shared" si="176"/>
        <v>#N/A</v>
      </c>
      <c r="CR158" t="e">
        <f t="shared" si="177"/>
        <v>#N/A</v>
      </c>
      <c r="CS158" t="e">
        <f t="shared" si="178"/>
        <v>#N/A</v>
      </c>
      <c r="CT158" t="e">
        <f t="shared" si="179"/>
        <v>#N/A</v>
      </c>
      <c r="CU158" t="e">
        <f t="shared" si="180"/>
        <v>#N/A</v>
      </c>
      <c r="CV158" t="e">
        <f t="shared" si="181"/>
        <v>#N/A</v>
      </c>
      <c r="CW158" t="e">
        <f t="shared" si="182"/>
        <v>#N/A</v>
      </c>
      <c r="CX158" t="e">
        <f t="shared" si="183"/>
        <v>#N/A</v>
      </c>
      <c r="CY158" t="e">
        <f t="shared" si="184"/>
        <v>#N/A</v>
      </c>
      <c r="CZ158" t="e">
        <f t="shared" si="185"/>
        <v>#N/A</v>
      </c>
      <c r="DA158" t="e">
        <f t="shared" si="186"/>
        <v>#N/A</v>
      </c>
      <c r="DB158" t="e">
        <f t="shared" si="187"/>
        <v>#N/A</v>
      </c>
      <c r="DC158" s="142" t="e">
        <f t="shared" si="188"/>
        <v>#N/A</v>
      </c>
      <c r="DD158" t="e">
        <f t="shared" si="191"/>
        <v>#N/A</v>
      </c>
      <c r="DE158" t="b">
        <f t="shared" si="189"/>
        <v>0</v>
      </c>
    </row>
    <row r="159" spans="1:109">
      <c r="A159">
        <f t="shared" si="192"/>
        <v>94</v>
      </c>
      <c r="B159" s="140" t="e">
        <f t="shared" si="193"/>
        <v>#N/A</v>
      </c>
      <c r="C159" s="140" t="e">
        <f t="shared" si="194"/>
        <v>#N/A</v>
      </c>
      <c r="D159" s="140" t="e">
        <f t="shared" si="195"/>
        <v>#N/A</v>
      </c>
      <c r="E159" s="140" t="e">
        <f t="shared" si="196"/>
        <v>#N/A</v>
      </c>
      <c r="F159" s="140" t="e">
        <f t="shared" si="197"/>
        <v>#N/A</v>
      </c>
      <c r="G159" s="140" t="e">
        <f t="shared" si="198"/>
        <v>#N/A</v>
      </c>
      <c r="H159" s="140" t="e">
        <f t="shared" si="199"/>
        <v>#N/A</v>
      </c>
      <c r="I159" s="140" t="e">
        <f t="shared" si="200"/>
        <v>#N/A</v>
      </c>
      <c r="J159" s="140" t="e">
        <f t="shared" si="201"/>
        <v>#N/A</v>
      </c>
      <c r="K159" s="140" t="e">
        <f t="shared" si="202"/>
        <v>#N/A</v>
      </c>
      <c r="L159" s="140" t="e">
        <f t="shared" si="203"/>
        <v>#N/A</v>
      </c>
      <c r="M159" s="140" t="e">
        <f t="shared" si="204"/>
        <v>#N/A</v>
      </c>
      <c r="N159" s="140" t="e">
        <f t="shared" si="205"/>
        <v>#N/A</v>
      </c>
      <c r="O159" s="140" t="e">
        <f t="shared" si="206"/>
        <v>#N/A</v>
      </c>
      <c r="P159" s="140" t="e">
        <f t="shared" si="207"/>
        <v>#N/A</v>
      </c>
      <c r="Q159" s="140" t="e">
        <f t="shared" si="208"/>
        <v>#N/A</v>
      </c>
      <c r="R159" s="140" t="e">
        <f t="shared" si="209"/>
        <v>#N/A</v>
      </c>
      <c r="S159" s="140" t="e">
        <f t="shared" si="210"/>
        <v>#N/A</v>
      </c>
      <c r="T159" s="140" t="e">
        <f t="shared" si="211"/>
        <v>#N/A</v>
      </c>
      <c r="U159" s="140" t="e">
        <f t="shared" si="212"/>
        <v>#N/A</v>
      </c>
      <c r="V159" s="141" t="str">
        <f t="shared" si="124"/>
        <v>DPS</v>
      </c>
      <c r="W159" s="141" t="str">
        <f t="shared" si="125"/>
        <v>DPS</v>
      </c>
      <c r="X159" s="141" t="str">
        <f t="shared" si="126"/>
        <v>DPS</v>
      </c>
      <c r="Y159" s="141" t="str">
        <f t="shared" si="127"/>
        <v>DPS</v>
      </c>
      <c r="Z159" s="141" t="str">
        <f t="shared" si="128"/>
        <v>DPS</v>
      </c>
      <c r="AA159" s="141" t="str">
        <f t="shared" si="129"/>
        <v>DPS</v>
      </c>
      <c r="AB159" s="141" t="str">
        <f t="shared" si="130"/>
        <v>DPS</v>
      </c>
      <c r="AC159" s="141" t="str">
        <f t="shared" si="131"/>
        <v>DPS</v>
      </c>
      <c r="AD159" s="141" t="str">
        <f t="shared" si="132"/>
        <v>DPS</v>
      </c>
      <c r="AE159" s="141" t="str">
        <f t="shared" si="133"/>
        <v>DPS</v>
      </c>
      <c r="AF159" s="141" t="str">
        <f t="shared" si="134"/>
        <v>DPS</v>
      </c>
      <c r="AG159" s="141" t="str">
        <f t="shared" si="135"/>
        <v>DPS</v>
      </c>
      <c r="AH159" s="141" t="str">
        <f t="shared" si="136"/>
        <v>DPS</v>
      </c>
      <c r="AI159" s="141" t="str">
        <f t="shared" si="137"/>
        <v>HPS</v>
      </c>
      <c r="AJ159" s="141" t="str">
        <f t="shared" si="138"/>
        <v>HPS</v>
      </c>
      <c r="AK159" s="141" t="str">
        <f t="shared" si="139"/>
        <v>HPS</v>
      </c>
      <c r="AL159" s="141" t="str">
        <f t="shared" si="140"/>
        <v>HPS</v>
      </c>
      <c r="AM159" s="141" t="str">
        <f t="shared" si="141"/>
        <v>HPS</v>
      </c>
      <c r="AN159" s="141" t="str">
        <f t="shared" si="142"/>
        <v>HPS</v>
      </c>
      <c r="AO159" s="141" t="str">
        <f t="shared" si="143"/>
        <v>HPS</v>
      </c>
      <c r="AP159" s="134" t="e">
        <f t="shared" si="213"/>
        <v>#N/A</v>
      </c>
      <c r="AQ159" s="134" t="e">
        <f t="shared" si="214"/>
        <v>#N/A</v>
      </c>
      <c r="AR159" s="134" t="e">
        <f t="shared" si="215"/>
        <v>#N/A</v>
      </c>
      <c r="AS159" s="134" t="e">
        <f t="shared" si="216"/>
        <v>#N/A</v>
      </c>
      <c r="AT159" s="134" t="e">
        <f t="shared" si="217"/>
        <v>#N/A</v>
      </c>
      <c r="AU159" s="134" t="e">
        <f t="shared" si="218"/>
        <v>#N/A</v>
      </c>
      <c r="AV159" s="134" t="e">
        <f t="shared" si="219"/>
        <v>#N/A</v>
      </c>
      <c r="AW159" s="134" t="e">
        <f t="shared" si="220"/>
        <v>#N/A</v>
      </c>
      <c r="AX159" s="134" t="e">
        <f t="shared" si="221"/>
        <v>#N/A</v>
      </c>
      <c r="AY159" s="134" t="e">
        <f t="shared" si="222"/>
        <v>#N/A</v>
      </c>
      <c r="AZ159" s="134" t="e">
        <f t="shared" si="223"/>
        <v>#N/A</v>
      </c>
      <c r="BA159" s="134" t="e">
        <f t="shared" si="224"/>
        <v>#N/A</v>
      </c>
      <c r="BB159" s="134" t="e">
        <f t="shared" si="225"/>
        <v>#N/A</v>
      </c>
      <c r="BC159" s="134" t="e">
        <f t="shared" si="226"/>
        <v>#N/A</v>
      </c>
      <c r="BD159" s="134" t="e">
        <f t="shared" si="227"/>
        <v>#N/A</v>
      </c>
      <c r="BE159" s="134" t="e">
        <f t="shared" si="228"/>
        <v>#N/A</v>
      </c>
      <c r="BF159" s="134" t="e">
        <f t="shared" si="229"/>
        <v>#N/A</v>
      </c>
      <c r="BG159" s="134" t="e">
        <f t="shared" si="230"/>
        <v>#N/A</v>
      </c>
      <c r="BH159" s="134" t="e">
        <f t="shared" si="231"/>
        <v>#N/A</v>
      </c>
      <c r="BI159" s="134" t="e">
        <f t="shared" si="232"/>
        <v>#N/A</v>
      </c>
      <c r="BJ159" t="e">
        <f t="shared" si="144"/>
        <v>#N/A</v>
      </c>
      <c r="BK159" t="e">
        <f t="shared" si="145"/>
        <v>#N/A</v>
      </c>
      <c r="BL159" s="142" t="e">
        <f t="shared" si="146"/>
        <v>#N/A</v>
      </c>
      <c r="BM159" s="142">
        <f t="shared" si="190"/>
        <v>2650</v>
      </c>
      <c r="BN159" t="e">
        <f t="shared" si="147"/>
        <v>#NUM!</v>
      </c>
      <c r="BO159" s="143" t="e">
        <f t="shared" si="148"/>
        <v>#N/A</v>
      </c>
      <c r="BP159" s="143" t="e">
        <f t="shared" si="149"/>
        <v>#N/A</v>
      </c>
      <c r="BQ159" s="143" t="e">
        <f t="shared" si="150"/>
        <v>#N/A</v>
      </c>
      <c r="BR159" s="143" t="e">
        <f t="shared" si="151"/>
        <v>#N/A</v>
      </c>
      <c r="BS159" s="143" t="e">
        <f t="shared" si="152"/>
        <v>#N/A</v>
      </c>
      <c r="BT159" s="143" t="e">
        <f t="shared" si="153"/>
        <v>#N/A</v>
      </c>
      <c r="BU159" s="143" t="e">
        <f t="shared" si="154"/>
        <v>#N/A</v>
      </c>
      <c r="BV159" s="143" t="e">
        <f t="shared" si="155"/>
        <v>#N/A</v>
      </c>
      <c r="BW159" s="143" t="e">
        <f t="shared" si="156"/>
        <v>#N/A</v>
      </c>
      <c r="BX159" s="143" t="e">
        <f t="shared" si="157"/>
        <v>#N/A</v>
      </c>
      <c r="BY159" s="143" t="e">
        <f t="shared" si="158"/>
        <v>#N/A</v>
      </c>
      <c r="BZ159" s="143" t="e">
        <f t="shared" si="159"/>
        <v>#N/A</v>
      </c>
      <c r="CA159" s="143" t="e">
        <f t="shared" si="160"/>
        <v>#N/A</v>
      </c>
      <c r="CB159" s="143" t="e">
        <f t="shared" si="161"/>
        <v>#N/A</v>
      </c>
      <c r="CC159" s="143" t="e">
        <f t="shared" si="162"/>
        <v>#N/A</v>
      </c>
      <c r="CD159" s="143" t="e">
        <f t="shared" si="163"/>
        <v>#N/A</v>
      </c>
      <c r="CE159" s="143" t="e">
        <f t="shared" si="164"/>
        <v>#N/A</v>
      </c>
      <c r="CF159" s="143" t="e">
        <f t="shared" si="165"/>
        <v>#N/A</v>
      </c>
      <c r="CG159" s="143" t="e">
        <f t="shared" si="166"/>
        <v>#N/A</v>
      </c>
      <c r="CH159" s="143" t="e">
        <f t="shared" si="167"/>
        <v>#N/A</v>
      </c>
      <c r="CI159" t="e">
        <f t="shared" si="168"/>
        <v>#N/A</v>
      </c>
      <c r="CJ159" t="e">
        <f t="shared" si="169"/>
        <v>#N/A</v>
      </c>
      <c r="CK159" t="e">
        <f t="shared" si="170"/>
        <v>#N/A</v>
      </c>
      <c r="CL159" t="e">
        <f t="shared" si="171"/>
        <v>#N/A</v>
      </c>
      <c r="CM159" t="e">
        <f t="shared" si="172"/>
        <v>#N/A</v>
      </c>
      <c r="CN159" t="e">
        <f t="shared" si="173"/>
        <v>#N/A</v>
      </c>
      <c r="CO159" t="e">
        <f t="shared" si="174"/>
        <v>#N/A</v>
      </c>
      <c r="CP159" t="e">
        <f t="shared" si="175"/>
        <v>#N/A</v>
      </c>
      <c r="CQ159" t="e">
        <f t="shared" si="176"/>
        <v>#N/A</v>
      </c>
      <c r="CR159" t="e">
        <f t="shared" si="177"/>
        <v>#N/A</v>
      </c>
      <c r="CS159" t="e">
        <f t="shared" si="178"/>
        <v>#N/A</v>
      </c>
      <c r="CT159" t="e">
        <f t="shared" si="179"/>
        <v>#N/A</v>
      </c>
      <c r="CU159" t="e">
        <f t="shared" si="180"/>
        <v>#N/A</v>
      </c>
      <c r="CV159" t="e">
        <f t="shared" si="181"/>
        <v>#N/A</v>
      </c>
      <c r="CW159" t="e">
        <f t="shared" si="182"/>
        <v>#N/A</v>
      </c>
      <c r="CX159" t="e">
        <f t="shared" si="183"/>
        <v>#N/A</v>
      </c>
      <c r="CY159" t="e">
        <f t="shared" si="184"/>
        <v>#N/A</v>
      </c>
      <c r="CZ159" t="e">
        <f t="shared" si="185"/>
        <v>#N/A</v>
      </c>
      <c r="DA159" t="e">
        <f t="shared" si="186"/>
        <v>#N/A</v>
      </c>
      <c r="DB159" t="e">
        <f t="shared" si="187"/>
        <v>#N/A</v>
      </c>
      <c r="DC159" s="142" t="e">
        <f t="shared" si="188"/>
        <v>#N/A</v>
      </c>
      <c r="DD159" t="e">
        <f t="shared" si="191"/>
        <v>#N/A</v>
      </c>
      <c r="DE159" t="b">
        <f t="shared" si="189"/>
        <v>0</v>
      </c>
    </row>
    <row r="160" spans="1:109">
      <c r="A160">
        <f t="shared" si="192"/>
        <v>95</v>
      </c>
      <c r="B160" s="140" t="e">
        <f t="shared" si="193"/>
        <v>#N/A</v>
      </c>
      <c r="C160" s="140" t="e">
        <f t="shared" si="194"/>
        <v>#N/A</v>
      </c>
      <c r="D160" s="140" t="e">
        <f t="shared" si="195"/>
        <v>#N/A</v>
      </c>
      <c r="E160" s="140" t="e">
        <f t="shared" si="196"/>
        <v>#N/A</v>
      </c>
      <c r="F160" s="140" t="e">
        <f t="shared" si="197"/>
        <v>#N/A</v>
      </c>
      <c r="G160" s="140" t="e">
        <f t="shared" si="198"/>
        <v>#N/A</v>
      </c>
      <c r="H160" s="140" t="e">
        <f t="shared" si="199"/>
        <v>#N/A</v>
      </c>
      <c r="I160" s="140" t="e">
        <f t="shared" si="200"/>
        <v>#N/A</v>
      </c>
      <c r="J160" s="140" t="e">
        <f t="shared" si="201"/>
        <v>#N/A</v>
      </c>
      <c r="K160" s="140" t="e">
        <f t="shared" si="202"/>
        <v>#N/A</v>
      </c>
      <c r="L160" s="140" t="e">
        <f t="shared" si="203"/>
        <v>#N/A</v>
      </c>
      <c r="M160" s="140" t="e">
        <f t="shared" si="204"/>
        <v>#N/A</v>
      </c>
      <c r="N160" s="140" t="e">
        <f t="shared" si="205"/>
        <v>#N/A</v>
      </c>
      <c r="O160" s="140" t="e">
        <f t="shared" si="206"/>
        <v>#N/A</v>
      </c>
      <c r="P160" s="140" t="e">
        <f t="shared" si="207"/>
        <v>#N/A</v>
      </c>
      <c r="Q160" s="140" t="e">
        <f t="shared" si="208"/>
        <v>#N/A</v>
      </c>
      <c r="R160" s="140" t="e">
        <f t="shared" si="209"/>
        <v>#N/A</v>
      </c>
      <c r="S160" s="140" t="e">
        <f t="shared" si="210"/>
        <v>#N/A</v>
      </c>
      <c r="T160" s="140" t="e">
        <f t="shared" si="211"/>
        <v>#N/A</v>
      </c>
      <c r="U160" s="140" t="e">
        <f t="shared" si="212"/>
        <v>#N/A</v>
      </c>
      <c r="V160" s="141" t="str">
        <f t="shared" si="124"/>
        <v>DPS</v>
      </c>
      <c r="W160" s="141" t="str">
        <f t="shared" si="125"/>
        <v>DPS</v>
      </c>
      <c r="X160" s="141" t="str">
        <f t="shared" si="126"/>
        <v>DPS</v>
      </c>
      <c r="Y160" s="141" t="str">
        <f t="shared" si="127"/>
        <v>DPS</v>
      </c>
      <c r="Z160" s="141" t="str">
        <f t="shared" si="128"/>
        <v>DPS</v>
      </c>
      <c r="AA160" s="141" t="str">
        <f t="shared" si="129"/>
        <v>DPS</v>
      </c>
      <c r="AB160" s="141" t="str">
        <f t="shared" si="130"/>
        <v>DPS</v>
      </c>
      <c r="AC160" s="141" t="str">
        <f t="shared" si="131"/>
        <v>DPS</v>
      </c>
      <c r="AD160" s="141" t="str">
        <f t="shared" si="132"/>
        <v>DPS</v>
      </c>
      <c r="AE160" s="141" t="str">
        <f t="shared" si="133"/>
        <v>DPS</v>
      </c>
      <c r="AF160" s="141" t="str">
        <f t="shared" si="134"/>
        <v>DPS</v>
      </c>
      <c r="AG160" s="141" t="str">
        <f t="shared" si="135"/>
        <v>DPS</v>
      </c>
      <c r="AH160" s="141" t="str">
        <f t="shared" si="136"/>
        <v>DPS</v>
      </c>
      <c r="AI160" s="141" t="str">
        <f t="shared" si="137"/>
        <v>HPS</v>
      </c>
      <c r="AJ160" s="141" t="str">
        <f t="shared" si="138"/>
        <v>HPS</v>
      </c>
      <c r="AK160" s="141" t="str">
        <f t="shared" si="139"/>
        <v>HPS</v>
      </c>
      <c r="AL160" s="141" t="str">
        <f t="shared" si="140"/>
        <v>HPS</v>
      </c>
      <c r="AM160" s="141" t="str">
        <f t="shared" si="141"/>
        <v>HPS</v>
      </c>
      <c r="AN160" s="141" t="str">
        <f t="shared" si="142"/>
        <v>HPS</v>
      </c>
      <c r="AO160" s="141" t="str">
        <f t="shared" si="143"/>
        <v>HPS</v>
      </c>
      <c r="AP160" s="134" t="e">
        <f t="shared" si="213"/>
        <v>#N/A</v>
      </c>
      <c r="AQ160" s="134" t="e">
        <f t="shared" si="214"/>
        <v>#N/A</v>
      </c>
      <c r="AR160" s="134" t="e">
        <f t="shared" si="215"/>
        <v>#N/A</v>
      </c>
      <c r="AS160" s="134" t="e">
        <f t="shared" si="216"/>
        <v>#N/A</v>
      </c>
      <c r="AT160" s="134" t="e">
        <f t="shared" si="217"/>
        <v>#N/A</v>
      </c>
      <c r="AU160" s="134" t="e">
        <f t="shared" si="218"/>
        <v>#N/A</v>
      </c>
      <c r="AV160" s="134" t="e">
        <f t="shared" si="219"/>
        <v>#N/A</v>
      </c>
      <c r="AW160" s="134" t="e">
        <f t="shared" si="220"/>
        <v>#N/A</v>
      </c>
      <c r="AX160" s="134" t="e">
        <f t="shared" si="221"/>
        <v>#N/A</v>
      </c>
      <c r="AY160" s="134" t="e">
        <f t="shared" si="222"/>
        <v>#N/A</v>
      </c>
      <c r="AZ160" s="134" t="e">
        <f t="shared" si="223"/>
        <v>#N/A</v>
      </c>
      <c r="BA160" s="134" t="e">
        <f t="shared" si="224"/>
        <v>#N/A</v>
      </c>
      <c r="BB160" s="134" t="e">
        <f t="shared" si="225"/>
        <v>#N/A</v>
      </c>
      <c r="BC160" s="134" t="e">
        <f t="shared" si="226"/>
        <v>#N/A</v>
      </c>
      <c r="BD160" s="134" t="e">
        <f t="shared" si="227"/>
        <v>#N/A</v>
      </c>
      <c r="BE160" s="134" t="e">
        <f t="shared" si="228"/>
        <v>#N/A</v>
      </c>
      <c r="BF160" s="134" t="e">
        <f t="shared" si="229"/>
        <v>#N/A</v>
      </c>
      <c r="BG160" s="134" t="e">
        <f t="shared" si="230"/>
        <v>#N/A</v>
      </c>
      <c r="BH160" s="134" t="e">
        <f t="shared" si="231"/>
        <v>#N/A</v>
      </c>
      <c r="BI160" s="134" t="e">
        <f t="shared" si="232"/>
        <v>#N/A</v>
      </c>
      <c r="BJ160" t="e">
        <f t="shared" si="144"/>
        <v>#N/A</v>
      </c>
      <c r="BK160" t="e">
        <f t="shared" si="145"/>
        <v>#N/A</v>
      </c>
      <c r="BL160" s="142" t="e">
        <f t="shared" si="146"/>
        <v>#N/A</v>
      </c>
      <c r="BM160" s="142">
        <f t="shared" si="190"/>
        <v>2650</v>
      </c>
      <c r="BN160" t="e">
        <f t="shared" si="147"/>
        <v>#NUM!</v>
      </c>
      <c r="BO160" s="143" t="e">
        <f t="shared" si="148"/>
        <v>#N/A</v>
      </c>
      <c r="BP160" s="143" t="e">
        <f t="shared" si="149"/>
        <v>#N/A</v>
      </c>
      <c r="BQ160" s="143" t="e">
        <f t="shared" si="150"/>
        <v>#N/A</v>
      </c>
      <c r="BR160" s="143" t="e">
        <f t="shared" si="151"/>
        <v>#N/A</v>
      </c>
      <c r="BS160" s="143" t="e">
        <f t="shared" si="152"/>
        <v>#N/A</v>
      </c>
      <c r="BT160" s="143" t="e">
        <f t="shared" si="153"/>
        <v>#N/A</v>
      </c>
      <c r="BU160" s="143" t="e">
        <f t="shared" si="154"/>
        <v>#N/A</v>
      </c>
      <c r="BV160" s="143" t="e">
        <f t="shared" si="155"/>
        <v>#N/A</v>
      </c>
      <c r="BW160" s="143" t="e">
        <f t="shared" si="156"/>
        <v>#N/A</v>
      </c>
      <c r="BX160" s="143" t="e">
        <f t="shared" si="157"/>
        <v>#N/A</v>
      </c>
      <c r="BY160" s="143" t="e">
        <f t="shared" si="158"/>
        <v>#N/A</v>
      </c>
      <c r="BZ160" s="143" t="e">
        <f t="shared" si="159"/>
        <v>#N/A</v>
      </c>
      <c r="CA160" s="143" t="e">
        <f t="shared" si="160"/>
        <v>#N/A</v>
      </c>
      <c r="CB160" s="143" t="e">
        <f t="shared" si="161"/>
        <v>#N/A</v>
      </c>
      <c r="CC160" s="143" t="e">
        <f t="shared" si="162"/>
        <v>#N/A</v>
      </c>
      <c r="CD160" s="143" t="e">
        <f t="shared" si="163"/>
        <v>#N/A</v>
      </c>
      <c r="CE160" s="143" t="e">
        <f t="shared" si="164"/>
        <v>#N/A</v>
      </c>
      <c r="CF160" s="143" t="e">
        <f t="shared" si="165"/>
        <v>#N/A</v>
      </c>
      <c r="CG160" s="143" t="e">
        <f t="shared" si="166"/>
        <v>#N/A</v>
      </c>
      <c r="CH160" s="143" t="e">
        <f t="shared" si="167"/>
        <v>#N/A</v>
      </c>
      <c r="CI160" t="e">
        <f t="shared" si="168"/>
        <v>#N/A</v>
      </c>
      <c r="CJ160" t="e">
        <f t="shared" si="169"/>
        <v>#N/A</v>
      </c>
      <c r="CK160" t="e">
        <f t="shared" si="170"/>
        <v>#N/A</v>
      </c>
      <c r="CL160" t="e">
        <f t="shared" si="171"/>
        <v>#N/A</v>
      </c>
      <c r="CM160" t="e">
        <f t="shared" si="172"/>
        <v>#N/A</v>
      </c>
      <c r="CN160" t="e">
        <f t="shared" si="173"/>
        <v>#N/A</v>
      </c>
      <c r="CO160" t="e">
        <f t="shared" si="174"/>
        <v>#N/A</v>
      </c>
      <c r="CP160" t="e">
        <f t="shared" si="175"/>
        <v>#N/A</v>
      </c>
      <c r="CQ160" t="e">
        <f t="shared" si="176"/>
        <v>#N/A</v>
      </c>
      <c r="CR160" t="e">
        <f t="shared" si="177"/>
        <v>#N/A</v>
      </c>
      <c r="CS160" t="e">
        <f t="shared" si="178"/>
        <v>#N/A</v>
      </c>
      <c r="CT160" t="e">
        <f t="shared" si="179"/>
        <v>#N/A</v>
      </c>
      <c r="CU160" t="e">
        <f t="shared" si="180"/>
        <v>#N/A</v>
      </c>
      <c r="CV160" t="e">
        <f t="shared" si="181"/>
        <v>#N/A</v>
      </c>
      <c r="CW160" t="e">
        <f t="shared" si="182"/>
        <v>#N/A</v>
      </c>
      <c r="CX160" t="e">
        <f t="shared" si="183"/>
        <v>#N/A</v>
      </c>
      <c r="CY160" t="e">
        <f t="shared" si="184"/>
        <v>#N/A</v>
      </c>
      <c r="CZ160" t="e">
        <f t="shared" si="185"/>
        <v>#N/A</v>
      </c>
      <c r="DA160" t="e">
        <f t="shared" si="186"/>
        <v>#N/A</v>
      </c>
      <c r="DB160" t="e">
        <f t="shared" si="187"/>
        <v>#N/A</v>
      </c>
      <c r="DC160" s="142" t="e">
        <f t="shared" si="188"/>
        <v>#N/A</v>
      </c>
      <c r="DD160" t="e">
        <f t="shared" si="191"/>
        <v>#N/A</v>
      </c>
      <c r="DE160" t="b">
        <f t="shared" si="189"/>
        <v>0</v>
      </c>
    </row>
    <row r="161" spans="1:109">
      <c r="A161">
        <f t="shared" si="192"/>
        <v>96</v>
      </c>
      <c r="B161" s="140" t="e">
        <f t="shared" si="193"/>
        <v>#N/A</v>
      </c>
      <c r="C161" s="140" t="e">
        <f t="shared" si="194"/>
        <v>#N/A</v>
      </c>
      <c r="D161" s="140" t="e">
        <f t="shared" si="195"/>
        <v>#N/A</v>
      </c>
      <c r="E161" s="140" t="e">
        <f t="shared" si="196"/>
        <v>#N/A</v>
      </c>
      <c r="F161" s="140" t="e">
        <f t="shared" si="197"/>
        <v>#N/A</v>
      </c>
      <c r="G161" s="140" t="e">
        <f t="shared" si="198"/>
        <v>#N/A</v>
      </c>
      <c r="H161" s="140" t="e">
        <f t="shared" si="199"/>
        <v>#N/A</v>
      </c>
      <c r="I161" s="140" t="e">
        <f t="shared" si="200"/>
        <v>#N/A</v>
      </c>
      <c r="J161" s="140" t="e">
        <f t="shared" si="201"/>
        <v>#N/A</v>
      </c>
      <c r="K161" s="140" t="e">
        <f t="shared" si="202"/>
        <v>#N/A</v>
      </c>
      <c r="L161" s="140" t="e">
        <f t="shared" si="203"/>
        <v>#N/A</v>
      </c>
      <c r="M161" s="140" t="e">
        <f t="shared" si="204"/>
        <v>#N/A</v>
      </c>
      <c r="N161" s="140" t="e">
        <f t="shared" si="205"/>
        <v>#N/A</v>
      </c>
      <c r="O161" s="140" t="e">
        <f t="shared" si="206"/>
        <v>#N/A</v>
      </c>
      <c r="P161" s="140" t="e">
        <f t="shared" si="207"/>
        <v>#N/A</v>
      </c>
      <c r="Q161" s="140" t="e">
        <f t="shared" si="208"/>
        <v>#N/A</v>
      </c>
      <c r="R161" s="140" t="e">
        <f t="shared" si="209"/>
        <v>#N/A</v>
      </c>
      <c r="S161" s="140" t="e">
        <f t="shared" si="210"/>
        <v>#N/A</v>
      </c>
      <c r="T161" s="140" t="e">
        <f t="shared" si="211"/>
        <v>#N/A</v>
      </c>
      <c r="U161" s="140" t="e">
        <f t="shared" si="212"/>
        <v>#N/A</v>
      </c>
      <c r="V161" s="141" t="str">
        <f t="shared" si="124"/>
        <v>DPS</v>
      </c>
      <c r="W161" s="141" t="str">
        <f t="shared" si="125"/>
        <v>DPS</v>
      </c>
      <c r="X161" s="141" t="str">
        <f t="shared" si="126"/>
        <v>DPS</v>
      </c>
      <c r="Y161" s="141" t="str">
        <f t="shared" si="127"/>
        <v>DPS</v>
      </c>
      <c r="Z161" s="141" t="str">
        <f t="shared" si="128"/>
        <v>DPS</v>
      </c>
      <c r="AA161" s="141" t="str">
        <f t="shared" si="129"/>
        <v>DPS</v>
      </c>
      <c r="AB161" s="141" t="str">
        <f t="shared" si="130"/>
        <v>DPS</v>
      </c>
      <c r="AC161" s="141" t="str">
        <f t="shared" si="131"/>
        <v>DPS</v>
      </c>
      <c r="AD161" s="141" t="str">
        <f t="shared" si="132"/>
        <v>DPS</v>
      </c>
      <c r="AE161" s="141" t="str">
        <f t="shared" si="133"/>
        <v>DPS</v>
      </c>
      <c r="AF161" s="141" t="str">
        <f t="shared" si="134"/>
        <v>DPS</v>
      </c>
      <c r="AG161" s="141" t="str">
        <f t="shared" si="135"/>
        <v>DPS</v>
      </c>
      <c r="AH161" s="141" t="str">
        <f t="shared" si="136"/>
        <v>DPS</v>
      </c>
      <c r="AI161" s="141" t="str">
        <f t="shared" si="137"/>
        <v>HPS</v>
      </c>
      <c r="AJ161" s="141" t="str">
        <f t="shared" si="138"/>
        <v>HPS</v>
      </c>
      <c r="AK161" s="141" t="str">
        <f t="shared" si="139"/>
        <v>HPS</v>
      </c>
      <c r="AL161" s="141" t="str">
        <f t="shared" si="140"/>
        <v>HPS</v>
      </c>
      <c r="AM161" s="141" t="str">
        <f t="shared" si="141"/>
        <v>HPS</v>
      </c>
      <c r="AN161" s="141" t="str">
        <f t="shared" si="142"/>
        <v>HPS</v>
      </c>
      <c r="AO161" s="141" t="str">
        <f t="shared" si="143"/>
        <v>HPS</v>
      </c>
      <c r="AP161" s="134" t="e">
        <f t="shared" si="213"/>
        <v>#N/A</v>
      </c>
      <c r="AQ161" s="134" t="e">
        <f t="shared" si="214"/>
        <v>#N/A</v>
      </c>
      <c r="AR161" s="134" t="e">
        <f t="shared" si="215"/>
        <v>#N/A</v>
      </c>
      <c r="AS161" s="134" t="e">
        <f t="shared" si="216"/>
        <v>#N/A</v>
      </c>
      <c r="AT161" s="134" t="e">
        <f t="shared" si="217"/>
        <v>#N/A</v>
      </c>
      <c r="AU161" s="134" t="e">
        <f t="shared" si="218"/>
        <v>#N/A</v>
      </c>
      <c r="AV161" s="134" t="e">
        <f t="shared" si="219"/>
        <v>#N/A</v>
      </c>
      <c r="AW161" s="134" t="e">
        <f t="shared" si="220"/>
        <v>#N/A</v>
      </c>
      <c r="AX161" s="134" t="e">
        <f t="shared" si="221"/>
        <v>#N/A</v>
      </c>
      <c r="AY161" s="134" t="e">
        <f t="shared" si="222"/>
        <v>#N/A</v>
      </c>
      <c r="AZ161" s="134" t="e">
        <f t="shared" si="223"/>
        <v>#N/A</v>
      </c>
      <c r="BA161" s="134" t="e">
        <f t="shared" si="224"/>
        <v>#N/A</v>
      </c>
      <c r="BB161" s="134" t="e">
        <f t="shared" si="225"/>
        <v>#N/A</v>
      </c>
      <c r="BC161" s="134" t="e">
        <f t="shared" si="226"/>
        <v>#N/A</v>
      </c>
      <c r="BD161" s="134" t="e">
        <f t="shared" si="227"/>
        <v>#N/A</v>
      </c>
      <c r="BE161" s="134" t="e">
        <f t="shared" si="228"/>
        <v>#N/A</v>
      </c>
      <c r="BF161" s="134" t="e">
        <f t="shared" si="229"/>
        <v>#N/A</v>
      </c>
      <c r="BG161" s="134" t="e">
        <f t="shared" si="230"/>
        <v>#N/A</v>
      </c>
      <c r="BH161" s="134" t="e">
        <f t="shared" si="231"/>
        <v>#N/A</v>
      </c>
      <c r="BI161" s="134" t="e">
        <f t="shared" si="232"/>
        <v>#N/A</v>
      </c>
      <c r="BJ161" t="e">
        <f t="shared" si="144"/>
        <v>#N/A</v>
      </c>
      <c r="BK161" t="e">
        <f t="shared" si="145"/>
        <v>#N/A</v>
      </c>
      <c r="BL161" s="142" t="e">
        <f t="shared" si="146"/>
        <v>#N/A</v>
      </c>
      <c r="BM161" s="142">
        <f t="shared" si="190"/>
        <v>2650</v>
      </c>
      <c r="BN161" t="e">
        <f t="shared" si="147"/>
        <v>#NUM!</v>
      </c>
      <c r="BO161" s="143" t="e">
        <f t="shared" si="148"/>
        <v>#N/A</v>
      </c>
      <c r="BP161" s="143" t="e">
        <f t="shared" si="149"/>
        <v>#N/A</v>
      </c>
      <c r="BQ161" s="143" t="e">
        <f t="shared" si="150"/>
        <v>#N/A</v>
      </c>
      <c r="BR161" s="143" t="e">
        <f t="shared" si="151"/>
        <v>#N/A</v>
      </c>
      <c r="BS161" s="143" t="e">
        <f t="shared" si="152"/>
        <v>#N/A</v>
      </c>
      <c r="BT161" s="143" t="e">
        <f t="shared" si="153"/>
        <v>#N/A</v>
      </c>
      <c r="BU161" s="143" t="e">
        <f t="shared" si="154"/>
        <v>#N/A</v>
      </c>
      <c r="BV161" s="143" t="e">
        <f t="shared" si="155"/>
        <v>#N/A</v>
      </c>
      <c r="BW161" s="143" t="e">
        <f t="shared" si="156"/>
        <v>#N/A</v>
      </c>
      <c r="BX161" s="143" t="e">
        <f t="shared" si="157"/>
        <v>#N/A</v>
      </c>
      <c r="BY161" s="143" t="e">
        <f t="shared" si="158"/>
        <v>#N/A</v>
      </c>
      <c r="BZ161" s="143" t="e">
        <f t="shared" si="159"/>
        <v>#N/A</v>
      </c>
      <c r="CA161" s="143" t="e">
        <f t="shared" si="160"/>
        <v>#N/A</v>
      </c>
      <c r="CB161" s="143" t="e">
        <f t="shared" si="161"/>
        <v>#N/A</v>
      </c>
      <c r="CC161" s="143" t="e">
        <f t="shared" si="162"/>
        <v>#N/A</v>
      </c>
      <c r="CD161" s="143" t="e">
        <f t="shared" si="163"/>
        <v>#N/A</v>
      </c>
      <c r="CE161" s="143" t="e">
        <f t="shared" si="164"/>
        <v>#N/A</v>
      </c>
      <c r="CF161" s="143" t="e">
        <f t="shared" si="165"/>
        <v>#N/A</v>
      </c>
      <c r="CG161" s="143" t="e">
        <f t="shared" si="166"/>
        <v>#N/A</v>
      </c>
      <c r="CH161" s="143" t="e">
        <f t="shared" si="167"/>
        <v>#N/A</v>
      </c>
      <c r="CI161" t="e">
        <f t="shared" si="168"/>
        <v>#N/A</v>
      </c>
      <c r="CJ161" t="e">
        <f t="shared" si="169"/>
        <v>#N/A</v>
      </c>
      <c r="CK161" t="e">
        <f t="shared" si="170"/>
        <v>#N/A</v>
      </c>
      <c r="CL161" t="e">
        <f t="shared" si="171"/>
        <v>#N/A</v>
      </c>
      <c r="CM161" t="e">
        <f t="shared" si="172"/>
        <v>#N/A</v>
      </c>
      <c r="CN161" t="e">
        <f t="shared" si="173"/>
        <v>#N/A</v>
      </c>
      <c r="CO161" t="e">
        <f t="shared" si="174"/>
        <v>#N/A</v>
      </c>
      <c r="CP161" t="e">
        <f t="shared" si="175"/>
        <v>#N/A</v>
      </c>
      <c r="CQ161" t="e">
        <f t="shared" si="176"/>
        <v>#N/A</v>
      </c>
      <c r="CR161" t="e">
        <f t="shared" si="177"/>
        <v>#N/A</v>
      </c>
      <c r="CS161" t="e">
        <f t="shared" si="178"/>
        <v>#N/A</v>
      </c>
      <c r="CT161" t="e">
        <f t="shared" si="179"/>
        <v>#N/A</v>
      </c>
      <c r="CU161" t="e">
        <f t="shared" si="180"/>
        <v>#N/A</v>
      </c>
      <c r="CV161" t="e">
        <f t="shared" si="181"/>
        <v>#N/A</v>
      </c>
      <c r="CW161" t="e">
        <f t="shared" si="182"/>
        <v>#N/A</v>
      </c>
      <c r="CX161" t="e">
        <f t="shared" si="183"/>
        <v>#N/A</v>
      </c>
      <c r="CY161" t="e">
        <f t="shared" si="184"/>
        <v>#N/A</v>
      </c>
      <c r="CZ161" t="e">
        <f t="shared" si="185"/>
        <v>#N/A</v>
      </c>
      <c r="DA161" t="e">
        <f t="shared" si="186"/>
        <v>#N/A</v>
      </c>
      <c r="DB161" t="e">
        <f t="shared" si="187"/>
        <v>#N/A</v>
      </c>
      <c r="DC161" s="142" t="e">
        <f t="shared" si="188"/>
        <v>#N/A</v>
      </c>
      <c r="DD161" t="e">
        <f t="shared" si="191"/>
        <v>#N/A</v>
      </c>
      <c r="DE161" t="b">
        <f t="shared" si="189"/>
        <v>0</v>
      </c>
    </row>
    <row r="162" spans="1:109">
      <c r="A162">
        <f t="shared" si="192"/>
        <v>97</v>
      </c>
      <c r="B162" s="140" t="e">
        <f t="shared" si="193"/>
        <v>#N/A</v>
      </c>
      <c r="C162" s="140" t="e">
        <f t="shared" si="194"/>
        <v>#N/A</v>
      </c>
      <c r="D162" s="140" t="e">
        <f t="shared" si="195"/>
        <v>#N/A</v>
      </c>
      <c r="E162" s="140" t="e">
        <f t="shared" si="196"/>
        <v>#N/A</v>
      </c>
      <c r="F162" s="140" t="e">
        <f t="shared" si="197"/>
        <v>#N/A</v>
      </c>
      <c r="G162" s="140" t="e">
        <f t="shared" si="198"/>
        <v>#N/A</v>
      </c>
      <c r="H162" s="140" t="e">
        <f t="shared" si="199"/>
        <v>#N/A</v>
      </c>
      <c r="I162" s="140" t="e">
        <f t="shared" si="200"/>
        <v>#N/A</v>
      </c>
      <c r="J162" s="140" t="e">
        <f t="shared" si="201"/>
        <v>#N/A</v>
      </c>
      <c r="K162" s="140" t="e">
        <f t="shared" si="202"/>
        <v>#N/A</v>
      </c>
      <c r="L162" s="140" t="e">
        <f t="shared" si="203"/>
        <v>#N/A</v>
      </c>
      <c r="M162" s="140" t="e">
        <f t="shared" si="204"/>
        <v>#N/A</v>
      </c>
      <c r="N162" s="140" t="e">
        <f t="shared" si="205"/>
        <v>#N/A</v>
      </c>
      <c r="O162" s="140" t="e">
        <f t="shared" si="206"/>
        <v>#N/A</v>
      </c>
      <c r="P162" s="140" t="e">
        <f t="shared" si="207"/>
        <v>#N/A</v>
      </c>
      <c r="Q162" s="140" t="e">
        <f t="shared" si="208"/>
        <v>#N/A</v>
      </c>
      <c r="R162" s="140" t="e">
        <f t="shared" si="209"/>
        <v>#N/A</v>
      </c>
      <c r="S162" s="140" t="e">
        <f t="shared" si="210"/>
        <v>#N/A</v>
      </c>
      <c r="T162" s="140" t="e">
        <f t="shared" si="211"/>
        <v>#N/A</v>
      </c>
      <c r="U162" s="140" t="e">
        <f t="shared" si="212"/>
        <v>#N/A</v>
      </c>
      <c r="V162" s="141" t="str">
        <f t="shared" si="124"/>
        <v>DPS</v>
      </c>
      <c r="W162" s="141" t="str">
        <f t="shared" si="125"/>
        <v>DPS</v>
      </c>
      <c r="X162" s="141" t="str">
        <f t="shared" si="126"/>
        <v>DPS</v>
      </c>
      <c r="Y162" s="141" t="str">
        <f t="shared" si="127"/>
        <v>DPS</v>
      </c>
      <c r="Z162" s="141" t="str">
        <f t="shared" si="128"/>
        <v>DPS</v>
      </c>
      <c r="AA162" s="141" t="str">
        <f t="shared" si="129"/>
        <v>DPS</v>
      </c>
      <c r="AB162" s="141" t="str">
        <f t="shared" si="130"/>
        <v>DPS</v>
      </c>
      <c r="AC162" s="141" t="str">
        <f t="shared" si="131"/>
        <v>DPS</v>
      </c>
      <c r="AD162" s="141" t="str">
        <f t="shared" si="132"/>
        <v>DPS</v>
      </c>
      <c r="AE162" s="141" t="str">
        <f t="shared" si="133"/>
        <v>DPS</v>
      </c>
      <c r="AF162" s="141" t="str">
        <f t="shared" si="134"/>
        <v>DPS</v>
      </c>
      <c r="AG162" s="141" t="str">
        <f t="shared" si="135"/>
        <v>DPS</v>
      </c>
      <c r="AH162" s="141" t="str">
        <f t="shared" si="136"/>
        <v>DPS</v>
      </c>
      <c r="AI162" s="141" t="str">
        <f t="shared" si="137"/>
        <v>HPS</v>
      </c>
      <c r="AJ162" s="141" t="str">
        <f t="shared" si="138"/>
        <v>HPS</v>
      </c>
      <c r="AK162" s="141" t="str">
        <f t="shared" si="139"/>
        <v>HPS</v>
      </c>
      <c r="AL162" s="141" t="str">
        <f t="shared" si="140"/>
        <v>HPS</v>
      </c>
      <c r="AM162" s="141" t="str">
        <f t="shared" si="141"/>
        <v>HPS</v>
      </c>
      <c r="AN162" s="141" t="str">
        <f t="shared" si="142"/>
        <v>HPS</v>
      </c>
      <c r="AO162" s="141" t="str">
        <f t="shared" si="143"/>
        <v>HPS</v>
      </c>
      <c r="AP162" s="134" t="e">
        <f t="shared" si="213"/>
        <v>#N/A</v>
      </c>
      <c r="AQ162" s="134" t="e">
        <f t="shared" si="214"/>
        <v>#N/A</v>
      </c>
      <c r="AR162" s="134" t="e">
        <f t="shared" si="215"/>
        <v>#N/A</v>
      </c>
      <c r="AS162" s="134" t="e">
        <f t="shared" si="216"/>
        <v>#N/A</v>
      </c>
      <c r="AT162" s="134" t="e">
        <f t="shared" si="217"/>
        <v>#N/A</v>
      </c>
      <c r="AU162" s="134" t="e">
        <f t="shared" si="218"/>
        <v>#N/A</v>
      </c>
      <c r="AV162" s="134" t="e">
        <f t="shared" si="219"/>
        <v>#N/A</v>
      </c>
      <c r="AW162" s="134" t="e">
        <f t="shared" si="220"/>
        <v>#N/A</v>
      </c>
      <c r="AX162" s="134" t="e">
        <f t="shared" si="221"/>
        <v>#N/A</v>
      </c>
      <c r="AY162" s="134" t="e">
        <f t="shared" si="222"/>
        <v>#N/A</v>
      </c>
      <c r="AZ162" s="134" t="e">
        <f t="shared" si="223"/>
        <v>#N/A</v>
      </c>
      <c r="BA162" s="134" t="e">
        <f t="shared" si="224"/>
        <v>#N/A</v>
      </c>
      <c r="BB162" s="134" t="e">
        <f t="shared" si="225"/>
        <v>#N/A</v>
      </c>
      <c r="BC162" s="134" t="e">
        <f t="shared" si="226"/>
        <v>#N/A</v>
      </c>
      <c r="BD162" s="134" t="e">
        <f t="shared" si="227"/>
        <v>#N/A</v>
      </c>
      <c r="BE162" s="134" t="e">
        <f t="shared" si="228"/>
        <v>#N/A</v>
      </c>
      <c r="BF162" s="134" t="e">
        <f t="shared" si="229"/>
        <v>#N/A</v>
      </c>
      <c r="BG162" s="134" t="e">
        <f t="shared" si="230"/>
        <v>#N/A</v>
      </c>
      <c r="BH162" s="134" t="e">
        <f t="shared" si="231"/>
        <v>#N/A</v>
      </c>
      <c r="BI162" s="134" t="e">
        <f t="shared" si="232"/>
        <v>#N/A</v>
      </c>
      <c r="BJ162" t="e">
        <f t="shared" si="144"/>
        <v>#N/A</v>
      </c>
      <c r="BK162" t="e">
        <f t="shared" si="145"/>
        <v>#N/A</v>
      </c>
      <c r="BL162" s="142" t="e">
        <f t="shared" si="146"/>
        <v>#N/A</v>
      </c>
      <c r="BM162" s="142">
        <f t="shared" si="190"/>
        <v>2650</v>
      </c>
      <c r="BN162" t="e">
        <f t="shared" si="147"/>
        <v>#NUM!</v>
      </c>
      <c r="BO162" s="143" t="e">
        <f t="shared" si="148"/>
        <v>#N/A</v>
      </c>
      <c r="BP162" s="143" t="e">
        <f t="shared" si="149"/>
        <v>#N/A</v>
      </c>
      <c r="BQ162" s="143" t="e">
        <f t="shared" si="150"/>
        <v>#N/A</v>
      </c>
      <c r="BR162" s="143" t="e">
        <f t="shared" si="151"/>
        <v>#N/A</v>
      </c>
      <c r="BS162" s="143" t="e">
        <f t="shared" si="152"/>
        <v>#N/A</v>
      </c>
      <c r="BT162" s="143" t="e">
        <f t="shared" si="153"/>
        <v>#N/A</v>
      </c>
      <c r="BU162" s="143" t="e">
        <f t="shared" si="154"/>
        <v>#N/A</v>
      </c>
      <c r="BV162" s="143" t="e">
        <f t="shared" si="155"/>
        <v>#N/A</v>
      </c>
      <c r="BW162" s="143" t="e">
        <f t="shared" si="156"/>
        <v>#N/A</v>
      </c>
      <c r="BX162" s="143" t="e">
        <f t="shared" si="157"/>
        <v>#N/A</v>
      </c>
      <c r="BY162" s="143" t="e">
        <f t="shared" si="158"/>
        <v>#N/A</v>
      </c>
      <c r="BZ162" s="143" t="e">
        <f t="shared" si="159"/>
        <v>#N/A</v>
      </c>
      <c r="CA162" s="143" t="e">
        <f t="shared" si="160"/>
        <v>#N/A</v>
      </c>
      <c r="CB162" s="143" t="e">
        <f t="shared" si="161"/>
        <v>#N/A</v>
      </c>
      <c r="CC162" s="143" t="e">
        <f t="shared" si="162"/>
        <v>#N/A</v>
      </c>
      <c r="CD162" s="143" t="e">
        <f t="shared" si="163"/>
        <v>#N/A</v>
      </c>
      <c r="CE162" s="143" t="e">
        <f t="shared" si="164"/>
        <v>#N/A</v>
      </c>
      <c r="CF162" s="143" t="e">
        <f t="shared" si="165"/>
        <v>#N/A</v>
      </c>
      <c r="CG162" s="143" t="e">
        <f t="shared" si="166"/>
        <v>#N/A</v>
      </c>
      <c r="CH162" s="143" t="e">
        <f t="shared" si="167"/>
        <v>#N/A</v>
      </c>
      <c r="CI162" t="e">
        <f t="shared" si="168"/>
        <v>#N/A</v>
      </c>
      <c r="CJ162" t="e">
        <f t="shared" si="169"/>
        <v>#N/A</v>
      </c>
      <c r="CK162" t="e">
        <f t="shared" si="170"/>
        <v>#N/A</v>
      </c>
      <c r="CL162" t="e">
        <f t="shared" si="171"/>
        <v>#N/A</v>
      </c>
      <c r="CM162" t="e">
        <f t="shared" si="172"/>
        <v>#N/A</v>
      </c>
      <c r="CN162" t="e">
        <f t="shared" si="173"/>
        <v>#N/A</v>
      </c>
      <c r="CO162" t="e">
        <f t="shared" si="174"/>
        <v>#N/A</v>
      </c>
      <c r="CP162" t="e">
        <f t="shared" si="175"/>
        <v>#N/A</v>
      </c>
      <c r="CQ162" t="e">
        <f t="shared" si="176"/>
        <v>#N/A</v>
      </c>
      <c r="CR162" t="e">
        <f t="shared" si="177"/>
        <v>#N/A</v>
      </c>
      <c r="CS162" t="e">
        <f t="shared" si="178"/>
        <v>#N/A</v>
      </c>
      <c r="CT162" t="e">
        <f t="shared" si="179"/>
        <v>#N/A</v>
      </c>
      <c r="CU162" t="e">
        <f t="shared" si="180"/>
        <v>#N/A</v>
      </c>
      <c r="CV162" t="e">
        <f t="shared" si="181"/>
        <v>#N/A</v>
      </c>
      <c r="CW162" t="e">
        <f t="shared" si="182"/>
        <v>#N/A</v>
      </c>
      <c r="CX162" t="e">
        <f t="shared" si="183"/>
        <v>#N/A</v>
      </c>
      <c r="CY162" t="e">
        <f t="shared" si="184"/>
        <v>#N/A</v>
      </c>
      <c r="CZ162" t="e">
        <f t="shared" si="185"/>
        <v>#N/A</v>
      </c>
      <c r="DA162" t="e">
        <f t="shared" si="186"/>
        <v>#N/A</v>
      </c>
      <c r="DB162" t="e">
        <f t="shared" si="187"/>
        <v>#N/A</v>
      </c>
      <c r="DC162" s="142" t="e">
        <f t="shared" si="188"/>
        <v>#N/A</v>
      </c>
      <c r="DD162" t="e">
        <f t="shared" si="191"/>
        <v>#N/A</v>
      </c>
      <c r="DE162" t="b">
        <f t="shared" si="189"/>
        <v>0</v>
      </c>
    </row>
    <row r="163" spans="1:109">
      <c r="A163">
        <f t="shared" si="192"/>
        <v>98</v>
      </c>
      <c r="B163" s="140" t="e">
        <f t="shared" si="193"/>
        <v>#N/A</v>
      </c>
      <c r="C163" s="140" t="e">
        <f t="shared" si="194"/>
        <v>#N/A</v>
      </c>
      <c r="D163" s="140" t="e">
        <f t="shared" si="195"/>
        <v>#N/A</v>
      </c>
      <c r="E163" s="140" t="e">
        <f t="shared" si="196"/>
        <v>#N/A</v>
      </c>
      <c r="F163" s="140" t="e">
        <f t="shared" si="197"/>
        <v>#N/A</v>
      </c>
      <c r="G163" s="140" t="e">
        <f t="shared" si="198"/>
        <v>#N/A</v>
      </c>
      <c r="H163" s="140" t="e">
        <f t="shared" si="199"/>
        <v>#N/A</v>
      </c>
      <c r="I163" s="140" t="e">
        <f t="shared" si="200"/>
        <v>#N/A</v>
      </c>
      <c r="J163" s="140" t="e">
        <f t="shared" si="201"/>
        <v>#N/A</v>
      </c>
      <c r="K163" s="140" t="e">
        <f t="shared" si="202"/>
        <v>#N/A</v>
      </c>
      <c r="L163" s="140" t="e">
        <f t="shared" si="203"/>
        <v>#N/A</v>
      </c>
      <c r="M163" s="140" t="e">
        <f t="shared" si="204"/>
        <v>#N/A</v>
      </c>
      <c r="N163" s="140" t="e">
        <f t="shared" si="205"/>
        <v>#N/A</v>
      </c>
      <c r="O163" s="140" t="e">
        <f t="shared" si="206"/>
        <v>#N/A</v>
      </c>
      <c r="P163" s="140" t="e">
        <f t="shared" si="207"/>
        <v>#N/A</v>
      </c>
      <c r="Q163" s="140" t="e">
        <f t="shared" si="208"/>
        <v>#N/A</v>
      </c>
      <c r="R163" s="140" t="e">
        <f t="shared" si="209"/>
        <v>#N/A</v>
      </c>
      <c r="S163" s="140" t="e">
        <f t="shared" si="210"/>
        <v>#N/A</v>
      </c>
      <c r="T163" s="140" t="e">
        <f t="shared" si="211"/>
        <v>#N/A</v>
      </c>
      <c r="U163" s="140" t="e">
        <f t="shared" si="212"/>
        <v>#N/A</v>
      </c>
      <c r="V163" s="141" t="str">
        <f t="shared" si="124"/>
        <v>DPS</v>
      </c>
      <c r="W163" s="141" t="str">
        <f t="shared" si="125"/>
        <v>DPS</v>
      </c>
      <c r="X163" s="141" t="str">
        <f t="shared" si="126"/>
        <v>DPS</v>
      </c>
      <c r="Y163" s="141" t="str">
        <f t="shared" si="127"/>
        <v>DPS</v>
      </c>
      <c r="Z163" s="141" t="str">
        <f t="shared" si="128"/>
        <v>DPS</v>
      </c>
      <c r="AA163" s="141" t="str">
        <f t="shared" si="129"/>
        <v>DPS</v>
      </c>
      <c r="AB163" s="141" t="str">
        <f t="shared" si="130"/>
        <v>DPS</v>
      </c>
      <c r="AC163" s="141" t="str">
        <f t="shared" si="131"/>
        <v>DPS</v>
      </c>
      <c r="AD163" s="141" t="str">
        <f t="shared" si="132"/>
        <v>DPS</v>
      </c>
      <c r="AE163" s="141" t="str">
        <f t="shared" si="133"/>
        <v>DPS</v>
      </c>
      <c r="AF163" s="141" t="str">
        <f t="shared" si="134"/>
        <v>DPS</v>
      </c>
      <c r="AG163" s="141" t="str">
        <f t="shared" si="135"/>
        <v>DPS</v>
      </c>
      <c r="AH163" s="141" t="str">
        <f t="shared" si="136"/>
        <v>DPS</v>
      </c>
      <c r="AI163" s="141" t="str">
        <f t="shared" si="137"/>
        <v>HPS</v>
      </c>
      <c r="AJ163" s="141" t="str">
        <f t="shared" si="138"/>
        <v>HPS</v>
      </c>
      <c r="AK163" s="141" t="str">
        <f t="shared" si="139"/>
        <v>HPS</v>
      </c>
      <c r="AL163" s="141" t="str">
        <f t="shared" si="140"/>
        <v>HPS</v>
      </c>
      <c r="AM163" s="141" t="str">
        <f t="shared" si="141"/>
        <v>HPS</v>
      </c>
      <c r="AN163" s="141" t="str">
        <f t="shared" si="142"/>
        <v>HPS</v>
      </c>
      <c r="AO163" s="141" t="str">
        <f t="shared" si="143"/>
        <v>HPS</v>
      </c>
      <c r="AP163" s="134" t="e">
        <f t="shared" si="213"/>
        <v>#N/A</v>
      </c>
      <c r="AQ163" s="134" t="e">
        <f t="shared" si="214"/>
        <v>#N/A</v>
      </c>
      <c r="AR163" s="134" t="e">
        <f t="shared" si="215"/>
        <v>#N/A</v>
      </c>
      <c r="AS163" s="134" t="e">
        <f t="shared" si="216"/>
        <v>#N/A</v>
      </c>
      <c r="AT163" s="134" t="e">
        <f t="shared" si="217"/>
        <v>#N/A</v>
      </c>
      <c r="AU163" s="134" t="e">
        <f t="shared" si="218"/>
        <v>#N/A</v>
      </c>
      <c r="AV163" s="134" t="e">
        <f t="shared" si="219"/>
        <v>#N/A</v>
      </c>
      <c r="AW163" s="134" t="e">
        <f t="shared" si="220"/>
        <v>#N/A</v>
      </c>
      <c r="AX163" s="134" t="e">
        <f t="shared" si="221"/>
        <v>#N/A</v>
      </c>
      <c r="AY163" s="134" t="e">
        <f t="shared" si="222"/>
        <v>#N/A</v>
      </c>
      <c r="AZ163" s="134" t="e">
        <f t="shared" si="223"/>
        <v>#N/A</v>
      </c>
      <c r="BA163" s="134" t="e">
        <f t="shared" si="224"/>
        <v>#N/A</v>
      </c>
      <c r="BB163" s="134" t="e">
        <f t="shared" si="225"/>
        <v>#N/A</v>
      </c>
      <c r="BC163" s="134" t="e">
        <f t="shared" si="226"/>
        <v>#N/A</v>
      </c>
      <c r="BD163" s="134" t="e">
        <f t="shared" si="227"/>
        <v>#N/A</v>
      </c>
      <c r="BE163" s="134" t="e">
        <f t="shared" si="228"/>
        <v>#N/A</v>
      </c>
      <c r="BF163" s="134" t="e">
        <f t="shared" si="229"/>
        <v>#N/A</v>
      </c>
      <c r="BG163" s="134" t="e">
        <f t="shared" si="230"/>
        <v>#N/A</v>
      </c>
      <c r="BH163" s="134" t="e">
        <f t="shared" si="231"/>
        <v>#N/A</v>
      </c>
      <c r="BI163" s="134" t="e">
        <f t="shared" si="232"/>
        <v>#N/A</v>
      </c>
      <c r="BJ163" t="e">
        <f t="shared" si="144"/>
        <v>#N/A</v>
      </c>
      <c r="BK163" t="e">
        <f t="shared" si="145"/>
        <v>#N/A</v>
      </c>
      <c r="BL163" s="142" t="e">
        <f t="shared" si="146"/>
        <v>#N/A</v>
      </c>
      <c r="BM163" s="142">
        <f t="shared" si="190"/>
        <v>2650</v>
      </c>
      <c r="BN163" t="e">
        <f t="shared" si="147"/>
        <v>#NUM!</v>
      </c>
      <c r="BO163" s="143" t="e">
        <f t="shared" si="148"/>
        <v>#N/A</v>
      </c>
      <c r="BP163" s="143" t="e">
        <f t="shared" si="149"/>
        <v>#N/A</v>
      </c>
      <c r="BQ163" s="143" t="e">
        <f t="shared" si="150"/>
        <v>#N/A</v>
      </c>
      <c r="BR163" s="143" t="e">
        <f t="shared" si="151"/>
        <v>#N/A</v>
      </c>
      <c r="BS163" s="143" t="e">
        <f t="shared" si="152"/>
        <v>#N/A</v>
      </c>
      <c r="BT163" s="143" t="e">
        <f t="shared" si="153"/>
        <v>#N/A</v>
      </c>
      <c r="BU163" s="143" t="e">
        <f t="shared" si="154"/>
        <v>#N/A</v>
      </c>
      <c r="BV163" s="143" t="e">
        <f t="shared" si="155"/>
        <v>#N/A</v>
      </c>
      <c r="BW163" s="143" t="e">
        <f t="shared" si="156"/>
        <v>#N/A</v>
      </c>
      <c r="BX163" s="143" t="e">
        <f t="shared" si="157"/>
        <v>#N/A</v>
      </c>
      <c r="BY163" s="143" t="e">
        <f t="shared" si="158"/>
        <v>#N/A</v>
      </c>
      <c r="BZ163" s="143" t="e">
        <f t="shared" si="159"/>
        <v>#N/A</v>
      </c>
      <c r="CA163" s="143" t="e">
        <f t="shared" si="160"/>
        <v>#N/A</v>
      </c>
      <c r="CB163" s="143" t="e">
        <f t="shared" si="161"/>
        <v>#N/A</v>
      </c>
      <c r="CC163" s="143" t="e">
        <f t="shared" si="162"/>
        <v>#N/A</v>
      </c>
      <c r="CD163" s="143" t="e">
        <f t="shared" si="163"/>
        <v>#N/A</v>
      </c>
      <c r="CE163" s="143" t="e">
        <f t="shared" si="164"/>
        <v>#N/A</v>
      </c>
      <c r="CF163" s="143" t="e">
        <f t="shared" si="165"/>
        <v>#N/A</v>
      </c>
      <c r="CG163" s="143" t="e">
        <f t="shared" si="166"/>
        <v>#N/A</v>
      </c>
      <c r="CH163" s="143" t="e">
        <f t="shared" si="167"/>
        <v>#N/A</v>
      </c>
      <c r="CI163" t="e">
        <f t="shared" si="168"/>
        <v>#N/A</v>
      </c>
      <c r="CJ163" t="e">
        <f t="shared" si="169"/>
        <v>#N/A</v>
      </c>
      <c r="CK163" t="e">
        <f t="shared" si="170"/>
        <v>#N/A</v>
      </c>
      <c r="CL163" t="e">
        <f t="shared" si="171"/>
        <v>#N/A</v>
      </c>
      <c r="CM163" t="e">
        <f t="shared" si="172"/>
        <v>#N/A</v>
      </c>
      <c r="CN163" t="e">
        <f t="shared" si="173"/>
        <v>#N/A</v>
      </c>
      <c r="CO163" t="e">
        <f t="shared" si="174"/>
        <v>#N/A</v>
      </c>
      <c r="CP163" t="e">
        <f t="shared" si="175"/>
        <v>#N/A</v>
      </c>
      <c r="CQ163" t="e">
        <f t="shared" si="176"/>
        <v>#N/A</v>
      </c>
      <c r="CR163" t="e">
        <f t="shared" si="177"/>
        <v>#N/A</v>
      </c>
      <c r="CS163" t="e">
        <f t="shared" si="178"/>
        <v>#N/A</v>
      </c>
      <c r="CT163" t="e">
        <f t="shared" si="179"/>
        <v>#N/A</v>
      </c>
      <c r="CU163" t="e">
        <f t="shared" si="180"/>
        <v>#N/A</v>
      </c>
      <c r="CV163" t="e">
        <f t="shared" si="181"/>
        <v>#N/A</v>
      </c>
      <c r="CW163" t="e">
        <f t="shared" si="182"/>
        <v>#N/A</v>
      </c>
      <c r="CX163" t="e">
        <f t="shared" si="183"/>
        <v>#N/A</v>
      </c>
      <c r="CY163" t="e">
        <f t="shared" si="184"/>
        <v>#N/A</v>
      </c>
      <c r="CZ163" t="e">
        <f t="shared" si="185"/>
        <v>#N/A</v>
      </c>
      <c r="DA163" t="e">
        <f t="shared" si="186"/>
        <v>#N/A</v>
      </c>
      <c r="DB163" t="e">
        <f t="shared" si="187"/>
        <v>#N/A</v>
      </c>
      <c r="DC163" s="142" t="e">
        <f t="shared" si="188"/>
        <v>#N/A</v>
      </c>
      <c r="DD163" t="e">
        <f t="shared" si="191"/>
        <v>#N/A</v>
      </c>
      <c r="DE163" t="b">
        <f t="shared" si="189"/>
        <v>0</v>
      </c>
    </row>
    <row r="164" spans="1:109">
      <c r="A164">
        <f t="shared" si="192"/>
        <v>99</v>
      </c>
      <c r="B164" s="140" t="e">
        <f t="shared" si="193"/>
        <v>#N/A</v>
      </c>
      <c r="C164" s="140" t="e">
        <f t="shared" si="194"/>
        <v>#N/A</v>
      </c>
      <c r="D164" s="140" t="e">
        <f t="shared" si="195"/>
        <v>#N/A</v>
      </c>
      <c r="E164" s="140" t="e">
        <f t="shared" si="196"/>
        <v>#N/A</v>
      </c>
      <c r="F164" s="140" t="e">
        <f t="shared" si="197"/>
        <v>#N/A</v>
      </c>
      <c r="G164" s="140" t="e">
        <f t="shared" si="198"/>
        <v>#N/A</v>
      </c>
      <c r="H164" s="140" t="e">
        <f t="shared" si="199"/>
        <v>#N/A</v>
      </c>
      <c r="I164" s="140" t="e">
        <f t="shared" si="200"/>
        <v>#N/A</v>
      </c>
      <c r="J164" s="140" t="e">
        <f t="shared" si="201"/>
        <v>#N/A</v>
      </c>
      <c r="K164" s="140" t="e">
        <f t="shared" si="202"/>
        <v>#N/A</v>
      </c>
      <c r="L164" s="140" t="e">
        <f t="shared" si="203"/>
        <v>#N/A</v>
      </c>
      <c r="M164" s="140" t="e">
        <f t="shared" si="204"/>
        <v>#N/A</v>
      </c>
      <c r="N164" s="140" t="e">
        <f t="shared" si="205"/>
        <v>#N/A</v>
      </c>
      <c r="O164" s="140" t="e">
        <f t="shared" si="206"/>
        <v>#N/A</v>
      </c>
      <c r="P164" s="140" t="e">
        <f t="shared" si="207"/>
        <v>#N/A</v>
      </c>
      <c r="Q164" s="140" t="e">
        <f t="shared" si="208"/>
        <v>#N/A</v>
      </c>
      <c r="R164" s="140" t="e">
        <f t="shared" si="209"/>
        <v>#N/A</v>
      </c>
      <c r="S164" s="140" t="e">
        <f t="shared" si="210"/>
        <v>#N/A</v>
      </c>
      <c r="T164" s="140" t="e">
        <f t="shared" si="211"/>
        <v>#N/A</v>
      </c>
      <c r="U164" s="140" t="e">
        <f t="shared" si="212"/>
        <v>#N/A</v>
      </c>
      <c r="V164" s="141" t="str">
        <f t="shared" si="124"/>
        <v>DPS</v>
      </c>
      <c r="W164" s="141" t="str">
        <f t="shared" si="125"/>
        <v>DPS</v>
      </c>
      <c r="X164" s="141" t="str">
        <f t="shared" si="126"/>
        <v>DPS</v>
      </c>
      <c r="Y164" s="141" t="str">
        <f t="shared" si="127"/>
        <v>DPS</v>
      </c>
      <c r="Z164" s="141" t="str">
        <f t="shared" si="128"/>
        <v>DPS</v>
      </c>
      <c r="AA164" s="141" t="str">
        <f t="shared" si="129"/>
        <v>DPS</v>
      </c>
      <c r="AB164" s="141" t="str">
        <f t="shared" si="130"/>
        <v>DPS</v>
      </c>
      <c r="AC164" s="141" t="str">
        <f t="shared" si="131"/>
        <v>DPS</v>
      </c>
      <c r="AD164" s="141" t="str">
        <f t="shared" si="132"/>
        <v>DPS</v>
      </c>
      <c r="AE164" s="141" t="str">
        <f t="shared" si="133"/>
        <v>DPS</v>
      </c>
      <c r="AF164" s="141" t="str">
        <f t="shared" si="134"/>
        <v>DPS</v>
      </c>
      <c r="AG164" s="141" t="str">
        <f t="shared" si="135"/>
        <v>DPS</v>
      </c>
      <c r="AH164" s="141" t="str">
        <f t="shared" si="136"/>
        <v>DPS</v>
      </c>
      <c r="AI164" s="141" t="str">
        <f t="shared" si="137"/>
        <v>HPS</v>
      </c>
      <c r="AJ164" s="141" t="str">
        <f t="shared" si="138"/>
        <v>HPS</v>
      </c>
      <c r="AK164" s="141" t="str">
        <f t="shared" si="139"/>
        <v>HPS</v>
      </c>
      <c r="AL164" s="141" t="str">
        <f t="shared" si="140"/>
        <v>HPS</v>
      </c>
      <c r="AM164" s="141" t="str">
        <f t="shared" si="141"/>
        <v>HPS</v>
      </c>
      <c r="AN164" s="141" t="str">
        <f t="shared" si="142"/>
        <v>HPS</v>
      </c>
      <c r="AO164" s="141" t="str">
        <f t="shared" si="143"/>
        <v>HPS</v>
      </c>
      <c r="AP164" s="134" t="e">
        <f t="shared" si="213"/>
        <v>#N/A</v>
      </c>
      <c r="AQ164" s="134" t="e">
        <f t="shared" si="214"/>
        <v>#N/A</v>
      </c>
      <c r="AR164" s="134" t="e">
        <f t="shared" si="215"/>
        <v>#N/A</v>
      </c>
      <c r="AS164" s="134" t="e">
        <f t="shared" si="216"/>
        <v>#N/A</v>
      </c>
      <c r="AT164" s="134" t="e">
        <f t="shared" si="217"/>
        <v>#N/A</v>
      </c>
      <c r="AU164" s="134" t="e">
        <f t="shared" si="218"/>
        <v>#N/A</v>
      </c>
      <c r="AV164" s="134" t="e">
        <f t="shared" si="219"/>
        <v>#N/A</v>
      </c>
      <c r="AW164" s="134" t="e">
        <f t="shared" si="220"/>
        <v>#N/A</v>
      </c>
      <c r="AX164" s="134" t="e">
        <f t="shared" si="221"/>
        <v>#N/A</v>
      </c>
      <c r="AY164" s="134" t="e">
        <f t="shared" si="222"/>
        <v>#N/A</v>
      </c>
      <c r="AZ164" s="134" t="e">
        <f t="shared" si="223"/>
        <v>#N/A</v>
      </c>
      <c r="BA164" s="134" t="e">
        <f t="shared" si="224"/>
        <v>#N/A</v>
      </c>
      <c r="BB164" s="134" t="e">
        <f t="shared" si="225"/>
        <v>#N/A</v>
      </c>
      <c r="BC164" s="134" t="e">
        <f t="shared" si="226"/>
        <v>#N/A</v>
      </c>
      <c r="BD164" s="134" t="e">
        <f t="shared" si="227"/>
        <v>#N/A</v>
      </c>
      <c r="BE164" s="134" t="e">
        <f t="shared" si="228"/>
        <v>#N/A</v>
      </c>
      <c r="BF164" s="134" t="e">
        <f t="shared" si="229"/>
        <v>#N/A</v>
      </c>
      <c r="BG164" s="134" t="e">
        <f t="shared" si="230"/>
        <v>#N/A</v>
      </c>
      <c r="BH164" s="134" t="e">
        <f t="shared" si="231"/>
        <v>#N/A</v>
      </c>
      <c r="BI164" s="134" t="e">
        <f t="shared" si="232"/>
        <v>#N/A</v>
      </c>
      <c r="BJ164" t="e">
        <f t="shared" si="144"/>
        <v>#N/A</v>
      </c>
      <c r="BK164" t="e">
        <f t="shared" si="145"/>
        <v>#N/A</v>
      </c>
      <c r="BL164" s="142" t="e">
        <f t="shared" si="146"/>
        <v>#N/A</v>
      </c>
      <c r="BM164" s="142">
        <f t="shared" si="190"/>
        <v>2650</v>
      </c>
      <c r="BN164" t="e">
        <f t="shared" si="147"/>
        <v>#NUM!</v>
      </c>
      <c r="BO164" s="143" t="e">
        <f t="shared" si="148"/>
        <v>#N/A</v>
      </c>
      <c r="BP164" s="143" t="e">
        <f t="shared" si="149"/>
        <v>#N/A</v>
      </c>
      <c r="BQ164" s="143" t="e">
        <f t="shared" si="150"/>
        <v>#N/A</v>
      </c>
      <c r="BR164" s="143" t="e">
        <f t="shared" si="151"/>
        <v>#N/A</v>
      </c>
      <c r="BS164" s="143" t="e">
        <f t="shared" si="152"/>
        <v>#N/A</v>
      </c>
      <c r="BT164" s="143" t="e">
        <f t="shared" si="153"/>
        <v>#N/A</v>
      </c>
      <c r="BU164" s="143" t="e">
        <f t="shared" si="154"/>
        <v>#N/A</v>
      </c>
      <c r="BV164" s="143" t="e">
        <f t="shared" si="155"/>
        <v>#N/A</v>
      </c>
      <c r="BW164" s="143" t="e">
        <f t="shared" si="156"/>
        <v>#N/A</v>
      </c>
      <c r="BX164" s="143" t="e">
        <f t="shared" si="157"/>
        <v>#N/A</v>
      </c>
      <c r="BY164" s="143" t="e">
        <f t="shared" si="158"/>
        <v>#N/A</v>
      </c>
      <c r="BZ164" s="143" t="e">
        <f t="shared" si="159"/>
        <v>#N/A</v>
      </c>
      <c r="CA164" s="143" t="e">
        <f t="shared" si="160"/>
        <v>#N/A</v>
      </c>
      <c r="CB164" s="143" t="e">
        <f t="shared" si="161"/>
        <v>#N/A</v>
      </c>
      <c r="CC164" s="143" t="e">
        <f t="shared" si="162"/>
        <v>#N/A</v>
      </c>
      <c r="CD164" s="143" t="e">
        <f t="shared" si="163"/>
        <v>#N/A</v>
      </c>
      <c r="CE164" s="143" t="e">
        <f t="shared" si="164"/>
        <v>#N/A</v>
      </c>
      <c r="CF164" s="143" t="e">
        <f t="shared" si="165"/>
        <v>#N/A</v>
      </c>
      <c r="CG164" s="143" t="e">
        <f t="shared" si="166"/>
        <v>#N/A</v>
      </c>
      <c r="CH164" s="143" t="e">
        <f t="shared" si="167"/>
        <v>#N/A</v>
      </c>
      <c r="CI164" t="e">
        <f t="shared" si="168"/>
        <v>#N/A</v>
      </c>
      <c r="CJ164" t="e">
        <f t="shared" si="169"/>
        <v>#N/A</v>
      </c>
      <c r="CK164" t="e">
        <f t="shared" si="170"/>
        <v>#N/A</v>
      </c>
      <c r="CL164" t="e">
        <f t="shared" si="171"/>
        <v>#N/A</v>
      </c>
      <c r="CM164" t="e">
        <f t="shared" si="172"/>
        <v>#N/A</v>
      </c>
      <c r="CN164" t="e">
        <f t="shared" si="173"/>
        <v>#N/A</v>
      </c>
      <c r="CO164" t="e">
        <f t="shared" si="174"/>
        <v>#N/A</v>
      </c>
      <c r="CP164" t="e">
        <f t="shared" si="175"/>
        <v>#N/A</v>
      </c>
      <c r="CQ164" t="e">
        <f t="shared" si="176"/>
        <v>#N/A</v>
      </c>
      <c r="CR164" t="e">
        <f t="shared" si="177"/>
        <v>#N/A</v>
      </c>
      <c r="CS164" t="e">
        <f t="shared" si="178"/>
        <v>#N/A</v>
      </c>
      <c r="CT164" t="e">
        <f t="shared" si="179"/>
        <v>#N/A</v>
      </c>
      <c r="CU164" t="e">
        <f t="shared" si="180"/>
        <v>#N/A</v>
      </c>
      <c r="CV164" t="e">
        <f t="shared" si="181"/>
        <v>#N/A</v>
      </c>
      <c r="CW164" t="e">
        <f t="shared" si="182"/>
        <v>#N/A</v>
      </c>
      <c r="CX164" t="e">
        <f t="shared" si="183"/>
        <v>#N/A</v>
      </c>
      <c r="CY164" t="e">
        <f t="shared" si="184"/>
        <v>#N/A</v>
      </c>
      <c r="CZ164" t="e">
        <f t="shared" si="185"/>
        <v>#N/A</v>
      </c>
      <c r="DA164" t="e">
        <f t="shared" si="186"/>
        <v>#N/A</v>
      </c>
      <c r="DB164" t="e">
        <f t="shared" si="187"/>
        <v>#N/A</v>
      </c>
      <c r="DC164" s="142" t="e">
        <f t="shared" si="188"/>
        <v>#N/A</v>
      </c>
      <c r="DD164" t="e">
        <f t="shared" si="191"/>
        <v>#N/A</v>
      </c>
      <c r="DE164" t="b">
        <f t="shared" si="189"/>
        <v>0</v>
      </c>
    </row>
    <row r="165" spans="1:109">
      <c r="A165">
        <f t="shared" si="192"/>
        <v>100</v>
      </c>
      <c r="B165" s="140" t="e">
        <f t="shared" si="193"/>
        <v>#N/A</v>
      </c>
      <c r="C165" s="140" t="e">
        <f t="shared" si="194"/>
        <v>#N/A</v>
      </c>
      <c r="D165" s="140" t="e">
        <f t="shared" si="195"/>
        <v>#N/A</v>
      </c>
      <c r="E165" s="140" t="e">
        <f t="shared" si="196"/>
        <v>#N/A</v>
      </c>
      <c r="F165" s="140" t="e">
        <f t="shared" si="197"/>
        <v>#N/A</v>
      </c>
      <c r="G165" s="140" t="e">
        <f t="shared" si="198"/>
        <v>#N/A</v>
      </c>
      <c r="H165" s="140" t="e">
        <f t="shared" si="199"/>
        <v>#N/A</v>
      </c>
      <c r="I165" s="140" t="e">
        <f t="shared" si="200"/>
        <v>#N/A</v>
      </c>
      <c r="J165" s="140" t="e">
        <f t="shared" si="201"/>
        <v>#N/A</v>
      </c>
      <c r="K165" s="140" t="e">
        <f t="shared" si="202"/>
        <v>#N/A</v>
      </c>
      <c r="L165" s="140" t="e">
        <f t="shared" si="203"/>
        <v>#N/A</v>
      </c>
      <c r="M165" s="140" t="e">
        <f t="shared" si="204"/>
        <v>#N/A</v>
      </c>
      <c r="N165" s="140" t="e">
        <f t="shared" si="205"/>
        <v>#N/A</v>
      </c>
      <c r="O165" s="140" t="e">
        <f t="shared" si="206"/>
        <v>#N/A</v>
      </c>
      <c r="P165" s="140" t="e">
        <f t="shared" si="207"/>
        <v>#N/A</v>
      </c>
      <c r="Q165" s="140" t="e">
        <f t="shared" si="208"/>
        <v>#N/A</v>
      </c>
      <c r="R165" s="140" t="e">
        <f t="shared" si="209"/>
        <v>#N/A</v>
      </c>
      <c r="S165" s="140" t="e">
        <f t="shared" si="210"/>
        <v>#N/A</v>
      </c>
      <c r="T165" s="140" t="e">
        <f t="shared" si="211"/>
        <v>#N/A</v>
      </c>
      <c r="U165" s="140" t="e">
        <f t="shared" si="212"/>
        <v>#N/A</v>
      </c>
      <c r="V165" s="141" t="str">
        <f t="shared" si="124"/>
        <v>DPS</v>
      </c>
      <c r="W165" s="141" t="str">
        <f t="shared" si="125"/>
        <v>DPS</v>
      </c>
      <c r="X165" s="141" t="str">
        <f t="shared" si="126"/>
        <v>DPS</v>
      </c>
      <c r="Y165" s="141" t="str">
        <f t="shared" si="127"/>
        <v>DPS</v>
      </c>
      <c r="Z165" s="141" t="str">
        <f t="shared" si="128"/>
        <v>DPS</v>
      </c>
      <c r="AA165" s="141" t="str">
        <f t="shared" si="129"/>
        <v>DPS</v>
      </c>
      <c r="AB165" s="141" t="str">
        <f t="shared" si="130"/>
        <v>DPS</v>
      </c>
      <c r="AC165" s="141" t="str">
        <f t="shared" si="131"/>
        <v>DPS</v>
      </c>
      <c r="AD165" s="141" t="str">
        <f t="shared" si="132"/>
        <v>DPS</v>
      </c>
      <c r="AE165" s="141" t="str">
        <f t="shared" si="133"/>
        <v>DPS</v>
      </c>
      <c r="AF165" s="141" t="str">
        <f t="shared" si="134"/>
        <v>DPS</v>
      </c>
      <c r="AG165" s="141" t="str">
        <f t="shared" si="135"/>
        <v>DPS</v>
      </c>
      <c r="AH165" s="141" t="str">
        <f t="shared" si="136"/>
        <v>DPS</v>
      </c>
      <c r="AI165" s="141" t="str">
        <f t="shared" si="137"/>
        <v>HPS</v>
      </c>
      <c r="AJ165" s="141" t="str">
        <f t="shared" si="138"/>
        <v>HPS</v>
      </c>
      <c r="AK165" s="141" t="str">
        <f t="shared" si="139"/>
        <v>HPS</v>
      </c>
      <c r="AL165" s="141" t="str">
        <f t="shared" si="140"/>
        <v>HPS</v>
      </c>
      <c r="AM165" s="141" t="str">
        <f t="shared" si="141"/>
        <v>HPS</v>
      </c>
      <c r="AN165" s="141" t="str">
        <f t="shared" si="142"/>
        <v>HPS</v>
      </c>
      <c r="AO165" s="141" t="str">
        <f t="shared" si="143"/>
        <v>HPS</v>
      </c>
      <c r="AP165" s="134" t="e">
        <f t="shared" si="213"/>
        <v>#N/A</v>
      </c>
      <c r="AQ165" s="134" t="e">
        <f t="shared" si="214"/>
        <v>#N/A</v>
      </c>
      <c r="AR165" s="134" t="e">
        <f t="shared" si="215"/>
        <v>#N/A</v>
      </c>
      <c r="AS165" s="134" t="e">
        <f t="shared" si="216"/>
        <v>#N/A</v>
      </c>
      <c r="AT165" s="134" t="e">
        <f t="shared" si="217"/>
        <v>#N/A</v>
      </c>
      <c r="AU165" s="134" t="e">
        <f t="shared" si="218"/>
        <v>#N/A</v>
      </c>
      <c r="AV165" s="134" t="e">
        <f t="shared" si="219"/>
        <v>#N/A</v>
      </c>
      <c r="AW165" s="134" t="e">
        <f t="shared" si="220"/>
        <v>#N/A</v>
      </c>
      <c r="AX165" s="134" t="e">
        <f t="shared" si="221"/>
        <v>#N/A</v>
      </c>
      <c r="AY165" s="134" t="e">
        <f t="shared" si="222"/>
        <v>#N/A</v>
      </c>
      <c r="AZ165" s="134" t="e">
        <f t="shared" si="223"/>
        <v>#N/A</v>
      </c>
      <c r="BA165" s="134" t="e">
        <f t="shared" si="224"/>
        <v>#N/A</v>
      </c>
      <c r="BB165" s="134" t="e">
        <f t="shared" si="225"/>
        <v>#N/A</v>
      </c>
      <c r="BC165" s="134" t="e">
        <f t="shared" si="226"/>
        <v>#N/A</v>
      </c>
      <c r="BD165" s="134" t="e">
        <f t="shared" si="227"/>
        <v>#N/A</v>
      </c>
      <c r="BE165" s="134" t="e">
        <f t="shared" si="228"/>
        <v>#N/A</v>
      </c>
      <c r="BF165" s="134" t="e">
        <f t="shared" si="229"/>
        <v>#N/A</v>
      </c>
      <c r="BG165" s="134" t="e">
        <f t="shared" si="230"/>
        <v>#N/A</v>
      </c>
      <c r="BH165" s="134" t="e">
        <f t="shared" si="231"/>
        <v>#N/A</v>
      </c>
      <c r="BI165" s="134" t="e">
        <f t="shared" si="232"/>
        <v>#N/A</v>
      </c>
      <c r="BJ165" t="e">
        <f t="shared" si="144"/>
        <v>#N/A</v>
      </c>
      <c r="BK165" t="e">
        <f t="shared" si="145"/>
        <v>#N/A</v>
      </c>
      <c r="BL165" s="142" t="e">
        <f t="shared" si="146"/>
        <v>#N/A</v>
      </c>
      <c r="BM165" s="142">
        <f t="shared" si="190"/>
        <v>2650</v>
      </c>
      <c r="BN165" t="e">
        <f t="shared" si="147"/>
        <v>#NUM!</v>
      </c>
      <c r="BO165" s="143" t="e">
        <f t="shared" si="148"/>
        <v>#N/A</v>
      </c>
      <c r="BP165" s="143" t="e">
        <f t="shared" si="149"/>
        <v>#N/A</v>
      </c>
      <c r="BQ165" s="143" t="e">
        <f t="shared" si="150"/>
        <v>#N/A</v>
      </c>
      <c r="BR165" s="143" t="e">
        <f t="shared" si="151"/>
        <v>#N/A</v>
      </c>
      <c r="BS165" s="143" t="e">
        <f t="shared" si="152"/>
        <v>#N/A</v>
      </c>
      <c r="BT165" s="143" t="e">
        <f t="shared" si="153"/>
        <v>#N/A</v>
      </c>
      <c r="BU165" s="143" t="e">
        <f t="shared" si="154"/>
        <v>#N/A</v>
      </c>
      <c r="BV165" s="143" t="e">
        <f t="shared" si="155"/>
        <v>#N/A</v>
      </c>
      <c r="BW165" s="143" t="e">
        <f t="shared" si="156"/>
        <v>#N/A</v>
      </c>
      <c r="BX165" s="143" t="e">
        <f t="shared" si="157"/>
        <v>#N/A</v>
      </c>
      <c r="BY165" s="143" t="e">
        <f t="shared" si="158"/>
        <v>#N/A</v>
      </c>
      <c r="BZ165" s="143" t="e">
        <f t="shared" si="159"/>
        <v>#N/A</v>
      </c>
      <c r="CA165" s="143" t="e">
        <f t="shared" si="160"/>
        <v>#N/A</v>
      </c>
      <c r="CB165" s="143" t="e">
        <f t="shared" si="161"/>
        <v>#N/A</v>
      </c>
      <c r="CC165" s="143" t="e">
        <f t="shared" si="162"/>
        <v>#N/A</v>
      </c>
      <c r="CD165" s="143" t="e">
        <f t="shared" si="163"/>
        <v>#N/A</v>
      </c>
      <c r="CE165" s="143" t="e">
        <f t="shared" si="164"/>
        <v>#N/A</v>
      </c>
      <c r="CF165" s="143" t="e">
        <f t="shared" si="165"/>
        <v>#N/A</v>
      </c>
      <c r="CG165" s="143" t="e">
        <f t="shared" si="166"/>
        <v>#N/A</v>
      </c>
      <c r="CH165" s="143" t="e">
        <f t="shared" si="167"/>
        <v>#N/A</v>
      </c>
      <c r="CI165" t="e">
        <f t="shared" si="168"/>
        <v>#N/A</v>
      </c>
      <c r="CJ165" t="e">
        <f t="shared" si="169"/>
        <v>#N/A</v>
      </c>
      <c r="CK165" t="e">
        <f t="shared" si="170"/>
        <v>#N/A</v>
      </c>
      <c r="CL165" t="e">
        <f t="shared" si="171"/>
        <v>#N/A</v>
      </c>
      <c r="CM165" t="e">
        <f t="shared" si="172"/>
        <v>#N/A</v>
      </c>
      <c r="CN165" t="e">
        <f t="shared" si="173"/>
        <v>#N/A</v>
      </c>
      <c r="CO165" t="e">
        <f t="shared" si="174"/>
        <v>#N/A</v>
      </c>
      <c r="CP165" t="e">
        <f t="shared" si="175"/>
        <v>#N/A</v>
      </c>
      <c r="CQ165" t="e">
        <f t="shared" si="176"/>
        <v>#N/A</v>
      </c>
      <c r="CR165" t="e">
        <f t="shared" si="177"/>
        <v>#N/A</v>
      </c>
      <c r="CS165" t="e">
        <f t="shared" si="178"/>
        <v>#N/A</v>
      </c>
      <c r="CT165" t="e">
        <f t="shared" si="179"/>
        <v>#N/A</v>
      </c>
      <c r="CU165" t="e">
        <f t="shared" si="180"/>
        <v>#N/A</v>
      </c>
      <c r="CV165" t="e">
        <f t="shared" si="181"/>
        <v>#N/A</v>
      </c>
      <c r="CW165" t="e">
        <f t="shared" si="182"/>
        <v>#N/A</v>
      </c>
      <c r="CX165" t="e">
        <f t="shared" si="183"/>
        <v>#N/A</v>
      </c>
      <c r="CY165" t="e">
        <f t="shared" si="184"/>
        <v>#N/A</v>
      </c>
      <c r="CZ165" t="e">
        <f t="shared" si="185"/>
        <v>#N/A</v>
      </c>
      <c r="DA165" t="e">
        <f t="shared" si="186"/>
        <v>#N/A</v>
      </c>
      <c r="DB165" t="e">
        <f t="shared" si="187"/>
        <v>#N/A</v>
      </c>
      <c r="DC165" s="142" t="e">
        <f t="shared" si="188"/>
        <v>#N/A</v>
      </c>
      <c r="DD165" t="e">
        <f t="shared" si="191"/>
        <v>#N/A</v>
      </c>
      <c r="DE165" t="b">
        <f t="shared" si="189"/>
        <v>0</v>
      </c>
    </row>
    <row r="166" spans="1:109">
      <c r="A166">
        <f t="shared" si="192"/>
        <v>101</v>
      </c>
      <c r="B166" s="140" t="e">
        <f t="shared" ref="B166:B191" si="233">BO165</f>
        <v>#N/A</v>
      </c>
      <c r="C166" s="140" t="e">
        <f t="shared" ref="C166:C191" si="234">BP165</f>
        <v>#N/A</v>
      </c>
      <c r="D166" s="140" t="e">
        <f t="shared" ref="D166:D191" si="235">BQ165</f>
        <v>#N/A</v>
      </c>
      <c r="E166" s="140" t="e">
        <f t="shared" ref="E166:E191" si="236">BR165</f>
        <v>#N/A</v>
      </c>
      <c r="F166" s="140" t="e">
        <f t="shared" ref="F166:F191" si="237">BS165</f>
        <v>#N/A</v>
      </c>
      <c r="G166" s="140" t="e">
        <f t="shared" ref="G166:G191" si="238">BT165</f>
        <v>#N/A</v>
      </c>
      <c r="H166" s="140" t="e">
        <f t="shared" ref="H166:H191" si="239">BU165</f>
        <v>#N/A</v>
      </c>
      <c r="I166" s="140" t="e">
        <f t="shared" ref="I166:I191" si="240">BV165</f>
        <v>#N/A</v>
      </c>
      <c r="J166" s="140" t="e">
        <f t="shared" ref="J166:J191" si="241">BW165</f>
        <v>#N/A</v>
      </c>
      <c r="K166" s="140" t="e">
        <f t="shared" ref="K166:K191" si="242">BX165</f>
        <v>#N/A</v>
      </c>
      <c r="L166" s="140" t="e">
        <f t="shared" ref="L166:L191" si="243">BY165</f>
        <v>#N/A</v>
      </c>
      <c r="M166" s="140" t="e">
        <f t="shared" ref="M166:M191" si="244">BZ165</f>
        <v>#N/A</v>
      </c>
      <c r="N166" s="140" t="e">
        <f t="shared" ref="N166:N191" si="245">CA165</f>
        <v>#N/A</v>
      </c>
      <c r="O166" s="140" t="e">
        <f t="shared" ref="O166:O191" si="246">CB165</f>
        <v>#N/A</v>
      </c>
      <c r="P166" s="140" t="e">
        <f t="shared" ref="P166:P191" si="247">CC165</f>
        <v>#N/A</v>
      </c>
      <c r="Q166" s="140" t="e">
        <f t="shared" ref="Q166:Q191" si="248">CD165</f>
        <v>#N/A</v>
      </c>
      <c r="R166" s="140" t="e">
        <f t="shared" ref="R166:R191" si="249">CE165</f>
        <v>#N/A</v>
      </c>
      <c r="S166" s="140" t="e">
        <f t="shared" ref="S166:S191" si="250">CF165</f>
        <v>#N/A</v>
      </c>
      <c r="T166" s="140" t="e">
        <f t="shared" ref="T166:T191" si="251">CG165</f>
        <v>#N/A</v>
      </c>
      <c r="U166" s="140" t="e">
        <f t="shared" ref="U166:U191" si="252">CH165</f>
        <v>#N/A</v>
      </c>
      <c r="V166" s="141" t="str">
        <f t="shared" ref="V166:V191" si="253">INDEX($E$3:$E$23,MATCH(B$62,$A$3:$A$23,0))</f>
        <v>DPS</v>
      </c>
      <c r="W166" s="141" t="str">
        <f t="shared" ref="W166:W191" si="254">INDEX($E$3:$E$23,MATCH(C$62,$A$3:$A$23,0))</f>
        <v>DPS</v>
      </c>
      <c r="X166" s="141" t="str">
        <f t="shared" ref="X166:X191" si="255">INDEX($E$3:$E$23,MATCH(D$62,$A$3:$A$23,0))</f>
        <v>DPS</v>
      </c>
      <c r="Y166" s="141" t="str">
        <f t="shared" ref="Y166:Y191" si="256">INDEX($E$3:$E$23,MATCH(E$62,$A$3:$A$23,0))</f>
        <v>DPS</v>
      </c>
      <c r="Z166" s="141" t="str">
        <f t="shared" ref="Z166:Z191" si="257">INDEX($E$3:$E$23,MATCH(F$62,$A$3:$A$23,0))</f>
        <v>DPS</v>
      </c>
      <c r="AA166" s="141" t="str">
        <f t="shared" ref="AA166:AA191" si="258">INDEX($E$3:$E$23,MATCH(G$62,$A$3:$A$23,0))</f>
        <v>DPS</v>
      </c>
      <c r="AB166" s="141" t="str">
        <f t="shared" ref="AB166:AB191" si="259">INDEX($E$3:$E$23,MATCH(H$62,$A$3:$A$23,0))</f>
        <v>DPS</v>
      </c>
      <c r="AC166" s="141" t="str">
        <f t="shared" ref="AC166:AC191" si="260">INDEX($E$3:$E$23,MATCH(I$62,$A$3:$A$23,0))</f>
        <v>DPS</v>
      </c>
      <c r="AD166" s="141" t="str">
        <f t="shared" ref="AD166:AD191" si="261">INDEX($E$3:$E$23,MATCH(J$62,$A$3:$A$23,0))</f>
        <v>DPS</v>
      </c>
      <c r="AE166" s="141" t="str">
        <f t="shared" ref="AE166:AE191" si="262">INDEX($E$3:$E$23,MATCH(K$62,$A$3:$A$23,0))</f>
        <v>DPS</v>
      </c>
      <c r="AF166" s="141" t="str">
        <f t="shared" ref="AF166:AF191" si="263">INDEX($E$3:$E$23,MATCH(L$62,$A$3:$A$23,0))</f>
        <v>DPS</v>
      </c>
      <c r="AG166" s="141" t="str">
        <f t="shared" ref="AG166:AG191" si="264">INDEX($E$3:$E$23,MATCH(M$62,$A$3:$A$23,0))</f>
        <v>DPS</v>
      </c>
      <c r="AH166" s="141" t="str">
        <f t="shared" ref="AH166:AH191" si="265">INDEX($E$3:$E$23,MATCH(N$62,$A$3:$A$23,0))</f>
        <v>DPS</v>
      </c>
      <c r="AI166" s="141" t="str">
        <f t="shared" ref="AI166:AI191" si="266">INDEX($E$3:$E$23,MATCH(O$62,$A$3:$A$23,0))</f>
        <v>HPS</v>
      </c>
      <c r="AJ166" s="141" t="str">
        <f t="shared" ref="AJ166:AJ191" si="267">INDEX($E$3:$E$23,MATCH(P$62,$A$3:$A$23,0))</f>
        <v>HPS</v>
      </c>
      <c r="AK166" s="141" t="str">
        <f t="shared" ref="AK166:AK191" si="268">INDEX($E$3:$E$23,MATCH(Q$62,$A$3:$A$23,0))</f>
        <v>HPS</v>
      </c>
      <c r="AL166" s="141" t="str">
        <f t="shared" ref="AL166:AL191" si="269">INDEX($E$3:$E$23,MATCH(R$62,$A$3:$A$23,0))</f>
        <v>HPS</v>
      </c>
      <c r="AM166" s="141" t="str">
        <f t="shared" ref="AM166:AM191" si="270">INDEX($E$3:$E$23,MATCH(S$62,$A$3:$A$23,0))</f>
        <v>HPS</v>
      </c>
      <c r="AN166" s="141" t="str">
        <f t="shared" ref="AN166:AN191" si="271">INDEX($E$3:$E$23,MATCH(T$62,$A$3:$A$23,0))</f>
        <v>HPS</v>
      </c>
      <c r="AO166" s="141" t="str">
        <f t="shared" ref="AO166:AO191" si="272">INDEX($E$3:$E$23,MATCH(U$62,$A$3:$A$23,0))</f>
        <v>HPS</v>
      </c>
      <c r="AP166" s="134" t="e">
        <f t="shared" ref="AP166:AP191" si="273">IF(CI165=TRUE,0,AP165)</f>
        <v>#N/A</v>
      </c>
      <c r="AQ166" s="134" t="e">
        <f t="shared" ref="AQ166:AQ191" si="274">IF(CJ165=TRUE,0,AQ165)</f>
        <v>#N/A</v>
      </c>
      <c r="AR166" s="134" t="e">
        <f t="shared" ref="AR166:AR191" si="275">IF(CK165=TRUE,0,AR165)</f>
        <v>#N/A</v>
      </c>
      <c r="AS166" s="134" t="e">
        <f t="shared" ref="AS166:AS191" si="276">IF(CL165=TRUE,0,AS165)</f>
        <v>#N/A</v>
      </c>
      <c r="AT166" s="134" t="e">
        <f t="shared" ref="AT166:AT191" si="277">IF(CM165=TRUE,0,AT165)</f>
        <v>#N/A</v>
      </c>
      <c r="AU166" s="134" t="e">
        <f t="shared" ref="AU166:AU191" si="278">IF(CN165=TRUE,0,AU165)</f>
        <v>#N/A</v>
      </c>
      <c r="AV166" s="134" t="e">
        <f t="shared" ref="AV166:AV191" si="279">IF(CO165=TRUE,0,AV165)</f>
        <v>#N/A</v>
      </c>
      <c r="AW166" s="134" t="e">
        <f t="shared" ref="AW166:AW191" si="280">IF(CP165=TRUE,0,AW165)</f>
        <v>#N/A</v>
      </c>
      <c r="AX166" s="134" t="e">
        <f t="shared" ref="AX166:AX191" si="281">IF(CQ165=TRUE,0,AX165)</f>
        <v>#N/A</v>
      </c>
      <c r="AY166" s="134" t="e">
        <f t="shared" ref="AY166:AY191" si="282">IF(CR165=TRUE,0,AY165)</f>
        <v>#N/A</v>
      </c>
      <c r="AZ166" s="134" t="e">
        <f t="shared" ref="AZ166:AZ191" si="283">IF(CS165=TRUE,0,AZ165)</f>
        <v>#N/A</v>
      </c>
      <c r="BA166" s="134" t="e">
        <f t="shared" ref="BA166:BA191" si="284">IF(CT165=TRUE,0,BA165)</f>
        <v>#N/A</v>
      </c>
      <c r="BB166" s="134" t="e">
        <f t="shared" ref="BB166:BB191" si="285">IF(CU165=TRUE,0,BB165)</f>
        <v>#N/A</v>
      </c>
      <c r="BC166" s="134" t="e">
        <f t="shared" ref="BC166:BC191" si="286">IF(CV165=TRUE,0,BC165)</f>
        <v>#N/A</v>
      </c>
      <c r="BD166" s="134" t="e">
        <f t="shared" ref="BD166:BD191" si="287">IF(CW165=TRUE,0,BD165)</f>
        <v>#N/A</v>
      </c>
      <c r="BE166" s="134" t="e">
        <f t="shared" ref="BE166:BE191" si="288">IF(CX165=TRUE,0,BE165)</f>
        <v>#N/A</v>
      </c>
      <c r="BF166" s="134" t="e">
        <f t="shared" ref="BF166:BF191" si="289">IF(CY165=TRUE,0,BF165)</f>
        <v>#N/A</v>
      </c>
      <c r="BG166" s="134" t="e">
        <f t="shared" ref="BG166:BG191" si="290">IF(CZ165=TRUE,0,BG165)</f>
        <v>#N/A</v>
      </c>
      <c r="BH166" s="134" t="e">
        <f t="shared" ref="BH166:BH191" si="291">IF(DA165=TRUE,0,BH165)</f>
        <v>#N/A</v>
      </c>
      <c r="BI166" s="134" t="e">
        <f t="shared" ref="BI166:BI191" si="292">IF(DB165=TRUE,0,BI165)</f>
        <v>#N/A</v>
      </c>
      <c r="BJ166" t="e">
        <f t="shared" ref="BJ166:BJ191" si="293">SUMIF(V166:AO166,"DPS",AP166:BI166)</f>
        <v>#N/A</v>
      </c>
      <c r="BK166" t="e">
        <f t="shared" ref="BK166:BK191" si="294">SUMIF(V166:AO166,"HPS",AP166:BI166)</f>
        <v>#N/A</v>
      </c>
      <c r="BL166" s="142" t="e">
        <f t="shared" ref="BL166:BL191" si="295">DC165</f>
        <v>#N/A</v>
      </c>
      <c r="BM166" s="142">
        <f t="shared" si="190"/>
        <v>2650</v>
      </c>
      <c r="BN166" t="e">
        <f t="shared" ref="BN166:BN191" si="296">INDEX($B$62:$U$62,1,_xlfn.AGGREGATE(15,6,COLUMN($B$62:$U$62)/(B166:U166&gt;0),1)-1)</f>
        <v>#NUM!</v>
      </c>
      <c r="BO166" s="143" t="e">
        <f t="shared" ref="BO166:BO191" si="297">B166-IF($BN166=BO$62,$BM166,0)+IF($BN166=BO$62,$BK166,0)</f>
        <v>#N/A</v>
      </c>
      <c r="BP166" s="143" t="e">
        <f t="shared" ref="BP166:BP191" si="298">C166-IF($BN166=BP$62,$BM166,0)+IF($BN166=BP$62,$BK166,0)</f>
        <v>#N/A</v>
      </c>
      <c r="BQ166" s="143" t="e">
        <f t="shared" ref="BQ166:BQ191" si="299">D166-IF($BN166=BQ$62,$BM166,0)+IF($BN166=BQ$62,$BK166,0)</f>
        <v>#N/A</v>
      </c>
      <c r="BR166" s="143" t="e">
        <f t="shared" ref="BR166:BR191" si="300">E166-IF($BN166=BR$62,$BM166,0)+IF($BN166=BR$62,$BK166,0)</f>
        <v>#N/A</v>
      </c>
      <c r="BS166" s="143" t="e">
        <f t="shared" ref="BS166:BS191" si="301">F166-IF($BN166=BS$62,$BM166,0)+IF($BN166=BS$62,$BK166,0)</f>
        <v>#N/A</v>
      </c>
      <c r="BT166" s="143" t="e">
        <f t="shared" ref="BT166:BT191" si="302">G166-IF($BN166=BT$62,$BM166,0)+IF($BN166=BT$62,$BK166,0)</f>
        <v>#N/A</v>
      </c>
      <c r="BU166" s="143" t="e">
        <f t="shared" ref="BU166:BU191" si="303">H166-IF($BN166=BU$62,$BM166,0)+IF($BN166=BU$62,$BK166,0)</f>
        <v>#N/A</v>
      </c>
      <c r="BV166" s="143" t="e">
        <f t="shared" ref="BV166:BV191" si="304">I166-IF($BN166=BV$62,$BM166,0)+IF($BN166=BV$62,$BK166,0)</f>
        <v>#N/A</v>
      </c>
      <c r="BW166" s="143" t="e">
        <f t="shared" ref="BW166:BW191" si="305">J166-IF($BN166=BW$62,$BM166,0)+IF($BN166=BW$62,$BK166,0)</f>
        <v>#N/A</v>
      </c>
      <c r="BX166" s="143" t="e">
        <f t="shared" ref="BX166:BX191" si="306">K166-IF($BN166=BX$62,$BM166,0)+IF($BN166=BX$62,$BK166,0)</f>
        <v>#N/A</v>
      </c>
      <c r="BY166" s="143" t="e">
        <f t="shared" ref="BY166:BY191" si="307">L166-IF($BN166=BY$62,$BM166,0)+IF($BN166=BY$62,$BK166,0)</f>
        <v>#N/A</v>
      </c>
      <c r="BZ166" s="143" t="e">
        <f t="shared" ref="BZ166:BZ191" si="308">M166-IF($BN166=BZ$62,$BM166,0)+IF($BN166=BZ$62,$BK166,0)</f>
        <v>#N/A</v>
      </c>
      <c r="CA166" s="143" t="e">
        <f t="shared" ref="CA166:CA191" si="309">N166-IF($BN166=CA$62,$BM166,0)+IF($BN166=CA$62,$BK166,0)</f>
        <v>#N/A</v>
      </c>
      <c r="CB166" s="143" t="e">
        <f t="shared" ref="CB166:CB191" si="310">O166-IF($BN166=CB$62,$BM166,0)+IF($BN166=CB$62,$BK166,0)</f>
        <v>#N/A</v>
      </c>
      <c r="CC166" s="143" t="e">
        <f t="shared" ref="CC166:CC191" si="311">P166-IF($BN166=CC$62,$BM166,0)+IF($BN166=CC$62,$BK166,0)</f>
        <v>#N/A</v>
      </c>
      <c r="CD166" s="143" t="e">
        <f t="shared" ref="CD166:CD191" si="312">Q166-IF($BN166=CD$62,$BM166,0)+IF($BN166=CD$62,$BK166,0)</f>
        <v>#N/A</v>
      </c>
      <c r="CE166" s="143" t="e">
        <f t="shared" ref="CE166:CE191" si="313">R166-IF($BN166=CE$62,$BM166,0)+IF($BN166=CE$62,$BK166,0)</f>
        <v>#N/A</v>
      </c>
      <c r="CF166" s="143" t="e">
        <f t="shared" ref="CF166:CF191" si="314">S166-IF($BN166=CF$62,$BM166,0)+IF($BN166=CF$62,$BK166,0)</f>
        <v>#N/A</v>
      </c>
      <c r="CG166" s="143" t="e">
        <f t="shared" ref="CG166:CG191" si="315">T166-IF($BN166=CG$62,$BM166,0)+IF($BN166=CG$62,$BK166,0)</f>
        <v>#N/A</v>
      </c>
      <c r="CH166" s="143" t="e">
        <f t="shared" ref="CH166:CH191" si="316">U166-IF($BN166=CH$62,$BM166,0)+IF($BN166=CH$62,$BK166,0)</f>
        <v>#N/A</v>
      </c>
      <c r="CI166" t="e">
        <f t="shared" ref="CI166:CI191" si="317">BO166&lt;=0</f>
        <v>#N/A</v>
      </c>
      <c r="CJ166" t="e">
        <f t="shared" ref="CJ166:CJ191" si="318">BP166&lt;=0</f>
        <v>#N/A</v>
      </c>
      <c r="CK166" t="e">
        <f t="shared" ref="CK166:CK191" si="319">BQ166&lt;=0</f>
        <v>#N/A</v>
      </c>
      <c r="CL166" t="e">
        <f t="shared" ref="CL166:CL191" si="320">BR166&lt;=0</f>
        <v>#N/A</v>
      </c>
      <c r="CM166" t="e">
        <f t="shared" ref="CM166:CM191" si="321">BS166&lt;=0</f>
        <v>#N/A</v>
      </c>
      <c r="CN166" t="e">
        <f t="shared" ref="CN166:CN191" si="322">BT166&lt;=0</f>
        <v>#N/A</v>
      </c>
      <c r="CO166" t="e">
        <f t="shared" ref="CO166:CO191" si="323">BU166&lt;=0</f>
        <v>#N/A</v>
      </c>
      <c r="CP166" t="e">
        <f t="shared" ref="CP166:CP191" si="324">BV166&lt;=0</f>
        <v>#N/A</v>
      </c>
      <c r="CQ166" t="e">
        <f t="shared" ref="CQ166:CQ191" si="325">BW166&lt;=0</f>
        <v>#N/A</v>
      </c>
      <c r="CR166" t="e">
        <f t="shared" ref="CR166:CR191" si="326">BX166&lt;=0</f>
        <v>#N/A</v>
      </c>
      <c r="CS166" t="e">
        <f t="shared" ref="CS166:CS191" si="327">BY166&lt;=0</f>
        <v>#N/A</v>
      </c>
      <c r="CT166" t="e">
        <f t="shared" ref="CT166:CT191" si="328">BZ166&lt;=0</f>
        <v>#N/A</v>
      </c>
      <c r="CU166" t="e">
        <f t="shared" ref="CU166:CU191" si="329">CA166&lt;=0</f>
        <v>#N/A</v>
      </c>
      <c r="CV166" t="e">
        <f t="shared" ref="CV166:CV191" si="330">CB166&lt;=0</f>
        <v>#N/A</v>
      </c>
      <c r="CW166" t="e">
        <f t="shared" ref="CW166:CW191" si="331">CC166&lt;=0</f>
        <v>#N/A</v>
      </c>
      <c r="CX166" t="e">
        <f t="shared" ref="CX166:CX191" si="332">CD166&lt;=0</f>
        <v>#N/A</v>
      </c>
      <c r="CY166" t="e">
        <f t="shared" ref="CY166:CY191" si="333">CE166&lt;=0</f>
        <v>#N/A</v>
      </c>
      <c r="CZ166" t="e">
        <f t="shared" ref="CZ166:CZ191" si="334">CF166&lt;=0</f>
        <v>#N/A</v>
      </c>
      <c r="DA166" t="e">
        <f t="shared" ref="DA166:DA191" si="335">CG166&lt;=0</f>
        <v>#N/A</v>
      </c>
      <c r="DB166" t="e">
        <f t="shared" ref="DB166:DB191" si="336">CH166&lt;=0</f>
        <v>#N/A</v>
      </c>
      <c r="DC166" s="142" t="e">
        <f t="shared" ref="DC166:DC191" si="337">BL166-BJ166</f>
        <v>#N/A</v>
      </c>
      <c r="DD166" t="e">
        <f t="shared" si="191"/>
        <v>#N/A</v>
      </c>
      <c r="DE166" t="b">
        <f t="shared" ref="DE166:DE191" si="338">COUNTIF(CI166:DB166,TRUE)=20</f>
        <v>0</v>
      </c>
    </row>
    <row r="167" spans="1:109">
      <c r="A167">
        <f t="shared" si="192"/>
        <v>102</v>
      </c>
      <c r="B167" s="140" t="e">
        <f t="shared" si="233"/>
        <v>#N/A</v>
      </c>
      <c r="C167" s="140" t="e">
        <f t="shared" si="234"/>
        <v>#N/A</v>
      </c>
      <c r="D167" s="140" t="e">
        <f t="shared" si="235"/>
        <v>#N/A</v>
      </c>
      <c r="E167" s="140" t="e">
        <f t="shared" si="236"/>
        <v>#N/A</v>
      </c>
      <c r="F167" s="140" t="e">
        <f t="shared" si="237"/>
        <v>#N/A</v>
      </c>
      <c r="G167" s="140" t="e">
        <f t="shared" si="238"/>
        <v>#N/A</v>
      </c>
      <c r="H167" s="140" t="e">
        <f t="shared" si="239"/>
        <v>#N/A</v>
      </c>
      <c r="I167" s="140" t="e">
        <f t="shared" si="240"/>
        <v>#N/A</v>
      </c>
      <c r="J167" s="140" t="e">
        <f t="shared" si="241"/>
        <v>#N/A</v>
      </c>
      <c r="K167" s="140" t="e">
        <f t="shared" si="242"/>
        <v>#N/A</v>
      </c>
      <c r="L167" s="140" t="e">
        <f t="shared" si="243"/>
        <v>#N/A</v>
      </c>
      <c r="M167" s="140" t="e">
        <f t="shared" si="244"/>
        <v>#N/A</v>
      </c>
      <c r="N167" s="140" t="e">
        <f t="shared" si="245"/>
        <v>#N/A</v>
      </c>
      <c r="O167" s="140" t="e">
        <f t="shared" si="246"/>
        <v>#N/A</v>
      </c>
      <c r="P167" s="140" t="e">
        <f t="shared" si="247"/>
        <v>#N/A</v>
      </c>
      <c r="Q167" s="140" t="e">
        <f t="shared" si="248"/>
        <v>#N/A</v>
      </c>
      <c r="R167" s="140" t="e">
        <f t="shared" si="249"/>
        <v>#N/A</v>
      </c>
      <c r="S167" s="140" t="e">
        <f t="shared" si="250"/>
        <v>#N/A</v>
      </c>
      <c r="T167" s="140" t="e">
        <f t="shared" si="251"/>
        <v>#N/A</v>
      </c>
      <c r="U167" s="140" t="e">
        <f t="shared" si="252"/>
        <v>#N/A</v>
      </c>
      <c r="V167" s="141" t="str">
        <f t="shared" si="253"/>
        <v>DPS</v>
      </c>
      <c r="W167" s="141" t="str">
        <f t="shared" si="254"/>
        <v>DPS</v>
      </c>
      <c r="X167" s="141" t="str">
        <f t="shared" si="255"/>
        <v>DPS</v>
      </c>
      <c r="Y167" s="141" t="str">
        <f t="shared" si="256"/>
        <v>DPS</v>
      </c>
      <c r="Z167" s="141" t="str">
        <f t="shared" si="257"/>
        <v>DPS</v>
      </c>
      <c r="AA167" s="141" t="str">
        <f t="shared" si="258"/>
        <v>DPS</v>
      </c>
      <c r="AB167" s="141" t="str">
        <f t="shared" si="259"/>
        <v>DPS</v>
      </c>
      <c r="AC167" s="141" t="str">
        <f t="shared" si="260"/>
        <v>DPS</v>
      </c>
      <c r="AD167" s="141" t="str">
        <f t="shared" si="261"/>
        <v>DPS</v>
      </c>
      <c r="AE167" s="141" t="str">
        <f t="shared" si="262"/>
        <v>DPS</v>
      </c>
      <c r="AF167" s="141" t="str">
        <f t="shared" si="263"/>
        <v>DPS</v>
      </c>
      <c r="AG167" s="141" t="str">
        <f t="shared" si="264"/>
        <v>DPS</v>
      </c>
      <c r="AH167" s="141" t="str">
        <f t="shared" si="265"/>
        <v>DPS</v>
      </c>
      <c r="AI167" s="141" t="str">
        <f t="shared" si="266"/>
        <v>HPS</v>
      </c>
      <c r="AJ167" s="141" t="str">
        <f t="shared" si="267"/>
        <v>HPS</v>
      </c>
      <c r="AK167" s="141" t="str">
        <f t="shared" si="268"/>
        <v>HPS</v>
      </c>
      <c r="AL167" s="141" t="str">
        <f t="shared" si="269"/>
        <v>HPS</v>
      </c>
      <c r="AM167" s="141" t="str">
        <f t="shared" si="270"/>
        <v>HPS</v>
      </c>
      <c r="AN167" s="141" t="str">
        <f t="shared" si="271"/>
        <v>HPS</v>
      </c>
      <c r="AO167" s="141" t="str">
        <f t="shared" si="272"/>
        <v>HPS</v>
      </c>
      <c r="AP167" s="134" t="e">
        <f t="shared" si="273"/>
        <v>#N/A</v>
      </c>
      <c r="AQ167" s="134" t="e">
        <f t="shared" si="274"/>
        <v>#N/A</v>
      </c>
      <c r="AR167" s="134" t="e">
        <f t="shared" si="275"/>
        <v>#N/A</v>
      </c>
      <c r="AS167" s="134" t="e">
        <f t="shared" si="276"/>
        <v>#N/A</v>
      </c>
      <c r="AT167" s="134" t="e">
        <f t="shared" si="277"/>
        <v>#N/A</v>
      </c>
      <c r="AU167" s="134" t="e">
        <f t="shared" si="278"/>
        <v>#N/A</v>
      </c>
      <c r="AV167" s="134" t="e">
        <f t="shared" si="279"/>
        <v>#N/A</v>
      </c>
      <c r="AW167" s="134" t="e">
        <f t="shared" si="280"/>
        <v>#N/A</v>
      </c>
      <c r="AX167" s="134" t="e">
        <f t="shared" si="281"/>
        <v>#N/A</v>
      </c>
      <c r="AY167" s="134" t="e">
        <f t="shared" si="282"/>
        <v>#N/A</v>
      </c>
      <c r="AZ167" s="134" t="e">
        <f t="shared" si="283"/>
        <v>#N/A</v>
      </c>
      <c r="BA167" s="134" t="e">
        <f t="shared" si="284"/>
        <v>#N/A</v>
      </c>
      <c r="BB167" s="134" t="e">
        <f t="shared" si="285"/>
        <v>#N/A</v>
      </c>
      <c r="BC167" s="134" t="e">
        <f t="shared" si="286"/>
        <v>#N/A</v>
      </c>
      <c r="BD167" s="134" t="e">
        <f t="shared" si="287"/>
        <v>#N/A</v>
      </c>
      <c r="BE167" s="134" t="e">
        <f t="shared" si="288"/>
        <v>#N/A</v>
      </c>
      <c r="BF167" s="134" t="e">
        <f t="shared" si="289"/>
        <v>#N/A</v>
      </c>
      <c r="BG167" s="134" t="e">
        <f t="shared" si="290"/>
        <v>#N/A</v>
      </c>
      <c r="BH167" s="134" t="e">
        <f t="shared" si="291"/>
        <v>#N/A</v>
      </c>
      <c r="BI167" s="134" t="e">
        <f t="shared" si="292"/>
        <v>#N/A</v>
      </c>
      <c r="BJ167" t="e">
        <f t="shared" si="293"/>
        <v>#N/A</v>
      </c>
      <c r="BK167" t="e">
        <f t="shared" si="294"/>
        <v>#N/A</v>
      </c>
      <c r="BL167" s="142" t="e">
        <f t="shared" si="295"/>
        <v>#N/A</v>
      </c>
      <c r="BM167" s="142">
        <f t="shared" si="190"/>
        <v>2650</v>
      </c>
      <c r="BN167" t="e">
        <f t="shared" si="296"/>
        <v>#NUM!</v>
      </c>
      <c r="BO167" s="143" t="e">
        <f t="shared" si="297"/>
        <v>#N/A</v>
      </c>
      <c r="BP167" s="143" t="e">
        <f t="shared" si="298"/>
        <v>#N/A</v>
      </c>
      <c r="BQ167" s="143" t="e">
        <f t="shared" si="299"/>
        <v>#N/A</v>
      </c>
      <c r="BR167" s="143" t="e">
        <f t="shared" si="300"/>
        <v>#N/A</v>
      </c>
      <c r="BS167" s="143" t="e">
        <f t="shared" si="301"/>
        <v>#N/A</v>
      </c>
      <c r="BT167" s="143" t="e">
        <f t="shared" si="302"/>
        <v>#N/A</v>
      </c>
      <c r="BU167" s="143" t="e">
        <f t="shared" si="303"/>
        <v>#N/A</v>
      </c>
      <c r="BV167" s="143" t="e">
        <f t="shared" si="304"/>
        <v>#N/A</v>
      </c>
      <c r="BW167" s="143" t="e">
        <f t="shared" si="305"/>
        <v>#N/A</v>
      </c>
      <c r="BX167" s="143" t="e">
        <f t="shared" si="306"/>
        <v>#N/A</v>
      </c>
      <c r="BY167" s="143" t="e">
        <f t="shared" si="307"/>
        <v>#N/A</v>
      </c>
      <c r="BZ167" s="143" t="e">
        <f t="shared" si="308"/>
        <v>#N/A</v>
      </c>
      <c r="CA167" s="143" t="e">
        <f t="shared" si="309"/>
        <v>#N/A</v>
      </c>
      <c r="CB167" s="143" t="e">
        <f t="shared" si="310"/>
        <v>#N/A</v>
      </c>
      <c r="CC167" s="143" t="e">
        <f t="shared" si="311"/>
        <v>#N/A</v>
      </c>
      <c r="CD167" s="143" t="e">
        <f t="shared" si="312"/>
        <v>#N/A</v>
      </c>
      <c r="CE167" s="143" t="e">
        <f t="shared" si="313"/>
        <v>#N/A</v>
      </c>
      <c r="CF167" s="143" t="e">
        <f t="shared" si="314"/>
        <v>#N/A</v>
      </c>
      <c r="CG167" s="143" t="e">
        <f t="shared" si="315"/>
        <v>#N/A</v>
      </c>
      <c r="CH167" s="143" t="e">
        <f t="shared" si="316"/>
        <v>#N/A</v>
      </c>
      <c r="CI167" t="e">
        <f t="shared" si="317"/>
        <v>#N/A</v>
      </c>
      <c r="CJ167" t="e">
        <f t="shared" si="318"/>
        <v>#N/A</v>
      </c>
      <c r="CK167" t="e">
        <f t="shared" si="319"/>
        <v>#N/A</v>
      </c>
      <c r="CL167" t="e">
        <f t="shared" si="320"/>
        <v>#N/A</v>
      </c>
      <c r="CM167" t="e">
        <f t="shared" si="321"/>
        <v>#N/A</v>
      </c>
      <c r="CN167" t="e">
        <f t="shared" si="322"/>
        <v>#N/A</v>
      </c>
      <c r="CO167" t="e">
        <f t="shared" si="323"/>
        <v>#N/A</v>
      </c>
      <c r="CP167" t="e">
        <f t="shared" si="324"/>
        <v>#N/A</v>
      </c>
      <c r="CQ167" t="e">
        <f t="shared" si="325"/>
        <v>#N/A</v>
      </c>
      <c r="CR167" t="e">
        <f t="shared" si="326"/>
        <v>#N/A</v>
      </c>
      <c r="CS167" t="e">
        <f t="shared" si="327"/>
        <v>#N/A</v>
      </c>
      <c r="CT167" t="e">
        <f t="shared" si="328"/>
        <v>#N/A</v>
      </c>
      <c r="CU167" t="e">
        <f t="shared" si="329"/>
        <v>#N/A</v>
      </c>
      <c r="CV167" t="e">
        <f t="shared" si="330"/>
        <v>#N/A</v>
      </c>
      <c r="CW167" t="e">
        <f t="shared" si="331"/>
        <v>#N/A</v>
      </c>
      <c r="CX167" t="e">
        <f t="shared" si="332"/>
        <v>#N/A</v>
      </c>
      <c r="CY167" t="e">
        <f t="shared" si="333"/>
        <v>#N/A</v>
      </c>
      <c r="CZ167" t="e">
        <f t="shared" si="334"/>
        <v>#N/A</v>
      </c>
      <c r="DA167" t="e">
        <f t="shared" si="335"/>
        <v>#N/A</v>
      </c>
      <c r="DB167" t="e">
        <f t="shared" si="336"/>
        <v>#N/A</v>
      </c>
      <c r="DC167" s="142" t="e">
        <f t="shared" si="337"/>
        <v>#N/A</v>
      </c>
      <c r="DD167" t="e">
        <f t="shared" si="191"/>
        <v>#N/A</v>
      </c>
      <c r="DE167" t="b">
        <f t="shared" si="338"/>
        <v>0</v>
      </c>
    </row>
    <row r="168" spans="1:109">
      <c r="A168">
        <f t="shared" si="192"/>
        <v>103</v>
      </c>
      <c r="B168" s="140" t="e">
        <f t="shared" si="233"/>
        <v>#N/A</v>
      </c>
      <c r="C168" s="140" t="e">
        <f t="shared" si="234"/>
        <v>#N/A</v>
      </c>
      <c r="D168" s="140" t="e">
        <f t="shared" si="235"/>
        <v>#N/A</v>
      </c>
      <c r="E168" s="140" t="e">
        <f t="shared" si="236"/>
        <v>#N/A</v>
      </c>
      <c r="F168" s="140" t="e">
        <f t="shared" si="237"/>
        <v>#N/A</v>
      </c>
      <c r="G168" s="140" t="e">
        <f t="shared" si="238"/>
        <v>#N/A</v>
      </c>
      <c r="H168" s="140" t="e">
        <f t="shared" si="239"/>
        <v>#N/A</v>
      </c>
      <c r="I168" s="140" t="e">
        <f t="shared" si="240"/>
        <v>#N/A</v>
      </c>
      <c r="J168" s="140" t="e">
        <f t="shared" si="241"/>
        <v>#N/A</v>
      </c>
      <c r="K168" s="140" t="e">
        <f t="shared" si="242"/>
        <v>#N/A</v>
      </c>
      <c r="L168" s="140" t="e">
        <f t="shared" si="243"/>
        <v>#N/A</v>
      </c>
      <c r="M168" s="140" t="e">
        <f t="shared" si="244"/>
        <v>#N/A</v>
      </c>
      <c r="N168" s="140" t="e">
        <f t="shared" si="245"/>
        <v>#N/A</v>
      </c>
      <c r="O168" s="140" t="e">
        <f t="shared" si="246"/>
        <v>#N/A</v>
      </c>
      <c r="P168" s="140" t="e">
        <f t="shared" si="247"/>
        <v>#N/A</v>
      </c>
      <c r="Q168" s="140" t="e">
        <f t="shared" si="248"/>
        <v>#N/A</v>
      </c>
      <c r="R168" s="140" t="e">
        <f t="shared" si="249"/>
        <v>#N/A</v>
      </c>
      <c r="S168" s="140" t="e">
        <f t="shared" si="250"/>
        <v>#N/A</v>
      </c>
      <c r="T168" s="140" t="e">
        <f t="shared" si="251"/>
        <v>#N/A</v>
      </c>
      <c r="U168" s="140" t="e">
        <f t="shared" si="252"/>
        <v>#N/A</v>
      </c>
      <c r="V168" s="141" t="str">
        <f t="shared" si="253"/>
        <v>DPS</v>
      </c>
      <c r="W168" s="141" t="str">
        <f t="shared" si="254"/>
        <v>DPS</v>
      </c>
      <c r="X168" s="141" t="str">
        <f t="shared" si="255"/>
        <v>DPS</v>
      </c>
      <c r="Y168" s="141" t="str">
        <f t="shared" si="256"/>
        <v>DPS</v>
      </c>
      <c r="Z168" s="141" t="str">
        <f t="shared" si="257"/>
        <v>DPS</v>
      </c>
      <c r="AA168" s="141" t="str">
        <f t="shared" si="258"/>
        <v>DPS</v>
      </c>
      <c r="AB168" s="141" t="str">
        <f t="shared" si="259"/>
        <v>DPS</v>
      </c>
      <c r="AC168" s="141" t="str">
        <f t="shared" si="260"/>
        <v>DPS</v>
      </c>
      <c r="AD168" s="141" t="str">
        <f t="shared" si="261"/>
        <v>DPS</v>
      </c>
      <c r="AE168" s="141" t="str">
        <f t="shared" si="262"/>
        <v>DPS</v>
      </c>
      <c r="AF168" s="141" t="str">
        <f t="shared" si="263"/>
        <v>DPS</v>
      </c>
      <c r="AG168" s="141" t="str">
        <f t="shared" si="264"/>
        <v>DPS</v>
      </c>
      <c r="AH168" s="141" t="str">
        <f t="shared" si="265"/>
        <v>DPS</v>
      </c>
      <c r="AI168" s="141" t="str">
        <f t="shared" si="266"/>
        <v>HPS</v>
      </c>
      <c r="AJ168" s="141" t="str">
        <f t="shared" si="267"/>
        <v>HPS</v>
      </c>
      <c r="AK168" s="141" t="str">
        <f t="shared" si="268"/>
        <v>HPS</v>
      </c>
      <c r="AL168" s="141" t="str">
        <f t="shared" si="269"/>
        <v>HPS</v>
      </c>
      <c r="AM168" s="141" t="str">
        <f t="shared" si="270"/>
        <v>HPS</v>
      </c>
      <c r="AN168" s="141" t="str">
        <f t="shared" si="271"/>
        <v>HPS</v>
      </c>
      <c r="AO168" s="141" t="str">
        <f t="shared" si="272"/>
        <v>HPS</v>
      </c>
      <c r="AP168" s="134" t="e">
        <f t="shared" si="273"/>
        <v>#N/A</v>
      </c>
      <c r="AQ168" s="134" t="e">
        <f t="shared" si="274"/>
        <v>#N/A</v>
      </c>
      <c r="AR168" s="134" t="e">
        <f t="shared" si="275"/>
        <v>#N/A</v>
      </c>
      <c r="AS168" s="134" t="e">
        <f t="shared" si="276"/>
        <v>#N/A</v>
      </c>
      <c r="AT168" s="134" t="e">
        <f t="shared" si="277"/>
        <v>#N/A</v>
      </c>
      <c r="AU168" s="134" t="e">
        <f t="shared" si="278"/>
        <v>#N/A</v>
      </c>
      <c r="AV168" s="134" t="e">
        <f t="shared" si="279"/>
        <v>#N/A</v>
      </c>
      <c r="AW168" s="134" t="e">
        <f t="shared" si="280"/>
        <v>#N/A</v>
      </c>
      <c r="AX168" s="134" t="e">
        <f t="shared" si="281"/>
        <v>#N/A</v>
      </c>
      <c r="AY168" s="134" t="e">
        <f t="shared" si="282"/>
        <v>#N/A</v>
      </c>
      <c r="AZ168" s="134" t="e">
        <f t="shared" si="283"/>
        <v>#N/A</v>
      </c>
      <c r="BA168" s="134" t="e">
        <f t="shared" si="284"/>
        <v>#N/A</v>
      </c>
      <c r="BB168" s="134" t="e">
        <f t="shared" si="285"/>
        <v>#N/A</v>
      </c>
      <c r="BC168" s="134" t="e">
        <f t="shared" si="286"/>
        <v>#N/A</v>
      </c>
      <c r="BD168" s="134" t="e">
        <f t="shared" si="287"/>
        <v>#N/A</v>
      </c>
      <c r="BE168" s="134" t="e">
        <f t="shared" si="288"/>
        <v>#N/A</v>
      </c>
      <c r="BF168" s="134" t="e">
        <f t="shared" si="289"/>
        <v>#N/A</v>
      </c>
      <c r="BG168" s="134" t="e">
        <f t="shared" si="290"/>
        <v>#N/A</v>
      </c>
      <c r="BH168" s="134" t="e">
        <f t="shared" si="291"/>
        <v>#N/A</v>
      </c>
      <c r="BI168" s="134" t="e">
        <f t="shared" si="292"/>
        <v>#N/A</v>
      </c>
      <c r="BJ168" t="e">
        <f t="shared" si="293"/>
        <v>#N/A</v>
      </c>
      <c r="BK168" t="e">
        <f t="shared" si="294"/>
        <v>#N/A</v>
      </c>
      <c r="BL168" s="142" t="e">
        <f t="shared" si="295"/>
        <v>#N/A</v>
      </c>
      <c r="BM168" s="142">
        <f t="shared" si="190"/>
        <v>2650</v>
      </c>
      <c r="BN168" t="e">
        <f t="shared" si="296"/>
        <v>#NUM!</v>
      </c>
      <c r="BO168" s="143" t="e">
        <f t="shared" si="297"/>
        <v>#N/A</v>
      </c>
      <c r="BP168" s="143" t="e">
        <f t="shared" si="298"/>
        <v>#N/A</v>
      </c>
      <c r="BQ168" s="143" t="e">
        <f t="shared" si="299"/>
        <v>#N/A</v>
      </c>
      <c r="BR168" s="143" t="e">
        <f t="shared" si="300"/>
        <v>#N/A</v>
      </c>
      <c r="BS168" s="143" t="e">
        <f t="shared" si="301"/>
        <v>#N/A</v>
      </c>
      <c r="BT168" s="143" t="e">
        <f t="shared" si="302"/>
        <v>#N/A</v>
      </c>
      <c r="BU168" s="143" t="e">
        <f t="shared" si="303"/>
        <v>#N/A</v>
      </c>
      <c r="BV168" s="143" t="e">
        <f t="shared" si="304"/>
        <v>#N/A</v>
      </c>
      <c r="BW168" s="143" t="e">
        <f t="shared" si="305"/>
        <v>#N/A</v>
      </c>
      <c r="BX168" s="143" t="e">
        <f t="shared" si="306"/>
        <v>#N/A</v>
      </c>
      <c r="BY168" s="143" t="e">
        <f t="shared" si="307"/>
        <v>#N/A</v>
      </c>
      <c r="BZ168" s="143" t="e">
        <f t="shared" si="308"/>
        <v>#N/A</v>
      </c>
      <c r="CA168" s="143" t="e">
        <f t="shared" si="309"/>
        <v>#N/A</v>
      </c>
      <c r="CB168" s="143" t="e">
        <f t="shared" si="310"/>
        <v>#N/A</v>
      </c>
      <c r="CC168" s="143" t="e">
        <f t="shared" si="311"/>
        <v>#N/A</v>
      </c>
      <c r="CD168" s="143" t="e">
        <f t="shared" si="312"/>
        <v>#N/A</v>
      </c>
      <c r="CE168" s="143" t="e">
        <f t="shared" si="313"/>
        <v>#N/A</v>
      </c>
      <c r="CF168" s="143" t="e">
        <f t="shared" si="314"/>
        <v>#N/A</v>
      </c>
      <c r="CG168" s="143" t="e">
        <f t="shared" si="315"/>
        <v>#N/A</v>
      </c>
      <c r="CH168" s="143" t="e">
        <f t="shared" si="316"/>
        <v>#N/A</v>
      </c>
      <c r="CI168" t="e">
        <f t="shared" si="317"/>
        <v>#N/A</v>
      </c>
      <c r="CJ168" t="e">
        <f t="shared" si="318"/>
        <v>#N/A</v>
      </c>
      <c r="CK168" t="e">
        <f t="shared" si="319"/>
        <v>#N/A</v>
      </c>
      <c r="CL168" t="e">
        <f t="shared" si="320"/>
        <v>#N/A</v>
      </c>
      <c r="CM168" t="e">
        <f t="shared" si="321"/>
        <v>#N/A</v>
      </c>
      <c r="CN168" t="e">
        <f t="shared" si="322"/>
        <v>#N/A</v>
      </c>
      <c r="CO168" t="e">
        <f t="shared" si="323"/>
        <v>#N/A</v>
      </c>
      <c r="CP168" t="e">
        <f t="shared" si="324"/>
        <v>#N/A</v>
      </c>
      <c r="CQ168" t="e">
        <f t="shared" si="325"/>
        <v>#N/A</v>
      </c>
      <c r="CR168" t="e">
        <f t="shared" si="326"/>
        <v>#N/A</v>
      </c>
      <c r="CS168" t="e">
        <f t="shared" si="327"/>
        <v>#N/A</v>
      </c>
      <c r="CT168" t="e">
        <f t="shared" si="328"/>
        <v>#N/A</v>
      </c>
      <c r="CU168" t="e">
        <f t="shared" si="329"/>
        <v>#N/A</v>
      </c>
      <c r="CV168" t="e">
        <f t="shared" si="330"/>
        <v>#N/A</v>
      </c>
      <c r="CW168" t="e">
        <f t="shared" si="331"/>
        <v>#N/A</v>
      </c>
      <c r="CX168" t="e">
        <f t="shared" si="332"/>
        <v>#N/A</v>
      </c>
      <c r="CY168" t="e">
        <f t="shared" si="333"/>
        <v>#N/A</v>
      </c>
      <c r="CZ168" t="e">
        <f t="shared" si="334"/>
        <v>#N/A</v>
      </c>
      <c r="DA168" t="e">
        <f t="shared" si="335"/>
        <v>#N/A</v>
      </c>
      <c r="DB168" t="e">
        <f t="shared" si="336"/>
        <v>#N/A</v>
      </c>
      <c r="DC168" s="142" t="e">
        <f t="shared" si="337"/>
        <v>#N/A</v>
      </c>
      <c r="DD168" t="e">
        <f t="shared" si="191"/>
        <v>#N/A</v>
      </c>
      <c r="DE168" t="b">
        <f t="shared" si="338"/>
        <v>0</v>
      </c>
    </row>
    <row r="169" spans="1:109">
      <c r="A169">
        <f t="shared" si="192"/>
        <v>104</v>
      </c>
      <c r="B169" s="140" t="e">
        <f t="shared" si="233"/>
        <v>#N/A</v>
      </c>
      <c r="C169" s="140" t="e">
        <f t="shared" si="234"/>
        <v>#N/A</v>
      </c>
      <c r="D169" s="140" t="e">
        <f t="shared" si="235"/>
        <v>#N/A</v>
      </c>
      <c r="E169" s="140" t="e">
        <f t="shared" si="236"/>
        <v>#N/A</v>
      </c>
      <c r="F169" s="140" t="e">
        <f t="shared" si="237"/>
        <v>#N/A</v>
      </c>
      <c r="G169" s="140" t="e">
        <f t="shared" si="238"/>
        <v>#N/A</v>
      </c>
      <c r="H169" s="140" t="e">
        <f t="shared" si="239"/>
        <v>#N/A</v>
      </c>
      <c r="I169" s="140" t="e">
        <f t="shared" si="240"/>
        <v>#N/A</v>
      </c>
      <c r="J169" s="140" t="e">
        <f t="shared" si="241"/>
        <v>#N/A</v>
      </c>
      <c r="K169" s="140" t="e">
        <f t="shared" si="242"/>
        <v>#N/A</v>
      </c>
      <c r="L169" s="140" t="e">
        <f t="shared" si="243"/>
        <v>#N/A</v>
      </c>
      <c r="M169" s="140" t="e">
        <f t="shared" si="244"/>
        <v>#N/A</v>
      </c>
      <c r="N169" s="140" t="e">
        <f t="shared" si="245"/>
        <v>#N/A</v>
      </c>
      <c r="O169" s="140" t="e">
        <f t="shared" si="246"/>
        <v>#N/A</v>
      </c>
      <c r="P169" s="140" t="e">
        <f t="shared" si="247"/>
        <v>#N/A</v>
      </c>
      <c r="Q169" s="140" t="e">
        <f t="shared" si="248"/>
        <v>#N/A</v>
      </c>
      <c r="R169" s="140" t="e">
        <f t="shared" si="249"/>
        <v>#N/A</v>
      </c>
      <c r="S169" s="140" t="e">
        <f t="shared" si="250"/>
        <v>#N/A</v>
      </c>
      <c r="T169" s="140" t="e">
        <f t="shared" si="251"/>
        <v>#N/A</v>
      </c>
      <c r="U169" s="140" t="e">
        <f t="shared" si="252"/>
        <v>#N/A</v>
      </c>
      <c r="V169" s="141" t="str">
        <f t="shared" si="253"/>
        <v>DPS</v>
      </c>
      <c r="W169" s="141" t="str">
        <f t="shared" si="254"/>
        <v>DPS</v>
      </c>
      <c r="X169" s="141" t="str">
        <f t="shared" si="255"/>
        <v>DPS</v>
      </c>
      <c r="Y169" s="141" t="str">
        <f t="shared" si="256"/>
        <v>DPS</v>
      </c>
      <c r="Z169" s="141" t="str">
        <f t="shared" si="257"/>
        <v>DPS</v>
      </c>
      <c r="AA169" s="141" t="str">
        <f t="shared" si="258"/>
        <v>DPS</v>
      </c>
      <c r="AB169" s="141" t="str">
        <f t="shared" si="259"/>
        <v>DPS</v>
      </c>
      <c r="AC169" s="141" t="str">
        <f t="shared" si="260"/>
        <v>DPS</v>
      </c>
      <c r="AD169" s="141" t="str">
        <f t="shared" si="261"/>
        <v>DPS</v>
      </c>
      <c r="AE169" s="141" t="str">
        <f t="shared" si="262"/>
        <v>DPS</v>
      </c>
      <c r="AF169" s="141" t="str">
        <f t="shared" si="263"/>
        <v>DPS</v>
      </c>
      <c r="AG169" s="141" t="str">
        <f t="shared" si="264"/>
        <v>DPS</v>
      </c>
      <c r="AH169" s="141" t="str">
        <f t="shared" si="265"/>
        <v>DPS</v>
      </c>
      <c r="AI169" s="141" t="str">
        <f t="shared" si="266"/>
        <v>HPS</v>
      </c>
      <c r="AJ169" s="141" t="str">
        <f t="shared" si="267"/>
        <v>HPS</v>
      </c>
      <c r="AK169" s="141" t="str">
        <f t="shared" si="268"/>
        <v>HPS</v>
      </c>
      <c r="AL169" s="141" t="str">
        <f t="shared" si="269"/>
        <v>HPS</v>
      </c>
      <c r="AM169" s="141" t="str">
        <f t="shared" si="270"/>
        <v>HPS</v>
      </c>
      <c r="AN169" s="141" t="str">
        <f t="shared" si="271"/>
        <v>HPS</v>
      </c>
      <c r="AO169" s="141" t="str">
        <f t="shared" si="272"/>
        <v>HPS</v>
      </c>
      <c r="AP169" s="134" t="e">
        <f t="shared" si="273"/>
        <v>#N/A</v>
      </c>
      <c r="AQ169" s="134" t="e">
        <f t="shared" si="274"/>
        <v>#N/A</v>
      </c>
      <c r="AR169" s="134" t="e">
        <f t="shared" si="275"/>
        <v>#N/A</v>
      </c>
      <c r="AS169" s="134" t="e">
        <f t="shared" si="276"/>
        <v>#N/A</v>
      </c>
      <c r="AT169" s="134" t="e">
        <f t="shared" si="277"/>
        <v>#N/A</v>
      </c>
      <c r="AU169" s="134" t="e">
        <f t="shared" si="278"/>
        <v>#N/A</v>
      </c>
      <c r="AV169" s="134" t="e">
        <f t="shared" si="279"/>
        <v>#N/A</v>
      </c>
      <c r="AW169" s="134" t="e">
        <f t="shared" si="280"/>
        <v>#N/A</v>
      </c>
      <c r="AX169" s="134" t="e">
        <f t="shared" si="281"/>
        <v>#N/A</v>
      </c>
      <c r="AY169" s="134" t="e">
        <f t="shared" si="282"/>
        <v>#N/A</v>
      </c>
      <c r="AZ169" s="134" t="e">
        <f t="shared" si="283"/>
        <v>#N/A</v>
      </c>
      <c r="BA169" s="134" t="e">
        <f t="shared" si="284"/>
        <v>#N/A</v>
      </c>
      <c r="BB169" s="134" t="e">
        <f t="shared" si="285"/>
        <v>#N/A</v>
      </c>
      <c r="BC169" s="134" t="e">
        <f t="shared" si="286"/>
        <v>#N/A</v>
      </c>
      <c r="BD169" s="134" t="e">
        <f t="shared" si="287"/>
        <v>#N/A</v>
      </c>
      <c r="BE169" s="134" t="e">
        <f t="shared" si="288"/>
        <v>#N/A</v>
      </c>
      <c r="BF169" s="134" t="e">
        <f t="shared" si="289"/>
        <v>#N/A</v>
      </c>
      <c r="BG169" s="134" t="e">
        <f t="shared" si="290"/>
        <v>#N/A</v>
      </c>
      <c r="BH169" s="134" t="e">
        <f t="shared" si="291"/>
        <v>#N/A</v>
      </c>
      <c r="BI169" s="134" t="e">
        <f t="shared" si="292"/>
        <v>#N/A</v>
      </c>
      <c r="BJ169" t="e">
        <f t="shared" si="293"/>
        <v>#N/A</v>
      </c>
      <c r="BK169" t="e">
        <f t="shared" si="294"/>
        <v>#N/A</v>
      </c>
      <c r="BL169" s="142" t="e">
        <f t="shared" si="295"/>
        <v>#N/A</v>
      </c>
      <c r="BM169" s="142">
        <f t="shared" si="190"/>
        <v>2650</v>
      </c>
      <c r="BN169" t="e">
        <f t="shared" si="296"/>
        <v>#NUM!</v>
      </c>
      <c r="BO169" s="143" t="e">
        <f t="shared" si="297"/>
        <v>#N/A</v>
      </c>
      <c r="BP169" s="143" t="e">
        <f t="shared" si="298"/>
        <v>#N/A</v>
      </c>
      <c r="BQ169" s="143" t="e">
        <f t="shared" si="299"/>
        <v>#N/A</v>
      </c>
      <c r="BR169" s="143" t="e">
        <f t="shared" si="300"/>
        <v>#N/A</v>
      </c>
      <c r="BS169" s="143" t="e">
        <f t="shared" si="301"/>
        <v>#N/A</v>
      </c>
      <c r="BT169" s="143" t="e">
        <f t="shared" si="302"/>
        <v>#N/A</v>
      </c>
      <c r="BU169" s="143" t="e">
        <f t="shared" si="303"/>
        <v>#N/A</v>
      </c>
      <c r="BV169" s="143" t="e">
        <f t="shared" si="304"/>
        <v>#N/A</v>
      </c>
      <c r="BW169" s="143" t="e">
        <f t="shared" si="305"/>
        <v>#N/A</v>
      </c>
      <c r="BX169" s="143" t="e">
        <f t="shared" si="306"/>
        <v>#N/A</v>
      </c>
      <c r="BY169" s="143" t="e">
        <f t="shared" si="307"/>
        <v>#N/A</v>
      </c>
      <c r="BZ169" s="143" t="e">
        <f t="shared" si="308"/>
        <v>#N/A</v>
      </c>
      <c r="CA169" s="143" t="e">
        <f t="shared" si="309"/>
        <v>#N/A</v>
      </c>
      <c r="CB169" s="143" t="e">
        <f t="shared" si="310"/>
        <v>#N/A</v>
      </c>
      <c r="CC169" s="143" t="e">
        <f t="shared" si="311"/>
        <v>#N/A</v>
      </c>
      <c r="CD169" s="143" t="e">
        <f t="shared" si="312"/>
        <v>#N/A</v>
      </c>
      <c r="CE169" s="143" t="e">
        <f t="shared" si="313"/>
        <v>#N/A</v>
      </c>
      <c r="CF169" s="143" t="e">
        <f t="shared" si="314"/>
        <v>#N/A</v>
      </c>
      <c r="CG169" s="143" t="e">
        <f t="shared" si="315"/>
        <v>#N/A</v>
      </c>
      <c r="CH169" s="143" t="e">
        <f t="shared" si="316"/>
        <v>#N/A</v>
      </c>
      <c r="CI169" t="e">
        <f t="shared" si="317"/>
        <v>#N/A</v>
      </c>
      <c r="CJ169" t="e">
        <f t="shared" si="318"/>
        <v>#N/A</v>
      </c>
      <c r="CK169" t="e">
        <f t="shared" si="319"/>
        <v>#N/A</v>
      </c>
      <c r="CL169" t="e">
        <f t="shared" si="320"/>
        <v>#N/A</v>
      </c>
      <c r="CM169" t="e">
        <f t="shared" si="321"/>
        <v>#N/A</v>
      </c>
      <c r="CN169" t="e">
        <f t="shared" si="322"/>
        <v>#N/A</v>
      </c>
      <c r="CO169" t="e">
        <f t="shared" si="323"/>
        <v>#N/A</v>
      </c>
      <c r="CP169" t="e">
        <f t="shared" si="324"/>
        <v>#N/A</v>
      </c>
      <c r="CQ169" t="e">
        <f t="shared" si="325"/>
        <v>#N/A</v>
      </c>
      <c r="CR169" t="e">
        <f t="shared" si="326"/>
        <v>#N/A</v>
      </c>
      <c r="CS169" t="e">
        <f t="shared" si="327"/>
        <v>#N/A</v>
      </c>
      <c r="CT169" t="e">
        <f t="shared" si="328"/>
        <v>#N/A</v>
      </c>
      <c r="CU169" t="e">
        <f t="shared" si="329"/>
        <v>#N/A</v>
      </c>
      <c r="CV169" t="e">
        <f t="shared" si="330"/>
        <v>#N/A</v>
      </c>
      <c r="CW169" t="e">
        <f t="shared" si="331"/>
        <v>#N/A</v>
      </c>
      <c r="CX169" t="e">
        <f t="shared" si="332"/>
        <v>#N/A</v>
      </c>
      <c r="CY169" t="e">
        <f t="shared" si="333"/>
        <v>#N/A</v>
      </c>
      <c r="CZ169" t="e">
        <f t="shared" si="334"/>
        <v>#N/A</v>
      </c>
      <c r="DA169" t="e">
        <f t="shared" si="335"/>
        <v>#N/A</v>
      </c>
      <c r="DB169" t="e">
        <f t="shared" si="336"/>
        <v>#N/A</v>
      </c>
      <c r="DC169" s="142" t="e">
        <f t="shared" si="337"/>
        <v>#N/A</v>
      </c>
      <c r="DD169" t="e">
        <f t="shared" si="191"/>
        <v>#N/A</v>
      </c>
      <c r="DE169" t="b">
        <f t="shared" si="338"/>
        <v>0</v>
      </c>
    </row>
    <row r="170" spans="1:109">
      <c r="A170">
        <f t="shared" si="192"/>
        <v>105</v>
      </c>
      <c r="B170" s="140" t="e">
        <f t="shared" si="233"/>
        <v>#N/A</v>
      </c>
      <c r="C170" s="140" t="e">
        <f t="shared" si="234"/>
        <v>#N/A</v>
      </c>
      <c r="D170" s="140" t="e">
        <f t="shared" si="235"/>
        <v>#N/A</v>
      </c>
      <c r="E170" s="140" t="e">
        <f t="shared" si="236"/>
        <v>#N/A</v>
      </c>
      <c r="F170" s="140" t="e">
        <f t="shared" si="237"/>
        <v>#N/A</v>
      </c>
      <c r="G170" s="140" t="e">
        <f t="shared" si="238"/>
        <v>#N/A</v>
      </c>
      <c r="H170" s="140" t="e">
        <f t="shared" si="239"/>
        <v>#N/A</v>
      </c>
      <c r="I170" s="140" t="e">
        <f t="shared" si="240"/>
        <v>#N/A</v>
      </c>
      <c r="J170" s="140" t="e">
        <f t="shared" si="241"/>
        <v>#N/A</v>
      </c>
      <c r="K170" s="140" t="e">
        <f t="shared" si="242"/>
        <v>#N/A</v>
      </c>
      <c r="L170" s="140" t="e">
        <f t="shared" si="243"/>
        <v>#N/A</v>
      </c>
      <c r="M170" s="140" t="e">
        <f t="shared" si="244"/>
        <v>#N/A</v>
      </c>
      <c r="N170" s="140" t="e">
        <f t="shared" si="245"/>
        <v>#N/A</v>
      </c>
      <c r="O170" s="140" t="e">
        <f t="shared" si="246"/>
        <v>#N/A</v>
      </c>
      <c r="P170" s="140" t="e">
        <f t="shared" si="247"/>
        <v>#N/A</v>
      </c>
      <c r="Q170" s="140" t="e">
        <f t="shared" si="248"/>
        <v>#N/A</v>
      </c>
      <c r="R170" s="140" t="e">
        <f t="shared" si="249"/>
        <v>#N/A</v>
      </c>
      <c r="S170" s="140" t="e">
        <f t="shared" si="250"/>
        <v>#N/A</v>
      </c>
      <c r="T170" s="140" t="e">
        <f t="shared" si="251"/>
        <v>#N/A</v>
      </c>
      <c r="U170" s="140" t="e">
        <f t="shared" si="252"/>
        <v>#N/A</v>
      </c>
      <c r="V170" s="141" t="str">
        <f t="shared" si="253"/>
        <v>DPS</v>
      </c>
      <c r="W170" s="141" t="str">
        <f t="shared" si="254"/>
        <v>DPS</v>
      </c>
      <c r="X170" s="141" t="str">
        <f t="shared" si="255"/>
        <v>DPS</v>
      </c>
      <c r="Y170" s="141" t="str">
        <f t="shared" si="256"/>
        <v>DPS</v>
      </c>
      <c r="Z170" s="141" t="str">
        <f t="shared" si="257"/>
        <v>DPS</v>
      </c>
      <c r="AA170" s="141" t="str">
        <f t="shared" si="258"/>
        <v>DPS</v>
      </c>
      <c r="AB170" s="141" t="str">
        <f t="shared" si="259"/>
        <v>DPS</v>
      </c>
      <c r="AC170" s="141" t="str">
        <f t="shared" si="260"/>
        <v>DPS</v>
      </c>
      <c r="AD170" s="141" t="str">
        <f t="shared" si="261"/>
        <v>DPS</v>
      </c>
      <c r="AE170" s="141" t="str">
        <f t="shared" si="262"/>
        <v>DPS</v>
      </c>
      <c r="AF170" s="141" t="str">
        <f t="shared" si="263"/>
        <v>DPS</v>
      </c>
      <c r="AG170" s="141" t="str">
        <f t="shared" si="264"/>
        <v>DPS</v>
      </c>
      <c r="AH170" s="141" t="str">
        <f t="shared" si="265"/>
        <v>DPS</v>
      </c>
      <c r="AI170" s="141" t="str">
        <f t="shared" si="266"/>
        <v>HPS</v>
      </c>
      <c r="AJ170" s="141" t="str">
        <f t="shared" si="267"/>
        <v>HPS</v>
      </c>
      <c r="AK170" s="141" t="str">
        <f t="shared" si="268"/>
        <v>HPS</v>
      </c>
      <c r="AL170" s="141" t="str">
        <f t="shared" si="269"/>
        <v>HPS</v>
      </c>
      <c r="AM170" s="141" t="str">
        <f t="shared" si="270"/>
        <v>HPS</v>
      </c>
      <c r="AN170" s="141" t="str">
        <f t="shared" si="271"/>
        <v>HPS</v>
      </c>
      <c r="AO170" s="141" t="str">
        <f t="shared" si="272"/>
        <v>HPS</v>
      </c>
      <c r="AP170" s="134" t="e">
        <f t="shared" si="273"/>
        <v>#N/A</v>
      </c>
      <c r="AQ170" s="134" t="e">
        <f t="shared" si="274"/>
        <v>#N/A</v>
      </c>
      <c r="AR170" s="134" t="e">
        <f t="shared" si="275"/>
        <v>#N/A</v>
      </c>
      <c r="AS170" s="134" t="e">
        <f t="shared" si="276"/>
        <v>#N/A</v>
      </c>
      <c r="AT170" s="134" t="e">
        <f t="shared" si="277"/>
        <v>#N/A</v>
      </c>
      <c r="AU170" s="134" t="e">
        <f t="shared" si="278"/>
        <v>#N/A</v>
      </c>
      <c r="AV170" s="134" t="e">
        <f t="shared" si="279"/>
        <v>#N/A</v>
      </c>
      <c r="AW170" s="134" t="e">
        <f t="shared" si="280"/>
        <v>#N/A</v>
      </c>
      <c r="AX170" s="134" t="e">
        <f t="shared" si="281"/>
        <v>#N/A</v>
      </c>
      <c r="AY170" s="134" t="e">
        <f t="shared" si="282"/>
        <v>#N/A</v>
      </c>
      <c r="AZ170" s="134" t="e">
        <f t="shared" si="283"/>
        <v>#N/A</v>
      </c>
      <c r="BA170" s="134" t="e">
        <f t="shared" si="284"/>
        <v>#N/A</v>
      </c>
      <c r="BB170" s="134" t="e">
        <f t="shared" si="285"/>
        <v>#N/A</v>
      </c>
      <c r="BC170" s="134" t="e">
        <f t="shared" si="286"/>
        <v>#N/A</v>
      </c>
      <c r="BD170" s="134" t="e">
        <f t="shared" si="287"/>
        <v>#N/A</v>
      </c>
      <c r="BE170" s="134" t="e">
        <f t="shared" si="288"/>
        <v>#N/A</v>
      </c>
      <c r="BF170" s="134" t="e">
        <f t="shared" si="289"/>
        <v>#N/A</v>
      </c>
      <c r="BG170" s="134" t="e">
        <f t="shared" si="290"/>
        <v>#N/A</v>
      </c>
      <c r="BH170" s="134" t="e">
        <f t="shared" si="291"/>
        <v>#N/A</v>
      </c>
      <c r="BI170" s="134" t="e">
        <f t="shared" si="292"/>
        <v>#N/A</v>
      </c>
      <c r="BJ170" t="e">
        <f t="shared" si="293"/>
        <v>#N/A</v>
      </c>
      <c r="BK170" t="e">
        <f t="shared" si="294"/>
        <v>#N/A</v>
      </c>
      <c r="BL170" s="142" t="e">
        <f t="shared" si="295"/>
        <v>#N/A</v>
      </c>
      <c r="BM170" s="142">
        <f t="shared" si="190"/>
        <v>2650</v>
      </c>
      <c r="BN170" t="e">
        <f t="shared" si="296"/>
        <v>#NUM!</v>
      </c>
      <c r="BO170" s="143" t="e">
        <f t="shared" si="297"/>
        <v>#N/A</v>
      </c>
      <c r="BP170" s="143" t="e">
        <f t="shared" si="298"/>
        <v>#N/A</v>
      </c>
      <c r="BQ170" s="143" t="e">
        <f t="shared" si="299"/>
        <v>#N/A</v>
      </c>
      <c r="BR170" s="143" t="e">
        <f t="shared" si="300"/>
        <v>#N/A</v>
      </c>
      <c r="BS170" s="143" t="e">
        <f t="shared" si="301"/>
        <v>#N/A</v>
      </c>
      <c r="BT170" s="143" t="e">
        <f t="shared" si="302"/>
        <v>#N/A</v>
      </c>
      <c r="BU170" s="143" t="e">
        <f t="shared" si="303"/>
        <v>#N/A</v>
      </c>
      <c r="BV170" s="143" t="e">
        <f t="shared" si="304"/>
        <v>#N/A</v>
      </c>
      <c r="BW170" s="143" t="e">
        <f t="shared" si="305"/>
        <v>#N/A</v>
      </c>
      <c r="BX170" s="143" t="e">
        <f t="shared" si="306"/>
        <v>#N/A</v>
      </c>
      <c r="BY170" s="143" t="e">
        <f t="shared" si="307"/>
        <v>#N/A</v>
      </c>
      <c r="BZ170" s="143" t="e">
        <f t="shared" si="308"/>
        <v>#N/A</v>
      </c>
      <c r="CA170" s="143" t="e">
        <f t="shared" si="309"/>
        <v>#N/A</v>
      </c>
      <c r="CB170" s="143" t="e">
        <f t="shared" si="310"/>
        <v>#N/A</v>
      </c>
      <c r="CC170" s="143" t="e">
        <f t="shared" si="311"/>
        <v>#N/A</v>
      </c>
      <c r="CD170" s="143" t="e">
        <f t="shared" si="312"/>
        <v>#N/A</v>
      </c>
      <c r="CE170" s="143" t="e">
        <f t="shared" si="313"/>
        <v>#N/A</v>
      </c>
      <c r="CF170" s="143" t="e">
        <f t="shared" si="314"/>
        <v>#N/A</v>
      </c>
      <c r="CG170" s="143" t="e">
        <f t="shared" si="315"/>
        <v>#N/A</v>
      </c>
      <c r="CH170" s="143" t="e">
        <f t="shared" si="316"/>
        <v>#N/A</v>
      </c>
      <c r="CI170" t="e">
        <f t="shared" si="317"/>
        <v>#N/A</v>
      </c>
      <c r="CJ170" t="e">
        <f t="shared" si="318"/>
        <v>#N/A</v>
      </c>
      <c r="CK170" t="e">
        <f t="shared" si="319"/>
        <v>#N/A</v>
      </c>
      <c r="CL170" t="e">
        <f t="shared" si="320"/>
        <v>#N/A</v>
      </c>
      <c r="CM170" t="e">
        <f t="shared" si="321"/>
        <v>#N/A</v>
      </c>
      <c r="CN170" t="e">
        <f t="shared" si="322"/>
        <v>#N/A</v>
      </c>
      <c r="CO170" t="e">
        <f t="shared" si="323"/>
        <v>#N/A</v>
      </c>
      <c r="CP170" t="e">
        <f t="shared" si="324"/>
        <v>#N/A</v>
      </c>
      <c r="CQ170" t="e">
        <f t="shared" si="325"/>
        <v>#N/A</v>
      </c>
      <c r="CR170" t="e">
        <f t="shared" si="326"/>
        <v>#N/A</v>
      </c>
      <c r="CS170" t="e">
        <f t="shared" si="327"/>
        <v>#N/A</v>
      </c>
      <c r="CT170" t="e">
        <f t="shared" si="328"/>
        <v>#N/A</v>
      </c>
      <c r="CU170" t="e">
        <f t="shared" si="329"/>
        <v>#N/A</v>
      </c>
      <c r="CV170" t="e">
        <f t="shared" si="330"/>
        <v>#N/A</v>
      </c>
      <c r="CW170" t="e">
        <f t="shared" si="331"/>
        <v>#N/A</v>
      </c>
      <c r="CX170" t="e">
        <f t="shared" si="332"/>
        <v>#N/A</v>
      </c>
      <c r="CY170" t="e">
        <f t="shared" si="333"/>
        <v>#N/A</v>
      </c>
      <c r="CZ170" t="e">
        <f t="shared" si="334"/>
        <v>#N/A</v>
      </c>
      <c r="DA170" t="e">
        <f t="shared" si="335"/>
        <v>#N/A</v>
      </c>
      <c r="DB170" t="e">
        <f t="shared" si="336"/>
        <v>#N/A</v>
      </c>
      <c r="DC170" s="142" t="e">
        <f t="shared" si="337"/>
        <v>#N/A</v>
      </c>
      <c r="DD170" t="e">
        <f t="shared" si="191"/>
        <v>#N/A</v>
      </c>
      <c r="DE170" t="b">
        <f t="shared" si="338"/>
        <v>0</v>
      </c>
    </row>
    <row r="171" spans="1:109">
      <c r="A171">
        <f t="shared" si="192"/>
        <v>106</v>
      </c>
      <c r="B171" s="140" t="e">
        <f t="shared" si="233"/>
        <v>#N/A</v>
      </c>
      <c r="C171" s="140" t="e">
        <f t="shared" si="234"/>
        <v>#N/A</v>
      </c>
      <c r="D171" s="140" t="e">
        <f t="shared" si="235"/>
        <v>#N/A</v>
      </c>
      <c r="E171" s="140" t="e">
        <f t="shared" si="236"/>
        <v>#N/A</v>
      </c>
      <c r="F171" s="140" t="e">
        <f t="shared" si="237"/>
        <v>#N/A</v>
      </c>
      <c r="G171" s="140" t="e">
        <f t="shared" si="238"/>
        <v>#N/A</v>
      </c>
      <c r="H171" s="140" t="e">
        <f t="shared" si="239"/>
        <v>#N/A</v>
      </c>
      <c r="I171" s="140" t="e">
        <f t="shared" si="240"/>
        <v>#N/A</v>
      </c>
      <c r="J171" s="140" t="e">
        <f t="shared" si="241"/>
        <v>#N/A</v>
      </c>
      <c r="K171" s="140" t="e">
        <f t="shared" si="242"/>
        <v>#N/A</v>
      </c>
      <c r="L171" s="140" t="e">
        <f t="shared" si="243"/>
        <v>#N/A</v>
      </c>
      <c r="M171" s="140" t="e">
        <f t="shared" si="244"/>
        <v>#N/A</v>
      </c>
      <c r="N171" s="140" t="e">
        <f t="shared" si="245"/>
        <v>#N/A</v>
      </c>
      <c r="O171" s="140" t="e">
        <f t="shared" si="246"/>
        <v>#N/A</v>
      </c>
      <c r="P171" s="140" t="e">
        <f t="shared" si="247"/>
        <v>#N/A</v>
      </c>
      <c r="Q171" s="140" t="e">
        <f t="shared" si="248"/>
        <v>#N/A</v>
      </c>
      <c r="R171" s="140" t="e">
        <f t="shared" si="249"/>
        <v>#N/A</v>
      </c>
      <c r="S171" s="140" t="e">
        <f t="shared" si="250"/>
        <v>#N/A</v>
      </c>
      <c r="T171" s="140" t="e">
        <f t="shared" si="251"/>
        <v>#N/A</v>
      </c>
      <c r="U171" s="140" t="e">
        <f t="shared" si="252"/>
        <v>#N/A</v>
      </c>
      <c r="V171" s="141" t="str">
        <f t="shared" si="253"/>
        <v>DPS</v>
      </c>
      <c r="W171" s="141" t="str">
        <f t="shared" si="254"/>
        <v>DPS</v>
      </c>
      <c r="X171" s="141" t="str">
        <f t="shared" si="255"/>
        <v>DPS</v>
      </c>
      <c r="Y171" s="141" t="str">
        <f t="shared" si="256"/>
        <v>DPS</v>
      </c>
      <c r="Z171" s="141" t="str">
        <f t="shared" si="257"/>
        <v>DPS</v>
      </c>
      <c r="AA171" s="141" t="str">
        <f t="shared" si="258"/>
        <v>DPS</v>
      </c>
      <c r="AB171" s="141" t="str">
        <f t="shared" si="259"/>
        <v>DPS</v>
      </c>
      <c r="AC171" s="141" t="str">
        <f t="shared" si="260"/>
        <v>DPS</v>
      </c>
      <c r="AD171" s="141" t="str">
        <f t="shared" si="261"/>
        <v>DPS</v>
      </c>
      <c r="AE171" s="141" t="str">
        <f t="shared" si="262"/>
        <v>DPS</v>
      </c>
      <c r="AF171" s="141" t="str">
        <f t="shared" si="263"/>
        <v>DPS</v>
      </c>
      <c r="AG171" s="141" t="str">
        <f t="shared" si="264"/>
        <v>DPS</v>
      </c>
      <c r="AH171" s="141" t="str">
        <f t="shared" si="265"/>
        <v>DPS</v>
      </c>
      <c r="AI171" s="141" t="str">
        <f t="shared" si="266"/>
        <v>HPS</v>
      </c>
      <c r="AJ171" s="141" t="str">
        <f t="shared" si="267"/>
        <v>HPS</v>
      </c>
      <c r="AK171" s="141" t="str">
        <f t="shared" si="268"/>
        <v>HPS</v>
      </c>
      <c r="AL171" s="141" t="str">
        <f t="shared" si="269"/>
        <v>HPS</v>
      </c>
      <c r="AM171" s="141" t="str">
        <f t="shared" si="270"/>
        <v>HPS</v>
      </c>
      <c r="AN171" s="141" t="str">
        <f t="shared" si="271"/>
        <v>HPS</v>
      </c>
      <c r="AO171" s="141" t="str">
        <f t="shared" si="272"/>
        <v>HPS</v>
      </c>
      <c r="AP171" s="134" t="e">
        <f t="shared" si="273"/>
        <v>#N/A</v>
      </c>
      <c r="AQ171" s="134" t="e">
        <f t="shared" si="274"/>
        <v>#N/A</v>
      </c>
      <c r="AR171" s="134" t="e">
        <f t="shared" si="275"/>
        <v>#N/A</v>
      </c>
      <c r="AS171" s="134" t="e">
        <f t="shared" si="276"/>
        <v>#N/A</v>
      </c>
      <c r="AT171" s="134" t="e">
        <f t="shared" si="277"/>
        <v>#N/A</v>
      </c>
      <c r="AU171" s="134" t="e">
        <f t="shared" si="278"/>
        <v>#N/A</v>
      </c>
      <c r="AV171" s="134" t="e">
        <f t="shared" si="279"/>
        <v>#N/A</v>
      </c>
      <c r="AW171" s="134" t="e">
        <f t="shared" si="280"/>
        <v>#N/A</v>
      </c>
      <c r="AX171" s="134" t="e">
        <f t="shared" si="281"/>
        <v>#N/A</v>
      </c>
      <c r="AY171" s="134" t="e">
        <f t="shared" si="282"/>
        <v>#N/A</v>
      </c>
      <c r="AZ171" s="134" t="e">
        <f t="shared" si="283"/>
        <v>#N/A</v>
      </c>
      <c r="BA171" s="134" t="e">
        <f t="shared" si="284"/>
        <v>#N/A</v>
      </c>
      <c r="BB171" s="134" t="e">
        <f t="shared" si="285"/>
        <v>#N/A</v>
      </c>
      <c r="BC171" s="134" t="e">
        <f t="shared" si="286"/>
        <v>#N/A</v>
      </c>
      <c r="BD171" s="134" t="e">
        <f t="shared" si="287"/>
        <v>#N/A</v>
      </c>
      <c r="BE171" s="134" t="e">
        <f t="shared" si="288"/>
        <v>#N/A</v>
      </c>
      <c r="BF171" s="134" t="e">
        <f t="shared" si="289"/>
        <v>#N/A</v>
      </c>
      <c r="BG171" s="134" t="e">
        <f t="shared" si="290"/>
        <v>#N/A</v>
      </c>
      <c r="BH171" s="134" t="e">
        <f t="shared" si="291"/>
        <v>#N/A</v>
      </c>
      <c r="BI171" s="134" t="e">
        <f t="shared" si="292"/>
        <v>#N/A</v>
      </c>
      <c r="BJ171" t="e">
        <f t="shared" si="293"/>
        <v>#N/A</v>
      </c>
      <c r="BK171" t="e">
        <f t="shared" si="294"/>
        <v>#N/A</v>
      </c>
      <c r="BL171" s="142" t="e">
        <f t="shared" si="295"/>
        <v>#N/A</v>
      </c>
      <c r="BM171" s="142">
        <f t="shared" si="190"/>
        <v>2650</v>
      </c>
      <c r="BN171" t="e">
        <f t="shared" si="296"/>
        <v>#NUM!</v>
      </c>
      <c r="BO171" s="143" t="e">
        <f t="shared" si="297"/>
        <v>#N/A</v>
      </c>
      <c r="BP171" s="143" t="e">
        <f t="shared" si="298"/>
        <v>#N/A</v>
      </c>
      <c r="BQ171" s="143" t="e">
        <f t="shared" si="299"/>
        <v>#N/A</v>
      </c>
      <c r="BR171" s="143" t="e">
        <f t="shared" si="300"/>
        <v>#N/A</v>
      </c>
      <c r="BS171" s="143" t="e">
        <f t="shared" si="301"/>
        <v>#N/A</v>
      </c>
      <c r="BT171" s="143" t="e">
        <f t="shared" si="302"/>
        <v>#N/A</v>
      </c>
      <c r="BU171" s="143" t="e">
        <f t="shared" si="303"/>
        <v>#N/A</v>
      </c>
      <c r="BV171" s="143" t="e">
        <f t="shared" si="304"/>
        <v>#N/A</v>
      </c>
      <c r="BW171" s="143" t="e">
        <f t="shared" si="305"/>
        <v>#N/A</v>
      </c>
      <c r="BX171" s="143" t="e">
        <f t="shared" si="306"/>
        <v>#N/A</v>
      </c>
      <c r="BY171" s="143" t="e">
        <f t="shared" si="307"/>
        <v>#N/A</v>
      </c>
      <c r="BZ171" s="143" t="e">
        <f t="shared" si="308"/>
        <v>#N/A</v>
      </c>
      <c r="CA171" s="143" t="e">
        <f t="shared" si="309"/>
        <v>#N/A</v>
      </c>
      <c r="CB171" s="143" t="e">
        <f t="shared" si="310"/>
        <v>#N/A</v>
      </c>
      <c r="CC171" s="143" t="e">
        <f t="shared" si="311"/>
        <v>#N/A</v>
      </c>
      <c r="CD171" s="143" t="e">
        <f t="shared" si="312"/>
        <v>#N/A</v>
      </c>
      <c r="CE171" s="143" t="e">
        <f t="shared" si="313"/>
        <v>#N/A</v>
      </c>
      <c r="CF171" s="143" t="e">
        <f t="shared" si="314"/>
        <v>#N/A</v>
      </c>
      <c r="CG171" s="143" t="e">
        <f t="shared" si="315"/>
        <v>#N/A</v>
      </c>
      <c r="CH171" s="143" t="e">
        <f t="shared" si="316"/>
        <v>#N/A</v>
      </c>
      <c r="CI171" t="e">
        <f t="shared" si="317"/>
        <v>#N/A</v>
      </c>
      <c r="CJ171" t="e">
        <f t="shared" si="318"/>
        <v>#N/A</v>
      </c>
      <c r="CK171" t="e">
        <f t="shared" si="319"/>
        <v>#N/A</v>
      </c>
      <c r="CL171" t="e">
        <f t="shared" si="320"/>
        <v>#N/A</v>
      </c>
      <c r="CM171" t="e">
        <f t="shared" si="321"/>
        <v>#N/A</v>
      </c>
      <c r="CN171" t="e">
        <f t="shared" si="322"/>
        <v>#N/A</v>
      </c>
      <c r="CO171" t="e">
        <f t="shared" si="323"/>
        <v>#N/A</v>
      </c>
      <c r="CP171" t="e">
        <f t="shared" si="324"/>
        <v>#N/A</v>
      </c>
      <c r="CQ171" t="e">
        <f t="shared" si="325"/>
        <v>#N/A</v>
      </c>
      <c r="CR171" t="e">
        <f t="shared" si="326"/>
        <v>#N/A</v>
      </c>
      <c r="CS171" t="e">
        <f t="shared" si="327"/>
        <v>#N/A</v>
      </c>
      <c r="CT171" t="e">
        <f t="shared" si="328"/>
        <v>#N/A</v>
      </c>
      <c r="CU171" t="e">
        <f t="shared" si="329"/>
        <v>#N/A</v>
      </c>
      <c r="CV171" t="e">
        <f t="shared" si="330"/>
        <v>#N/A</v>
      </c>
      <c r="CW171" t="e">
        <f t="shared" si="331"/>
        <v>#N/A</v>
      </c>
      <c r="CX171" t="e">
        <f t="shared" si="332"/>
        <v>#N/A</v>
      </c>
      <c r="CY171" t="e">
        <f t="shared" si="333"/>
        <v>#N/A</v>
      </c>
      <c r="CZ171" t="e">
        <f t="shared" si="334"/>
        <v>#N/A</v>
      </c>
      <c r="DA171" t="e">
        <f t="shared" si="335"/>
        <v>#N/A</v>
      </c>
      <c r="DB171" t="e">
        <f t="shared" si="336"/>
        <v>#N/A</v>
      </c>
      <c r="DC171" s="142" t="e">
        <f t="shared" si="337"/>
        <v>#N/A</v>
      </c>
      <c r="DD171" t="e">
        <f t="shared" si="191"/>
        <v>#N/A</v>
      </c>
      <c r="DE171" t="b">
        <f t="shared" si="338"/>
        <v>0</v>
      </c>
    </row>
    <row r="172" spans="1:109">
      <c r="A172">
        <f t="shared" si="192"/>
        <v>107</v>
      </c>
      <c r="B172" s="140" t="e">
        <f t="shared" si="233"/>
        <v>#N/A</v>
      </c>
      <c r="C172" s="140" t="e">
        <f t="shared" si="234"/>
        <v>#N/A</v>
      </c>
      <c r="D172" s="140" t="e">
        <f t="shared" si="235"/>
        <v>#N/A</v>
      </c>
      <c r="E172" s="140" t="e">
        <f t="shared" si="236"/>
        <v>#N/A</v>
      </c>
      <c r="F172" s="140" t="e">
        <f t="shared" si="237"/>
        <v>#N/A</v>
      </c>
      <c r="G172" s="140" t="e">
        <f t="shared" si="238"/>
        <v>#N/A</v>
      </c>
      <c r="H172" s="140" t="e">
        <f t="shared" si="239"/>
        <v>#N/A</v>
      </c>
      <c r="I172" s="140" t="e">
        <f t="shared" si="240"/>
        <v>#N/A</v>
      </c>
      <c r="J172" s="140" t="e">
        <f t="shared" si="241"/>
        <v>#N/A</v>
      </c>
      <c r="K172" s="140" t="e">
        <f t="shared" si="242"/>
        <v>#N/A</v>
      </c>
      <c r="L172" s="140" t="e">
        <f t="shared" si="243"/>
        <v>#N/A</v>
      </c>
      <c r="M172" s="140" t="e">
        <f t="shared" si="244"/>
        <v>#N/A</v>
      </c>
      <c r="N172" s="140" t="e">
        <f t="shared" si="245"/>
        <v>#N/A</v>
      </c>
      <c r="O172" s="140" t="e">
        <f t="shared" si="246"/>
        <v>#N/A</v>
      </c>
      <c r="P172" s="140" t="e">
        <f t="shared" si="247"/>
        <v>#N/A</v>
      </c>
      <c r="Q172" s="140" t="e">
        <f t="shared" si="248"/>
        <v>#N/A</v>
      </c>
      <c r="R172" s="140" t="e">
        <f t="shared" si="249"/>
        <v>#N/A</v>
      </c>
      <c r="S172" s="140" t="e">
        <f t="shared" si="250"/>
        <v>#N/A</v>
      </c>
      <c r="T172" s="140" t="e">
        <f t="shared" si="251"/>
        <v>#N/A</v>
      </c>
      <c r="U172" s="140" t="e">
        <f t="shared" si="252"/>
        <v>#N/A</v>
      </c>
      <c r="V172" s="141" t="str">
        <f t="shared" si="253"/>
        <v>DPS</v>
      </c>
      <c r="W172" s="141" t="str">
        <f t="shared" si="254"/>
        <v>DPS</v>
      </c>
      <c r="X172" s="141" t="str">
        <f t="shared" si="255"/>
        <v>DPS</v>
      </c>
      <c r="Y172" s="141" t="str">
        <f t="shared" si="256"/>
        <v>DPS</v>
      </c>
      <c r="Z172" s="141" t="str">
        <f t="shared" si="257"/>
        <v>DPS</v>
      </c>
      <c r="AA172" s="141" t="str">
        <f t="shared" si="258"/>
        <v>DPS</v>
      </c>
      <c r="AB172" s="141" t="str">
        <f t="shared" si="259"/>
        <v>DPS</v>
      </c>
      <c r="AC172" s="141" t="str">
        <f t="shared" si="260"/>
        <v>DPS</v>
      </c>
      <c r="AD172" s="141" t="str">
        <f t="shared" si="261"/>
        <v>DPS</v>
      </c>
      <c r="AE172" s="141" t="str">
        <f t="shared" si="262"/>
        <v>DPS</v>
      </c>
      <c r="AF172" s="141" t="str">
        <f t="shared" si="263"/>
        <v>DPS</v>
      </c>
      <c r="AG172" s="141" t="str">
        <f t="shared" si="264"/>
        <v>DPS</v>
      </c>
      <c r="AH172" s="141" t="str">
        <f t="shared" si="265"/>
        <v>DPS</v>
      </c>
      <c r="AI172" s="141" t="str">
        <f t="shared" si="266"/>
        <v>HPS</v>
      </c>
      <c r="AJ172" s="141" t="str">
        <f t="shared" si="267"/>
        <v>HPS</v>
      </c>
      <c r="AK172" s="141" t="str">
        <f t="shared" si="268"/>
        <v>HPS</v>
      </c>
      <c r="AL172" s="141" t="str">
        <f t="shared" si="269"/>
        <v>HPS</v>
      </c>
      <c r="AM172" s="141" t="str">
        <f t="shared" si="270"/>
        <v>HPS</v>
      </c>
      <c r="AN172" s="141" t="str">
        <f t="shared" si="271"/>
        <v>HPS</v>
      </c>
      <c r="AO172" s="141" t="str">
        <f t="shared" si="272"/>
        <v>HPS</v>
      </c>
      <c r="AP172" s="134" t="e">
        <f t="shared" si="273"/>
        <v>#N/A</v>
      </c>
      <c r="AQ172" s="134" t="e">
        <f t="shared" si="274"/>
        <v>#N/A</v>
      </c>
      <c r="AR172" s="134" t="e">
        <f t="shared" si="275"/>
        <v>#N/A</v>
      </c>
      <c r="AS172" s="134" t="e">
        <f t="shared" si="276"/>
        <v>#N/A</v>
      </c>
      <c r="AT172" s="134" t="e">
        <f t="shared" si="277"/>
        <v>#N/A</v>
      </c>
      <c r="AU172" s="134" t="e">
        <f t="shared" si="278"/>
        <v>#N/A</v>
      </c>
      <c r="AV172" s="134" t="e">
        <f t="shared" si="279"/>
        <v>#N/A</v>
      </c>
      <c r="AW172" s="134" t="e">
        <f t="shared" si="280"/>
        <v>#N/A</v>
      </c>
      <c r="AX172" s="134" t="e">
        <f t="shared" si="281"/>
        <v>#N/A</v>
      </c>
      <c r="AY172" s="134" t="e">
        <f t="shared" si="282"/>
        <v>#N/A</v>
      </c>
      <c r="AZ172" s="134" t="e">
        <f t="shared" si="283"/>
        <v>#N/A</v>
      </c>
      <c r="BA172" s="134" t="e">
        <f t="shared" si="284"/>
        <v>#N/A</v>
      </c>
      <c r="BB172" s="134" t="e">
        <f t="shared" si="285"/>
        <v>#N/A</v>
      </c>
      <c r="BC172" s="134" t="e">
        <f t="shared" si="286"/>
        <v>#N/A</v>
      </c>
      <c r="BD172" s="134" t="e">
        <f t="shared" si="287"/>
        <v>#N/A</v>
      </c>
      <c r="BE172" s="134" t="e">
        <f t="shared" si="288"/>
        <v>#N/A</v>
      </c>
      <c r="BF172" s="134" t="e">
        <f t="shared" si="289"/>
        <v>#N/A</v>
      </c>
      <c r="BG172" s="134" t="e">
        <f t="shared" si="290"/>
        <v>#N/A</v>
      </c>
      <c r="BH172" s="134" t="e">
        <f t="shared" si="291"/>
        <v>#N/A</v>
      </c>
      <c r="BI172" s="134" t="e">
        <f t="shared" si="292"/>
        <v>#N/A</v>
      </c>
      <c r="BJ172" t="e">
        <f t="shared" si="293"/>
        <v>#N/A</v>
      </c>
      <c r="BK172" t="e">
        <f t="shared" si="294"/>
        <v>#N/A</v>
      </c>
      <c r="BL172" s="142" t="e">
        <f t="shared" si="295"/>
        <v>#N/A</v>
      </c>
      <c r="BM172" s="142">
        <f t="shared" si="190"/>
        <v>2650</v>
      </c>
      <c r="BN172" t="e">
        <f t="shared" si="296"/>
        <v>#NUM!</v>
      </c>
      <c r="BO172" s="143" t="e">
        <f t="shared" si="297"/>
        <v>#N/A</v>
      </c>
      <c r="BP172" s="143" t="e">
        <f t="shared" si="298"/>
        <v>#N/A</v>
      </c>
      <c r="BQ172" s="143" t="e">
        <f t="shared" si="299"/>
        <v>#N/A</v>
      </c>
      <c r="BR172" s="143" t="e">
        <f t="shared" si="300"/>
        <v>#N/A</v>
      </c>
      <c r="BS172" s="143" t="e">
        <f t="shared" si="301"/>
        <v>#N/A</v>
      </c>
      <c r="BT172" s="143" t="e">
        <f t="shared" si="302"/>
        <v>#N/A</v>
      </c>
      <c r="BU172" s="143" t="e">
        <f t="shared" si="303"/>
        <v>#N/A</v>
      </c>
      <c r="BV172" s="143" t="e">
        <f t="shared" si="304"/>
        <v>#N/A</v>
      </c>
      <c r="BW172" s="143" t="e">
        <f t="shared" si="305"/>
        <v>#N/A</v>
      </c>
      <c r="BX172" s="143" t="e">
        <f t="shared" si="306"/>
        <v>#N/A</v>
      </c>
      <c r="BY172" s="143" t="e">
        <f t="shared" si="307"/>
        <v>#N/A</v>
      </c>
      <c r="BZ172" s="143" t="e">
        <f t="shared" si="308"/>
        <v>#N/A</v>
      </c>
      <c r="CA172" s="143" t="e">
        <f t="shared" si="309"/>
        <v>#N/A</v>
      </c>
      <c r="CB172" s="143" t="e">
        <f t="shared" si="310"/>
        <v>#N/A</v>
      </c>
      <c r="CC172" s="143" t="e">
        <f t="shared" si="311"/>
        <v>#N/A</v>
      </c>
      <c r="CD172" s="143" t="e">
        <f t="shared" si="312"/>
        <v>#N/A</v>
      </c>
      <c r="CE172" s="143" t="e">
        <f t="shared" si="313"/>
        <v>#N/A</v>
      </c>
      <c r="CF172" s="143" t="e">
        <f t="shared" si="314"/>
        <v>#N/A</v>
      </c>
      <c r="CG172" s="143" t="e">
        <f t="shared" si="315"/>
        <v>#N/A</v>
      </c>
      <c r="CH172" s="143" t="e">
        <f t="shared" si="316"/>
        <v>#N/A</v>
      </c>
      <c r="CI172" t="e">
        <f t="shared" si="317"/>
        <v>#N/A</v>
      </c>
      <c r="CJ172" t="e">
        <f t="shared" si="318"/>
        <v>#N/A</v>
      </c>
      <c r="CK172" t="e">
        <f t="shared" si="319"/>
        <v>#N/A</v>
      </c>
      <c r="CL172" t="e">
        <f t="shared" si="320"/>
        <v>#N/A</v>
      </c>
      <c r="CM172" t="e">
        <f t="shared" si="321"/>
        <v>#N/A</v>
      </c>
      <c r="CN172" t="e">
        <f t="shared" si="322"/>
        <v>#N/A</v>
      </c>
      <c r="CO172" t="e">
        <f t="shared" si="323"/>
        <v>#N/A</v>
      </c>
      <c r="CP172" t="e">
        <f t="shared" si="324"/>
        <v>#N/A</v>
      </c>
      <c r="CQ172" t="e">
        <f t="shared" si="325"/>
        <v>#N/A</v>
      </c>
      <c r="CR172" t="e">
        <f t="shared" si="326"/>
        <v>#N/A</v>
      </c>
      <c r="CS172" t="e">
        <f t="shared" si="327"/>
        <v>#N/A</v>
      </c>
      <c r="CT172" t="e">
        <f t="shared" si="328"/>
        <v>#N/A</v>
      </c>
      <c r="CU172" t="e">
        <f t="shared" si="329"/>
        <v>#N/A</v>
      </c>
      <c r="CV172" t="e">
        <f t="shared" si="330"/>
        <v>#N/A</v>
      </c>
      <c r="CW172" t="e">
        <f t="shared" si="331"/>
        <v>#N/A</v>
      </c>
      <c r="CX172" t="e">
        <f t="shared" si="332"/>
        <v>#N/A</v>
      </c>
      <c r="CY172" t="e">
        <f t="shared" si="333"/>
        <v>#N/A</v>
      </c>
      <c r="CZ172" t="e">
        <f t="shared" si="334"/>
        <v>#N/A</v>
      </c>
      <c r="DA172" t="e">
        <f t="shared" si="335"/>
        <v>#N/A</v>
      </c>
      <c r="DB172" t="e">
        <f t="shared" si="336"/>
        <v>#N/A</v>
      </c>
      <c r="DC172" s="142" t="e">
        <f t="shared" si="337"/>
        <v>#N/A</v>
      </c>
      <c r="DD172" t="e">
        <f t="shared" si="191"/>
        <v>#N/A</v>
      </c>
      <c r="DE172" t="b">
        <f t="shared" si="338"/>
        <v>0</v>
      </c>
    </row>
    <row r="173" spans="1:109">
      <c r="A173">
        <f t="shared" si="192"/>
        <v>108</v>
      </c>
      <c r="B173" s="140" t="e">
        <f t="shared" si="233"/>
        <v>#N/A</v>
      </c>
      <c r="C173" s="140" t="e">
        <f t="shared" si="234"/>
        <v>#N/A</v>
      </c>
      <c r="D173" s="140" t="e">
        <f t="shared" si="235"/>
        <v>#N/A</v>
      </c>
      <c r="E173" s="140" t="e">
        <f t="shared" si="236"/>
        <v>#N/A</v>
      </c>
      <c r="F173" s="140" t="e">
        <f t="shared" si="237"/>
        <v>#N/A</v>
      </c>
      <c r="G173" s="140" t="e">
        <f t="shared" si="238"/>
        <v>#N/A</v>
      </c>
      <c r="H173" s="140" t="e">
        <f t="shared" si="239"/>
        <v>#N/A</v>
      </c>
      <c r="I173" s="140" t="e">
        <f t="shared" si="240"/>
        <v>#N/A</v>
      </c>
      <c r="J173" s="140" t="e">
        <f t="shared" si="241"/>
        <v>#N/A</v>
      </c>
      <c r="K173" s="140" t="e">
        <f t="shared" si="242"/>
        <v>#N/A</v>
      </c>
      <c r="L173" s="140" t="e">
        <f t="shared" si="243"/>
        <v>#N/A</v>
      </c>
      <c r="M173" s="140" t="e">
        <f t="shared" si="244"/>
        <v>#N/A</v>
      </c>
      <c r="N173" s="140" t="e">
        <f t="shared" si="245"/>
        <v>#N/A</v>
      </c>
      <c r="O173" s="140" t="e">
        <f t="shared" si="246"/>
        <v>#N/A</v>
      </c>
      <c r="P173" s="140" t="e">
        <f t="shared" si="247"/>
        <v>#N/A</v>
      </c>
      <c r="Q173" s="140" t="e">
        <f t="shared" si="248"/>
        <v>#N/A</v>
      </c>
      <c r="R173" s="140" t="e">
        <f t="shared" si="249"/>
        <v>#N/A</v>
      </c>
      <c r="S173" s="140" t="e">
        <f t="shared" si="250"/>
        <v>#N/A</v>
      </c>
      <c r="T173" s="140" t="e">
        <f t="shared" si="251"/>
        <v>#N/A</v>
      </c>
      <c r="U173" s="140" t="e">
        <f t="shared" si="252"/>
        <v>#N/A</v>
      </c>
      <c r="V173" s="141" t="str">
        <f t="shared" si="253"/>
        <v>DPS</v>
      </c>
      <c r="W173" s="141" t="str">
        <f t="shared" si="254"/>
        <v>DPS</v>
      </c>
      <c r="X173" s="141" t="str">
        <f t="shared" si="255"/>
        <v>DPS</v>
      </c>
      <c r="Y173" s="141" t="str">
        <f t="shared" si="256"/>
        <v>DPS</v>
      </c>
      <c r="Z173" s="141" t="str">
        <f t="shared" si="257"/>
        <v>DPS</v>
      </c>
      <c r="AA173" s="141" t="str">
        <f t="shared" si="258"/>
        <v>DPS</v>
      </c>
      <c r="AB173" s="141" t="str">
        <f t="shared" si="259"/>
        <v>DPS</v>
      </c>
      <c r="AC173" s="141" t="str">
        <f t="shared" si="260"/>
        <v>DPS</v>
      </c>
      <c r="AD173" s="141" t="str">
        <f t="shared" si="261"/>
        <v>DPS</v>
      </c>
      <c r="AE173" s="141" t="str">
        <f t="shared" si="262"/>
        <v>DPS</v>
      </c>
      <c r="AF173" s="141" t="str">
        <f t="shared" si="263"/>
        <v>DPS</v>
      </c>
      <c r="AG173" s="141" t="str">
        <f t="shared" si="264"/>
        <v>DPS</v>
      </c>
      <c r="AH173" s="141" t="str">
        <f t="shared" si="265"/>
        <v>DPS</v>
      </c>
      <c r="AI173" s="141" t="str">
        <f t="shared" si="266"/>
        <v>HPS</v>
      </c>
      <c r="AJ173" s="141" t="str">
        <f t="shared" si="267"/>
        <v>HPS</v>
      </c>
      <c r="AK173" s="141" t="str">
        <f t="shared" si="268"/>
        <v>HPS</v>
      </c>
      <c r="AL173" s="141" t="str">
        <f t="shared" si="269"/>
        <v>HPS</v>
      </c>
      <c r="AM173" s="141" t="str">
        <f t="shared" si="270"/>
        <v>HPS</v>
      </c>
      <c r="AN173" s="141" t="str">
        <f t="shared" si="271"/>
        <v>HPS</v>
      </c>
      <c r="AO173" s="141" t="str">
        <f t="shared" si="272"/>
        <v>HPS</v>
      </c>
      <c r="AP173" s="134" t="e">
        <f t="shared" si="273"/>
        <v>#N/A</v>
      </c>
      <c r="AQ173" s="134" t="e">
        <f t="shared" si="274"/>
        <v>#N/A</v>
      </c>
      <c r="AR173" s="134" t="e">
        <f t="shared" si="275"/>
        <v>#N/A</v>
      </c>
      <c r="AS173" s="134" t="e">
        <f t="shared" si="276"/>
        <v>#N/A</v>
      </c>
      <c r="AT173" s="134" t="e">
        <f t="shared" si="277"/>
        <v>#N/A</v>
      </c>
      <c r="AU173" s="134" t="e">
        <f t="shared" si="278"/>
        <v>#N/A</v>
      </c>
      <c r="AV173" s="134" t="e">
        <f t="shared" si="279"/>
        <v>#N/A</v>
      </c>
      <c r="AW173" s="134" t="e">
        <f t="shared" si="280"/>
        <v>#N/A</v>
      </c>
      <c r="AX173" s="134" t="e">
        <f t="shared" si="281"/>
        <v>#N/A</v>
      </c>
      <c r="AY173" s="134" t="e">
        <f t="shared" si="282"/>
        <v>#N/A</v>
      </c>
      <c r="AZ173" s="134" t="e">
        <f t="shared" si="283"/>
        <v>#N/A</v>
      </c>
      <c r="BA173" s="134" t="e">
        <f t="shared" si="284"/>
        <v>#N/A</v>
      </c>
      <c r="BB173" s="134" t="e">
        <f t="shared" si="285"/>
        <v>#N/A</v>
      </c>
      <c r="BC173" s="134" t="e">
        <f t="shared" si="286"/>
        <v>#N/A</v>
      </c>
      <c r="BD173" s="134" t="e">
        <f t="shared" si="287"/>
        <v>#N/A</v>
      </c>
      <c r="BE173" s="134" t="e">
        <f t="shared" si="288"/>
        <v>#N/A</v>
      </c>
      <c r="BF173" s="134" t="e">
        <f t="shared" si="289"/>
        <v>#N/A</v>
      </c>
      <c r="BG173" s="134" t="e">
        <f t="shared" si="290"/>
        <v>#N/A</v>
      </c>
      <c r="BH173" s="134" t="e">
        <f t="shared" si="291"/>
        <v>#N/A</v>
      </c>
      <c r="BI173" s="134" t="e">
        <f t="shared" si="292"/>
        <v>#N/A</v>
      </c>
      <c r="BJ173" t="e">
        <f t="shared" si="293"/>
        <v>#N/A</v>
      </c>
      <c r="BK173" t="e">
        <f t="shared" si="294"/>
        <v>#N/A</v>
      </c>
      <c r="BL173" s="142" t="e">
        <f t="shared" si="295"/>
        <v>#N/A</v>
      </c>
      <c r="BM173" s="142">
        <f t="shared" si="190"/>
        <v>2650</v>
      </c>
      <c r="BN173" t="e">
        <f t="shared" si="296"/>
        <v>#NUM!</v>
      </c>
      <c r="BO173" s="143" t="e">
        <f t="shared" si="297"/>
        <v>#N/A</v>
      </c>
      <c r="BP173" s="143" t="e">
        <f t="shared" si="298"/>
        <v>#N/A</v>
      </c>
      <c r="BQ173" s="143" t="e">
        <f t="shared" si="299"/>
        <v>#N/A</v>
      </c>
      <c r="BR173" s="143" t="e">
        <f t="shared" si="300"/>
        <v>#N/A</v>
      </c>
      <c r="BS173" s="143" t="e">
        <f t="shared" si="301"/>
        <v>#N/A</v>
      </c>
      <c r="BT173" s="143" t="e">
        <f t="shared" si="302"/>
        <v>#N/A</v>
      </c>
      <c r="BU173" s="143" t="e">
        <f t="shared" si="303"/>
        <v>#N/A</v>
      </c>
      <c r="BV173" s="143" t="e">
        <f t="shared" si="304"/>
        <v>#N/A</v>
      </c>
      <c r="BW173" s="143" t="e">
        <f t="shared" si="305"/>
        <v>#N/A</v>
      </c>
      <c r="BX173" s="143" t="e">
        <f t="shared" si="306"/>
        <v>#N/A</v>
      </c>
      <c r="BY173" s="143" t="e">
        <f t="shared" si="307"/>
        <v>#N/A</v>
      </c>
      <c r="BZ173" s="143" t="e">
        <f t="shared" si="308"/>
        <v>#N/A</v>
      </c>
      <c r="CA173" s="143" t="e">
        <f t="shared" si="309"/>
        <v>#N/A</v>
      </c>
      <c r="CB173" s="143" t="e">
        <f t="shared" si="310"/>
        <v>#N/A</v>
      </c>
      <c r="CC173" s="143" t="e">
        <f t="shared" si="311"/>
        <v>#N/A</v>
      </c>
      <c r="CD173" s="143" t="e">
        <f t="shared" si="312"/>
        <v>#N/A</v>
      </c>
      <c r="CE173" s="143" t="e">
        <f t="shared" si="313"/>
        <v>#N/A</v>
      </c>
      <c r="CF173" s="143" t="e">
        <f t="shared" si="314"/>
        <v>#N/A</v>
      </c>
      <c r="CG173" s="143" t="e">
        <f t="shared" si="315"/>
        <v>#N/A</v>
      </c>
      <c r="CH173" s="143" t="e">
        <f t="shared" si="316"/>
        <v>#N/A</v>
      </c>
      <c r="CI173" t="e">
        <f t="shared" si="317"/>
        <v>#N/A</v>
      </c>
      <c r="CJ173" t="e">
        <f t="shared" si="318"/>
        <v>#N/A</v>
      </c>
      <c r="CK173" t="e">
        <f t="shared" si="319"/>
        <v>#N/A</v>
      </c>
      <c r="CL173" t="e">
        <f t="shared" si="320"/>
        <v>#N/A</v>
      </c>
      <c r="CM173" t="e">
        <f t="shared" si="321"/>
        <v>#N/A</v>
      </c>
      <c r="CN173" t="e">
        <f t="shared" si="322"/>
        <v>#N/A</v>
      </c>
      <c r="CO173" t="e">
        <f t="shared" si="323"/>
        <v>#N/A</v>
      </c>
      <c r="CP173" t="e">
        <f t="shared" si="324"/>
        <v>#N/A</v>
      </c>
      <c r="CQ173" t="e">
        <f t="shared" si="325"/>
        <v>#N/A</v>
      </c>
      <c r="CR173" t="e">
        <f t="shared" si="326"/>
        <v>#N/A</v>
      </c>
      <c r="CS173" t="e">
        <f t="shared" si="327"/>
        <v>#N/A</v>
      </c>
      <c r="CT173" t="e">
        <f t="shared" si="328"/>
        <v>#N/A</v>
      </c>
      <c r="CU173" t="e">
        <f t="shared" si="329"/>
        <v>#N/A</v>
      </c>
      <c r="CV173" t="e">
        <f t="shared" si="330"/>
        <v>#N/A</v>
      </c>
      <c r="CW173" t="e">
        <f t="shared" si="331"/>
        <v>#N/A</v>
      </c>
      <c r="CX173" t="e">
        <f t="shared" si="332"/>
        <v>#N/A</v>
      </c>
      <c r="CY173" t="e">
        <f t="shared" si="333"/>
        <v>#N/A</v>
      </c>
      <c r="CZ173" t="e">
        <f t="shared" si="334"/>
        <v>#N/A</v>
      </c>
      <c r="DA173" t="e">
        <f t="shared" si="335"/>
        <v>#N/A</v>
      </c>
      <c r="DB173" t="e">
        <f t="shared" si="336"/>
        <v>#N/A</v>
      </c>
      <c r="DC173" s="142" t="e">
        <f t="shared" si="337"/>
        <v>#N/A</v>
      </c>
      <c r="DD173" t="e">
        <f t="shared" si="191"/>
        <v>#N/A</v>
      </c>
      <c r="DE173" t="b">
        <f t="shared" si="338"/>
        <v>0</v>
      </c>
    </row>
    <row r="174" spans="1:109">
      <c r="A174">
        <f t="shared" si="192"/>
        <v>109</v>
      </c>
      <c r="B174" s="140" t="e">
        <f t="shared" si="233"/>
        <v>#N/A</v>
      </c>
      <c r="C174" s="140" t="e">
        <f t="shared" si="234"/>
        <v>#N/A</v>
      </c>
      <c r="D174" s="140" t="e">
        <f t="shared" si="235"/>
        <v>#N/A</v>
      </c>
      <c r="E174" s="140" t="e">
        <f t="shared" si="236"/>
        <v>#N/A</v>
      </c>
      <c r="F174" s="140" t="e">
        <f t="shared" si="237"/>
        <v>#N/A</v>
      </c>
      <c r="G174" s="140" t="e">
        <f t="shared" si="238"/>
        <v>#N/A</v>
      </c>
      <c r="H174" s="140" t="e">
        <f t="shared" si="239"/>
        <v>#N/A</v>
      </c>
      <c r="I174" s="140" t="e">
        <f t="shared" si="240"/>
        <v>#N/A</v>
      </c>
      <c r="J174" s="140" t="e">
        <f t="shared" si="241"/>
        <v>#N/A</v>
      </c>
      <c r="K174" s="140" t="e">
        <f t="shared" si="242"/>
        <v>#N/A</v>
      </c>
      <c r="L174" s="140" t="e">
        <f t="shared" si="243"/>
        <v>#N/A</v>
      </c>
      <c r="M174" s="140" t="e">
        <f t="shared" si="244"/>
        <v>#N/A</v>
      </c>
      <c r="N174" s="140" t="e">
        <f t="shared" si="245"/>
        <v>#N/A</v>
      </c>
      <c r="O174" s="140" t="e">
        <f t="shared" si="246"/>
        <v>#N/A</v>
      </c>
      <c r="P174" s="140" t="e">
        <f t="shared" si="247"/>
        <v>#N/A</v>
      </c>
      <c r="Q174" s="140" t="e">
        <f t="shared" si="248"/>
        <v>#N/A</v>
      </c>
      <c r="R174" s="140" t="e">
        <f t="shared" si="249"/>
        <v>#N/A</v>
      </c>
      <c r="S174" s="140" t="e">
        <f t="shared" si="250"/>
        <v>#N/A</v>
      </c>
      <c r="T174" s="140" t="e">
        <f t="shared" si="251"/>
        <v>#N/A</v>
      </c>
      <c r="U174" s="140" t="e">
        <f t="shared" si="252"/>
        <v>#N/A</v>
      </c>
      <c r="V174" s="141" t="str">
        <f t="shared" si="253"/>
        <v>DPS</v>
      </c>
      <c r="W174" s="141" t="str">
        <f t="shared" si="254"/>
        <v>DPS</v>
      </c>
      <c r="X174" s="141" t="str">
        <f t="shared" si="255"/>
        <v>DPS</v>
      </c>
      <c r="Y174" s="141" t="str">
        <f t="shared" si="256"/>
        <v>DPS</v>
      </c>
      <c r="Z174" s="141" t="str">
        <f t="shared" si="257"/>
        <v>DPS</v>
      </c>
      <c r="AA174" s="141" t="str">
        <f t="shared" si="258"/>
        <v>DPS</v>
      </c>
      <c r="AB174" s="141" t="str">
        <f t="shared" si="259"/>
        <v>DPS</v>
      </c>
      <c r="AC174" s="141" t="str">
        <f t="shared" si="260"/>
        <v>DPS</v>
      </c>
      <c r="AD174" s="141" t="str">
        <f t="shared" si="261"/>
        <v>DPS</v>
      </c>
      <c r="AE174" s="141" t="str">
        <f t="shared" si="262"/>
        <v>DPS</v>
      </c>
      <c r="AF174" s="141" t="str">
        <f t="shared" si="263"/>
        <v>DPS</v>
      </c>
      <c r="AG174" s="141" t="str">
        <f t="shared" si="264"/>
        <v>DPS</v>
      </c>
      <c r="AH174" s="141" t="str">
        <f t="shared" si="265"/>
        <v>DPS</v>
      </c>
      <c r="AI174" s="141" t="str">
        <f t="shared" si="266"/>
        <v>HPS</v>
      </c>
      <c r="AJ174" s="141" t="str">
        <f t="shared" si="267"/>
        <v>HPS</v>
      </c>
      <c r="AK174" s="141" t="str">
        <f t="shared" si="268"/>
        <v>HPS</v>
      </c>
      <c r="AL174" s="141" t="str">
        <f t="shared" si="269"/>
        <v>HPS</v>
      </c>
      <c r="AM174" s="141" t="str">
        <f t="shared" si="270"/>
        <v>HPS</v>
      </c>
      <c r="AN174" s="141" t="str">
        <f t="shared" si="271"/>
        <v>HPS</v>
      </c>
      <c r="AO174" s="141" t="str">
        <f t="shared" si="272"/>
        <v>HPS</v>
      </c>
      <c r="AP174" s="134" t="e">
        <f t="shared" si="273"/>
        <v>#N/A</v>
      </c>
      <c r="AQ174" s="134" t="e">
        <f t="shared" si="274"/>
        <v>#N/A</v>
      </c>
      <c r="AR174" s="134" t="e">
        <f t="shared" si="275"/>
        <v>#N/A</v>
      </c>
      <c r="AS174" s="134" t="e">
        <f t="shared" si="276"/>
        <v>#N/A</v>
      </c>
      <c r="AT174" s="134" t="e">
        <f t="shared" si="277"/>
        <v>#N/A</v>
      </c>
      <c r="AU174" s="134" t="e">
        <f t="shared" si="278"/>
        <v>#N/A</v>
      </c>
      <c r="AV174" s="134" t="e">
        <f t="shared" si="279"/>
        <v>#N/A</v>
      </c>
      <c r="AW174" s="134" t="e">
        <f t="shared" si="280"/>
        <v>#N/A</v>
      </c>
      <c r="AX174" s="134" t="e">
        <f t="shared" si="281"/>
        <v>#N/A</v>
      </c>
      <c r="AY174" s="134" t="e">
        <f t="shared" si="282"/>
        <v>#N/A</v>
      </c>
      <c r="AZ174" s="134" t="e">
        <f t="shared" si="283"/>
        <v>#N/A</v>
      </c>
      <c r="BA174" s="134" t="e">
        <f t="shared" si="284"/>
        <v>#N/A</v>
      </c>
      <c r="BB174" s="134" t="e">
        <f t="shared" si="285"/>
        <v>#N/A</v>
      </c>
      <c r="BC174" s="134" t="e">
        <f t="shared" si="286"/>
        <v>#N/A</v>
      </c>
      <c r="BD174" s="134" t="e">
        <f t="shared" si="287"/>
        <v>#N/A</v>
      </c>
      <c r="BE174" s="134" t="e">
        <f t="shared" si="288"/>
        <v>#N/A</v>
      </c>
      <c r="BF174" s="134" t="e">
        <f t="shared" si="289"/>
        <v>#N/A</v>
      </c>
      <c r="BG174" s="134" t="e">
        <f t="shared" si="290"/>
        <v>#N/A</v>
      </c>
      <c r="BH174" s="134" t="e">
        <f t="shared" si="291"/>
        <v>#N/A</v>
      </c>
      <c r="BI174" s="134" t="e">
        <f t="shared" si="292"/>
        <v>#N/A</v>
      </c>
      <c r="BJ174" t="e">
        <f t="shared" si="293"/>
        <v>#N/A</v>
      </c>
      <c r="BK174" t="e">
        <f t="shared" si="294"/>
        <v>#N/A</v>
      </c>
      <c r="BL174" s="142" t="e">
        <f t="shared" si="295"/>
        <v>#N/A</v>
      </c>
      <c r="BM174" s="142">
        <f t="shared" si="190"/>
        <v>2650</v>
      </c>
      <c r="BN174" t="e">
        <f t="shared" si="296"/>
        <v>#NUM!</v>
      </c>
      <c r="BO174" s="143" t="e">
        <f t="shared" si="297"/>
        <v>#N/A</v>
      </c>
      <c r="BP174" s="143" t="e">
        <f t="shared" si="298"/>
        <v>#N/A</v>
      </c>
      <c r="BQ174" s="143" t="e">
        <f t="shared" si="299"/>
        <v>#N/A</v>
      </c>
      <c r="BR174" s="143" t="e">
        <f t="shared" si="300"/>
        <v>#N/A</v>
      </c>
      <c r="BS174" s="143" t="e">
        <f t="shared" si="301"/>
        <v>#N/A</v>
      </c>
      <c r="BT174" s="143" t="e">
        <f t="shared" si="302"/>
        <v>#N/A</v>
      </c>
      <c r="BU174" s="143" t="e">
        <f t="shared" si="303"/>
        <v>#N/A</v>
      </c>
      <c r="BV174" s="143" t="e">
        <f t="shared" si="304"/>
        <v>#N/A</v>
      </c>
      <c r="BW174" s="143" t="e">
        <f t="shared" si="305"/>
        <v>#N/A</v>
      </c>
      <c r="BX174" s="143" t="e">
        <f t="shared" si="306"/>
        <v>#N/A</v>
      </c>
      <c r="BY174" s="143" t="e">
        <f t="shared" si="307"/>
        <v>#N/A</v>
      </c>
      <c r="BZ174" s="143" t="e">
        <f t="shared" si="308"/>
        <v>#N/A</v>
      </c>
      <c r="CA174" s="143" t="e">
        <f t="shared" si="309"/>
        <v>#N/A</v>
      </c>
      <c r="CB174" s="143" t="e">
        <f t="shared" si="310"/>
        <v>#N/A</v>
      </c>
      <c r="CC174" s="143" t="e">
        <f t="shared" si="311"/>
        <v>#N/A</v>
      </c>
      <c r="CD174" s="143" t="e">
        <f t="shared" si="312"/>
        <v>#N/A</v>
      </c>
      <c r="CE174" s="143" t="e">
        <f t="shared" si="313"/>
        <v>#N/A</v>
      </c>
      <c r="CF174" s="143" t="e">
        <f t="shared" si="314"/>
        <v>#N/A</v>
      </c>
      <c r="CG174" s="143" t="e">
        <f t="shared" si="315"/>
        <v>#N/A</v>
      </c>
      <c r="CH174" s="143" t="e">
        <f t="shared" si="316"/>
        <v>#N/A</v>
      </c>
      <c r="CI174" t="e">
        <f t="shared" si="317"/>
        <v>#N/A</v>
      </c>
      <c r="CJ174" t="e">
        <f t="shared" si="318"/>
        <v>#N/A</v>
      </c>
      <c r="CK174" t="e">
        <f t="shared" si="319"/>
        <v>#N/A</v>
      </c>
      <c r="CL174" t="e">
        <f t="shared" si="320"/>
        <v>#N/A</v>
      </c>
      <c r="CM174" t="e">
        <f t="shared" si="321"/>
        <v>#N/A</v>
      </c>
      <c r="CN174" t="e">
        <f t="shared" si="322"/>
        <v>#N/A</v>
      </c>
      <c r="CO174" t="e">
        <f t="shared" si="323"/>
        <v>#N/A</v>
      </c>
      <c r="CP174" t="e">
        <f t="shared" si="324"/>
        <v>#N/A</v>
      </c>
      <c r="CQ174" t="e">
        <f t="shared" si="325"/>
        <v>#N/A</v>
      </c>
      <c r="CR174" t="e">
        <f t="shared" si="326"/>
        <v>#N/A</v>
      </c>
      <c r="CS174" t="e">
        <f t="shared" si="327"/>
        <v>#N/A</v>
      </c>
      <c r="CT174" t="e">
        <f t="shared" si="328"/>
        <v>#N/A</v>
      </c>
      <c r="CU174" t="e">
        <f t="shared" si="329"/>
        <v>#N/A</v>
      </c>
      <c r="CV174" t="e">
        <f t="shared" si="330"/>
        <v>#N/A</v>
      </c>
      <c r="CW174" t="e">
        <f t="shared" si="331"/>
        <v>#N/A</v>
      </c>
      <c r="CX174" t="e">
        <f t="shared" si="332"/>
        <v>#N/A</v>
      </c>
      <c r="CY174" t="e">
        <f t="shared" si="333"/>
        <v>#N/A</v>
      </c>
      <c r="CZ174" t="e">
        <f t="shared" si="334"/>
        <v>#N/A</v>
      </c>
      <c r="DA174" t="e">
        <f t="shared" si="335"/>
        <v>#N/A</v>
      </c>
      <c r="DB174" t="e">
        <f t="shared" si="336"/>
        <v>#N/A</v>
      </c>
      <c r="DC174" s="142" t="e">
        <f t="shared" si="337"/>
        <v>#N/A</v>
      </c>
      <c r="DD174" t="e">
        <f t="shared" si="191"/>
        <v>#N/A</v>
      </c>
      <c r="DE174" t="b">
        <f t="shared" si="338"/>
        <v>0</v>
      </c>
    </row>
    <row r="175" spans="1:109">
      <c r="A175">
        <f t="shared" si="192"/>
        <v>110</v>
      </c>
      <c r="B175" s="140" t="e">
        <f t="shared" si="233"/>
        <v>#N/A</v>
      </c>
      <c r="C175" s="140" t="e">
        <f t="shared" si="234"/>
        <v>#N/A</v>
      </c>
      <c r="D175" s="140" t="e">
        <f t="shared" si="235"/>
        <v>#N/A</v>
      </c>
      <c r="E175" s="140" t="e">
        <f t="shared" si="236"/>
        <v>#N/A</v>
      </c>
      <c r="F175" s="140" t="e">
        <f t="shared" si="237"/>
        <v>#N/A</v>
      </c>
      <c r="G175" s="140" t="e">
        <f t="shared" si="238"/>
        <v>#N/A</v>
      </c>
      <c r="H175" s="140" t="e">
        <f t="shared" si="239"/>
        <v>#N/A</v>
      </c>
      <c r="I175" s="140" t="e">
        <f t="shared" si="240"/>
        <v>#N/A</v>
      </c>
      <c r="J175" s="140" t="e">
        <f t="shared" si="241"/>
        <v>#N/A</v>
      </c>
      <c r="K175" s="140" t="e">
        <f t="shared" si="242"/>
        <v>#N/A</v>
      </c>
      <c r="L175" s="140" t="e">
        <f t="shared" si="243"/>
        <v>#N/A</v>
      </c>
      <c r="M175" s="140" t="e">
        <f t="shared" si="244"/>
        <v>#N/A</v>
      </c>
      <c r="N175" s="140" t="e">
        <f t="shared" si="245"/>
        <v>#N/A</v>
      </c>
      <c r="O175" s="140" t="e">
        <f t="shared" si="246"/>
        <v>#N/A</v>
      </c>
      <c r="P175" s="140" t="e">
        <f t="shared" si="247"/>
        <v>#N/A</v>
      </c>
      <c r="Q175" s="140" t="e">
        <f t="shared" si="248"/>
        <v>#N/A</v>
      </c>
      <c r="R175" s="140" t="e">
        <f t="shared" si="249"/>
        <v>#N/A</v>
      </c>
      <c r="S175" s="140" t="e">
        <f t="shared" si="250"/>
        <v>#N/A</v>
      </c>
      <c r="T175" s="140" t="e">
        <f t="shared" si="251"/>
        <v>#N/A</v>
      </c>
      <c r="U175" s="140" t="e">
        <f t="shared" si="252"/>
        <v>#N/A</v>
      </c>
      <c r="V175" s="141" t="str">
        <f t="shared" si="253"/>
        <v>DPS</v>
      </c>
      <c r="W175" s="141" t="str">
        <f t="shared" si="254"/>
        <v>DPS</v>
      </c>
      <c r="X175" s="141" t="str">
        <f t="shared" si="255"/>
        <v>DPS</v>
      </c>
      <c r="Y175" s="141" t="str">
        <f t="shared" si="256"/>
        <v>DPS</v>
      </c>
      <c r="Z175" s="141" t="str">
        <f t="shared" si="257"/>
        <v>DPS</v>
      </c>
      <c r="AA175" s="141" t="str">
        <f t="shared" si="258"/>
        <v>DPS</v>
      </c>
      <c r="AB175" s="141" t="str">
        <f t="shared" si="259"/>
        <v>DPS</v>
      </c>
      <c r="AC175" s="141" t="str">
        <f t="shared" si="260"/>
        <v>DPS</v>
      </c>
      <c r="AD175" s="141" t="str">
        <f t="shared" si="261"/>
        <v>DPS</v>
      </c>
      <c r="AE175" s="141" t="str">
        <f t="shared" si="262"/>
        <v>DPS</v>
      </c>
      <c r="AF175" s="141" t="str">
        <f t="shared" si="263"/>
        <v>DPS</v>
      </c>
      <c r="AG175" s="141" t="str">
        <f t="shared" si="264"/>
        <v>DPS</v>
      </c>
      <c r="AH175" s="141" t="str">
        <f t="shared" si="265"/>
        <v>DPS</v>
      </c>
      <c r="AI175" s="141" t="str">
        <f t="shared" si="266"/>
        <v>HPS</v>
      </c>
      <c r="AJ175" s="141" t="str">
        <f t="shared" si="267"/>
        <v>HPS</v>
      </c>
      <c r="AK175" s="141" t="str">
        <f t="shared" si="268"/>
        <v>HPS</v>
      </c>
      <c r="AL175" s="141" t="str">
        <f t="shared" si="269"/>
        <v>HPS</v>
      </c>
      <c r="AM175" s="141" t="str">
        <f t="shared" si="270"/>
        <v>HPS</v>
      </c>
      <c r="AN175" s="141" t="str">
        <f t="shared" si="271"/>
        <v>HPS</v>
      </c>
      <c r="AO175" s="141" t="str">
        <f t="shared" si="272"/>
        <v>HPS</v>
      </c>
      <c r="AP175" s="134" t="e">
        <f t="shared" si="273"/>
        <v>#N/A</v>
      </c>
      <c r="AQ175" s="134" t="e">
        <f t="shared" si="274"/>
        <v>#N/A</v>
      </c>
      <c r="AR175" s="134" t="e">
        <f t="shared" si="275"/>
        <v>#N/A</v>
      </c>
      <c r="AS175" s="134" t="e">
        <f t="shared" si="276"/>
        <v>#N/A</v>
      </c>
      <c r="AT175" s="134" t="e">
        <f t="shared" si="277"/>
        <v>#N/A</v>
      </c>
      <c r="AU175" s="134" t="e">
        <f t="shared" si="278"/>
        <v>#N/A</v>
      </c>
      <c r="AV175" s="134" t="e">
        <f t="shared" si="279"/>
        <v>#N/A</v>
      </c>
      <c r="AW175" s="134" t="e">
        <f t="shared" si="280"/>
        <v>#N/A</v>
      </c>
      <c r="AX175" s="134" t="e">
        <f t="shared" si="281"/>
        <v>#N/A</v>
      </c>
      <c r="AY175" s="134" t="e">
        <f t="shared" si="282"/>
        <v>#N/A</v>
      </c>
      <c r="AZ175" s="134" t="e">
        <f t="shared" si="283"/>
        <v>#N/A</v>
      </c>
      <c r="BA175" s="134" t="e">
        <f t="shared" si="284"/>
        <v>#N/A</v>
      </c>
      <c r="BB175" s="134" t="e">
        <f t="shared" si="285"/>
        <v>#N/A</v>
      </c>
      <c r="BC175" s="134" t="e">
        <f t="shared" si="286"/>
        <v>#N/A</v>
      </c>
      <c r="BD175" s="134" t="e">
        <f t="shared" si="287"/>
        <v>#N/A</v>
      </c>
      <c r="BE175" s="134" t="e">
        <f t="shared" si="288"/>
        <v>#N/A</v>
      </c>
      <c r="BF175" s="134" t="e">
        <f t="shared" si="289"/>
        <v>#N/A</v>
      </c>
      <c r="BG175" s="134" t="e">
        <f t="shared" si="290"/>
        <v>#N/A</v>
      </c>
      <c r="BH175" s="134" t="e">
        <f t="shared" si="291"/>
        <v>#N/A</v>
      </c>
      <c r="BI175" s="134" t="e">
        <f t="shared" si="292"/>
        <v>#N/A</v>
      </c>
      <c r="BJ175" t="e">
        <f t="shared" si="293"/>
        <v>#N/A</v>
      </c>
      <c r="BK175" t="e">
        <f t="shared" si="294"/>
        <v>#N/A</v>
      </c>
      <c r="BL175" s="142" t="e">
        <f t="shared" si="295"/>
        <v>#N/A</v>
      </c>
      <c r="BM175" s="142">
        <f t="shared" si="190"/>
        <v>2650</v>
      </c>
      <c r="BN175" t="e">
        <f t="shared" si="296"/>
        <v>#NUM!</v>
      </c>
      <c r="BO175" s="143" t="e">
        <f t="shared" si="297"/>
        <v>#N/A</v>
      </c>
      <c r="BP175" s="143" t="e">
        <f t="shared" si="298"/>
        <v>#N/A</v>
      </c>
      <c r="BQ175" s="143" t="e">
        <f t="shared" si="299"/>
        <v>#N/A</v>
      </c>
      <c r="BR175" s="143" t="e">
        <f t="shared" si="300"/>
        <v>#N/A</v>
      </c>
      <c r="BS175" s="143" t="e">
        <f t="shared" si="301"/>
        <v>#N/A</v>
      </c>
      <c r="BT175" s="143" t="e">
        <f t="shared" si="302"/>
        <v>#N/A</v>
      </c>
      <c r="BU175" s="143" t="e">
        <f t="shared" si="303"/>
        <v>#N/A</v>
      </c>
      <c r="BV175" s="143" t="e">
        <f t="shared" si="304"/>
        <v>#N/A</v>
      </c>
      <c r="BW175" s="143" t="e">
        <f t="shared" si="305"/>
        <v>#N/A</v>
      </c>
      <c r="BX175" s="143" t="e">
        <f t="shared" si="306"/>
        <v>#N/A</v>
      </c>
      <c r="BY175" s="143" t="e">
        <f t="shared" si="307"/>
        <v>#N/A</v>
      </c>
      <c r="BZ175" s="143" t="e">
        <f t="shared" si="308"/>
        <v>#N/A</v>
      </c>
      <c r="CA175" s="143" t="e">
        <f t="shared" si="309"/>
        <v>#N/A</v>
      </c>
      <c r="CB175" s="143" t="e">
        <f t="shared" si="310"/>
        <v>#N/A</v>
      </c>
      <c r="CC175" s="143" t="e">
        <f t="shared" si="311"/>
        <v>#N/A</v>
      </c>
      <c r="CD175" s="143" t="e">
        <f t="shared" si="312"/>
        <v>#N/A</v>
      </c>
      <c r="CE175" s="143" t="e">
        <f t="shared" si="313"/>
        <v>#N/A</v>
      </c>
      <c r="CF175" s="143" t="e">
        <f t="shared" si="314"/>
        <v>#N/A</v>
      </c>
      <c r="CG175" s="143" t="e">
        <f t="shared" si="315"/>
        <v>#N/A</v>
      </c>
      <c r="CH175" s="143" t="e">
        <f t="shared" si="316"/>
        <v>#N/A</v>
      </c>
      <c r="CI175" t="e">
        <f t="shared" si="317"/>
        <v>#N/A</v>
      </c>
      <c r="CJ175" t="e">
        <f t="shared" si="318"/>
        <v>#N/A</v>
      </c>
      <c r="CK175" t="e">
        <f t="shared" si="319"/>
        <v>#N/A</v>
      </c>
      <c r="CL175" t="e">
        <f t="shared" si="320"/>
        <v>#N/A</v>
      </c>
      <c r="CM175" t="e">
        <f t="shared" si="321"/>
        <v>#N/A</v>
      </c>
      <c r="CN175" t="e">
        <f t="shared" si="322"/>
        <v>#N/A</v>
      </c>
      <c r="CO175" t="e">
        <f t="shared" si="323"/>
        <v>#N/A</v>
      </c>
      <c r="CP175" t="e">
        <f t="shared" si="324"/>
        <v>#N/A</v>
      </c>
      <c r="CQ175" t="e">
        <f t="shared" si="325"/>
        <v>#N/A</v>
      </c>
      <c r="CR175" t="e">
        <f t="shared" si="326"/>
        <v>#N/A</v>
      </c>
      <c r="CS175" t="e">
        <f t="shared" si="327"/>
        <v>#N/A</v>
      </c>
      <c r="CT175" t="e">
        <f t="shared" si="328"/>
        <v>#N/A</v>
      </c>
      <c r="CU175" t="e">
        <f t="shared" si="329"/>
        <v>#N/A</v>
      </c>
      <c r="CV175" t="e">
        <f t="shared" si="330"/>
        <v>#N/A</v>
      </c>
      <c r="CW175" t="e">
        <f t="shared" si="331"/>
        <v>#N/A</v>
      </c>
      <c r="CX175" t="e">
        <f t="shared" si="332"/>
        <v>#N/A</v>
      </c>
      <c r="CY175" t="e">
        <f t="shared" si="333"/>
        <v>#N/A</v>
      </c>
      <c r="CZ175" t="e">
        <f t="shared" si="334"/>
        <v>#N/A</v>
      </c>
      <c r="DA175" t="e">
        <f t="shared" si="335"/>
        <v>#N/A</v>
      </c>
      <c r="DB175" t="e">
        <f t="shared" si="336"/>
        <v>#N/A</v>
      </c>
      <c r="DC175" s="142" t="e">
        <f t="shared" si="337"/>
        <v>#N/A</v>
      </c>
      <c r="DD175" t="e">
        <f t="shared" si="191"/>
        <v>#N/A</v>
      </c>
      <c r="DE175" t="b">
        <f t="shared" si="338"/>
        <v>0</v>
      </c>
    </row>
    <row r="176" spans="1:109">
      <c r="A176">
        <f t="shared" si="192"/>
        <v>111</v>
      </c>
      <c r="B176" s="140" t="e">
        <f t="shared" si="233"/>
        <v>#N/A</v>
      </c>
      <c r="C176" s="140" t="e">
        <f t="shared" si="234"/>
        <v>#N/A</v>
      </c>
      <c r="D176" s="140" t="e">
        <f t="shared" si="235"/>
        <v>#N/A</v>
      </c>
      <c r="E176" s="140" t="e">
        <f t="shared" si="236"/>
        <v>#N/A</v>
      </c>
      <c r="F176" s="140" t="e">
        <f t="shared" si="237"/>
        <v>#N/A</v>
      </c>
      <c r="G176" s="140" t="e">
        <f t="shared" si="238"/>
        <v>#N/A</v>
      </c>
      <c r="H176" s="140" t="e">
        <f t="shared" si="239"/>
        <v>#N/A</v>
      </c>
      <c r="I176" s="140" t="e">
        <f t="shared" si="240"/>
        <v>#N/A</v>
      </c>
      <c r="J176" s="140" t="e">
        <f t="shared" si="241"/>
        <v>#N/A</v>
      </c>
      <c r="K176" s="140" t="e">
        <f t="shared" si="242"/>
        <v>#N/A</v>
      </c>
      <c r="L176" s="140" t="e">
        <f t="shared" si="243"/>
        <v>#N/A</v>
      </c>
      <c r="M176" s="140" t="e">
        <f t="shared" si="244"/>
        <v>#N/A</v>
      </c>
      <c r="N176" s="140" t="e">
        <f t="shared" si="245"/>
        <v>#N/A</v>
      </c>
      <c r="O176" s="140" t="e">
        <f t="shared" si="246"/>
        <v>#N/A</v>
      </c>
      <c r="P176" s="140" t="e">
        <f t="shared" si="247"/>
        <v>#N/A</v>
      </c>
      <c r="Q176" s="140" t="e">
        <f t="shared" si="248"/>
        <v>#N/A</v>
      </c>
      <c r="R176" s="140" t="e">
        <f t="shared" si="249"/>
        <v>#N/A</v>
      </c>
      <c r="S176" s="140" t="e">
        <f t="shared" si="250"/>
        <v>#N/A</v>
      </c>
      <c r="T176" s="140" t="e">
        <f t="shared" si="251"/>
        <v>#N/A</v>
      </c>
      <c r="U176" s="140" t="e">
        <f t="shared" si="252"/>
        <v>#N/A</v>
      </c>
      <c r="V176" s="141" t="str">
        <f t="shared" si="253"/>
        <v>DPS</v>
      </c>
      <c r="W176" s="141" t="str">
        <f t="shared" si="254"/>
        <v>DPS</v>
      </c>
      <c r="X176" s="141" t="str">
        <f t="shared" si="255"/>
        <v>DPS</v>
      </c>
      <c r="Y176" s="141" t="str">
        <f t="shared" si="256"/>
        <v>DPS</v>
      </c>
      <c r="Z176" s="141" t="str">
        <f t="shared" si="257"/>
        <v>DPS</v>
      </c>
      <c r="AA176" s="141" t="str">
        <f t="shared" si="258"/>
        <v>DPS</v>
      </c>
      <c r="AB176" s="141" t="str">
        <f t="shared" si="259"/>
        <v>DPS</v>
      </c>
      <c r="AC176" s="141" t="str">
        <f t="shared" si="260"/>
        <v>DPS</v>
      </c>
      <c r="AD176" s="141" t="str">
        <f t="shared" si="261"/>
        <v>DPS</v>
      </c>
      <c r="AE176" s="141" t="str">
        <f t="shared" si="262"/>
        <v>DPS</v>
      </c>
      <c r="AF176" s="141" t="str">
        <f t="shared" si="263"/>
        <v>DPS</v>
      </c>
      <c r="AG176" s="141" t="str">
        <f t="shared" si="264"/>
        <v>DPS</v>
      </c>
      <c r="AH176" s="141" t="str">
        <f t="shared" si="265"/>
        <v>DPS</v>
      </c>
      <c r="AI176" s="141" t="str">
        <f t="shared" si="266"/>
        <v>HPS</v>
      </c>
      <c r="AJ176" s="141" t="str">
        <f t="shared" si="267"/>
        <v>HPS</v>
      </c>
      <c r="AK176" s="141" t="str">
        <f t="shared" si="268"/>
        <v>HPS</v>
      </c>
      <c r="AL176" s="141" t="str">
        <f t="shared" si="269"/>
        <v>HPS</v>
      </c>
      <c r="AM176" s="141" t="str">
        <f t="shared" si="270"/>
        <v>HPS</v>
      </c>
      <c r="AN176" s="141" t="str">
        <f t="shared" si="271"/>
        <v>HPS</v>
      </c>
      <c r="AO176" s="141" t="str">
        <f t="shared" si="272"/>
        <v>HPS</v>
      </c>
      <c r="AP176" s="134" t="e">
        <f t="shared" si="273"/>
        <v>#N/A</v>
      </c>
      <c r="AQ176" s="134" t="e">
        <f t="shared" si="274"/>
        <v>#N/A</v>
      </c>
      <c r="AR176" s="134" t="e">
        <f t="shared" si="275"/>
        <v>#N/A</v>
      </c>
      <c r="AS176" s="134" t="e">
        <f t="shared" si="276"/>
        <v>#N/A</v>
      </c>
      <c r="AT176" s="134" t="e">
        <f t="shared" si="277"/>
        <v>#N/A</v>
      </c>
      <c r="AU176" s="134" t="e">
        <f t="shared" si="278"/>
        <v>#N/A</v>
      </c>
      <c r="AV176" s="134" t="e">
        <f t="shared" si="279"/>
        <v>#N/A</v>
      </c>
      <c r="AW176" s="134" t="e">
        <f t="shared" si="280"/>
        <v>#N/A</v>
      </c>
      <c r="AX176" s="134" t="e">
        <f t="shared" si="281"/>
        <v>#N/A</v>
      </c>
      <c r="AY176" s="134" t="e">
        <f t="shared" si="282"/>
        <v>#N/A</v>
      </c>
      <c r="AZ176" s="134" t="e">
        <f t="shared" si="283"/>
        <v>#N/A</v>
      </c>
      <c r="BA176" s="134" t="e">
        <f t="shared" si="284"/>
        <v>#N/A</v>
      </c>
      <c r="BB176" s="134" t="e">
        <f t="shared" si="285"/>
        <v>#N/A</v>
      </c>
      <c r="BC176" s="134" t="e">
        <f t="shared" si="286"/>
        <v>#N/A</v>
      </c>
      <c r="BD176" s="134" t="e">
        <f t="shared" si="287"/>
        <v>#N/A</v>
      </c>
      <c r="BE176" s="134" t="e">
        <f t="shared" si="288"/>
        <v>#N/A</v>
      </c>
      <c r="BF176" s="134" t="e">
        <f t="shared" si="289"/>
        <v>#N/A</v>
      </c>
      <c r="BG176" s="134" t="e">
        <f t="shared" si="290"/>
        <v>#N/A</v>
      </c>
      <c r="BH176" s="134" t="e">
        <f t="shared" si="291"/>
        <v>#N/A</v>
      </c>
      <c r="BI176" s="134" t="e">
        <f t="shared" si="292"/>
        <v>#N/A</v>
      </c>
      <c r="BJ176" t="e">
        <f t="shared" si="293"/>
        <v>#N/A</v>
      </c>
      <c r="BK176" t="e">
        <f t="shared" si="294"/>
        <v>#N/A</v>
      </c>
      <c r="BL176" s="142" t="e">
        <f t="shared" si="295"/>
        <v>#N/A</v>
      </c>
      <c r="BM176" s="142">
        <f t="shared" si="190"/>
        <v>2650</v>
      </c>
      <c r="BN176" t="e">
        <f t="shared" si="296"/>
        <v>#NUM!</v>
      </c>
      <c r="BO176" s="143" t="e">
        <f t="shared" si="297"/>
        <v>#N/A</v>
      </c>
      <c r="BP176" s="143" t="e">
        <f t="shared" si="298"/>
        <v>#N/A</v>
      </c>
      <c r="BQ176" s="143" t="e">
        <f t="shared" si="299"/>
        <v>#N/A</v>
      </c>
      <c r="BR176" s="143" t="e">
        <f t="shared" si="300"/>
        <v>#N/A</v>
      </c>
      <c r="BS176" s="143" t="e">
        <f t="shared" si="301"/>
        <v>#N/A</v>
      </c>
      <c r="BT176" s="143" t="e">
        <f t="shared" si="302"/>
        <v>#N/A</v>
      </c>
      <c r="BU176" s="143" t="e">
        <f t="shared" si="303"/>
        <v>#N/A</v>
      </c>
      <c r="BV176" s="143" t="e">
        <f t="shared" si="304"/>
        <v>#N/A</v>
      </c>
      <c r="BW176" s="143" t="e">
        <f t="shared" si="305"/>
        <v>#N/A</v>
      </c>
      <c r="BX176" s="143" t="e">
        <f t="shared" si="306"/>
        <v>#N/A</v>
      </c>
      <c r="BY176" s="143" t="e">
        <f t="shared" si="307"/>
        <v>#N/A</v>
      </c>
      <c r="BZ176" s="143" t="e">
        <f t="shared" si="308"/>
        <v>#N/A</v>
      </c>
      <c r="CA176" s="143" t="e">
        <f t="shared" si="309"/>
        <v>#N/A</v>
      </c>
      <c r="CB176" s="143" t="e">
        <f t="shared" si="310"/>
        <v>#N/A</v>
      </c>
      <c r="CC176" s="143" t="e">
        <f t="shared" si="311"/>
        <v>#N/A</v>
      </c>
      <c r="CD176" s="143" t="e">
        <f t="shared" si="312"/>
        <v>#N/A</v>
      </c>
      <c r="CE176" s="143" t="e">
        <f t="shared" si="313"/>
        <v>#N/A</v>
      </c>
      <c r="CF176" s="143" t="e">
        <f t="shared" si="314"/>
        <v>#N/A</v>
      </c>
      <c r="CG176" s="143" t="e">
        <f t="shared" si="315"/>
        <v>#N/A</v>
      </c>
      <c r="CH176" s="143" t="e">
        <f t="shared" si="316"/>
        <v>#N/A</v>
      </c>
      <c r="CI176" t="e">
        <f t="shared" si="317"/>
        <v>#N/A</v>
      </c>
      <c r="CJ176" t="e">
        <f t="shared" si="318"/>
        <v>#N/A</v>
      </c>
      <c r="CK176" t="e">
        <f t="shared" si="319"/>
        <v>#N/A</v>
      </c>
      <c r="CL176" t="e">
        <f t="shared" si="320"/>
        <v>#N/A</v>
      </c>
      <c r="CM176" t="e">
        <f t="shared" si="321"/>
        <v>#N/A</v>
      </c>
      <c r="CN176" t="e">
        <f t="shared" si="322"/>
        <v>#N/A</v>
      </c>
      <c r="CO176" t="e">
        <f t="shared" si="323"/>
        <v>#N/A</v>
      </c>
      <c r="CP176" t="e">
        <f t="shared" si="324"/>
        <v>#N/A</v>
      </c>
      <c r="CQ176" t="e">
        <f t="shared" si="325"/>
        <v>#N/A</v>
      </c>
      <c r="CR176" t="e">
        <f t="shared" si="326"/>
        <v>#N/A</v>
      </c>
      <c r="CS176" t="e">
        <f t="shared" si="327"/>
        <v>#N/A</v>
      </c>
      <c r="CT176" t="e">
        <f t="shared" si="328"/>
        <v>#N/A</v>
      </c>
      <c r="CU176" t="e">
        <f t="shared" si="329"/>
        <v>#N/A</v>
      </c>
      <c r="CV176" t="e">
        <f t="shared" si="330"/>
        <v>#N/A</v>
      </c>
      <c r="CW176" t="e">
        <f t="shared" si="331"/>
        <v>#N/A</v>
      </c>
      <c r="CX176" t="e">
        <f t="shared" si="332"/>
        <v>#N/A</v>
      </c>
      <c r="CY176" t="e">
        <f t="shared" si="333"/>
        <v>#N/A</v>
      </c>
      <c r="CZ176" t="e">
        <f t="shared" si="334"/>
        <v>#N/A</v>
      </c>
      <c r="DA176" t="e">
        <f t="shared" si="335"/>
        <v>#N/A</v>
      </c>
      <c r="DB176" t="e">
        <f t="shared" si="336"/>
        <v>#N/A</v>
      </c>
      <c r="DC176" s="142" t="e">
        <f t="shared" si="337"/>
        <v>#N/A</v>
      </c>
      <c r="DD176" t="e">
        <f t="shared" si="191"/>
        <v>#N/A</v>
      </c>
      <c r="DE176" t="b">
        <f t="shared" si="338"/>
        <v>0</v>
      </c>
    </row>
    <row r="177" spans="1:109">
      <c r="A177">
        <f t="shared" si="192"/>
        <v>112</v>
      </c>
      <c r="B177" s="140" t="e">
        <f t="shared" si="233"/>
        <v>#N/A</v>
      </c>
      <c r="C177" s="140" t="e">
        <f t="shared" si="234"/>
        <v>#N/A</v>
      </c>
      <c r="D177" s="140" t="e">
        <f t="shared" si="235"/>
        <v>#N/A</v>
      </c>
      <c r="E177" s="140" t="e">
        <f t="shared" si="236"/>
        <v>#N/A</v>
      </c>
      <c r="F177" s="140" t="e">
        <f t="shared" si="237"/>
        <v>#N/A</v>
      </c>
      <c r="G177" s="140" t="e">
        <f t="shared" si="238"/>
        <v>#N/A</v>
      </c>
      <c r="H177" s="140" t="e">
        <f t="shared" si="239"/>
        <v>#N/A</v>
      </c>
      <c r="I177" s="140" t="e">
        <f t="shared" si="240"/>
        <v>#N/A</v>
      </c>
      <c r="J177" s="140" t="e">
        <f t="shared" si="241"/>
        <v>#N/A</v>
      </c>
      <c r="K177" s="140" t="e">
        <f t="shared" si="242"/>
        <v>#N/A</v>
      </c>
      <c r="L177" s="140" t="e">
        <f t="shared" si="243"/>
        <v>#N/A</v>
      </c>
      <c r="M177" s="140" t="e">
        <f t="shared" si="244"/>
        <v>#N/A</v>
      </c>
      <c r="N177" s="140" t="e">
        <f t="shared" si="245"/>
        <v>#N/A</v>
      </c>
      <c r="O177" s="140" t="e">
        <f t="shared" si="246"/>
        <v>#N/A</v>
      </c>
      <c r="P177" s="140" t="e">
        <f t="shared" si="247"/>
        <v>#N/A</v>
      </c>
      <c r="Q177" s="140" t="e">
        <f t="shared" si="248"/>
        <v>#N/A</v>
      </c>
      <c r="R177" s="140" t="e">
        <f t="shared" si="249"/>
        <v>#N/A</v>
      </c>
      <c r="S177" s="140" t="e">
        <f t="shared" si="250"/>
        <v>#N/A</v>
      </c>
      <c r="T177" s="140" t="e">
        <f t="shared" si="251"/>
        <v>#N/A</v>
      </c>
      <c r="U177" s="140" t="e">
        <f t="shared" si="252"/>
        <v>#N/A</v>
      </c>
      <c r="V177" s="141" t="str">
        <f t="shared" si="253"/>
        <v>DPS</v>
      </c>
      <c r="W177" s="141" t="str">
        <f t="shared" si="254"/>
        <v>DPS</v>
      </c>
      <c r="X177" s="141" t="str">
        <f t="shared" si="255"/>
        <v>DPS</v>
      </c>
      <c r="Y177" s="141" t="str">
        <f t="shared" si="256"/>
        <v>DPS</v>
      </c>
      <c r="Z177" s="141" t="str">
        <f t="shared" si="257"/>
        <v>DPS</v>
      </c>
      <c r="AA177" s="141" t="str">
        <f t="shared" si="258"/>
        <v>DPS</v>
      </c>
      <c r="AB177" s="141" t="str">
        <f t="shared" si="259"/>
        <v>DPS</v>
      </c>
      <c r="AC177" s="141" t="str">
        <f t="shared" si="260"/>
        <v>DPS</v>
      </c>
      <c r="AD177" s="141" t="str">
        <f t="shared" si="261"/>
        <v>DPS</v>
      </c>
      <c r="AE177" s="141" t="str">
        <f t="shared" si="262"/>
        <v>DPS</v>
      </c>
      <c r="AF177" s="141" t="str">
        <f t="shared" si="263"/>
        <v>DPS</v>
      </c>
      <c r="AG177" s="141" t="str">
        <f t="shared" si="264"/>
        <v>DPS</v>
      </c>
      <c r="AH177" s="141" t="str">
        <f t="shared" si="265"/>
        <v>DPS</v>
      </c>
      <c r="AI177" s="141" t="str">
        <f t="shared" si="266"/>
        <v>HPS</v>
      </c>
      <c r="AJ177" s="141" t="str">
        <f t="shared" si="267"/>
        <v>HPS</v>
      </c>
      <c r="AK177" s="141" t="str">
        <f t="shared" si="268"/>
        <v>HPS</v>
      </c>
      <c r="AL177" s="141" t="str">
        <f t="shared" si="269"/>
        <v>HPS</v>
      </c>
      <c r="AM177" s="141" t="str">
        <f t="shared" si="270"/>
        <v>HPS</v>
      </c>
      <c r="AN177" s="141" t="str">
        <f t="shared" si="271"/>
        <v>HPS</v>
      </c>
      <c r="AO177" s="141" t="str">
        <f t="shared" si="272"/>
        <v>HPS</v>
      </c>
      <c r="AP177" s="134" t="e">
        <f t="shared" si="273"/>
        <v>#N/A</v>
      </c>
      <c r="AQ177" s="134" t="e">
        <f t="shared" si="274"/>
        <v>#N/A</v>
      </c>
      <c r="AR177" s="134" t="e">
        <f t="shared" si="275"/>
        <v>#N/A</v>
      </c>
      <c r="AS177" s="134" t="e">
        <f t="shared" si="276"/>
        <v>#N/A</v>
      </c>
      <c r="AT177" s="134" t="e">
        <f t="shared" si="277"/>
        <v>#N/A</v>
      </c>
      <c r="AU177" s="134" t="e">
        <f t="shared" si="278"/>
        <v>#N/A</v>
      </c>
      <c r="AV177" s="134" t="e">
        <f t="shared" si="279"/>
        <v>#N/A</v>
      </c>
      <c r="AW177" s="134" t="e">
        <f t="shared" si="280"/>
        <v>#N/A</v>
      </c>
      <c r="AX177" s="134" t="e">
        <f t="shared" si="281"/>
        <v>#N/A</v>
      </c>
      <c r="AY177" s="134" t="e">
        <f t="shared" si="282"/>
        <v>#N/A</v>
      </c>
      <c r="AZ177" s="134" t="e">
        <f t="shared" si="283"/>
        <v>#N/A</v>
      </c>
      <c r="BA177" s="134" t="e">
        <f t="shared" si="284"/>
        <v>#N/A</v>
      </c>
      <c r="BB177" s="134" t="e">
        <f t="shared" si="285"/>
        <v>#N/A</v>
      </c>
      <c r="BC177" s="134" t="e">
        <f t="shared" si="286"/>
        <v>#N/A</v>
      </c>
      <c r="BD177" s="134" t="e">
        <f t="shared" si="287"/>
        <v>#N/A</v>
      </c>
      <c r="BE177" s="134" t="e">
        <f t="shared" si="288"/>
        <v>#N/A</v>
      </c>
      <c r="BF177" s="134" t="e">
        <f t="shared" si="289"/>
        <v>#N/A</v>
      </c>
      <c r="BG177" s="134" t="e">
        <f t="shared" si="290"/>
        <v>#N/A</v>
      </c>
      <c r="BH177" s="134" t="e">
        <f t="shared" si="291"/>
        <v>#N/A</v>
      </c>
      <c r="BI177" s="134" t="e">
        <f t="shared" si="292"/>
        <v>#N/A</v>
      </c>
      <c r="BJ177" t="e">
        <f t="shared" si="293"/>
        <v>#N/A</v>
      </c>
      <c r="BK177" t="e">
        <f t="shared" si="294"/>
        <v>#N/A</v>
      </c>
      <c r="BL177" s="142" t="e">
        <f t="shared" si="295"/>
        <v>#N/A</v>
      </c>
      <c r="BM177" s="142">
        <f t="shared" si="190"/>
        <v>2650</v>
      </c>
      <c r="BN177" t="e">
        <f t="shared" si="296"/>
        <v>#NUM!</v>
      </c>
      <c r="BO177" s="143" t="e">
        <f t="shared" si="297"/>
        <v>#N/A</v>
      </c>
      <c r="BP177" s="143" t="e">
        <f t="shared" si="298"/>
        <v>#N/A</v>
      </c>
      <c r="BQ177" s="143" t="e">
        <f t="shared" si="299"/>
        <v>#N/A</v>
      </c>
      <c r="BR177" s="143" t="e">
        <f t="shared" si="300"/>
        <v>#N/A</v>
      </c>
      <c r="BS177" s="143" t="e">
        <f t="shared" si="301"/>
        <v>#N/A</v>
      </c>
      <c r="BT177" s="143" t="e">
        <f t="shared" si="302"/>
        <v>#N/A</v>
      </c>
      <c r="BU177" s="143" t="e">
        <f t="shared" si="303"/>
        <v>#N/A</v>
      </c>
      <c r="BV177" s="143" t="e">
        <f t="shared" si="304"/>
        <v>#N/A</v>
      </c>
      <c r="BW177" s="143" t="e">
        <f t="shared" si="305"/>
        <v>#N/A</v>
      </c>
      <c r="BX177" s="143" t="e">
        <f t="shared" si="306"/>
        <v>#N/A</v>
      </c>
      <c r="BY177" s="143" t="e">
        <f t="shared" si="307"/>
        <v>#N/A</v>
      </c>
      <c r="BZ177" s="143" t="e">
        <f t="shared" si="308"/>
        <v>#N/A</v>
      </c>
      <c r="CA177" s="143" t="e">
        <f t="shared" si="309"/>
        <v>#N/A</v>
      </c>
      <c r="CB177" s="143" t="e">
        <f t="shared" si="310"/>
        <v>#N/A</v>
      </c>
      <c r="CC177" s="143" t="e">
        <f t="shared" si="311"/>
        <v>#N/A</v>
      </c>
      <c r="CD177" s="143" t="e">
        <f t="shared" si="312"/>
        <v>#N/A</v>
      </c>
      <c r="CE177" s="143" t="e">
        <f t="shared" si="313"/>
        <v>#N/A</v>
      </c>
      <c r="CF177" s="143" t="e">
        <f t="shared" si="314"/>
        <v>#N/A</v>
      </c>
      <c r="CG177" s="143" t="e">
        <f t="shared" si="315"/>
        <v>#N/A</v>
      </c>
      <c r="CH177" s="143" t="e">
        <f t="shared" si="316"/>
        <v>#N/A</v>
      </c>
      <c r="CI177" t="e">
        <f t="shared" si="317"/>
        <v>#N/A</v>
      </c>
      <c r="CJ177" t="e">
        <f t="shared" si="318"/>
        <v>#N/A</v>
      </c>
      <c r="CK177" t="e">
        <f t="shared" si="319"/>
        <v>#N/A</v>
      </c>
      <c r="CL177" t="e">
        <f t="shared" si="320"/>
        <v>#N/A</v>
      </c>
      <c r="CM177" t="e">
        <f t="shared" si="321"/>
        <v>#N/A</v>
      </c>
      <c r="CN177" t="e">
        <f t="shared" si="322"/>
        <v>#N/A</v>
      </c>
      <c r="CO177" t="e">
        <f t="shared" si="323"/>
        <v>#N/A</v>
      </c>
      <c r="CP177" t="e">
        <f t="shared" si="324"/>
        <v>#N/A</v>
      </c>
      <c r="CQ177" t="e">
        <f t="shared" si="325"/>
        <v>#N/A</v>
      </c>
      <c r="CR177" t="e">
        <f t="shared" si="326"/>
        <v>#N/A</v>
      </c>
      <c r="CS177" t="e">
        <f t="shared" si="327"/>
        <v>#N/A</v>
      </c>
      <c r="CT177" t="e">
        <f t="shared" si="328"/>
        <v>#N/A</v>
      </c>
      <c r="CU177" t="e">
        <f t="shared" si="329"/>
        <v>#N/A</v>
      </c>
      <c r="CV177" t="e">
        <f t="shared" si="330"/>
        <v>#N/A</v>
      </c>
      <c r="CW177" t="e">
        <f t="shared" si="331"/>
        <v>#N/A</v>
      </c>
      <c r="CX177" t="e">
        <f t="shared" si="332"/>
        <v>#N/A</v>
      </c>
      <c r="CY177" t="e">
        <f t="shared" si="333"/>
        <v>#N/A</v>
      </c>
      <c r="CZ177" t="e">
        <f t="shared" si="334"/>
        <v>#N/A</v>
      </c>
      <c r="DA177" t="e">
        <f t="shared" si="335"/>
        <v>#N/A</v>
      </c>
      <c r="DB177" t="e">
        <f t="shared" si="336"/>
        <v>#N/A</v>
      </c>
      <c r="DC177" s="142" t="e">
        <f t="shared" si="337"/>
        <v>#N/A</v>
      </c>
      <c r="DD177" t="e">
        <f t="shared" si="191"/>
        <v>#N/A</v>
      </c>
      <c r="DE177" t="b">
        <f t="shared" si="338"/>
        <v>0</v>
      </c>
    </row>
    <row r="178" spans="1:109">
      <c r="A178">
        <f t="shared" si="192"/>
        <v>113</v>
      </c>
      <c r="B178" s="140" t="e">
        <f t="shared" si="233"/>
        <v>#N/A</v>
      </c>
      <c r="C178" s="140" t="e">
        <f t="shared" si="234"/>
        <v>#N/A</v>
      </c>
      <c r="D178" s="140" t="e">
        <f t="shared" si="235"/>
        <v>#N/A</v>
      </c>
      <c r="E178" s="140" t="e">
        <f t="shared" si="236"/>
        <v>#N/A</v>
      </c>
      <c r="F178" s="140" t="e">
        <f t="shared" si="237"/>
        <v>#N/A</v>
      </c>
      <c r="G178" s="140" t="e">
        <f t="shared" si="238"/>
        <v>#N/A</v>
      </c>
      <c r="H178" s="140" t="e">
        <f t="shared" si="239"/>
        <v>#N/A</v>
      </c>
      <c r="I178" s="140" t="e">
        <f t="shared" si="240"/>
        <v>#N/A</v>
      </c>
      <c r="J178" s="140" t="e">
        <f t="shared" si="241"/>
        <v>#N/A</v>
      </c>
      <c r="K178" s="140" t="e">
        <f t="shared" si="242"/>
        <v>#N/A</v>
      </c>
      <c r="L178" s="140" t="e">
        <f t="shared" si="243"/>
        <v>#N/A</v>
      </c>
      <c r="M178" s="140" t="e">
        <f t="shared" si="244"/>
        <v>#N/A</v>
      </c>
      <c r="N178" s="140" t="e">
        <f t="shared" si="245"/>
        <v>#N/A</v>
      </c>
      <c r="O178" s="140" t="e">
        <f t="shared" si="246"/>
        <v>#N/A</v>
      </c>
      <c r="P178" s="140" t="e">
        <f t="shared" si="247"/>
        <v>#N/A</v>
      </c>
      <c r="Q178" s="140" t="e">
        <f t="shared" si="248"/>
        <v>#N/A</v>
      </c>
      <c r="R178" s="140" t="e">
        <f t="shared" si="249"/>
        <v>#N/A</v>
      </c>
      <c r="S178" s="140" t="e">
        <f t="shared" si="250"/>
        <v>#N/A</v>
      </c>
      <c r="T178" s="140" t="e">
        <f t="shared" si="251"/>
        <v>#N/A</v>
      </c>
      <c r="U178" s="140" t="e">
        <f t="shared" si="252"/>
        <v>#N/A</v>
      </c>
      <c r="V178" s="141" t="str">
        <f t="shared" si="253"/>
        <v>DPS</v>
      </c>
      <c r="W178" s="141" t="str">
        <f t="shared" si="254"/>
        <v>DPS</v>
      </c>
      <c r="X178" s="141" t="str">
        <f t="shared" si="255"/>
        <v>DPS</v>
      </c>
      <c r="Y178" s="141" t="str">
        <f t="shared" si="256"/>
        <v>DPS</v>
      </c>
      <c r="Z178" s="141" t="str">
        <f t="shared" si="257"/>
        <v>DPS</v>
      </c>
      <c r="AA178" s="141" t="str">
        <f t="shared" si="258"/>
        <v>DPS</v>
      </c>
      <c r="AB178" s="141" t="str">
        <f t="shared" si="259"/>
        <v>DPS</v>
      </c>
      <c r="AC178" s="141" t="str">
        <f t="shared" si="260"/>
        <v>DPS</v>
      </c>
      <c r="AD178" s="141" t="str">
        <f t="shared" si="261"/>
        <v>DPS</v>
      </c>
      <c r="AE178" s="141" t="str">
        <f t="shared" si="262"/>
        <v>DPS</v>
      </c>
      <c r="AF178" s="141" t="str">
        <f t="shared" si="263"/>
        <v>DPS</v>
      </c>
      <c r="AG178" s="141" t="str">
        <f t="shared" si="264"/>
        <v>DPS</v>
      </c>
      <c r="AH178" s="141" t="str">
        <f t="shared" si="265"/>
        <v>DPS</v>
      </c>
      <c r="AI178" s="141" t="str">
        <f t="shared" si="266"/>
        <v>HPS</v>
      </c>
      <c r="AJ178" s="141" t="str">
        <f t="shared" si="267"/>
        <v>HPS</v>
      </c>
      <c r="AK178" s="141" t="str">
        <f t="shared" si="268"/>
        <v>HPS</v>
      </c>
      <c r="AL178" s="141" t="str">
        <f t="shared" si="269"/>
        <v>HPS</v>
      </c>
      <c r="AM178" s="141" t="str">
        <f t="shared" si="270"/>
        <v>HPS</v>
      </c>
      <c r="AN178" s="141" t="str">
        <f t="shared" si="271"/>
        <v>HPS</v>
      </c>
      <c r="AO178" s="141" t="str">
        <f t="shared" si="272"/>
        <v>HPS</v>
      </c>
      <c r="AP178" s="134" t="e">
        <f t="shared" si="273"/>
        <v>#N/A</v>
      </c>
      <c r="AQ178" s="134" t="e">
        <f t="shared" si="274"/>
        <v>#N/A</v>
      </c>
      <c r="AR178" s="134" t="e">
        <f t="shared" si="275"/>
        <v>#N/A</v>
      </c>
      <c r="AS178" s="134" t="e">
        <f t="shared" si="276"/>
        <v>#N/A</v>
      </c>
      <c r="AT178" s="134" t="e">
        <f t="shared" si="277"/>
        <v>#N/A</v>
      </c>
      <c r="AU178" s="134" t="e">
        <f t="shared" si="278"/>
        <v>#N/A</v>
      </c>
      <c r="AV178" s="134" t="e">
        <f t="shared" si="279"/>
        <v>#N/A</v>
      </c>
      <c r="AW178" s="134" t="e">
        <f t="shared" si="280"/>
        <v>#N/A</v>
      </c>
      <c r="AX178" s="134" t="e">
        <f t="shared" si="281"/>
        <v>#N/A</v>
      </c>
      <c r="AY178" s="134" t="e">
        <f t="shared" si="282"/>
        <v>#N/A</v>
      </c>
      <c r="AZ178" s="134" t="e">
        <f t="shared" si="283"/>
        <v>#N/A</v>
      </c>
      <c r="BA178" s="134" t="e">
        <f t="shared" si="284"/>
        <v>#N/A</v>
      </c>
      <c r="BB178" s="134" t="e">
        <f t="shared" si="285"/>
        <v>#N/A</v>
      </c>
      <c r="BC178" s="134" t="e">
        <f t="shared" si="286"/>
        <v>#N/A</v>
      </c>
      <c r="BD178" s="134" t="e">
        <f t="shared" si="287"/>
        <v>#N/A</v>
      </c>
      <c r="BE178" s="134" t="e">
        <f t="shared" si="288"/>
        <v>#N/A</v>
      </c>
      <c r="BF178" s="134" t="e">
        <f t="shared" si="289"/>
        <v>#N/A</v>
      </c>
      <c r="BG178" s="134" t="e">
        <f t="shared" si="290"/>
        <v>#N/A</v>
      </c>
      <c r="BH178" s="134" t="e">
        <f t="shared" si="291"/>
        <v>#N/A</v>
      </c>
      <c r="BI178" s="134" t="e">
        <f t="shared" si="292"/>
        <v>#N/A</v>
      </c>
      <c r="BJ178" t="e">
        <f t="shared" si="293"/>
        <v>#N/A</v>
      </c>
      <c r="BK178" t="e">
        <f t="shared" si="294"/>
        <v>#N/A</v>
      </c>
      <c r="BL178" s="142" t="e">
        <f t="shared" si="295"/>
        <v>#N/A</v>
      </c>
      <c r="BM178" s="142">
        <f t="shared" si="190"/>
        <v>2650</v>
      </c>
      <c r="BN178" t="e">
        <f t="shared" si="296"/>
        <v>#NUM!</v>
      </c>
      <c r="BO178" s="143" t="e">
        <f t="shared" si="297"/>
        <v>#N/A</v>
      </c>
      <c r="BP178" s="143" t="e">
        <f t="shared" si="298"/>
        <v>#N/A</v>
      </c>
      <c r="BQ178" s="143" t="e">
        <f t="shared" si="299"/>
        <v>#N/A</v>
      </c>
      <c r="BR178" s="143" t="e">
        <f t="shared" si="300"/>
        <v>#N/A</v>
      </c>
      <c r="BS178" s="143" t="e">
        <f t="shared" si="301"/>
        <v>#N/A</v>
      </c>
      <c r="BT178" s="143" t="e">
        <f t="shared" si="302"/>
        <v>#N/A</v>
      </c>
      <c r="BU178" s="143" t="e">
        <f t="shared" si="303"/>
        <v>#N/A</v>
      </c>
      <c r="BV178" s="143" t="e">
        <f t="shared" si="304"/>
        <v>#N/A</v>
      </c>
      <c r="BW178" s="143" t="e">
        <f t="shared" si="305"/>
        <v>#N/A</v>
      </c>
      <c r="BX178" s="143" t="e">
        <f t="shared" si="306"/>
        <v>#N/A</v>
      </c>
      <c r="BY178" s="143" t="e">
        <f t="shared" si="307"/>
        <v>#N/A</v>
      </c>
      <c r="BZ178" s="143" t="e">
        <f t="shared" si="308"/>
        <v>#N/A</v>
      </c>
      <c r="CA178" s="143" t="e">
        <f t="shared" si="309"/>
        <v>#N/A</v>
      </c>
      <c r="CB178" s="143" t="e">
        <f t="shared" si="310"/>
        <v>#N/A</v>
      </c>
      <c r="CC178" s="143" t="e">
        <f t="shared" si="311"/>
        <v>#N/A</v>
      </c>
      <c r="CD178" s="143" t="e">
        <f t="shared" si="312"/>
        <v>#N/A</v>
      </c>
      <c r="CE178" s="143" t="e">
        <f t="shared" si="313"/>
        <v>#N/A</v>
      </c>
      <c r="CF178" s="143" t="e">
        <f t="shared" si="314"/>
        <v>#N/A</v>
      </c>
      <c r="CG178" s="143" t="e">
        <f t="shared" si="315"/>
        <v>#N/A</v>
      </c>
      <c r="CH178" s="143" t="e">
        <f t="shared" si="316"/>
        <v>#N/A</v>
      </c>
      <c r="CI178" t="e">
        <f t="shared" si="317"/>
        <v>#N/A</v>
      </c>
      <c r="CJ178" t="e">
        <f t="shared" si="318"/>
        <v>#N/A</v>
      </c>
      <c r="CK178" t="e">
        <f t="shared" si="319"/>
        <v>#N/A</v>
      </c>
      <c r="CL178" t="e">
        <f t="shared" si="320"/>
        <v>#N/A</v>
      </c>
      <c r="CM178" t="e">
        <f t="shared" si="321"/>
        <v>#N/A</v>
      </c>
      <c r="CN178" t="e">
        <f t="shared" si="322"/>
        <v>#N/A</v>
      </c>
      <c r="CO178" t="e">
        <f t="shared" si="323"/>
        <v>#N/A</v>
      </c>
      <c r="CP178" t="e">
        <f t="shared" si="324"/>
        <v>#N/A</v>
      </c>
      <c r="CQ178" t="e">
        <f t="shared" si="325"/>
        <v>#N/A</v>
      </c>
      <c r="CR178" t="e">
        <f t="shared" si="326"/>
        <v>#N/A</v>
      </c>
      <c r="CS178" t="e">
        <f t="shared" si="327"/>
        <v>#N/A</v>
      </c>
      <c r="CT178" t="e">
        <f t="shared" si="328"/>
        <v>#N/A</v>
      </c>
      <c r="CU178" t="e">
        <f t="shared" si="329"/>
        <v>#N/A</v>
      </c>
      <c r="CV178" t="e">
        <f t="shared" si="330"/>
        <v>#N/A</v>
      </c>
      <c r="CW178" t="e">
        <f t="shared" si="331"/>
        <v>#N/A</v>
      </c>
      <c r="CX178" t="e">
        <f t="shared" si="332"/>
        <v>#N/A</v>
      </c>
      <c r="CY178" t="e">
        <f t="shared" si="333"/>
        <v>#N/A</v>
      </c>
      <c r="CZ178" t="e">
        <f t="shared" si="334"/>
        <v>#N/A</v>
      </c>
      <c r="DA178" t="e">
        <f t="shared" si="335"/>
        <v>#N/A</v>
      </c>
      <c r="DB178" t="e">
        <f t="shared" si="336"/>
        <v>#N/A</v>
      </c>
      <c r="DC178" s="142" t="e">
        <f t="shared" si="337"/>
        <v>#N/A</v>
      </c>
      <c r="DD178" t="e">
        <f t="shared" si="191"/>
        <v>#N/A</v>
      </c>
      <c r="DE178" t="b">
        <f t="shared" si="338"/>
        <v>0</v>
      </c>
    </row>
    <row r="179" spans="1:109">
      <c r="A179">
        <f t="shared" si="192"/>
        <v>114</v>
      </c>
      <c r="B179" s="140" t="e">
        <f t="shared" si="233"/>
        <v>#N/A</v>
      </c>
      <c r="C179" s="140" t="e">
        <f t="shared" si="234"/>
        <v>#N/A</v>
      </c>
      <c r="D179" s="140" t="e">
        <f t="shared" si="235"/>
        <v>#N/A</v>
      </c>
      <c r="E179" s="140" t="e">
        <f t="shared" si="236"/>
        <v>#N/A</v>
      </c>
      <c r="F179" s="140" t="e">
        <f t="shared" si="237"/>
        <v>#N/A</v>
      </c>
      <c r="G179" s="140" t="e">
        <f t="shared" si="238"/>
        <v>#N/A</v>
      </c>
      <c r="H179" s="140" t="e">
        <f t="shared" si="239"/>
        <v>#N/A</v>
      </c>
      <c r="I179" s="140" t="e">
        <f t="shared" si="240"/>
        <v>#N/A</v>
      </c>
      <c r="J179" s="140" t="e">
        <f t="shared" si="241"/>
        <v>#N/A</v>
      </c>
      <c r="K179" s="140" t="e">
        <f t="shared" si="242"/>
        <v>#N/A</v>
      </c>
      <c r="L179" s="140" t="e">
        <f t="shared" si="243"/>
        <v>#N/A</v>
      </c>
      <c r="M179" s="140" t="e">
        <f t="shared" si="244"/>
        <v>#N/A</v>
      </c>
      <c r="N179" s="140" t="e">
        <f t="shared" si="245"/>
        <v>#N/A</v>
      </c>
      <c r="O179" s="140" t="e">
        <f t="shared" si="246"/>
        <v>#N/A</v>
      </c>
      <c r="P179" s="140" t="e">
        <f t="shared" si="247"/>
        <v>#N/A</v>
      </c>
      <c r="Q179" s="140" t="e">
        <f t="shared" si="248"/>
        <v>#N/A</v>
      </c>
      <c r="R179" s="140" t="e">
        <f t="shared" si="249"/>
        <v>#N/A</v>
      </c>
      <c r="S179" s="140" t="e">
        <f t="shared" si="250"/>
        <v>#N/A</v>
      </c>
      <c r="T179" s="140" t="e">
        <f t="shared" si="251"/>
        <v>#N/A</v>
      </c>
      <c r="U179" s="140" t="e">
        <f t="shared" si="252"/>
        <v>#N/A</v>
      </c>
      <c r="V179" s="141" t="str">
        <f t="shared" si="253"/>
        <v>DPS</v>
      </c>
      <c r="W179" s="141" t="str">
        <f t="shared" si="254"/>
        <v>DPS</v>
      </c>
      <c r="X179" s="141" t="str">
        <f t="shared" si="255"/>
        <v>DPS</v>
      </c>
      <c r="Y179" s="141" t="str">
        <f t="shared" si="256"/>
        <v>DPS</v>
      </c>
      <c r="Z179" s="141" t="str">
        <f t="shared" si="257"/>
        <v>DPS</v>
      </c>
      <c r="AA179" s="141" t="str">
        <f t="shared" si="258"/>
        <v>DPS</v>
      </c>
      <c r="AB179" s="141" t="str">
        <f t="shared" si="259"/>
        <v>DPS</v>
      </c>
      <c r="AC179" s="141" t="str">
        <f t="shared" si="260"/>
        <v>DPS</v>
      </c>
      <c r="AD179" s="141" t="str">
        <f t="shared" si="261"/>
        <v>DPS</v>
      </c>
      <c r="AE179" s="141" t="str">
        <f t="shared" si="262"/>
        <v>DPS</v>
      </c>
      <c r="AF179" s="141" t="str">
        <f t="shared" si="263"/>
        <v>DPS</v>
      </c>
      <c r="AG179" s="141" t="str">
        <f t="shared" si="264"/>
        <v>DPS</v>
      </c>
      <c r="AH179" s="141" t="str">
        <f t="shared" si="265"/>
        <v>DPS</v>
      </c>
      <c r="AI179" s="141" t="str">
        <f t="shared" si="266"/>
        <v>HPS</v>
      </c>
      <c r="AJ179" s="141" t="str">
        <f t="shared" si="267"/>
        <v>HPS</v>
      </c>
      <c r="AK179" s="141" t="str">
        <f t="shared" si="268"/>
        <v>HPS</v>
      </c>
      <c r="AL179" s="141" t="str">
        <f t="shared" si="269"/>
        <v>HPS</v>
      </c>
      <c r="AM179" s="141" t="str">
        <f t="shared" si="270"/>
        <v>HPS</v>
      </c>
      <c r="AN179" s="141" t="str">
        <f t="shared" si="271"/>
        <v>HPS</v>
      </c>
      <c r="AO179" s="141" t="str">
        <f t="shared" si="272"/>
        <v>HPS</v>
      </c>
      <c r="AP179" s="134" t="e">
        <f t="shared" si="273"/>
        <v>#N/A</v>
      </c>
      <c r="AQ179" s="134" t="e">
        <f t="shared" si="274"/>
        <v>#N/A</v>
      </c>
      <c r="AR179" s="134" t="e">
        <f t="shared" si="275"/>
        <v>#N/A</v>
      </c>
      <c r="AS179" s="134" t="e">
        <f t="shared" si="276"/>
        <v>#N/A</v>
      </c>
      <c r="AT179" s="134" t="e">
        <f t="shared" si="277"/>
        <v>#N/A</v>
      </c>
      <c r="AU179" s="134" t="e">
        <f t="shared" si="278"/>
        <v>#N/A</v>
      </c>
      <c r="AV179" s="134" t="e">
        <f t="shared" si="279"/>
        <v>#N/A</v>
      </c>
      <c r="AW179" s="134" t="e">
        <f t="shared" si="280"/>
        <v>#N/A</v>
      </c>
      <c r="AX179" s="134" t="e">
        <f t="shared" si="281"/>
        <v>#N/A</v>
      </c>
      <c r="AY179" s="134" t="e">
        <f t="shared" si="282"/>
        <v>#N/A</v>
      </c>
      <c r="AZ179" s="134" t="e">
        <f t="shared" si="283"/>
        <v>#N/A</v>
      </c>
      <c r="BA179" s="134" t="e">
        <f t="shared" si="284"/>
        <v>#N/A</v>
      </c>
      <c r="BB179" s="134" t="e">
        <f t="shared" si="285"/>
        <v>#N/A</v>
      </c>
      <c r="BC179" s="134" t="e">
        <f t="shared" si="286"/>
        <v>#N/A</v>
      </c>
      <c r="BD179" s="134" t="e">
        <f t="shared" si="287"/>
        <v>#N/A</v>
      </c>
      <c r="BE179" s="134" t="e">
        <f t="shared" si="288"/>
        <v>#N/A</v>
      </c>
      <c r="BF179" s="134" t="e">
        <f t="shared" si="289"/>
        <v>#N/A</v>
      </c>
      <c r="BG179" s="134" t="e">
        <f t="shared" si="290"/>
        <v>#N/A</v>
      </c>
      <c r="BH179" s="134" t="e">
        <f t="shared" si="291"/>
        <v>#N/A</v>
      </c>
      <c r="BI179" s="134" t="e">
        <f t="shared" si="292"/>
        <v>#N/A</v>
      </c>
      <c r="BJ179" t="e">
        <f t="shared" si="293"/>
        <v>#N/A</v>
      </c>
      <c r="BK179" t="e">
        <f t="shared" si="294"/>
        <v>#N/A</v>
      </c>
      <c r="BL179" s="142" t="e">
        <f t="shared" si="295"/>
        <v>#N/A</v>
      </c>
      <c r="BM179" s="142">
        <f t="shared" si="190"/>
        <v>2650</v>
      </c>
      <c r="BN179" t="e">
        <f t="shared" si="296"/>
        <v>#NUM!</v>
      </c>
      <c r="BO179" s="143" t="e">
        <f t="shared" si="297"/>
        <v>#N/A</v>
      </c>
      <c r="BP179" s="143" t="e">
        <f t="shared" si="298"/>
        <v>#N/A</v>
      </c>
      <c r="BQ179" s="143" t="e">
        <f t="shared" si="299"/>
        <v>#N/A</v>
      </c>
      <c r="BR179" s="143" t="e">
        <f t="shared" si="300"/>
        <v>#N/A</v>
      </c>
      <c r="BS179" s="143" t="e">
        <f t="shared" si="301"/>
        <v>#N/A</v>
      </c>
      <c r="BT179" s="143" t="e">
        <f t="shared" si="302"/>
        <v>#N/A</v>
      </c>
      <c r="BU179" s="143" t="e">
        <f t="shared" si="303"/>
        <v>#N/A</v>
      </c>
      <c r="BV179" s="143" t="e">
        <f t="shared" si="304"/>
        <v>#N/A</v>
      </c>
      <c r="BW179" s="143" t="e">
        <f t="shared" si="305"/>
        <v>#N/A</v>
      </c>
      <c r="BX179" s="143" t="e">
        <f t="shared" si="306"/>
        <v>#N/A</v>
      </c>
      <c r="BY179" s="143" t="e">
        <f t="shared" si="307"/>
        <v>#N/A</v>
      </c>
      <c r="BZ179" s="143" t="e">
        <f t="shared" si="308"/>
        <v>#N/A</v>
      </c>
      <c r="CA179" s="143" t="e">
        <f t="shared" si="309"/>
        <v>#N/A</v>
      </c>
      <c r="CB179" s="143" t="e">
        <f t="shared" si="310"/>
        <v>#N/A</v>
      </c>
      <c r="CC179" s="143" t="e">
        <f t="shared" si="311"/>
        <v>#N/A</v>
      </c>
      <c r="CD179" s="143" t="e">
        <f t="shared" si="312"/>
        <v>#N/A</v>
      </c>
      <c r="CE179" s="143" t="e">
        <f t="shared" si="313"/>
        <v>#N/A</v>
      </c>
      <c r="CF179" s="143" t="e">
        <f t="shared" si="314"/>
        <v>#N/A</v>
      </c>
      <c r="CG179" s="143" t="e">
        <f t="shared" si="315"/>
        <v>#N/A</v>
      </c>
      <c r="CH179" s="143" t="e">
        <f t="shared" si="316"/>
        <v>#N/A</v>
      </c>
      <c r="CI179" t="e">
        <f t="shared" si="317"/>
        <v>#N/A</v>
      </c>
      <c r="CJ179" t="e">
        <f t="shared" si="318"/>
        <v>#N/A</v>
      </c>
      <c r="CK179" t="e">
        <f t="shared" si="319"/>
        <v>#N/A</v>
      </c>
      <c r="CL179" t="e">
        <f t="shared" si="320"/>
        <v>#N/A</v>
      </c>
      <c r="CM179" t="e">
        <f t="shared" si="321"/>
        <v>#N/A</v>
      </c>
      <c r="CN179" t="e">
        <f t="shared" si="322"/>
        <v>#N/A</v>
      </c>
      <c r="CO179" t="e">
        <f t="shared" si="323"/>
        <v>#N/A</v>
      </c>
      <c r="CP179" t="e">
        <f t="shared" si="324"/>
        <v>#N/A</v>
      </c>
      <c r="CQ179" t="e">
        <f t="shared" si="325"/>
        <v>#N/A</v>
      </c>
      <c r="CR179" t="e">
        <f t="shared" si="326"/>
        <v>#N/A</v>
      </c>
      <c r="CS179" t="e">
        <f t="shared" si="327"/>
        <v>#N/A</v>
      </c>
      <c r="CT179" t="e">
        <f t="shared" si="328"/>
        <v>#N/A</v>
      </c>
      <c r="CU179" t="e">
        <f t="shared" si="329"/>
        <v>#N/A</v>
      </c>
      <c r="CV179" t="e">
        <f t="shared" si="330"/>
        <v>#N/A</v>
      </c>
      <c r="CW179" t="e">
        <f t="shared" si="331"/>
        <v>#N/A</v>
      </c>
      <c r="CX179" t="e">
        <f t="shared" si="332"/>
        <v>#N/A</v>
      </c>
      <c r="CY179" t="e">
        <f t="shared" si="333"/>
        <v>#N/A</v>
      </c>
      <c r="CZ179" t="e">
        <f t="shared" si="334"/>
        <v>#N/A</v>
      </c>
      <c r="DA179" t="e">
        <f t="shared" si="335"/>
        <v>#N/A</v>
      </c>
      <c r="DB179" t="e">
        <f t="shared" si="336"/>
        <v>#N/A</v>
      </c>
      <c r="DC179" s="142" t="e">
        <f t="shared" si="337"/>
        <v>#N/A</v>
      </c>
      <c r="DD179" t="e">
        <f t="shared" si="191"/>
        <v>#N/A</v>
      </c>
      <c r="DE179" t="b">
        <f t="shared" si="338"/>
        <v>0</v>
      </c>
    </row>
    <row r="180" spans="1:109">
      <c r="A180">
        <f t="shared" si="192"/>
        <v>115</v>
      </c>
      <c r="B180" s="140" t="e">
        <f t="shared" si="233"/>
        <v>#N/A</v>
      </c>
      <c r="C180" s="140" t="e">
        <f t="shared" si="234"/>
        <v>#N/A</v>
      </c>
      <c r="D180" s="140" t="e">
        <f t="shared" si="235"/>
        <v>#N/A</v>
      </c>
      <c r="E180" s="140" t="e">
        <f t="shared" si="236"/>
        <v>#N/A</v>
      </c>
      <c r="F180" s="140" t="e">
        <f t="shared" si="237"/>
        <v>#N/A</v>
      </c>
      <c r="G180" s="140" t="e">
        <f t="shared" si="238"/>
        <v>#N/A</v>
      </c>
      <c r="H180" s="140" t="e">
        <f t="shared" si="239"/>
        <v>#N/A</v>
      </c>
      <c r="I180" s="140" t="e">
        <f t="shared" si="240"/>
        <v>#N/A</v>
      </c>
      <c r="J180" s="140" t="e">
        <f t="shared" si="241"/>
        <v>#N/A</v>
      </c>
      <c r="K180" s="140" t="e">
        <f t="shared" si="242"/>
        <v>#N/A</v>
      </c>
      <c r="L180" s="140" t="e">
        <f t="shared" si="243"/>
        <v>#N/A</v>
      </c>
      <c r="M180" s="140" t="e">
        <f t="shared" si="244"/>
        <v>#N/A</v>
      </c>
      <c r="N180" s="140" t="e">
        <f t="shared" si="245"/>
        <v>#N/A</v>
      </c>
      <c r="O180" s="140" t="e">
        <f t="shared" si="246"/>
        <v>#N/A</v>
      </c>
      <c r="P180" s="140" t="e">
        <f t="shared" si="247"/>
        <v>#N/A</v>
      </c>
      <c r="Q180" s="140" t="e">
        <f t="shared" si="248"/>
        <v>#N/A</v>
      </c>
      <c r="R180" s="140" t="e">
        <f t="shared" si="249"/>
        <v>#N/A</v>
      </c>
      <c r="S180" s="140" t="e">
        <f t="shared" si="250"/>
        <v>#N/A</v>
      </c>
      <c r="T180" s="140" t="e">
        <f t="shared" si="251"/>
        <v>#N/A</v>
      </c>
      <c r="U180" s="140" t="e">
        <f t="shared" si="252"/>
        <v>#N/A</v>
      </c>
      <c r="V180" s="141" t="str">
        <f t="shared" si="253"/>
        <v>DPS</v>
      </c>
      <c r="W180" s="141" t="str">
        <f t="shared" si="254"/>
        <v>DPS</v>
      </c>
      <c r="X180" s="141" t="str">
        <f t="shared" si="255"/>
        <v>DPS</v>
      </c>
      <c r="Y180" s="141" t="str">
        <f t="shared" si="256"/>
        <v>DPS</v>
      </c>
      <c r="Z180" s="141" t="str">
        <f t="shared" si="257"/>
        <v>DPS</v>
      </c>
      <c r="AA180" s="141" t="str">
        <f t="shared" si="258"/>
        <v>DPS</v>
      </c>
      <c r="AB180" s="141" t="str">
        <f t="shared" si="259"/>
        <v>DPS</v>
      </c>
      <c r="AC180" s="141" t="str">
        <f t="shared" si="260"/>
        <v>DPS</v>
      </c>
      <c r="AD180" s="141" t="str">
        <f t="shared" si="261"/>
        <v>DPS</v>
      </c>
      <c r="AE180" s="141" t="str">
        <f t="shared" si="262"/>
        <v>DPS</v>
      </c>
      <c r="AF180" s="141" t="str">
        <f t="shared" si="263"/>
        <v>DPS</v>
      </c>
      <c r="AG180" s="141" t="str">
        <f t="shared" si="264"/>
        <v>DPS</v>
      </c>
      <c r="AH180" s="141" t="str">
        <f t="shared" si="265"/>
        <v>DPS</v>
      </c>
      <c r="AI180" s="141" t="str">
        <f t="shared" si="266"/>
        <v>HPS</v>
      </c>
      <c r="AJ180" s="141" t="str">
        <f t="shared" si="267"/>
        <v>HPS</v>
      </c>
      <c r="AK180" s="141" t="str">
        <f t="shared" si="268"/>
        <v>HPS</v>
      </c>
      <c r="AL180" s="141" t="str">
        <f t="shared" si="269"/>
        <v>HPS</v>
      </c>
      <c r="AM180" s="141" t="str">
        <f t="shared" si="270"/>
        <v>HPS</v>
      </c>
      <c r="AN180" s="141" t="str">
        <f t="shared" si="271"/>
        <v>HPS</v>
      </c>
      <c r="AO180" s="141" t="str">
        <f t="shared" si="272"/>
        <v>HPS</v>
      </c>
      <c r="AP180" s="134" t="e">
        <f t="shared" si="273"/>
        <v>#N/A</v>
      </c>
      <c r="AQ180" s="134" t="e">
        <f t="shared" si="274"/>
        <v>#N/A</v>
      </c>
      <c r="AR180" s="134" t="e">
        <f t="shared" si="275"/>
        <v>#N/A</v>
      </c>
      <c r="AS180" s="134" t="e">
        <f t="shared" si="276"/>
        <v>#N/A</v>
      </c>
      <c r="AT180" s="134" t="e">
        <f t="shared" si="277"/>
        <v>#N/A</v>
      </c>
      <c r="AU180" s="134" t="e">
        <f t="shared" si="278"/>
        <v>#N/A</v>
      </c>
      <c r="AV180" s="134" t="e">
        <f t="shared" si="279"/>
        <v>#N/A</v>
      </c>
      <c r="AW180" s="134" t="e">
        <f t="shared" si="280"/>
        <v>#N/A</v>
      </c>
      <c r="AX180" s="134" t="e">
        <f t="shared" si="281"/>
        <v>#N/A</v>
      </c>
      <c r="AY180" s="134" t="e">
        <f t="shared" si="282"/>
        <v>#N/A</v>
      </c>
      <c r="AZ180" s="134" t="e">
        <f t="shared" si="283"/>
        <v>#N/A</v>
      </c>
      <c r="BA180" s="134" t="e">
        <f t="shared" si="284"/>
        <v>#N/A</v>
      </c>
      <c r="BB180" s="134" t="e">
        <f t="shared" si="285"/>
        <v>#N/A</v>
      </c>
      <c r="BC180" s="134" t="e">
        <f t="shared" si="286"/>
        <v>#N/A</v>
      </c>
      <c r="BD180" s="134" t="e">
        <f t="shared" si="287"/>
        <v>#N/A</v>
      </c>
      <c r="BE180" s="134" t="e">
        <f t="shared" si="288"/>
        <v>#N/A</v>
      </c>
      <c r="BF180" s="134" t="e">
        <f t="shared" si="289"/>
        <v>#N/A</v>
      </c>
      <c r="BG180" s="134" t="e">
        <f t="shared" si="290"/>
        <v>#N/A</v>
      </c>
      <c r="BH180" s="134" t="e">
        <f t="shared" si="291"/>
        <v>#N/A</v>
      </c>
      <c r="BI180" s="134" t="e">
        <f t="shared" si="292"/>
        <v>#N/A</v>
      </c>
      <c r="BJ180" t="e">
        <f t="shared" si="293"/>
        <v>#N/A</v>
      </c>
      <c r="BK180" t="e">
        <f t="shared" si="294"/>
        <v>#N/A</v>
      </c>
      <c r="BL180" s="142" t="e">
        <f t="shared" si="295"/>
        <v>#N/A</v>
      </c>
      <c r="BM180" s="142">
        <f t="shared" si="190"/>
        <v>2650</v>
      </c>
      <c r="BN180" t="e">
        <f t="shared" si="296"/>
        <v>#NUM!</v>
      </c>
      <c r="BO180" s="143" t="e">
        <f t="shared" si="297"/>
        <v>#N/A</v>
      </c>
      <c r="BP180" s="143" t="e">
        <f t="shared" si="298"/>
        <v>#N/A</v>
      </c>
      <c r="BQ180" s="143" t="e">
        <f t="shared" si="299"/>
        <v>#N/A</v>
      </c>
      <c r="BR180" s="143" t="e">
        <f t="shared" si="300"/>
        <v>#N/A</v>
      </c>
      <c r="BS180" s="143" t="e">
        <f t="shared" si="301"/>
        <v>#N/A</v>
      </c>
      <c r="BT180" s="143" t="e">
        <f t="shared" si="302"/>
        <v>#N/A</v>
      </c>
      <c r="BU180" s="143" t="e">
        <f t="shared" si="303"/>
        <v>#N/A</v>
      </c>
      <c r="BV180" s="143" t="e">
        <f t="shared" si="304"/>
        <v>#N/A</v>
      </c>
      <c r="BW180" s="143" t="e">
        <f t="shared" si="305"/>
        <v>#N/A</v>
      </c>
      <c r="BX180" s="143" t="e">
        <f t="shared" si="306"/>
        <v>#N/A</v>
      </c>
      <c r="BY180" s="143" t="e">
        <f t="shared" si="307"/>
        <v>#N/A</v>
      </c>
      <c r="BZ180" s="143" t="e">
        <f t="shared" si="308"/>
        <v>#N/A</v>
      </c>
      <c r="CA180" s="143" t="e">
        <f t="shared" si="309"/>
        <v>#N/A</v>
      </c>
      <c r="CB180" s="143" t="e">
        <f t="shared" si="310"/>
        <v>#N/A</v>
      </c>
      <c r="CC180" s="143" t="e">
        <f t="shared" si="311"/>
        <v>#N/A</v>
      </c>
      <c r="CD180" s="143" t="e">
        <f t="shared" si="312"/>
        <v>#N/A</v>
      </c>
      <c r="CE180" s="143" t="e">
        <f t="shared" si="313"/>
        <v>#N/A</v>
      </c>
      <c r="CF180" s="143" t="e">
        <f t="shared" si="314"/>
        <v>#N/A</v>
      </c>
      <c r="CG180" s="143" t="e">
        <f t="shared" si="315"/>
        <v>#N/A</v>
      </c>
      <c r="CH180" s="143" t="e">
        <f t="shared" si="316"/>
        <v>#N/A</v>
      </c>
      <c r="CI180" t="e">
        <f t="shared" si="317"/>
        <v>#N/A</v>
      </c>
      <c r="CJ180" t="e">
        <f t="shared" si="318"/>
        <v>#N/A</v>
      </c>
      <c r="CK180" t="e">
        <f t="shared" si="319"/>
        <v>#N/A</v>
      </c>
      <c r="CL180" t="e">
        <f t="shared" si="320"/>
        <v>#N/A</v>
      </c>
      <c r="CM180" t="e">
        <f t="shared" si="321"/>
        <v>#N/A</v>
      </c>
      <c r="CN180" t="e">
        <f t="shared" si="322"/>
        <v>#N/A</v>
      </c>
      <c r="CO180" t="e">
        <f t="shared" si="323"/>
        <v>#N/A</v>
      </c>
      <c r="CP180" t="e">
        <f t="shared" si="324"/>
        <v>#N/A</v>
      </c>
      <c r="CQ180" t="e">
        <f t="shared" si="325"/>
        <v>#N/A</v>
      </c>
      <c r="CR180" t="e">
        <f t="shared" si="326"/>
        <v>#N/A</v>
      </c>
      <c r="CS180" t="e">
        <f t="shared" si="327"/>
        <v>#N/A</v>
      </c>
      <c r="CT180" t="e">
        <f t="shared" si="328"/>
        <v>#N/A</v>
      </c>
      <c r="CU180" t="e">
        <f t="shared" si="329"/>
        <v>#N/A</v>
      </c>
      <c r="CV180" t="e">
        <f t="shared" si="330"/>
        <v>#N/A</v>
      </c>
      <c r="CW180" t="e">
        <f t="shared" si="331"/>
        <v>#N/A</v>
      </c>
      <c r="CX180" t="e">
        <f t="shared" si="332"/>
        <v>#N/A</v>
      </c>
      <c r="CY180" t="e">
        <f t="shared" si="333"/>
        <v>#N/A</v>
      </c>
      <c r="CZ180" t="e">
        <f t="shared" si="334"/>
        <v>#N/A</v>
      </c>
      <c r="DA180" t="e">
        <f t="shared" si="335"/>
        <v>#N/A</v>
      </c>
      <c r="DB180" t="e">
        <f t="shared" si="336"/>
        <v>#N/A</v>
      </c>
      <c r="DC180" s="142" t="e">
        <f t="shared" si="337"/>
        <v>#N/A</v>
      </c>
      <c r="DD180" t="e">
        <f t="shared" si="191"/>
        <v>#N/A</v>
      </c>
      <c r="DE180" t="b">
        <f t="shared" si="338"/>
        <v>0</v>
      </c>
    </row>
    <row r="181" spans="1:109">
      <c r="A181">
        <f t="shared" si="192"/>
        <v>116</v>
      </c>
      <c r="B181" s="140" t="e">
        <f t="shared" si="233"/>
        <v>#N/A</v>
      </c>
      <c r="C181" s="140" t="e">
        <f t="shared" si="234"/>
        <v>#N/A</v>
      </c>
      <c r="D181" s="140" t="e">
        <f t="shared" si="235"/>
        <v>#N/A</v>
      </c>
      <c r="E181" s="140" t="e">
        <f t="shared" si="236"/>
        <v>#N/A</v>
      </c>
      <c r="F181" s="140" t="e">
        <f t="shared" si="237"/>
        <v>#N/A</v>
      </c>
      <c r="G181" s="140" t="e">
        <f t="shared" si="238"/>
        <v>#N/A</v>
      </c>
      <c r="H181" s="140" t="e">
        <f t="shared" si="239"/>
        <v>#N/A</v>
      </c>
      <c r="I181" s="140" t="e">
        <f t="shared" si="240"/>
        <v>#N/A</v>
      </c>
      <c r="J181" s="140" t="e">
        <f t="shared" si="241"/>
        <v>#N/A</v>
      </c>
      <c r="K181" s="140" t="e">
        <f t="shared" si="242"/>
        <v>#N/A</v>
      </c>
      <c r="L181" s="140" t="e">
        <f t="shared" si="243"/>
        <v>#N/A</v>
      </c>
      <c r="M181" s="140" t="e">
        <f t="shared" si="244"/>
        <v>#N/A</v>
      </c>
      <c r="N181" s="140" t="e">
        <f t="shared" si="245"/>
        <v>#N/A</v>
      </c>
      <c r="O181" s="140" t="e">
        <f t="shared" si="246"/>
        <v>#N/A</v>
      </c>
      <c r="P181" s="140" t="e">
        <f t="shared" si="247"/>
        <v>#N/A</v>
      </c>
      <c r="Q181" s="140" t="e">
        <f t="shared" si="248"/>
        <v>#N/A</v>
      </c>
      <c r="R181" s="140" t="e">
        <f t="shared" si="249"/>
        <v>#N/A</v>
      </c>
      <c r="S181" s="140" t="e">
        <f t="shared" si="250"/>
        <v>#N/A</v>
      </c>
      <c r="T181" s="140" t="e">
        <f t="shared" si="251"/>
        <v>#N/A</v>
      </c>
      <c r="U181" s="140" t="e">
        <f t="shared" si="252"/>
        <v>#N/A</v>
      </c>
      <c r="V181" s="141" t="str">
        <f t="shared" si="253"/>
        <v>DPS</v>
      </c>
      <c r="W181" s="141" t="str">
        <f t="shared" si="254"/>
        <v>DPS</v>
      </c>
      <c r="X181" s="141" t="str">
        <f t="shared" si="255"/>
        <v>DPS</v>
      </c>
      <c r="Y181" s="141" t="str">
        <f t="shared" si="256"/>
        <v>DPS</v>
      </c>
      <c r="Z181" s="141" t="str">
        <f t="shared" si="257"/>
        <v>DPS</v>
      </c>
      <c r="AA181" s="141" t="str">
        <f t="shared" si="258"/>
        <v>DPS</v>
      </c>
      <c r="AB181" s="141" t="str">
        <f t="shared" si="259"/>
        <v>DPS</v>
      </c>
      <c r="AC181" s="141" t="str">
        <f t="shared" si="260"/>
        <v>DPS</v>
      </c>
      <c r="AD181" s="141" t="str">
        <f t="shared" si="261"/>
        <v>DPS</v>
      </c>
      <c r="AE181" s="141" t="str">
        <f t="shared" si="262"/>
        <v>DPS</v>
      </c>
      <c r="AF181" s="141" t="str">
        <f t="shared" si="263"/>
        <v>DPS</v>
      </c>
      <c r="AG181" s="141" t="str">
        <f t="shared" si="264"/>
        <v>DPS</v>
      </c>
      <c r="AH181" s="141" t="str">
        <f t="shared" si="265"/>
        <v>DPS</v>
      </c>
      <c r="AI181" s="141" t="str">
        <f t="shared" si="266"/>
        <v>HPS</v>
      </c>
      <c r="AJ181" s="141" t="str">
        <f t="shared" si="267"/>
        <v>HPS</v>
      </c>
      <c r="AK181" s="141" t="str">
        <f t="shared" si="268"/>
        <v>HPS</v>
      </c>
      <c r="AL181" s="141" t="str">
        <f t="shared" si="269"/>
        <v>HPS</v>
      </c>
      <c r="AM181" s="141" t="str">
        <f t="shared" si="270"/>
        <v>HPS</v>
      </c>
      <c r="AN181" s="141" t="str">
        <f t="shared" si="271"/>
        <v>HPS</v>
      </c>
      <c r="AO181" s="141" t="str">
        <f t="shared" si="272"/>
        <v>HPS</v>
      </c>
      <c r="AP181" s="134" t="e">
        <f t="shared" si="273"/>
        <v>#N/A</v>
      </c>
      <c r="AQ181" s="134" t="e">
        <f t="shared" si="274"/>
        <v>#N/A</v>
      </c>
      <c r="AR181" s="134" t="e">
        <f t="shared" si="275"/>
        <v>#N/A</v>
      </c>
      <c r="AS181" s="134" t="e">
        <f t="shared" si="276"/>
        <v>#N/A</v>
      </c>
      <c r="AT181" s="134" t="e">
        <f t="shared" si="277"/>
        <v>#N/A</v>
      </c>
      <c r="AU181" s="134" t="e">
        <f t="shared" si="278"/>
        <v>#N/A</v>
      </c>
      <c r="AV181" s="134" t="e">
        <f t="shared" si="279"/>
        <v>#N/A</v>
      </c>
      <c r="AW181" s="134" t="e">
        <f t="shared" si="280"/>
        <v>#N/A</v>
      </c>
      <c r="AX181" s="134" t="e">
        <f t="shared" si="281"/>
        <v>#N/A</v>
      </c>
      <c r="AY181" s="134" t="e">
        <f t="shared" si="282"/>
        <v>#N/A</v>
      </c>
      <c r="AZ181" s="134" t="e">
        <f t="shared" si="283"/>
        <v>#N/A</v>
      </c>
      <c r="BA181" s="134" t="e">
        <f t="shared" si="284"/>
        <v>#N/A</v>
      </c>
      <c r="BB181" s="134" t="e">
        <f t="shared" si="285"/>
        <v>#N/A</v>
      </c>
      <c r="BC181" s="134" t="e">
        <f t="shared" si="286"/>
        <v>#N/A</v>
      </c>
      <c r="BD181" s="134" t="e">
        <f t="shared" si="287"/>
        <v>#N/A</v>
      </c>
      <c r="BE181" s="134" t="e">
        <f t="shared" si="288"/>
        <v>#N/A</v>
      </c>
      <c r="BF181" s="134" t="e">
        <f t="shared" si="289"/>
        <v>#N/A</v>
      </c>
      <c r="BG181" s="134" t="e">
        <f t="shared" si="290"/>
        <v>#N/A</v>
      </c>
      <c r="BH181" s="134" t="e">
        <f t="shared" si="291"/>
        <v>#N/A</v>
      </c>
      <c r="BI181" s="134" t="e">
        <f t="shared" si="292"/>
        <v>#N/A</v>
      </c>
      <c r="BJ181" t="e">
        <f t="shared" si="293"/>
        <v>#N/A</v>
      </c>
      <c r="BK181" t="e">
        <f t="shared" si="294"/>
        <v>#N/A</v>
      </c>
      <c r="BL181" s="142" t="e">
        <f t="shared" si="295"/>
        <v>#N/A</v>
      </c>
      <c r="BM181" s="142">
        <f t="shared" si="190"/>
        <v>2650</v>
      </c>
      <c r="BN181" t="e">
        <f t="shared" si="296"/>
        <v>#NUM!</v>
      </c>
      <c r="BO181" s="143" t="e">
        <f t="shared" si="297"/>
        <v>#N/A</v>
      </c>
      <c r="BP181" s="143" t="e">
        <f t="shared" si="298"/>
        <v>#N/A</v>
      </c>
      <c r="BQ181" s="143" t="e">
        <f t="shared" si="299"/>
        <v>#N/A</v>
      </c>
      <c r="BR181" s="143" t="e">
        <f t="shared" si="300"/>
        <v>#N/A</v>
      </c>
      <c r="BS181" s="143" t="e">
        <f t="shared" si="301"/>
        <v>#N/A</v>
      </c>
      <c r="BT181" s="143" t="e">
        <f t="shared" si="302"/>
        <v>#N/A</v>
      </c>
      <c r="BU181" s="143" t="e">
        <f t="shared" si="303"/>
        <v>#N/A</v>
      </c>
      <c r="BV181" s="143" t="e">
        <f t="shared" si="304"/>
        <v>#N/A</v>
      </c>
      <c r="BW181" s="143" t="e">
        <f t="shared" si="305"/>
        <v>#N/A</v>
      </c>
      <c r="BX181" s="143" t="e">
        <f t="shared" si="306"/>
        <v>#N/A</v>
      </c>
      <c r="BY181" s="143" t="e">
        <f t="shared" si="307"/>
        <v>#N/A</v>
      </c>
      <c r="BZ181" s="143" t="e">
        <f t="shared" si="308"/>
        <v>#N/A</v>
      </c>
      <c r="CA181" s="143" t="e">
        <f t="shared" si="309"/>
        <v>#N/A</v>
      </c>
      <c r="CB181" s="143" t="e">
        <f t="shared" si="310"/>
        <v>#N/A</v>
      </c>
      <c r="CC181" s="143" t="e">
        <f t="shared" si="311"/>
        <v>#N/A</v>
      </c>
      <c r="CD181" s="143" t="e">
        <f t="shared" si="312"/>
        <v>#N/A</v>
      </c>
      <c r="CE181" s="143" t="e">
        <f t="shared" si="313"/>
        <v>#N/A</v>
      </c>
      <c r="CF181" s="143" t="e">
        <f t="shared" si="314"/>
        <v>#N/A</v>
      </c>
      <c r="CG181" s="143" t="e">
        <f t="shared" si="315"/>
        <v>#N/A</v>
      </c>
      <c r="CH181" s="143" t="e">
        <f t="shared" si="316"/>
        <v>#N/A</v>
      </c>
      <c r="CI181" t="e">
        <f t="shared" si="317"/>
        <v>#N/A</v>
      </c>
      <c r="CJ181" t="e">
        <f t="shared" si="318"/>
        <v>#N/A</v>
      </c>
      <c r="CK181" t="e">
        <f t="shared" si="319"/>
        <v>#N/A</v>
      </c>
      <c r="CL181" t="e">
        <f t="shared" si="320"/>
        <v>#N/A</v>
      </c>
      <c r="CM181" t="e">
        <f t="shared" si="321"/>
        <v>#N/A</v>
      </c>
      <c r="CN181" t="e">
        <f t="shared" si="322"/>
        <v>#N/A</v>
      </c>
      <c r="CO181" t="e">
        <f t="shared" si="323"/>
        <v>#N/A</v>
      </c>
      <c r="CP181" t="e">
        <f t="shared" si="324"/>
        <v>#N/A</v>
      </c>
      <c r="CQ181" t="e">
        <f t="shared" si="325"/>
        <v>#N/A</v>
      </c>
      <c r="CR181" t="e">
        <f t="shared" si="326"/>
        <v>#N/A</v>
      </c>
      <c r="CS181" t="e">
        <f t="shared" si="327"/>
        <v>#N/A</v>
      </c>
      <c r="CT181" t="e">
        <f t="shared" si="328"/>
        <v>#N/A</v>
      </c>
      <c r="CU181" t="e">
        <f t="shared" si="329"/>
        <v>#N/A</v>
      </c>
      <c r="CV181" t="e">
        <f t="shared" si="330"/>
        <v>#N/A</v>
      </c>
      <c r="CW181" t="e">
        <f t="shared" si="331"/>
        <v>#N/A</v>
      </c>
      <c r="CX181" t="e">
        <f t="shared" si="332"/>
        <v>#N/A</v>
      </c>
      <c r="CY181" t="e">
        <f t="shared" si="333"/>
        <v>#N/A</v>
      </c>
      <c r="CZ181" t="e">
        <f t="shared" si="334"/>
        <v>#N/A</v>
      </c>
      <c r="DA181" t="e">
        <f t="shared" si="335"/>
        <v>#N/A</v>
      </c>
      <c r="DB181" t="e">
        <f t="shared" si="336"/>
        <v>#N/A</v>
      </c>
      <c r="DC181" s="142" t="e">
        <f t="shared" si="337"/>
        <v>#N/A</v>
      </c>
      <c r="DD181" t="e">
        <f t="shared" si="191"/>
        <v>#N/A</v>
      </c>
      <c r="DE181" t="b">
        <f t="shared" si="338"/>
        <v>0</v>
      </c>
    </row>
    <row r="182" spans="1:109">
      <c r="A182">
        <f t="shared" si="192"/>
        <v>117</v>
      </c>
      <c r="B182" s="140" t="e">
        <f t="shared" si="233"/>
        <v>#N/A</v>
      </c>
      <c r="C182" s="140" t="e">
        <f t="shared" si="234"/>
        <v>#N/A</v>
      </c>
      <c r="D182" s="140" t="e">
        <f t="shared" si="235"/>
        <v>#N/A</v>
      </c>
      <c r="E182" s="140" t="e">
        <f t="shared" si="236"/>
        <v>#N/A</v>
      </c>
      <c r="F182" s="140" t="e">
        <f t="shared" si="237"/>
        <v>#N/A</v>
      </c>
      <c r="G182" s="140" t="e">
        <f t="shared" si="238"/>
        <v>#N/A</v>
      </c>
      <c r="H182" s="140" t="e">
        <f t="shared" si="239"/>
        <v>#N/A</v>
      </c>
      <c r="I182" s="140" t="e">
        <f t="shared" si="240"/>
        <v>#N/A</v>
      </c>
      <c r="J182" s="140" t="e">
        <f t="shared" si="241"/>
        <v>#N/A</v>
      </c>
      <c r="K182" s="140" t="e">
        <f t="shared" si="242"/>
        <v>#N/A</v>
      </c>
      <c r="L182" s="140" t="e">
        <f t="shared" si="243"/>
        <v>#N/A</v>
      </c>
      <c r="M182" s="140" t="e">
        <f t="shared" si="244"/>
        <v>#N/A</v>
      </c>
      <c r="N182" s="140" t="e">
        <f t="shared" si="245"/>
        <v>#N/A</v>
      </c>
      <c r="O182" s="140" t="e">
        <f t="shared" si="246"/>
        <v>#N/A</v>
      </c>
      <c r="P182" s="140" t="e">
        <f t="shared" si="247"/>
        <v>#N/A</v>
      </c>
      <c r="Q182" s="140" t="e">
        <f t="shared" si="248"/>
        <v>#N/A</v>
      </c>
      <c r="R182" s="140" t="e">
        <f t="shared" si="249"/>
        <v>#N/A</v>
      </c>
      <c r="S182" s="140" t="e">
        <f t="shared" si="250"/>
        <v>#N/A</v>
      </c>
      <c r="T182" s="140" t="e">
        <f t="shared" si="251"/>
        <v>#N/A</v>
      </c>
      <c r="U182" s="140" t="e">
        <f t="shared" si="252"/>
        <v>#N/A</v>
      </c>
      <c r="V182" s="141" t="str">
        <f t="shared" si="253"/>
        <v>DPS</v>
      </c>
      <c r="W182" s="141" t="str">
        <f t="shared" si="254"/>
        <v>DPS</v>
      </c>
      <c r="X182" s="141" t="str">
        <f t="shared" si="255"/>
        <v>DPS</v>
      </c>
      <c r="Y182" s="141" t="str">
        <f t="shared" si="256"/>
        <v>DPS</v>
      </c>
      <c r="Z182" s="141" t="str">
        <f t="shared" si="257"/>
        <v>DPS</v>
      </c>
      <c r="AA182" s="141" t="str">
        <f t="shared" si="258"/>
        <v>DPS</v>
      </c>
      <c r="AB182" s="141" t="str">
        <f t="shared" si="259"/>
        <v>DPS</v>
      </c>
      <c r="AC182" s="141" t="str">
        <f t="shared" si="260"/>
        <v>DPS</v>
      </c>
      <c r="AD182" s="141" t="str">
        <f t="shared" si="261"/>
        <v>DPS</v>
      </c>
      <c r="AE182" s="141" t="str">
        <f t="shared" si="262"/>
        <v>DPS</v>
      </c>
      <c r="AF182" s="141" t="str">
        <f t="shared" si="263"/>
        <v>DPS</v>
      </c>
      <c r="AG182" s="141" t="str">
        <f t="shared" si="264"/>
        <v>DPS</v>
      </c>
      <c r="AH182" s="141" t="str">
        <f t="shared" si="265"/>
        <v>DPS</v>
      </c>
      <c r="AI182" s="141" t="str">
        <f t="shared" si="266"/>
        <v>HPS</v>
      </c>
      <c r="AJ182" s="141" t="str">
        <f t="shared" si="267"/>
        <v>HPS</v>
      </c>
      <c r="AK182" s="141" t="str">
        <f t="shared" si="268"/>
        <v>HPS</v>
      </c>
      <c r="AL182" s="141" t="str">
        <f t="shared" si="269"/>
        <v>HPS</v>
      </c>
      <c r="AM182" s="141" t="str">
        <f t="shared" si="270"/>
        <v>HPS</v>
      </c>
      <c r="AN182" s="141" t="str">
        <f t="shared" si="271"/>
        <v>HPS</v>
      </c>
      <c r="AO182" s="141" t="str">
        <f t="shared" si="272"/>
        <v>HPS</v>
      </c>
      <c r="AP182" s="134" t="e">
        <f t="shared" si="273"/>
        <v>#N/A</v>
      </c>
      <c r="AQ182" s="134" t="e">
        <f t="shared" si="274"/>
        <v>#N/A</v>
      </c>
      <c r="AR182" s="134" t="e">
        <f t="shared" si="275"/>
        <v>#N/A</v>
      </c>
      <c r="AS182" s="134" t="e">
        <f t="shared" si="276"/>
        <v>#N/A</v>
      </c>
      <c r="AT182" s="134" t="e">
        <f t="shared" si="277"/>
        <v>#N/A</v>
      </c>
      <c r="AU182" s="134" t="e">
        <f t="shared" si="278"/>
        <v>#N/A</v>
      </c>
      <c r="AV182" s="134" t="e">
        <f t="shared" si="279"/>
        <v>#N/A</v>
      </c>
      <c r="AW182" s="134" t="e">
        <f t="shared" si="280"/>
        <v>#N/A</v>
      </c>
      <c r="AX182" s="134" t="e">
        <f t="shared" si="281"/>
        <v>#N/A</v>
      </c>
      <c r="AY182" s="134" t="e">
        <f t="shared" si="282"/>
        <v>#N/A</v>
      </c>
      <c r="AZ182" s="134" t="e">
        <f t="shared" si="283"/>
        <v>#N/A</v>
      </c>
      <c r="BA182" s="134" t="e">
        <f t="shared" si="284"/>
        <v>#N/A</v>
      </c>
      <c r="BB182" s="134" t="e">
        <f t="shared" si="285"/>
        <v>#N/A</v>
      </c>
      <c r="BC182" s="134" t="e">
        <f t="shared" si="286"/>
        <v>#N/A</v>
      </c>
      <c r="BD182" s="134" t="e">
        <f t="shared" si="287"/>
        <v>#N/A</v>
      </c>
      <c r="BE182" s="134" t="e">
        <f t="shared" si="288"/>
        <v>#N/A</v>
      </c>
      <c r="BF182" s="134" t="e">
        <f t="shared" si="289"/>
        <v>#N/A</v>
      </c>
      <c r="BG182" s="134" t="e">
        <f t="shared" si="290"/>
        <v>#N/A</v>
      </c>
      <c r="BH182" s="134" t="e">
        <f t="shared" si="291"/>
        <v>#N/A</v>
      </c>
      <c r="BI182" s="134" t="e">
        <f t="shared" si="292"/>
        <v>#N/A</v>
      </c>
      <c r="BJ182" t="e">
        <f t="shared" si="293"/>
        <v>#N/A</v>
      </c>
      <c r="BK182" t="e">
        <f t="shared" si="294"/>
        <v>#N/A</v>
      </c>
      <c r="BL182" s="142" t="e">
        <f t="shared" si="295"/>
        <v>#N/A</v>
      </c>
      <c r="BM182" s="142">
        <f t="shared" si="190"/>
        <v>2650</v>
      </c>
      <c r="BN182" t="e">
        <f t="shared" si="296"/>
        <v>#NUM!</v>
      </c>
      <c r="BO182" s="143" t="e">
        <f t="shared" si="297"/>
        <v>#N/A</v>
      </c>
      <c r="BP182" s="143" t="e">
        <f t="shared" si="298"/>
        <v>#N/A</v>
      </c>
      <c r="BQ182" s="143" t="e">
        <f t="shared" si="299"/>
        <v>#N/A</v>
      </c>
      <c r="BR182" s="143" t="e">
        <f t="shared" si="300"/>
        <v>#N/A</v>
      </c>
      <c r="BS182" s="143" t="e">
        <f t="shared" si="301"/>
        <v>#N/A</v>
      </c>
      <c r="BT182" s="143" t="e">
        <f t="shared" si="302"/>
        <v>#N/A</v>
      </c>
      <c r="BU182" s="143" t="e">
        <f t="shared" si="303"/>
        <v>#N/A</v>
      </c>
      <c r="BV182" s="143" t="e">
        <f t="shared" si="304"/>
        <v>#N/A</v>
      </c>
      <c r="BW182" s="143" t="e">
        <f t="shared" si="305"/>
        <v>#N/A</v>
      </c>
      <c r="BX182" s="143" t="e">
        <f t="shared" si="306"/>
        <v>#N/A</v>
      </c>
      <c r="BY182" s="143" t="e">
        <f t="shared" si="307"/>
        <v>#N/A</v>
      </c>
      <c r="BZ182" s="143" t="e">
        <f t="shared" si="308"/>
        <v>#N/A</v>
      </c>
      <c r="CA182" s="143" t="e">
        <f t="shared" si="309"/>
        <v>#N/A</v>
      </c>
      <c r="CB182" s="143" t="e">
        <f t="shared" si="310"/>
        <v>#N/A</v>
      </c>
      <c r="CC182" s="143" t="e">
        <f t="shared" si="311"/>
        <v>#N/A</v>
      </c>
      <c r="CD182" s="143" t="e">
        <f t="shared" si="312"/>
        <v>#N/A</v>
      </c>
      <c r="CE182" s="143" t="e">
        <f t="shared" si="313"/>
        <v>#N/A</v>
      </c>
      <c r="CF182" s="143" t="e">
        <f t="shared" si="314"/>
        <v>#N/A</v>
      </c>
      <c r="CG182" s="143" t="e">
        <f t="shared" si="315"/>
        <v>#N/A</v>
      </c>
      <c r="CH182" s="143" t="e">
        <f t="shared" si="316"/>
        <v>#N/A</v>
      </c>
      <c r="CI182" t="e">
        <f t="shared" si="317"/>
        <v>#N/A</v>
      </c>
      <c r="CJ182" t="e">
        <f t="shared" si="318"/>
        <v>#N/A</v>
      </c>
      <c r="CK182" t="e">
        <f t="shared" si="319"/>
        <v>#N/A</v>
      </c>
      <c r="CL182" t="e">
        <f t="shared" si="320"/>
        <v>#N/A</v>
      </c>
      <c r="CM182" t="e">
        <f t="shared" si="321"/>
        <v>#N/A</v>
      </c>
      <c r="CN182" t="e">
        <f t="shared" si="322"/>
        <v>#N/A</v>
      </c>
      <c r="CO182" t="e">
        <f t="shared" si="323"/>
        <v>#N/A</v>
      </c>
      <c r="CP182" t="e">
        <f t="shared" si="324"/>
        <v>#N/A</v>
      </c>
      <c r="CQ182" t="e">
        <f t="shared" si="325"/>
        <v>#N/A</v>
      </c>
      <c r="CR182" t="e">
        <f t="shared" si="326"/>
        <v>#N/A</v>
      </c>
      <c r="CS182" t="e">
        <f t="shared" si="327"/>
        <v>#N/A</v>
      </c>
      <c r="CT182" t="e">
        <f t="shared" si="328"/>
        <v>#N/A</v>
      </c>
      <c r="CU182" t="e">
        <f t="shared" si="329"/>
        <v>#N/A</v>
      </c>
      <c r="CV182" t="e">
        <f t="shared" si="330"/>
        <v>#N/A</v>
      </c>
      <c r="CW182" t="e">
        <f t="shared" si="331"/>
        <v>#N/A</v>
      </c>
      <c r="CX182" t="e">
        <f t="shared" si="332"/>
        <v>#N/A</v>
      </c>
      <c r="CY182" t="e">
        <f t="shared" si="333"/>
        <v>#N/A</v>
      </c>
      <c r="CZ182" t="e">
        <f t="shared" si="334"/>
        <v>#N/A</v>
      </c>
      <c r="DA182" t="e">
        <f t="shared" si="335"/>
        <v>#N/A</v>
      </c>
      <c r="DB182" t="e">
        <f t="shared" si="336"/>
        <v>#N/A</v>
      </c>
      <c r="DC182" s="142" t="e">
        <f t="shared" si="337"/>
        <v>#N/A</v>
      </c>
      <c r="DD182" t="e">
        <f t="shared" si="191"/>
        <v>#N/A</v>
      </c>
      <c r="DE182" t="b">
        <f t="shared" si="338"/>
        <v>0</v>
      </c>
    </row>
    <row r="183" spans="1:109">
      <c r="A183">
        <f t="shared" si="192"/>
        <v>118</v>
      </c>
      <c r="B183" s="140" t="e">
        <f t="shared" si="233"/>
        <v>#N/A</v>
      </c>
      <c r="C183" s="140" t="e">
        <f t="shared" si="234"/>
        <v>#N/A</v>
      </c>
      <c r="D183" s="140" t="e">
        <f t="shared" si="235"/>
        <v>#N/A</v>
      </c>
      <c r="E183" s="140" t="e">
        <f t="shared" si="236"/>
        <v>#N/A</v>
      </c>
      <c r="F183" s="140" t="e">
        <f t="shared" si="237"/>
        <v>#N/A</v>
      </c>
      <c r="G183" s="140" t="e">
        <f t="shared" si="238"/>
        <v>#N/A</v>
      </c>
      <c r="H183" s="140" t="e">
        <f t="shared" si="239"/>
        <v>#N/A</v>
      </c>
      <c r="I183" s="140" t="e">
        <f t="shared" si="240"/>
        <v>#N/A</v>
      </c>
      <c r="J183" s="140" t="e">
        <f t="shared" si="241"/>
        <v>#N/A</v>
      </c>
      <c r="K183" s="140" t="e">
        <f t="shared" si="242"/>
        <v>#N/A</v>
      </c>
      <c r="L183" s="140" t="e">
        <f t="shared" si="243"/>
        <v>#N/A</v>
      </c>
      <c r="M183" s="140" t="e">
        <f t="shared" si="244"/>
        <v>#N/A</v>
      </c>
      <c r="N183" s="140" t="e">
        <f t="shared" si="245"/>
        <v>#N/A</v>
      </c>
      <c r="O183" s="140" t="e">
        <f t="shared" si="246"/>
        <v>#N/A</v>
      </c>
      <c r="P183" s="140" t="e">
        <f t="shared" si="247"/>
        <v>#N/A</v>
      </c>
      <c r="Q183" s="140" t="e">
        <f t="shared" si="248"/>
        <v>#N/A</v>
      </c>
      <c r="R183" s="140" t="e">
        <f t="shared" si="249"/>
        <v>#N/A</v>
      </c>
      <c r="S183" s="140" t="e">
        <f t="shared" si="250"/>
        <v>#N/A</v>
      </c>
      <c r="T183" s="140" t="e">
        <f t="shared" si="251"/>
        <v>#N/A</v>
      </c>
      <c r="U183" s="140" t="e">
        <f t="shared" si="252"/>
        <v>#N/A</v>
      </c>
      <c r="V183" s="141" t="str">
        <f t="shared" si="253"/>
        <v>DPS</v>
      </c>
      <c r="W183" s="141" t="str">
        <f t="shared" si="254"/>
        <v>DPS</v>
      </c>
      <c r="X183" s="141" t="str">
        <f t="shared" si="255"/>
        <v>DPS</v>
      </c>
      <c r="Y183" s="141" t="str">
        <f t="shared" si="256"/>
        <v>DPS</v>
      </c>
      <c r="Z183" s="141" t="str">
        <f t="shared" si="257"/>
        <v>DPS</v>
      </c>
      <c r="AA183" s="141" t="str">
        <f t="shared" si="258"/>
        <v>DPS</v>
      </c>
      <c r="AB183" s="141" t="str">
        <f t="shared" si="259"/>
        <v>DPS</v>
      </c>
      <c r="AC183" s="141" t="str">
        <f t="shared" si="260"/>
        <v>DPS</v>
      </c>
      <c r="AD183" s="141" t="str">
        <f t="shared" si="261"/>
        <v>DPS</v>
      </c>
      <c r="AE183" s="141" t="str">
        <f t="shared" si="262"/>
        <v>DPS</v>
      </c>
      <c r="AF183" s="141" t="str">
        <f t="shared" si="263"/>
        <v>DPS</v>
      </c>
      <c r="AG183" s="141" t="str">
        <f t="shared" si="264"/>
        <v>DPS</v>
      </c>
      <c r="AH183" s="141" t="str">
        <f t="shared" si="265"/>
        <v>DPS</v>
      </c>
      <c r="AI183" s="141" t="str">
        <f t="shared" si="266"/>
        <v>HPS</v>
      </c>
      <c r="AJ183" s="141" t="str">
        <f t="shared" si="267"/>
        <v>HPS</v>
      </c>
      <c r="AK183" s="141" t="str">
        <f t="shared" si="268"/>
        <v>HPS</v>
      </c>
      <c r="AL183" s="141" t="str">
        <f t="shared" si="269"/>
        <v>HPS</v>
      </c>
      <c r="AM183" s="141" t="str">
        <f t="shared" si="270"/>
        <v>HPS</v>
      </c>
      <c r="AN183" s="141" t="str">
        <f t="shared" si="271"/>
        <v>HPS</v>
      </c>
      <c r="AO183" s="141" t="str">
        <f t="shared" si="272"/>
        <v>HPS</v>
      </c>
      <c r="AP183" s="134" t="e">
        <f t="shared" si="273"/>
        <v>#N/A</v>
      </c>
      <c r="AQ183" s="134" t="e">
        <f t="shared" si="274"/>
        <v>#N/A</v>
      </c>
      <c r="AR183" s="134" t="e">
        <f t="shared" si="275"/>
        <v>#N/A</v>
      </c>
      <c r="AS183" s="134" t="e">
        <f t="shared" si="276"/>
        <v>#N/A</v>
      </c>
      <c r="AT183" s="134" t="e">
        <f t="shared" si="277"/>
        <v>#N/A</v>
      </c>
      <c r="AU183" s="134" t="e">
        <f t="shared" si="278"/>
        <v>#N/A</v>
      </c>
      <c r="AV183" s="134" t="e">
        <f t="shared" si="279"/>
        <v>#N/A</v>
      </c>
      <c r="AW183" s="134" t="e">
        <f t="shared" si="280"/>
        <v>#N/A</v>
      </c>
      <c r="AX183" s="134" t="e">
        <f t="shared" si="281"/>
        <v>#N/A</v>
      </c>
      <c r="AY183" s="134" t="e">
        <f t="shared" si="282"/>
        <v>#N/A</v>
      </c>
      <c r="AZ183" s="134" t="e">
        <f t="shared" si="283"/>
        <v>#N/A</v>
      </c>
      <c r="BA183" s="134" t="e">
        <f t="shared" si="284"/>
        <v>#N/A</v>
      </c>
      <c r="BB183" s="134" t="e">
        <f t="shared" si="285"/>
        <v>#N/A</v>
      </c>
      <c r="BC183" s="134" t="e">
        <f t="shared" si="286"/>
        <v>#N/A</v>
      </c>
      <c r="BD183" s="134" t="e">
        <f t="shared" si="287"/>
        <v>#N/A</v>
      </c>
      <c r="BE183" s="134" t="e">
        <f t="shared" si="288"/>
        <v>#N/A</v>
      </c>
      <c r="BF183" s="134" t="e">
        <f t="shared" si="289"/>
        <v>#N/A</v>
      </c>
      <c r="BG183" s="134" t="e">
        <f t="shared" si="290"/>
        <v>#N/A</v>
      </c>
      <c r="BH183" s="134" t="e">
        <f t="shared" si="291"/>
        <v>#N/A</v>
      </c>
      <c r="BI183" s="134" t="e">
        <f t="shared" si="292"/>
        <v>#N/A</v>
      </c>
      <c r="BJ183" t="e">
        <f t="shared" si="293"/>
        <v>#N/A</v>
      </c>
      <c r="BK183" t="e">
        <f t="shared" si="294"/>
        <v>#N/A</v>
      </c>
      <c r="BL183" s="142" t="e">
        <f t="shared" si="295"/>
        <v>#N/A</v>
      </c>
      <c r="BM183" s="142">
        <f t="shared" si="190"/>
        <v>2650</v>
      </c>
      <c r="BN183" t="e">
        <f t="shared" si="296"/>
        <v>#NUM!</v>
      </c>
      <c r="BO183" s="143" t="e">
        <f t="shared" si="297"/>
        <v>#N/A</v>
      </c>
      <c r="BP183" s="143" t="e">
        <f t="shared" si="298"/>
        <v>#N/A</v>
      </c>
      <c r="BQ183" s="143" t="e">
        <f t="shared" si="299"/>
        <v>#N/A</v>
      </c>
      <c r="BR183" s="143" t="e">
        <f t="shared" si="300"/>
        <v>#N/A</v>
      </c>
      <c r="BS183" s="143" t="e">
        <f t="shared" si="301"/>
        <v>#N/A</v>
      </c>
      <c r="BT183" s="143" t="e">
        <f t="shared" si="302"/>
        <v>#N/A</v>
      </c>
      <c r="BU183" s="143" t="e">
        <f t="shared" si="303"/>
        <v>#N/A</v>
      </c>
      <c r="BV183" s="143" t="e">
        <f t="shared" si="304"/>
        <v>#N/A</v>
      </c>
      <c r="BW183" s="143" t="e">
        <f t="shared" si="305"/>
        <v>#N/A</v>
      </c>
      <c r="BX183" s="143" t="e">
        <f t="shared" si="306"/>
        <v>#N/A</v>
      </c>
      <c r="BY183" s="143" t="e">
        <f t="shared" si="307"/>
        <v>#N/A</v>
      </c>
      <c r="BZ183" s="143" t="e">
        <f t="shared" si="308"/>
        <v>#N/A</v>
      </c>
      <c r="CA183" s="143" t="e">
        <f t="shared" si="309"/>
        <v>#N/A</v>
      </c>
      <c r="CB183" s="143" t="e">
        <f t="shared" si="310"/>
        <v>#N/A</v>
      </c>
      <c r="CC183" s="143" t="e">
        <f t="shared" si="311"/>
        <v>#N/A</v>
      </c>
      <c r="CD183" s="143" t="e">
        <f t="shared" si="312"/>
        <v>#N/A</v>
      </c>
      <c r="CE183" s="143" t="e">
        <f t="shared" si="313"/>
        <v>#N/A</v>
      </c>
      <c r="CF183" s="143" t="e">
        <f t="shared" si="314"/>
        <v>#N/A</v>
      </c>
      <c r="CG183" s="143" t="e">
        <f t="shared" si="315"/>
        <v>#N/A</v>
      </c>
      <c r="CH183" s="143" t="e">
        <f t="shared" si="316"/>
        <v>#N/A</v>
      </c>
      <c r="CI183" t="e">
        <f t="shared" si="317"/>
        <v>#N/A</v>
      </c>
      <c r="CJ183" t="e">
        <f t="shared" si="318"/>
        <v>#N/A</v>
      </c>
      <c r="CK183" t="e">
        <f t="shared" si="319"/>
        <v>#N/A</v>
      </c>
      <c r="CL183" t="e">
        <f t="shared" si="320"/>
        <v>#N/A</v>
      </c>
      <c r="CM183" t="e">
        <f t="shared" si="321"/>
        <v>#N/A</v>
      </c>
      <c r="CN183" t="e">
        <f t="shared" si="322"/>
        <v>#N/A</v>
      </c>
      <c r="CO183" t="e">
        <f t="shared" si="323"/>
        <v>#N/A</v>
      </c>
      <c r="CP183" t="e">
        <f t="shared" si="324"/>
        <v>#N/A</v>
      </c>
      <c r="CQ183" t="e">
        <f t="shared" si="325"/>
        <v>#N/A</v>
      </c>
      <c r="CR183" t="e">
        <f t="shared" si="326"/>
        <v>#N/A</v>
      </c>
      <c r="CS183" t="e">
        <f t="shared" si="327"/>
        <v>#N/A</v>
      </c>
      <c r="CT183" t="e">
        <f t="shared" si="328"/>
        <v>#N/A</v>
      </c>
      <c r="CU183" t="e">
        <f t="shared" si="329"/>
        <v>#N/A</v>
      </c>
      <c r="CV183" t="e">
        <f t="shared" si="330"/>
        <v>#N/A</v>
      </c>
      <c r="CW183" t="e">
        <f t="shared" si="331"/>
        <v>#N/A</v>
      </c>
      <c r="CX183" t="e">
        <f t="shared" si="332"/>
        <v>#N/A</v>
      </c>
      <c r="CY183" t="e">
        <f t="shared" si="333"/>
        <v>#N/A</v>
      </c>
      <c r="CZ183" t="e">
        <f t="shared" si="334"/>
        <v>#N/A</v>
      </c>
      <c r="DA183" t="e">
        <f t="shared" si="335"/>
        <v>#N/A</v>
      </c>
      <c r="DB183" t="e">
        <f t="shared" si="336"/>
        <v>#N/A</v>
      </c>
      <c r="DC183" s="142" t="e">
        <f t="shared" si="337"/>
        <v>#N/A</v>
      </c>
      <c r="DD183" t="e">
        <f t="shared" si="191"/>
        <v>#N/A</v>
      </c>
      <c r="DE183" t="b">
        <f t="shared" si="338"/>
        <v>0</v>
      </c>
    </row>
    <row r="184" spans="1:109">
      <c r="A184">
        <f t="shared" si="192"/>
        <v>119</v>
      </c>
      <c r="B184" s="140" t="e">
        <f t="shared" si="233"/>
        <v>#N/A</v>
      </c>
      <c r="C184" s="140" t="e">
        <f t="shared" si="234"/>
        <v>#N/A</v>
      </c>
      <c r="D184" s="140" t="e">
        <f t="shared" si="235"/>
        <v>#N/A</v>
      </c>
      <c r="E184" s="140" t="e">
        <f t="shared" si="236"/>
        <v>#N/A</v>
      </c>
      <c r="F184" s="140" t="e">
        <f t="shared" si="237"/>
        <v>#N/A</v>
      </c>
      <c r="G184" s="140" t="e">
        <f t="shared" si="238"/>
        <v>#N/A</v>
      </c>
      <c r="H184" s="140" t="e">
        <f t="shared" si="239"/>
        <v>#N/A</v>
      </c>
      <c r="I184" s="140" t="e">
        <f t="shared" si="240"/>
        <v>#N/A</v>
      </c>
      <c r="J184" s="140" t="e">
        <f t="shared" si="241"/>
        <v>#N/A</v>
      </c>
      <c r="K184" s="140" t="e">
        <f t="shared" si="242"/>
        <v>#N/A</v>
      </c>
      <c r="L184" s="140" t="e">
        <f t="shared" si="243"/>
        <v>#N/A</v>
      </c>
      <c r="M184" s="140" t="e">
        <f t="shared" si="244"/>
        <v>#N/A</v>
      </c>
      <c r="N184" s="140" t="e">
        <f t="shared" si="245"/>
        <v>#N/A</v>
      </c>
      <c r="O184" s="140" t="e">
        <f t="shared" si="246"/>
        <v>#N/A</v>
      </c>
      <c r="P184" s="140" t="e">
        <f t="shared" si="247"/>
        <v>#N/A</v>
      </c>
      <c r="Q184" s="140" t="e">
        <f t="shared" si="248"/>
        <v>#N/A</v>
      </c>
      <c r="R184" s="140" t="e">
        <f t="shared" si="249"/>
        <v>#N/A</v>
      </c>
      <c r="S184" s="140" t="e">
        <f t="shared" si="250"/>
        <v>#N/A</v>
      </c>
      <c r="T184" s="140" t="e">
        <f t="shared" si="251"/>
        <v>#N/A</v>
      </c>
      <c r="U184" s="140" t="e">
        <f t="shared" si="252"/>
        <v>#N/A</v>
      </c>
      <c r="V184" s="141" t="str">
        <f t="shared" si="253"/>
        <v>DPS</v>
      </c>
      <c r="W184" s="141" t="str">
        <f t="shared" si="254"/>
        <v>DPS</v>
      </c>
      <c r="X184" s="141" t="str">
        <f t="shared" si="255"/>
        <v>DPS</v>
      </c>
      <c r="Y184" s="141" t="str">
        <f t="shared" si="256"/>
        <v>DPS</v>
      </c>
      <c r="Z184" s="141" t="str">
        <f t="shared" si="257"/>
        <v>DPS</v>
      </c>
      <c r="AA184" s="141" t="str">
        <f t="shared" si="258"/>
        <v>DPS</v>
      </c>
      <c r="AB184" s="141" t="str">
        <f t="shared" si="259"/>
        <v>DPS</v>
      </c>
      <c r="AC184" s="141" t="str">
        <f t="shared" si="260"/>
        <v>DPS</v>
      </c>
      <c r="AD184" s="141" t="str">
        <f t="shared" si="261"/>
        <v>DPS</v>
      </c>
      <c r="AE184" s="141" t="str">
        <f t="shared" si="262"/>
        <v>DPS</v>
      </c>
      <c r="AF184" s="141" t="str">
        <f t="shared" si="263"/>
        <v>DPS</v>
      </c>
      <c r="AG184" s="141" t="str">
        <f t="shared" si="264"/>
        <v>DPS</v>
      </c>
      <c r="AH184" s="141" t="str">
        <f t="shared" si="265"/>
        <v>DPS</v>
      </c>
      <c r="AI184" s="141" t="str">
        <f t="shared" si="266"/>
        <v>HPS</v>
      </c>
      <c r="AJ184" s="141" t="str">
        <f t="shared" si="267"/>
        <v>HPS</v>
      </c>
      <c r="AK184" s="141" t="str">
        <f t="shared" si="268"/>
        <v>HPS</v>
      </c>
      <c r="AL184" s="141" t="str">
        <f t="shared" si="269"/>
        <v>HPS</v>
      </c>
      <c r="AM184" s="141" t="str">
        <f t="shared" si="270"/>
        <v>HPS</v>
      </c>
      <c r="AN184" s="141" t="str">
        <f t="shared" si="271"/>
        <v>HPS</v>
      </c>
      <c r="AO184" s="141" t="str">
        <f t="shared" si="272"/>
        <v>HPS</v>
      </c>
      <c r="AP184" s="134" t="e">
        <f t="shared" si="273"/>
        <v>#N/A</v>
      </c>
      <c r="AQ184" s="134" t="e">
        <f t="shared" si="274"/>
        <v>#N/A</v>
      </c>
      <c r="AR184" s="134" t="e">
        <f t="shared" si="275"/>
        <v>#N/A</v>
      </c>
      <c r="AS184" s="134" t="e">
        <f t="shared" si="276"/>
        <v>#N/A</v>
      </c>
      <c r="AT184" s="134" t="e">
        <f t="shared" si="277"/>
        <v>#N/A</v>
      </c>
      <c r="AU184" s="134" t="e">
        <f t="shared" si="278"/>
        <v>#N/A</v>
      </c>
      <c r="AV184" s="134" t="e">
        <f t="shared" si="279"/>
        <v>#N/A</v>
      </c>
      <c r="AW184" s="134" t="e">
        <f t="shared" si="280"/>
        <v>#N/A</v>
      </c>
      <c r="AX184" s="134" t="e">
        <f t="shared" si="281"/>
        <v>#N/A</v>
      </c>
      <c r="AY184" s="134" t="e">
        <f t="shared" si="282"/>
        <v>#N/A</v>
      </c>
      <c r="AZ184" s="134" t="e">
        <f t="shared" si="283"/>
        <v>#N/A</v>
      </c>
      <c r="BA184" s="134" t="e">
        <f t="shared" si="284"/>
        <v>#N/A</v>
      </c>
      <c r="BB184" s="134" t="e">
        <f t="shared" si="285"/>
        <v>#N/A</v>
      </c>
      <c r="BC184" s="134" t="e">
        <f t="shared" si="286"/>
        <v>#N/A</v>
      </c>
      <c r="BD184" s="134" t="e">
        <f t="shared" si="287"/>
        <v>#N/A</v>
      </c>
      <c r="BE184" s="134" t="e">
        <f t="shared" si="288"/>
        <v>#N/A</v>
      </c>
      <c r="BF184" s="134" t="e">
        <f t="shared" si="289"/>
        <v>#N/A</v>
      </c>
      <c r="BG184" s="134" t="e">
        <f t="shared" si="290"/>
        <v>#N/A</v>
      </c>
      <c r="BH184" s="134" t="e">
        <f t="shared" si="291"/>
        <v>#N/A</v>
      </c>
      <c r="BI184" s="134" t="e">
        <f t="shared" si="292"/>
        <v>#N/A</v>
      </c>
      <c r="BJ184" t="e">
        <f t="shared" si="293"/>
        <v>#N/A</v>
      </c>
      <c r="BK184" t="e">
        <f t="shared" si="294"/>
        <v>#N/A</v>
      </c>
      <c r="BL184" s="142" t="e">
        <f t="shared" si="295"/>
        <v>#N/A</v>
      </c>
      <c r="BM184" s="142">
        <f t="shared" si="190"/>
        <v>2650</v>
      </c>
      <c r="BN184" t="e">
        <f t="shared" si="296"/>
        <v>#NUM!</v>
      </c>
      <c r="BO184" s="143" t="e">
        <f t="shared" si="297"/>
        <v>#N/A</v>
      </c>
      <c r="BP184" s="143" t="e">
        <f t="shared" si="298"/>
        <v>#N/A</v>
      </c>
      <c r="BQ184" s="143" t="e">
        <f t="shared" si="299"/>
        <v>#N/A</v>
      </c>
      <c r="BR184" s="143" t="e">
        <f t="shared" si="300"/>
        <v>#N/A</v>
      </c>
      <c r="BS184" s="143" t="e">
        <f t="shared" si="301"/>
        <v>#N/A</v>
      </c>
      <c r="BT184" s="143" t="e">
        <f t="shared" si="302"/>
        <v>#N/A</v>
      </c>
      <c r="BU184" s="143" t="e">
        <f t="shared" si="303"/>
        <v>#N/A</v>
      </c>
      <c r="BV184" s="143" t="e">
        <f t="shared" si="304"/>
        <v>#N/A</v>
      </c>
      <c r="BW184" s="143" t="e">
        <f t="shared" si="305"/>
        <v>#N/A</v>
      </c>
      <c r="BX184" s="143" t="e">
        <f t="shared" si="306"/>
        <v>#N/A</v>
      </c>
      <c r="BY184" s="143" t="e">
        <f t="shared" si="307"/>
        <v>#N/A</v>
      </c>
      <c r="BZ184" s="143" t="e">
        <f t="shared" si="308"/>
        <v>#N/A</v>
      </c>
      <c r="CA184" s="143" t="e">
        <f t="shared" si="309"/>
        <v>#N/A</v>
      </c>
      <c r="CB184" s="143" t="e">
        <f t="shared" si="310"/>
        <v>#N/A</v>
      </c>
      <c r="CC184" s="143" t="e">
        <f t="shared" si="311"/>
        <v>#N/A</v>
      </c>
      <c r="CD184" s="143" t="e">
        <f t="shared" si="312"/>
        <v>#N/A</v>
      </c>
      <c r="CE184" s="143" t="e">
        <f t="shared" si="313"/>
        <v>#N/A</v>
      </c>
      <c r="CF184" s="143" t="e">
        <f t="shared" si="314"/>
        <v>#N/A</v>
      </c>
      <c r="CG184" s="143" t="e">
        <f t="shared" si="315"/>
        <v>#N/A</v>
      </c>
      <c r="CH184" s="143" t="e">
        <f t="shared" si="316"/>
        <v>#N/A</v>
      </c>
      <c r="CI184" t="e">
        <f t="shared" si="317"/>
        <v>#N/A</v>
      </c>
      <c r="CJ184" t="e">
        <f t="shared" si="318"/>
        <v>#N/A</v>
      </c>
      <c r="CK184" t="e">
        <f t="shared" si="319"/>
        <v>#N/A</v>
      </c>
      <c r="CL184" t="e">
        <f t="shared" si="320"/>
        <v>#N/A</v>
      </c>
      <c r="CM184" t="e">
        <f t="shared" si="321"/>
        <v>#N/A</v>
      </c>
      <c r="CN184" t="e">
        <f t="shared" si="322"/>
        <v>#N/A</v>
      </c>
      <c r="CO184" t="e">
        <f t="shared" si="323"/>
        <v>#N/A</v>
      </c>
      <c r="CP184" t="e">
        <f t="shared" si="324"/>
        <v>#N/A</v>
      </c>
      <c r="CQ184" t="e">
        <f t="shared" si="325"/>
        <v>#N/A</v>
      </c>
      <c r="CR184" t="e">
        <f t="shared" si="326"/>
        <v>#N/A</v>
      </c>
      <c r="CS184" t="e">
        <f t="shared" si="327"/>
        <v>#N/A</v>
      </c>
      <c r="CT184" t="e">
        <f t="shared" si="328"/>
        <v>#N/A</v>
      </c>
      <c r="CU184" t="e">
        <f t="shared" si="329"/>
        <v>#N/A</v>
      </c>
      <c r="CV184" t="e">
        <f t="shared" si="330"/>
        <v>#N/A</v>
      </c>
      <c r="CW184" t="e">
        <f t="shared" si="331"/>
        <v>#N/A</v>
      </c>
      <c r="CX184" t="e">
        <f t="shared" si="332"/>
        <v>#N/A</v>
      </c>
      <c r="CY184" t="e">
        <f t="shared" si="333"/>
        <v>#N/A</v>
      </c>
      <c r="CZ184" t="e">
        <f t="shared" si="334"/>
        <v>#N/A</v>
      </c>
      <c r="DA184" t="e">
        <f t="shared" si="335"/>
        <v>#N/A</v>
      </c>
      <c r="DB184" t="e">
        <f t="shared" si="336"/>
        <v>#N/A</v>
      </c>
      <c r="DC184" s="142" t="e">
        <f t="shared" si="337"/>
        <v>#N/A</v>
      </c>
      <c r="DD184" t="e">
        <f t="shared" si="191"/>
        <v>#N/A</v>
      </c>
      <c r="DE184" t="b">
        <f t="shared" si="338"/>
        <v>0</v>
      </c>
    </row>
    <row r="185" spans="1:109">
      <c r="A185">
        <f t="shared" si="192"/>
        <v>120</v>
      </c>
      <c r="B185" s="140" t="e">
        <f t="shared" si="233"/>
        <v>#N/A</v>
      </c>
      <c r="C185" s="140" t="e">
        <f t="shared" si="234"/>
        <v>#N/A</v>
      </c>
      <c r="D185" s="140" t="e">
        <f t="shared" si="235"/>
        <v>#N/A</v>
      </c>
      <c r="E185" s="140" t="e">
        <f t="shared" si="236"/>
        <v>#N/A</v>
      </c>
      <c r="F185" s="140" t="e">
        <f t="shared" si="237"/>
        <v>#N/A</v>
      </c>
      <c r="G185" s="140" t="e">
        <f t="shared" si="238"/>
        <v>#N/A</v>
      </c>
      <c r="H185" s="140" t="e">
        <f t="shared" si="239"/>
        <v>#N/A</v>
      </c>
      <c r="I185" s="140" t="e">
        <f t="shared" si="240"/>
        <v>#N/A</v>
      </c>
      <c r="J185" s="140" t="e">
        <f t="shared" si="241"/>
        <v>#N/A</v>
      </c>
      <c r="K185" s="140" t="e">
        <f t="shared" si="242"/>
        <v>#N/A</v>
      </c>
      <c r="L185" s="140" t="e">
        <f t="shared" si="243"/>
        <v>#N/A</v>
      </c>
      <c r="M185" s="140" t="e">
        <f t="shared" si="244"/>
        <v>#N/A</v>
      </c>
      <c r="N185" s="140" t="e">
        <f t="shared" si="245"/>
        <v>#N/A</v>
      </c>
      <c r="O185" s="140" t="e">
        <f t="shared" si="246"/>
        <v>#N/A</v>
      </c>
      <c r="P185" s="140" t="e">
        <f t="shared" si="247"/>
        <v>#N/A</v>
      </c>
      <c r="Q185" s="140" t="e">
        <f t="shared" si="248"/>
        <v>#N/A</v>
      </c>
      <c r="R185" s="140" t="e">
        <f t="shared" si="249"/>
        <v>#N/A</v>
      </c>
      <c r="S185" s="140" t="e">
        <f t="shared" si="250"/>
        <v>#N/A</v>
      </c>
      <c r="T185" s="140" t="e">
        <f t="shared" si="251"/>
        <v>#N/A</v>
      </c>
      <c r="U185" s="140" t="e">
        <f t="shared" si="252"/>
        <v>#N/A</v>
      </c>
      <c r="V185" s="141" t="str">
        <f t="shared" si="253"/>
        <v>DPS</v>
      </c>
      <c r="W185" s="141" t="str">
        <f t="shared" si="254"/>
        <v>DPS</v>
      </c>
      <c r="X185" s="141" t="str">
        <f t="shared" si="255"/>
        <v>DPS</v>
      </c>
      <c r="Y185" s="141" t="str">
        <f t="shared" si="256"/>
        <v>DPS</v>
      </c>
      <c r="Z185" s="141" t="str">
        <f t="shared" si="257"/>
        <v>DPS</v>
      </c>
      <c r="AA185" s="141" t="str">
        <f t="shared" si="258"/>
        <v>DPS</v>
      </c>
      <c r="AB185" s="141" t="str">
        <f t="shared" si="259"/>
        <v>DPS</v>
      </c>
      <c r="AC185" s="141" t="str">
        <f t="shared" si="260"/>
        <v>DPS</v>
      </c>
      <c r="AD185" s="141" t="str">
        <f t="shared" si="261"/>
        <v>DPS</v>
      </c>
      <c r="AE185" s="141" t="str">
        <f t="shared" si="262"/>
        <v>DPS</v>
      </c>
      <c r="AF185" s="141" t="str">
        <f t="shared" si="263"/>
        <v>DPS</v>
      </c>
      <c r="AG185" s="141" t="str">
        <f t="shared" si="264"/>
        <v>DPS</v>
      </c>
      <c r="AH185" s="141" t="str">
        <f t="shared" si="265"/>
        <v>DPS</v>
      </c>
      <c r="AI185" s="141" t="str">
        <f t="shared" si="266"/>
        <v>HPS</v>
      </c>
      <c r="AJ185" s="141" t="str">
        <f t="shared" si="267"/>
        <v>HPS</v>
      </c>
      <c r="AK185" s="141" t="str">
        <f t="shared" si="268"/>
        <v>HPS</v>
      </c>
      <c r="AL185" s="141" t="str">
        <f t="shared" si="269"/>
        <v>HPS</v>
      </c>
      <c r="AM185" s="141" t="str">
        <f t="shared" si="270"/>
        <v>HPS</v>
      </c>
      <c r="AN185" s="141" t="str">
        <f t="shared" si="271"/>
        <v>HPS</v>
      </c>
      <c r="AO185" s="141" t="str">
        <f t="shared" si="272"/>
        <v>HPS</v>
      </c>
      <c r="AP185" s="134" t="e">
        <f t="shared" si="273"/>
        <v>#N/A</v>
      </c>
      <c r="AQ185" s="134" t="e">
        <f t="shared" si="274"/>
        <v>#N/A</v>
      </c>
      <c r="AR185" s="134" t="e">
        <f t="shared" si="275"/>
        <v>#N/A</v>
      </c>
      <c r="AS185" s="134" t="e">
        <f t="shared" si="276"/>
        <v>#N/A</v>
      </c>
      <c r="AT185" s="134" t="e">
        <f t="shared" si="277"/>
        <v>#N/A</v>
      </c>
      <c r="AU185" s="134" t="e">
        <f t="shared" si="278"/>
        <v>#N/A</v>
      </c>
      <c r="AV185" s="134" t="e">
        <f t="shared" si="279"/>
        <v>#N/A</v>
      </c>
      <c r="AW185" s="134" t="e">
        <f t="shared" si="280"/>
        <v>#N/A</v>
      </c>
      <c r="AX185" s="134" t="e">
        <f t="shared" si="281"/>
        <v>#N/A</v>
      </c>
      <c r="AY185" s="134" t="e">
        <f t="shared" si="282"/>
        <v>#N/A</v>
      </c>
      <c r="AZ185" s="134" t="e">
        <f t="shared" si="283"/>
        <v>#N/A</v>
      </c>
      <c r="BA185" s="134" t="e">
        <f t="shared" si="284"/>
        <v>#N/A</v>
      </c>
      <c r="BB185" s="134" t="e">
        <f t="shared" si="285"/>
        <v>#N/A</v>
      </c>
      <c r="BC185" s="134" t="e">
        <f t="shared" si="286"/>
        <v>#N/A</v>
      </c>
      <c r="BD185" s="134" t="e">
        <f t="shared" si="287"/>
        <v>#N/A</v>
      </c>
      <c r="BE185" s="134" t="e">
        <f t="shared" si="288"/>
        <v>#N/A</v>
      </c>
      <c r="BF185" s="134" t="e">
        <f t="shared" si="289"/>
        <v>#N/A</v>
      </c>
      <c r="BG185" s="134" t="e">
        <f t="shared" si="290"/>
        <v>#N/A</v>
      </c>
      <c r="BH185" s="134" t="e">
        <f t="shared" si="291"/>
        <v>#N/A</v>
      </c>
      <c r="BI185" s="134" t="e">
        <f t="shared" si="292"/>
        <v>#N/A</v>
      </c>
      <c r="BJ185" t="e">
        <f t="shared" si="293"/>
        <v>#N/A</v>
      </c>
      <c r="BK185" t="e">
        <f t="shared" si="294"/>
        <v>#N/A</v>
      </c>
      <c r="BL185" s="142" t="e">
        <f t="shared" si="295"/>
        <v>#N/A</v>
      </c>
      <c r="BM185" s="142">
        <f t="shared" si="190"/>
        <v>2650</v>
      </c>
      <c r="BN185" t="e">
        <f t="shared" si="296"/>
        <v>#NUM!</v>
      </c>
      <c r="BO185" s="143" t="e">
        <f t="shared" si="297"/>
        <v>#N/A</v>
      </c>
      <c r="BP185" s="143" t="e">
        <f t="shared" si="298"/>
        <v>#N/A</v>
      </c>
      <c r="BQ185" s="143" t="e">
        <f t="shared" si="299"/>
        <v>#N/A</v>
      </c>
      <c r="BR185" s="143" t="e">
        <f t="shared" si="300"/>
        <v>#N/A</v>
      </c>
      <c r="BS185" s="143" t="e">
        <f t="shared" si="301"/>
        <v>#N/A</v>
      </c>
      <c r="BT185" s="143" t="e">
        <f t="shared" si="302"/>
        <v>#N/A</v>
      </c>
      <c r="BU185" s="143" t="e">
        <f t="shared" si="303"/>
        <v>#N/A</v>
      </c>
      <c r="BV185" s="143" t="e">
        <f t="shared" si="304"/>
        <v>#N/A</v>
      </c>
      <c r="BW185" s="143" t="e">
        <f t="shared" si="305"/>
        <v>#N/A</v>
      </c>
      <c r="BX185" s="143" t="e">
        <f t="shared" si="306"/>
        <v>#N/A</v>
      </c>
      <c r="BY185" s="143" t="e">
        <f t="shared" si="307"/>
        <v>#N/A</v>
      </c>
      <c r="BZ185" s="143" t="e">
        <f t="shared" si="308"/>
        <v>#N/A</v>
      </c>
      <c r="CA185" s="143" t="e">
        <f t="shared" si="309"/>
        <v>#N/A</v>
      </c>
      <c r="CB185" s="143" t="e">
        <f t="shared" si="310"/>
        <v>#N/A</v>
      </c>
      <c r="CC185" s="143" t="e">
        <f t="shared" si="311"/>
        <v>#N/A</v>
      </c>
      <c r="CD185" s="143" t="e">
        <f t="shared" si="312"/>
        <v>#N/A</v>
      </c>
      <c r="CE185" s="143" t="e">
        <f t="shared" si="313"/>
        <v>#N/A</v>
      </c>
      <c r="CF185" s="143" t="e">
        <f t="shared" si="314"/>
        <v>#N/A</v>
      </c>
      <c r="CG185" s="143" t="e">
        <f t="shared" si="315"/>
        <v>#N/A</v>
      </c>
      <c r="CH185" s="143" t="e">
        <f t="shared" si="316"/>
        <v>#N/A</v>
      </c>
      <c r="CI185" t="e">
        <f t="shared" si="317"/>
        <v>#N/A</v>
      </c>
      <c r="CJ185" t="e">
        <f t="shared" si="318"/>
        <v>#N/A</v>
      </c>
      <c r="CK185" t="e">
        <f t="shared" si="319"/>
        <v>#N/A</v>
      </c>
      <c r="CL185" t="e">
        <f t="shared" si="320"/>
        <v>#N/A</v>
      </c>
      <c r="CM185" t="e">
        <f t="shared" si="321"/>
        <v>#N/A</v>
      </c>
      <c r="CN185" t="e">
        <f t="shared" si="322"/>
        <v>#N/A</v>
      </c>
      <c r="CO185" t="e">
        <f t="shared" si="323"/>
        <v>#N/A</v>
      </c>
      <c r="CP185" t="e">
        <f t="shared" si="324"/>
        <v>#N/A</v>
      </c>
      <c r="CQ185" t="e">
        <f t="shared" si="325"/>
        <v>#N/A</v>
      </c>
      <c r="CR185" t="e">
        <f t="shared" si="326"/>
        <v>#N/A</v>
      </c>
      <c r="CS185" t="e">
        <f t="shared" si="327"/>
        <v>#N/A</v>
      </c>
      <c r="CT185" t="e">
        <f t="shared" si="328"/>
        <v>#N/A</v>
      </c>
      <c r="CU185" t="e">
        <f t="shared" si="329"/>
        <v>#N/A</v>
      </c>
      <c r="CV185" t="e">
        <f t="shared" si="330"/>
        <v>#N/A</v>
      </c>
      <c r="CW185" t="e">
        <f t="shared" si="331"/>
        <v>#N/A</v>
      </c>
      <c r="CX185" t="e">
        <f t="shared" si="332"/>
        <v>#N/A</v>
      </c>
      <c r="CY185" t="e">
        <f t="shared" si="333"/>
        <v>#N/A</v>
      </c>
      <c r="CZ185" t="e">
        <f t="shared" si="334"/>
        <v>#N/A</v>
      </c>
      <c r="DA185" t="e">
        <f t="shared" si="335"/>
        <v>#N/A</v>
      </c>
      <c r="DB185" t="e">
        <f t="shared" si="336"/>
        <v>#N/A</v>
      </c>
      <c r="DC185" s="142" t="e">
        <f t="shared" si="337"/>
        <v>#N/A</v>
      </c>
      <c r="DD185" t="e">
        <f t="shared" si="191"/>
        <v>#N/A</v>
      </c>
      <c r="DE185" t="b">
        <f t="shared" si="338"/>
        <v>0</v>
      </c>
    </row>
    <row r="186" spans="1:109">
      <c r="A186">
        <f t="shared" si="192"/>
        <v>121</v>
      </c>
      <c r="B186" s="140" t="e">
        <f t="shared" si="233"/>
        <v>#N/A</v>
      </c>
      <c r="C186" s="140" t="e">
        <f t="shared" si="234"/>
        <v>#N/A</v>
      </c>
      <c r="D186" s="140" t="e">
        <f t="shared" si="235"/>
        <v>#N/A</v>
      </c>
      <c r="E186" s="140" t="e">
        <f t="shared" si="236"/>
        <v>#N/A</v>
      </c>
      <c r="F186" s="140" t="e">
        <f t="shared" si="237"/>
        <v>#N/A</v>
      </c>
      <c r="G186" s="140" t="e">
        <f t="shared" si="238"/>
        <v>#N/A</v>
      </c>
      <c r="H186" s="140" t="e">
        <f t="shared" si="239"/>
        <v>#N/A</v>
      </c>
      <c r="I186" s="140" t="e">
        <f t="shared" si="240"/>
        <v>#N/A</v>
      </c>
      <c r="J186" s="140" t="e">
        <f t="shared" si="241"/>
        <v>#N/A</v>
      </c>
      <c r="K186" s="140" t="e">
        <f t="shared" si="242"/>
        <v>#N/A</v>
      </c>
      <c r="L186" s="140" t="e">
        <f t="shared" si="243"/>
        <v>#N/A</v>
      </c>
      <c r="M186" s="140" t="e">
        <f t="shared" si="244"/>
        <v>#N/A</v>
      </c>
      <c r="N186" s="140" t="e">
        <f t="shared" si="245"/>
        <v>#N/A</v>
      </c>
      <c r="O186" s="140" t="e">
        <f t="shared" si="246"/>
        <v>#N/A</v>
      </c>
      <c r="P186" s="140" t="e">
        <f t="shared" si="247"/>
        <v>#N/A</v>
      </c>
      <c r="Q186" s="140" t="e">
        <f t="shared" si="248"/>
        <v>#N/A</v>
      </c>
      <c r="R186" s="140" t="e">
        <f t="shared" si="249"/>
        <v>#N/A</v>
      </c>
      <c r="S186" s="140" t="e">
        <f t="shared" si="250"/>
        <v>#N/A</v>
      </c>
      <c r="T186" s="140" t="e">
        <f t="shared" si="251"/>
        <v>#N/A</v>
      </c>
      <c r="U186" s="140" t="e">
        <f t="shared" si="252"/>
        <v>#N/A</v>
      </c>
      <c r="V186" s="141" t="str">
        <f t="shared" si="253"/>
        <v>DPS</v>
      </c>
      <c r="W186" s="141" t="str">
        <f t="shared" si="254"/>
        <v>DPS</v>
      </c>
      <c r="X186" s="141" t="str">
        <f t="shared" si="255"/>
        <v>DPS</v>
      </c>
      <c r="Y186" s="141" t="str">
        <f t="shared" si="256"/>
        <v>DPS</v>
      </c>
      <c r="Z186" s="141" t="str">
        <f t="shared" si="257"/>
        <v>DPS</v>
      </c>
      <c r="AA186" s="141" t="str">
        <f t="shared" si="258"/>
        <v>DPS</v>
      </c>
      <c r="AB186" s="141" t="str">
        <f t="shared" si="259"/>
        <v>DPS</v>
      </c>
      <c r="AC186" s="141" t="str">
        <f t="shared" si="260"/>
        <v>DPS</v>
      </c>
      <c r="AD186" s="141" t="str">
        <f t="shared" si="261"/>
        <v>DPS</v>
      </c>
      <c r="AE186" s="141" t="str">
        <f t="shared" si="262"/>
        <v>DPS</v>
      </c>
      <c r="AF186" s="141" t="str">
        <f t="shared" si="263"/>
        <v>DPS</v>
      </c>
      <c r="AG186" s="141" t="str">
        <f t="shared" si="264"/>
        <v>DPS</v>
      </c>
      <c r="AH186" s="141" t="str">
        <f t="shared" si="265"/>
        <v>DPS</v>
      </c>
      <c r="AI186" s="141" t="str">
        <f t="shared" si="266"/>
        <v>HPS</v>
      </c>
      <c r="AJ186" s="141" t="str">
        <f t="shared" si="267"/>
        <v>HPS</v>
      </c>
      <c r="AK186" s="141" t="str">
        <f t="shared" si="268"/>
        <v>HPS</v>
      </c>
      <c r="AL186" s="141" t="str">
        <f t="shared" si="269"/>
        <v>HPS</v>
      </c>
      <c r="AM186" s="141" t="str">
        <f t="shared" si="270"/>
        <v>HPS</v>
      </c>
      <c r="AN186" s="141" t="str">
        <f t="shared" si="271"/>
        <v>HPS</v>
      </c>
      <c r="AO186" s="141" t="str">
        <f t="shared" si="272"/>
        <v>HPS</v>
      </c>
      <c r="AP186" s="134" t="e">
        <f t="shared" si="273"/>
        <v>#N/A</v>
      </c>
      <c r="AQ186" s="134" t="e">
        <f t="shared" si="274"/>
        <v>#N/A</v>
      </c>
      <c r="AR186" s="134" t="e">
        <f t="shared" si="275"/>
        <v>#N/A</v>
      </c>
      <c r="AS186" s="134" t="e">
        <f t="shared" si="276"/>
        <v>#N/A</v>
      </c>
      <c r="AT186" s="134" t="e">
        <f t="shared" si="277"/>
        <v>#N/A</v>
      </c>
      <c r="AU186" s="134" t="e">
        <f t="shared" si="278"/>
        <v>#N/A</v>
      </c>
      <c r="AV186" s="134" t="e">
        <f t="shared" si="279"/>
        <v>#N/A</v>
      </c>
      <c r="AW186" s="134" t="e">
        <f t="shared" si="280"/>
        <v>#N/A</v>
      </c>
      <c r="AX186" s="134" t="e">
        <f t="shared" si="281"/>
        <v>#N/A</v>
      </c>
      <c r="AY186" s="134" t="e">
        <f t="shared" si="282"/>
        <v>#N/A</v>
      </c>
      <c r="AZ186" s="134" t="e">
        <f t="shared" si="283"/>
        <v>#N/A</v>
      </c>
      <c r="BA186" s="134" t="e">
        <f t="shared" si="284"/>
        <v>#N/A</v>
      </c>
      <c r="BB186" s="134" t="e">
        <f t="shared" si="285"/>
        <v>#N/A</v>
      </c>
      <c r="BC186" s="134" t="e">
        <f t="shared" si="286"/>
        <v>#N/A</v>
      </c>
      <c r="BD186" s="134" t="e">
        <f t="shared" si="287"/>
        <v>#N/A</v>
      </c>
      <c r="BE186" s="134" t="e">
        <f t="shared" si="288"/>
        <v>#N/A</v>
      </c>
      <c r="BF186" s="134" t="e">
        <f t="shared" si="289"/>
        <v>#N/A</v>
      </c>
      <c r="BG186" s="134" t="e">
        <f t="shared" si="290"/>
        <v>#N/A</v>
      </c>
      <c r="BH186" s="134" t="e">
        <f t="shared" si="291"/>
        <v>#N/A</v>
      </c>
      <c r="BI186" s="134" t="e">
        <f t="shared" si="292"/>
        <v>#N/A</v>
      </c>
      <c r="BJ186" t="e">
        <f t="shared" si="293"/>
        <v>#N/A</v>
      </c>
      <c r="BK186" t="e">
        <f t="shared" si="294"/>
        <v>#N/A</v>
      </c>
      <c r="BL186" s="142" t="e">
        <f t="shared" si="295"/>
        <v>#N/A</v>
      </c>
      <c r="BM186" s="142">
        <f t="shared" si="190"/>
        <v>2650</v>
      </c>
      <c r="BN186" t="e">
        <f t="shared" si="296"/>
        <v>#NUM!</v>
      </c>
      <c r="BO186" s="143" t="e">
        <f t="shared" si="297"/>
        <v>#N/A</v>
      </c>
      <c r="BP186" s="143" t="e">
        <f t="shared" si="298"/>
        <v>#N/A</v>
      </c>
      <c r="BQ186" s="143" t="e">
        <f t="shared" si="299"/>
        <v>#N/A</v>
      </c>
      <c r="BR186" s="143" t="e">
        <f t="shared" si="300"/>
        <v>#N/A</v>
      </c>
      <c r="BS186" s="143" t="e">
        <f t="shared" si="301"/>
        <v>#N/A</v>
      </c>
      <c r="BT186" s="143" t="e">
        <f t="shared" si="302"/>
        <v>#N/A</v>
      </c>
      <c r="BU186" s="143" t="e">
        <f t="shared" si="303"/>
        <v>#N/A</v>
      </c>
      <c r="BV186" s="143" t="e">
        <f t="shared" si="304"/>
        <v>#N/A</v>
      </c>
      <c r="BW186" s="143" t="e">
        <f t="shared" si="305"/>
        <v>#N/A</v>
      </c>
      <c r="BX186" s="143" t="e">
        <f t="shared" si="306"/>
        <v>#N/A</v>
      </c>
      <c r="BY186" s="143" t="e">
        <f t="shared" si="307"/>
        <v>#N/A</v>
      </c>
      <c r="BZ186" s="143" t="e">
        <f t="shared" si="308"/>
        <v>#N/A</v>
      </c>
      <c r="CA186" s="143" t="e">
        <f t="shared" si="309"/>
        <v>#N/A</v>
      </c>
      <c r="CB186" s="143" t="e">
        <f t="shared" si="310"/>
        <v>#N/A</v>
      </c>
      <c r="CC186" s="143" t="e">
        <f t="shared" si="311"/>
        <v>#N/A</v>
      </c>
      <c r="CD186" s="143" t="e">
        <f t="shared" si="312"/>
        <v>#N/A</v>
      </c>
      <c r="CE186" s="143" t="e">
        <f t="shared" si="313"/>
        <v>#N/A</v>
      </c>
      <c r="CF186" s="143" t="e">
        <f t="shared" si="314"/>
        <v>#N/A</v>
      </c>
      <c r="CG186" s="143" t="e">
        <f t="shared" si="315"/>
        <v>#N/A</v>
      </c>
      <c r="CH186" s="143" t="e">
        <f t="shared" si="316"/>
        <v>#N/A</v>
      </c>
      <c r="CI186" t="e">
        <f t="shared" si="317"/>
        <v>#N/A</v>
      </c>
      <c r="CJ186" t="e">
        <f t="shared" si="318"/>
        <v>#N/A</v>
      </c>
      <c r="CK186" t="e">
        <f t="shared" si="319"/>
        <v>#N/A</v>
      </c>
      <c r="CL186" t="e">
        <f t="shared" si="320"/>
        <v>#N/A</v>
      </c>
      <c r="CM186" t="e">
        <f t="shared" si="321"/>
        <v>#N/A</v>
      </c>
      <c r="CN186" t="e">
        <f t="shared" si="322"/>
        <v>#N/A</v>
      </c>
      <c r="CO186" t="e">
        <f t="shared" si="323"/>
        <v>#N/A</v>
      </c>
      <c r="CP186" t="e">
        <f t="shared" si="324"/>
        <v>#N/A</v>
      </c>
      <c r="CQ186" t="e">
        <f t="shared" si="325"/>
        <v>#N/A</v>
      </c>
      <c r="CR186" t="e">
        <f t="shared" si="326"/>
        <v>#N/A</v>
      </c>
      <c r="CS186" t="e">
        <f t="shared" si="327"/>
        <v>#N/A</v>
      </c>
      <c r="CT186" t="e">
        <f t="shared" si="328"/>
        <v>#N/A</v>
      </c>
      <c r="CU186" t="e">
        <f t="shared" si="329"/>
        <v>#N/A</v>
      </c>
      <c r="CV186" t="e">
        <f t="shared" si="330"/>
        <v>#N/A</v>
      </c>
      <c r="CW186" t="e">
        <f t="shared" si="331"/>
        <v>#N/A</v>
      </c>
      <c r="CX186" t="e">
        <f t="shared" si="332"/>
        <v>#N/A</v>
      </c>
      <c r="CY186" t="e">
        <f t="shared" si="333"/>
        <v>#N/A</v>
      </c>
      <c r="CZ186" t="e">
        <f t="shared" si="334"/>
        <v>#N/A</v>
      </c>
      <c r="DA186" t="e">
        <f t="shared" si="335"/>
        <v>#N/A</v>
      </c>
      <c r="DB186" t="e">
        <f t="shared" si="336"/>
        <v>#N/A</v>
      </c>
      <c r="DC186" s="142" t="e">
        <f t="shared" si="337"/>
        <v>#N/A</v>
      </c>
      <c r="DD186" t="e">
        <f t="shared" si="191"/>
        <v>#N/A</v>
      </c>
      <c r="DE186" t="b">
        <f t="shared" si="338"/>
        <v>0</v>
      </c>
    </row>
    <row r="187" spans="1:109">
      <c r="A187">
        <f t="shared" si="192"/>
        <v>122</v>
      </c>
      <c r="B187" s="140" t="e">
        <f t="shared" si="233"/>
        <v>#N/A</v>
      </c>
      <c r="C187" s="140" t="e">
        <f t="shared" si="234"/>
        <v>#N/A</v>
      </c>
      <c r="D187" s="140" t="e">
        <f t="shared" si="235"/>
        <v>#N/A</v>
      </c>
      <c r="E187" s="140" t="e">
        <f t="shared" si="236"/>
        <v>#N/A</v>
      </c>
      <c r="F187" s="140" t="e">
        <f t="shared" si="237"/>
        <v>#N/A</v>
      </c>
      <c r="G187" s="140" t="e">
        <f t="shared" si="238"/>
        <v>#N/A</v>
      </c>
      <c r="H187" s="140" t="e">
        <f t="shared" si="239"/>
        <v>#N/A</v>
      </c>
      <c r="I187" s="140" t="e">
        <f t="shared" si="240"/>
        <v>#N/A</v>
      </c>
      <c r="J187" s="140" t="e">
        <f t="shared" si="241"/>
        <v>#N/A</v>
      </c>
      <c r="K187" s="140" t="e">
        <f t="shared" si="242"/>
        <v>#N/A</v>
      </c>
      <c r="L187" s="140" t="e">
        <f t="shared" si="243"/>
        <v>#N/A</v>
      </c>
      <c r="M187" s="140" t="e">
        <f t="shared" si="244"/>
        <v>#N/A</v>
      </c>
      <c r="N187" s="140" t="e">
        <f t="shared" si="245"/>
        <v>#N/A</v>
      </c>
      <c r="O187" s="140" t="e">
        <f t="shared" si="246"/>
        <v>#N/A</v>
      </c>
      <c r="P187" s="140" t="e">
        <f t="shared" si="247"/>
        <v>#N/A</v>
      </c>
      <c r="Q187" s="140" t="e">
        <f t="shared" si="248"/>
        <v>#N/A</v>
      </c>
      <c r="R187" s="140" t="e">
        <f t="shared" si="249"/>
        <v>#N/A</v>
      </c>
      <c r="S187" s="140" t="e">
        <f t="shared" si="250"/>
        <v>#N/A</v>
      </c>
      <c r="T187" s="140" t="e">
        <f t="shared" si="251"/>
        <v>#N/A</v>
      </c>
      <c r="U187" s="140" t="e">
        <f t="shared" si="252"/>
        <v>#N/A</v>
      </c>
      <c r="V187" s="141" t="str">
        <f t="shared" si="253"/>
        <v>DPS</v>
      </c>
      <c r="W187" s="141" t="str">
        <f t="shared" si="254"/>
        <v>DPS</v>
      </c>
      <c r="X187" s="141" t="str">
        <f t="shared" si="255"/>
        <v>DPS</v>
      </c>
      <c r="Y187" s="141" t="str">
        <f t="shared" si="256"/>
        <v>DPS</v>
      </c>
      <c r="Z187" s="141" t="str">
        <f t="shared" si="257"/>
        <v>DPS</v>
      </c>
      <c r="AA187" s="141" t="str">
        <f t="shared" si="258"/>
        <v>DPS</v>
      </c>
      <c r="AB187" s="141" t="str">
        <f t="shared" si="259"/>
        <v>DPS</v>
      </c>
      <c r="AC187" s="141" t="str">
        <f t="shared" si="260"/>
        <v>DPS</v>
      </c>
      <c r="AD187" s="141" t="str">
        <f t="shared" si="261"/>
        <v>DPS</v>
      </c>
      <c r="AE187" s="141" t="str">
        <f t="shared" si="262"/>
        <v>DPS</v>
      </c>
      <c r="AF187" s="141" t="str">
        <f t="shared" si="263"/>
        <v>DPS</v>
      </c>
      <c r="AG187" s="141" t="str">
        <f t="shared" si="264"/>
        <v>DPS</v>
      </c>
      <c r="AH187" s="141" t="str">
        <f t="shared" si="265"/>
        <v>DPS</v>
      </c>
      <c r="AI187" s="141" t="str">
        <f t="shared" si="266"/>
        <v>HPS</v>
      </c>
      <c r="AJ187" s="141" t="str">
        <f t="shared" si="267"/>
        <v>HPS</v>
      </c>
      <c r="AK187" s="141" t="str">
        <f t="shared" si="268"/>
        <v>HPS</v>
      </c>
      <c r="AL187" s="141" t="str">
        <f t="shared" si="269"/>
        <v>HPS</v>
      </c>
      <c r="AM187" s="141" t="str">
        <f t="shared" si="270"/>
        <v>HPS</v>
      </c>
      <c r="AN187" s="141" t="str">
        <f t="shared" si="271"/>
        <v>HPS</v>
      </c>
      <c r="AO187" s="141" t="str">
        <f t="shared" si="272"/>
        <v>HPS</v>
      </c>
      <c r="AP187" s="134" t="e">
        <f t="shared" si="273"/>
        <v>#N/A</v>
      </c>
      <c r="AQ187" s="134" t="e">
        <f t="shared" si="274"/>
        <v>#N/A</v>
      </c>
      <c r="AR187" s="134" t="e">
        <f t="shared" si="275"/>
        <v>#N/A</v>
      </c>
      <c r="AS187" s="134" t="e">
        <f t="shared" si="276"/>
        <v>#N/A</v>
      </c>
      <c r="AT187" s="134" t="e">
        <f t="shared" si="277"/>
        <v>#N/A</v>
      </c>
      <c r="AU187" s="134" t="e">
        <f t="shared" si="278"/>
        <v>#N/A</v>
      </c>
      <c r="AV187" s="134" t="e">
        <f t="shared" si="279"/>
        <v>#N/A</v>
      </c>
      <c r="AW187" s="134" t="e">
        <f t="shared" si="280"/>
        <v>#N/A</v>
      </c>
      <c r="AX187" s="134" t="e">
        <f t="shared" si="281"/>
        <v>#N/A</v>
      </c>
      <c r="AY187" s="134" t="e">
        <f t="shared" si="282"/>
        <v>#N/A</v>
      </c>
      <c r="AZ187" s="134" t="e">
        <f t="shared" si="283"/>
        <v>#N/A</v>
      </c>
      <c r="BA187" s="134" t="e">
        <f t="shared" si="284"/>
        <v>#N/A</v>
      </c>
      <c r="BB187" s="134" t="e">
        <f t="shared" si="285"/>
        <v>#N/A</v>
      </c>
      <c r="BC187" s="134" t="e">
        <f t="shared" si="286"/>
        <v>#N/A</v>
      </c>
      <c r="BD187" s="134" t="e">
        <f t="shared" si="287"/>
        <v>#N/A</v>
      </c>
      <c r="BE187" s="134" t="e">
        <f t="shared" si="288"/>
        <v>#N/A</v>
      </c>
      <c r="BF187" s="134" t="e">
        <f t="shared" si="289"/>
        <v>#N/A</v>
      </c>
      <c r="BG187" s="134" t="e">
        <f t="shared" si="290"/>
        <v>#N/A</v>
      </c>
      <c r="BH187" s="134" t="e">
        <f t="shared" si="291"/>
        <v>#N/A</v>
      </c>
      <c r="BI187" s="134" t="e">
        <f t="shared" si="292"/>
        <v>#N/A</v>
      </c>
      <c r="BJ187" t="e">
        <f t="shared" si="293"/>
        <v>#N/A</v>
      </c>
      <c r="BK187" t="e">
        <f t="shared" si="294"/>
        <v>#N/A</v>
      </c>
      <c r="BL187" s="142" t="e">
        <f t="shared" si="295"/>
        <v>#N/A</v>
      </c>
      <c r="BM187" s="142">
        <f t="shared" si="190"/>
        <v>2650</v>
      </c>
      <c r="BN187" t="e">
        <f t="shared" si="296"/>
        <v>#NUM!</v>
      </c>
      <c r="BO187" s="143" t="e">
        <f t="shared" si="297"/>
        <v>#N/A</v>
      </c>
      <c r="BP187" s="143" t="e">
        <f t="shared" si="298"/>
        <v>#N/A</v>
      </c>
      <c r="BQ187" s="143" t="e">
        <f t="shared" si="299"/>
        <v>#N/A</v>
      </c>
      <c r="BR187" s="143" t="e">
        <f t="shared" si="300"/>
        <v>#N/A</v>
      </c>
      <c r="BS187" s="143" t="e">
        <f t="shared" si="301"/>
        <v>#N/A</v>
      </c>
      <c r="BT187" s="143" t="e">
        <f t="shared" si="302"/>
        <v>#N/A</v>
      </c>
      <c r="BU187" s="143" t="e">
        <f t="shared" si="303"/>
        <v>#N/A</v>
      </c>
      <c r="BV187" s="143" t="e">
        <f t="shared" si="304"/>
        <v>#N/A</v>
      </c>
      <c r="BW187" s="143" t="e">
        <f t="shared" si="305"/>
        <v>#N/A</v>
      </c>
      <c r="BX187" s="143" t="e">
        <f t="shared" si="306"/>
        <v>#N/A</v>
      </c>
      <c r="BY187" s="143" t="e">
        <f t="shared" si="307"/>
        <v>#N/A</v>
      </c>
      <c r="BZ187" s="143" t="e">
        <f t="shared" si="308"/>
        <v>#N/A</v>
      </c>
      <c r="CA187" s="143" t="e">
        <f t="shared" si="309"/>
        <v>#N/A</v>
      </c>
      <c r="CB187" s="143" t="e">
        <f t="shared" si="310"/>
        <v>#N/A</v>
      </c>
      <c r="CC187" s="143" t="e">
        <f t="shared" si="311"/>
        <v>#N/A</v>
      </c>
      <c r="CD187" s="143" t="e">
        <f t="shared" si="312"/>
        <v>#N/A</v>
      </c>
      <c r="CE187" s="143" t="e">
        <f t="shared" si="313"/>
        <v>#N/A</v>
      </c>
      <c r="CF187" s="143" t="e">
        <f t="shared" si="314"/>
        <v>#N/A</v>
      </c>
      <c r="CG187" s="143" t="e">
        <f t="shared" si="315"/>
        <v>#N/A</v>
      </c>
      <c r="CH187" s="143" t="e">
        <f t="shared" si="316"/>
        <v>#N/A</v>
      </c>
      <c r="CI187" t="e">
        <f t="shared" si="317"/>
        <v>#N/A</v>
      </c>
      <c r="CJ187" t="e">
        <f t="shared" si="318"/>
        <v>#N/A</v>
      </c>
      <c r="CK187" t="e">
        <f t="shared" si="319"/>
        <v>#N/A</v>
      </c>
      <c r="CL187" t="e">
        <f t="shared" si="320"/>
        <v>#N/A</v>
      </c>
      <c r="CM187" t="e">
        <f t="shared" si="321"/>
        <v>#N/A</v>
      </c>
      <c r="CN187" t="e">
        <f t="shared" si="322"/>
        <v>#N/A</v>
      </c>
      <c r="CO187" t="e">
        <f t="shared" si="323"/>
        <v>#N/A</v>
      </c>
      <c r="CP187" t="e">
        <f t="shared" si="324"/>
        <v>#N/A</v>
      </c>
      <c r="CQ187" t="e">
        <f t="shared" si="325"/>
        <v>#N/A</v>
      </c>
      <c r="CR187" t="e">
        <f t="shared" si="326"/>
        <v>#N/A</v>
      </c>
      <c r="CS187" t="e">
        <f t="shared" si="327"/>
        <v>#N/A</v>
      </c>
      <c r="CT187" t="e">
        <f t="shared" si="328"/>
        <v>#N/A</v>
      </c>
      <c r="CU187" t="e">
        <f t="shared" si="329"/>
        <v>#N/A</v>
      </c>
      <c r="CV187" t="e">
        <f t="shared" si="330"/>
        <v>#N/A</v>
      </c>
      <c r="CW187" t="e">
        <f t="shared" si="331"/>
        <v>#N/A</v>
      </c>
      <c r="CX187" t="e">
        <f t="shared" si="332"/>
        <v>#N/A</v>
      </c>
      <c r="CY187" t="e">
        <f t="shared" si="333"/>
        <v>#N/A</v>
      </c>
      <c r="CZ187" t="e">
        <f t="shared" si="334"/>
        <v>#N/A</v>
      </c>
      <c r="DA187" t="e">
        <f t="shared" si="335"/>
        <v>#N/A</v>
      </c>
      <c r="DB187" t="e">
        <f t="shared" si="336"/>
        <v>#N/A</v>
      </c>
      <c r="DC187" s="142" t="e">
        <f t="shared" si="337"/>
        <v>#N/A</v>
      </c>
      <c r="DD187" t="e">
        <f t="shared" si="191"/>
        <v>#N/A</v>
      </c>
      <c r="DE187" t="b">
        <f t="shared" si="338"/>
        <v>0</v>
      </c>
    </row>
    <row r="188" spans="1:109">
      <c r="A188">
        <f t="shared" si="192"/>
        <v>123</v>
      </c>
      <c r="B188" s="140" t="e">
        <f t="shared" si="233"/>
        <v>#N/A</v>
      </c>
      <c r="C188" s="140" t="e">
        <f t="shared" si="234"/>
        <v>#N/A</v>
      </c>
      <c r="D188" s="140" t="e">
        <f t="shared" si="235"/>
        <v>#N/A</v>
      </c>
      <c r="E188" s="140" t="e">
        <f t="shared" si="236"/>
        <v>#N/A</v>
      </c>
      <c r="F188" s="140" t="e">
        <f t="shared" si="237"/>
        <v>#N/A</v>
      </c>
      <c r="G188" s="140" t="e">
        <f t="shared" si="238"/>
        <v>#N/A</v>
      </c>
      <c r="H188" s="140" t="e">
        <f t="shared" si="239"/>
        <v>#N/A</v>
      </c>
      <c r="I188" s="140" t="e">
        <f t="shared" si="240"/>
        <v>#N/A</v>
      </c>
      <c r="J188" s="140" t="e">
        <f t="shared" si="241"/>
        <v>#N/A</v>
      </c>
      <c r="K188" s="140" t="e">
        <f t="shared" si="242"/>
        <v>#N/A</v>
      </c>
      <c r="L188" s="140" t="e">
        <f t="shared" si="243"/>
        <v>#N/A</v>
      </c>
      <c r="M188" s="140" t="e">
        <f t="shared" si="244"/>
        <v>#N/A</v>
      </c>
      <c r="N188" s="140" t="e">
        <f t="shared" si="245"/>
        <v>#N/A</v>
      </c>
      <c r="O188" s="140" t="e">
        <f t="shared" si="246"/>
        <v>#N/A</v>
      </c>
      <c r="P188" s="140" t="e">
        <f t="shared" si="247"/>
        <v>#N/A</v>
      </c>
      <c r="Q188" s="140" t="e">
        <f t="shared" si="248"/>
        <v>#N/A</v>
      </c>
      <c r="R188" s="140" t="e">
        <f t="shared" si="249"/>
        <v>#N/A</v>
      </c>
      <c r="S188" s="140" t="e">
        <f t="shared" si="250"/>
        <v>#N/A</v>
      </c>
      <c r="T188" s="140" t="e">
        <f t="shared" si="251"/>
        <v>#N/A</v>
      </c>
      <c r="U188" s="140" t="e">
        <f t="shared" si="252"/>
        <v>#N/A</v>
      </c>
      <c r="V188" s="141" t="str">
        <f t="shared" si="253"/>
        <v>DPS</v>
      </c>
      <c r="W188" s="141" t="str">
        <f t="shared" si="254"/>
        <v>DPS</v>
      </c>
      <c r="X188" s="141" t="str">
        <f t="shared" si="255"/>
        <v>DPS</v>
      </c>
      <c r="Y188" s="141" t="str">
        <f t="shared" si="256"/>
        <v>DPS</v>
      </c>
      <c r="Z188" s="141" t="str">
        <f t="shared" si="257"/>
        <v>DPS</v>
      </c>
      <c r="AA188" s="141" t="str">
        <f t="shared" si="258"/>
        <v>DPS</v>
      </c>
      <c r="AB188" s="141" t="str">
        <f t="shared" si="259"/>
        <v>DPS</v>
      </c>
      <c r="AC188" s="141" t="str">
        <f t="shared" si="260"/>
        <v>DPS</v>
      </c>
      <c r="AD188" s="141" t="str">
        <f t="shared" si="261"/>
        <v>DPS</v>
      </c>
      <c r="AE188" s="141" t="str">
        <f t="shared" si="262"/>
        <v>DPS</v>
      </c>
      <c r="AF188" s="141" t="str">
        <f t="shared" si="263"/>
        <v>DPS</v>
      </c>
      <c r="AG188" s="141" t="str">
        <f t="shared" si="264"/>
        <v>DPS</v>
      </c>
      <c r="AH188" s="141" t="str">
        <f t="shared" si="265"/>
        <v>DPS</v>
      </c>
      <c r="AI188" s="141" t="str">
        <f t="shared" si="266"/>
        <v>HPS</v>
      </c>
      <c r="AJ188" s="141" t="str">
        <f t="shared" si="267"/>
        <v>HPS</v>
      </c>
      <c r="AK188" s="141" t="str">
        <f t="shared" si="268"/>
        <v>HPS</v>
      </c>
      <c r="AL188" s="141" t="str">
        <f t="shared" si="269"/>
        <v>HPS</v>
      </c>
      <c r="AM188" s="141" t="str">
        <f t="shared" si="270"/>
        <v>HPS</v>
      </c>
      <c r="AN188" s="141" t="str">
        <f t="shared" si="271"/>
        <v>HPS</v>
      </c>
      <c r="AO188" s="141" t="str">
        <f t="shared" si="272"/>
        <v>HPS</v>
      </c>
      <c r="AP188" s="134" t="e">
        <f t="shared" si="273"/>
        <v>#N/A</v>
      </c>
      <c r="AQ188" s="134" t="e">
        <f t="shared" si="274"/>
        <v>#N/A</v>
      </c>
      <c r="AR188" s="134" t="e">
        <f t="shared" si="275"/>
        <v>#N/A</v>
      </c>
      <c r="AS188" s="134" t="e">
        <f t="shared" si="276"/>
        <v>#N/A</v>
      </c>
      <c r="AT188" s="134" t="e">
        <f t="shared" si="277"/>
        <v>#N/A</v>
      </c>
      <c r="AU188" s="134" t="e">
        <f t="shared" si="278"/>
        <v>#N/A</v>
      </c>
      <c r="AV188" s="134" t="e">
        <f t="shared" si="279"/>
        <v>#N/A</v>
      </c>
      <c r="AW188" s="134" t="e">
        <f t="shared" si="280"/>
        <v>#N/A</v>
      </c>
      <c r="AX188" s="134" t="e">
        <f t="shared" si="281"/>
        <v>#N/A</v>
      </c>
      <c r="AY188" s="134" t="e">
        <f t="shared" si="282"/>
        <v>#N/A</v>
      </c>
      <c r="AZ188" s="134" t="e">
        <f t="shared" si="283"/>
        <v>#N/A</v>
      </c>
      <c r="BA188" s="134" t="e">
        <f t="shared" si="284"/>
        <v>#N/A</v>
      </c>
      <c r="BB188" s="134" t="e">
        <f t="shared" si="285"/>
        <v>#N/A</v>
      </c>
      <c r="BC188" s="134" t="e">
        <f t="shared" si="286"/>
        <v>#N/A</v>
      </c>
      <c r="BD188" s="134" t="e">
        <f t="shared" si="287"/>
        <v>#N/A</v>
      </c>
      <c r="BE188" s="134" t="e">
        <f t="shared" si="288"/>
        <v>#N/A</v>
      </c>
      <c r="BF188" s="134" t="e">
        <f t="shared" si="289"/>
        <v>#N/A</v>
      </c>
      <c r="BG188" s="134" t="e">
        <f t="shared" si="290"/>
        <v>#N/A</v>
      </c>
      <c r="BH188" s="134" t="e">
        <f t="shared" si="291"/>
        <v>#N/A</v>
      </c>
      <c r="BI188" s="134" t="e">
        <f t="shared" si="292"/>
        <v>#N/A</v>
      </c>
      <c r="BJ188" t="e">
        <f t="shared" si="293"/>
        <v>#N/A</v>
      </c>
      <c r="BK188" t="e">
        <f t="shared" si="294"/>
        <v>#N/A</v>
      </c>
      <c r="BL188" s="142" t="e">
        <f t="shared" si="295"/>
        <v>#N/A</v>
      </c>
      <c r="BM188" s="142">
        <f t="shared" si="190"/>
        <v>2650</v>
      </c>
      <c r="BN188" t="e">
        <f t="shared" si="296"/>
        <v>#NUM!</v>
      </c>
      <c r="BO188" s="143" t="e">
        <f t="shared" si="297"/>
        <v>#N/A</v>
      </c>
      <c r="BP188" s="143" t="e">
        <f t="shared" si="298"/>
        <v>#N/A</v>
      </c>
      <c r="BQ188" s="143" t="e">
        <f t="shared" si="299"/>
        <v>#N/A</v>
      </c>
      <c r="BR188" s="143" t="e">
        <f t="shared" si="300"/>
        <v>#N/A</v>
      </c>
      <c r="BS188" s="143" t="e">
        <f t="shared" si="301"/>
        <v>#N/A</v>
      </c>
      <c r="BT188" s="143" t="e">
        <f t="shared" si="302"/>
        <v>#N/A</v>
      </c>
      <c r="BU188" s="143" t="e">
        <f t="shared" si="303"/>
        <v>#N/A</v>
      </c>
      <c r="BV188" s="143" t="e">
        <f t="shared" si="304"/>
        <v>#N/A</v>
      </c>
      <c r="BW188" s="143" t="e">
        <f t="shared" si="305"/>
        <v>#N/A</v>
      </c>
      <c r="BX188" s="143" t="e">
        <f t="shared" si="306"/>
        <v>#N/A</v>
      </c>
      <c r="BY188" s="143" t="e">
        <f t="shared" si="307"/>
        <v>#N/A</v>
      </c>
      <c r="BZ188" s="143" t="e">
        <f t="shared" si="308"/>
        <v>#N/A</v>
      </c>
      <c r="CA188" s="143" t="e">
        <f t="shared" si="309"/>
        <v>#N/A</v>
      </c>
      <c r="CB188" s="143" t="e">
        <f t="shared" si="310"/>
        <v>#N/A</v>
      </c>
      <c r="CC188" s="143" t="e">
        <f t="shared" si="311"/>
        <v>#N/A</v>
      </c>
      <c r="CD188" s="143" t="e">
        <f t="shared" si="312"/>
        <v>#N/A</v>
      </c>
      <c r="CE188" s="143" t="e">
        <f t="shared" si="313"/>
        <v>#N/A</v>
      </c>
      <c r="CF188" s="143" t="e">
        <f t="shared" si="314"/>
        <v>#N/A</v>
      </c>
      <c r="CG188" s="143" t="e">
        <f t="shared" si="315"/>
        <v>#N/A</v>
      </c>
      <c r="CH188" s="143" t="e">
        <f t="shared" si="316"/>
        <v>#N/A</v>
      </c>
      <c r="CI188" t="e">
        <f t="shared" si="317"/>
        <v>#N/A</v>
      </c>
      <c r="CJ188" t="e">
        <f t="shared" si="318"/>
        <v>#N/A</v>
      </c>
      <c r="CK188" t="e">
        <f t="shared" si="319"/>
        <v>#N/A</v>
      </c>
      <c r="CL188" t="e">
        <f t="shared" si="320"/>
        <v>#N/A</v>
      </c>
      <c r="CM188" t="e">
        <f t="shared" si="321"/>
        <v>#N/A</v>
      </c>
      <c r="CN188" t="e">
        <f t="shared" si="322"/>
        <v>#N/A</v>
      </c>
      <c r="CO188" t="e">
        <f t="shared" si="323"/>
        <v>#N/A</v>
      </c>
      <c r="CP188" t="e">
        <f t="shared" si="324"/>
        <v>#N/A</v>
      </c>
      <c r="CQ188" t="e">
        <f t="shared" si="325"/>
        <v>#N/A</v>
      </c>
      <c r="CR188" t="e">
        <f t="shared" si="326"/>
        <v>#N/A</v>
      </c>
      <c r="CS188" t="e">
        <f t="shared" si="327"/>
        <v>#N/A</v>
      </c>
      <c r="CT188" t="e">
        <f t="shared" si="328"/>
        <v>#N/A</v>
      </c>
      <c r="CU188" t="e">
        <f t="shared" si="329"/>
        <v>#N/A</v>
      </c>
      <c r="CV188" t="e">
        <f t="shared" si="330"/>
        <v>#N/A</v>
      </c>
      <c r="CW188" t="e">
        <f t="shared" si="331"/>
        <v>#N/A</v>
      </c>
      <c r="CX188" t="e">
        <f t="shared" si="332"/>
        <v>#N/A</v>
      </c>
      <c r="CY188" t="e">
        <f t="shared" si="333"/>
        <v>#N/A</v>
      </c>
      <c r="CZ188" t="e">
        <f t="shared" si="334"/>
        <v>#N/A</v>
      </c>
      <c r="DA188" t="e">
        <f t="shared" si="335"/>
        <v>#N/A</v>
      </c>
      <c r="DB188" t="e">
        <f t="shared" si="336"/>
        <v>#N/A</v>
      </c>
      <c r="DC188" s="142" t="e">
        <f t="shared" si="337"/>
        <v>#N/A</v>
      </c>
      <c r="DD188" t="e">
        <f t="shared" si="191"/>
        <v>#N/A</v>
      </c>
      <c r="DE188" t="b">
        <f t="shared" si="338"/>
        <v>0</v>
      </c>
    </row>
    <row r="189" spans="1:109">
      <c r="A189">
        <f t="shared" si="192"/>
        <v>124</v>
      </c>
      <c r="B189" s="140" t="e">
        <f t="shared" si="233"/>
        <v>#N/A</v>
      </c>
      <c r="C189" s="140" t="e">
        <f t="shared" si="234"/>
        <v>#N/A</v>
      </c>
      <c r="D189" s="140" t="e">
        <f t="shared" si="235"/>
        <v>#N/A</v>
      </c>
      <c r="E189" s="140" t="e">
        <f t="shared" si="236"/>
        <v>#N/A</v>
      </c>
      <c r="F189" s="140" t="e">
        <f t="shared" si="237"/>
        <v>#N/A</v>
      </c>
      <c r="G189" s="140" t="e">
        <f t="shared" si="238"/>
        <v>#N/A</v>
      </c>
      <c r="H189" s="140" t="e">
        <f t="shared" si="239"/>
        <v>#N/A</v>
      </c>
      <c r="I189" s="140" t="e">
        <f t="shared" si="240"/>
        <v>#N/A</v>
      </c>
      <c r="J189" s="140" t="e">
        <f t="shared" si="241"/>
        <v>#N/A</v>
      </c>
      <c r="K189" s="140" t="e">
        <f t="shared" si="242"/>
        <v>#N/A</v>
      </c>
      <c r="L189" s="140" t="e">
        <f t="shared" si="243"/>
        <v>#N/A</v>
      </c>
      <c r="M189" s="140" t="e">
        <f t="shared" si="244"/>
        <v>#N/A</v>
      </c>
      <c r="N189" s="140" t="e">
        <f t="shared" si="245"/>
        <v>#N/A</v>
      </c>
      <c r="O189" s="140" t="e">
        <f t="shared" si="246"/>
        <v>#N/A</v>
      </c>
      <c r="P189" s="140" t="e">
        <f t="shared" si="247"/>
        <v>#N/A</v>
      </c>
      <c r="Q189" s="140" t="e">
        <f t="shared" si="248"/>
        <v>#N/A</v>
      </c>
      <c r="R189" s="140" t="e">
        <f t="shared" si="249"/>
        <v>#N/A</v>
      </c>
      <c r="S189" s="140" t="e">
        <f t="shared" si="250"/>
        <v>#N/A</v>
      </c>
      <c r="T189" s="140" t="e">
        <f t="shared" si="251"/>
        <v>#N/A</v>
      </c>
      <c r="U189" s="140" t="e">
        <f t="shared" si="252"/>
        <v>#N/A</v>
      </c>
      <c r="V189" s="141" t="str">
        <f t="shared" si="253"/>
        <v>DPS</v>
      </c>
      <c r="W189" s="141" t="str">
        <f t="shared" si="254"/>
        <v>DPS</v>
      </c>
      <c r="X189" s="141" t="str">
        <f t="shared" si="255"/>
        <v>DPS</v>
      </c>
      <c r="Y189" s="141" t="str">
        <f t="shared" si="256"/>
        <v>DPS</v>
      </c>
      <c r="Z189" s="141" t="str">
        <f t="shared" si="257"/>
        <v>DPS</v>
      </c>
      <c r="AA189" s="141" t="str">
        <f t="shared" si="258"/>
        <v>DPS</v>
      </c>
      <c r="AB189" s="141" t="str">
        <f t="shared" si="259"/>
        <v>DPS</v>
      </c>
      <c r="AC189" s="141" t="str">
        <f t="shared" si="260"/>
        <v>DPS</v>
      </c>
      <c r="AD189" s="141" t="str">
        <f t="shared" si="261"/>
        <v>DPS</v>
      </c>
      <c r="AE189" s="141" t="str">
        <f t="shared" si="262"/>
        <v>DPS</v>
      </c>
      <c r="AF189" s="141" t="str">
        <f t="shared" si="263"/>
        <v>DPS</v>
      </c>
      <c r="AG189" s="141" t="str">
        <f t="shared" si="264"/>
        <v>DPS</v>
      </c>
      <c r="AH189" s="141" t="str">
        <f t="shared" si="265"/>
        <v>DPS</v>
      </c>
      <c r="AI189" s="141" t="str">
        <f t="shared" si="266"/>
        <v>HPS</v>
      </c>
      <c r="AJ189" s="141" t="str">
        <f t="shared" si="267"/>
        <v>HPS</v>
      </c>
      <c r="AK189" s="141" t="str">
        <f t="shared" si="268"/>
        <v>HPS</v>
      </c>
      <c r="AL189" s="141" t="str">
        <f t="shared" si="269"/>
        <v>HPS</v>
      </c>
      <c r="AM189" s="141" t="str">
        <f t="shared" si="270"/>
        <v>HPS</v>
      </c>
      <c r="AN189" s="141" t="str">
        <f t="shared" si="271"/>
        <v>HPS</v>
      </c>
      <c r="AO189" s="141" t="str">
        <f t="shared" si="272"/>
        <v>HPS</v>
      </c>
      <c r="AP189" s="134" t="e">
        <f t="shared" si="273"/>
        <v>#N/A</v>
      </c>
      <c r="AQ189" s="134" t="e">
        <f t="shared" si="274"/>
        <v>#N/A</v>
      </c>
      <c r="AR189" s="134" t="e">
        <f t="shared" si="275"/>
        <v>#N/A</v>
      </c>
      <c r="AS189" s="134" t="e">
        <f t="shared" si="276"/>
        <v>#N/A</v>
      </c>
      <c r="AT189" s="134" t="e">
        <f t="shared" si="277"/>
        <v>#N/A</v>
      </c>
      <c r="AU189" s="134" t="e">
        <f t="shared" si="278"/>
        <v>#N/A</v>
      </c>
      <c r="AV189" s="134" t="e">
        <f t="shared" si="279"/>
        <v>#N/A</v>
      </c>
      <c r="AW189" s="134" t="e">
        <f t="shared" si="280"/>
        <v>#N/A</v>
      </c>
      <c r="AX189" s="134" t="e">
        <f t="shared" si="281"/>
        <v>#N/A</v>
      </c>
      <c r="AY189" s="134" t="e">
        <f t="shared" si="282"/>
        <v>#N/A</v>
      </c>
      <c r="AZ189" s="134" t="e">
        <f t="shared" si="283"/>
        <v>#N/A</v>
      </c>
      <c r="BA189" s="134" t="e">
        <f t="shared" si="284"/>
        <v>#N/A</v>
      </c>
      <c r="BB189" s="134" t="e">
        <f t="shared" si="285"/>
        <v>#N/A</v>
      </c>
      <c r="BC189" s="134" t="e">
        <f t="shared" si="286"/>
        <v>#N/A</v>
      </c>
      <c r="BD189" s="134" t="e">
        <f t="shared" si="287"/>
        <v>#N/A</v>
      </c>
      <c r="BE189" s="134" t="e">
        <f t="shared" si="288"/>
        <v>#N/A</v>
      </c>
      <c r="BF189" s="134" t="e">
        <f t="shared" si="289"/>
        <v>#N/A</v>
      </c>
      <c r="BG189" s="134" t="e">
        <f t="shared" si="290"/>
        <v>#N/A</v>
      </c>
      <c r="BH189" s="134" t="e">
        <f t="shared" si="291"/>
        <v>#N/A</v>
      </c>
      <c r="BI189" s="134" t="e">
        <f t="shared" si="292"/>
        <v>#N/A</v>
      </c>
      <c r="BJ189" t="e">
        <f t="shared" si="293"/>
        <v>#N/A</v>
      </c>
      <c r="BK189" t="e">
        <f t="shared" si="294"/>
        <v>#N/A</v>
      </c>
      <c r="BL189" s="142" t="e">
        <f t="shared" si="295"/>
        <v>#N/A</v>
      </c>
      <c r="BM189" s="142">
        <f t="shared" si="190"/>
        <v>2650</v>
      </c>
      <c r="BN189" t="e">
        <f t="shared" si="296"/>
        <v>#NUM!</v>
      </c>
      <c r="BO189" s="143" t="e">
        <f t="shared" si="297"/>
        <v>#N/A</v>
      </c>
      <c r="BP189" s="143" t="e">
        <f t="shared" si="298"/>
        <v>#N/A</v>
      </c>
      <c r="BQ189" s="143" t="e">
        <f t="shared" si="299"/>
        <v>#N/A</v>
      </c>
      <c r="BR189" s="143" t="e">
        <f t="shared" si="300"/>
        <v>#N/A</v>
      </c>
      <c r="BS189" s="143" t="e">
        <f t="shared" si="301"/>
        <v>#N/A</v>
      </c>
      <c r="BT189" s="143" t="e">
        <f t="shared" si="302"/>
        <v>#N/A</v>
      </c>
      <c r="BU189" s="143" t="e">
        <f t="shared" si="303"/>
        <v>#N/A</v>
      </c>
      <c r="BV189" s="143" t="e">
        <f t="shared" si="304"/>
        <v>#N/A</v>
      </c>
      <c r="BW189" s="143" t="e">
        <f t="shared" si="305"/>
        <v>#N/A</v>
      </c>
      <c r="BX189" s="143" t="e">
        <f t="shared" si="306"/>
        <v>#N/A</v>
      </c>
      <c r="BY189" s="143" t="e">
        <f t="shared" si="307"/>
        <v>#N/A</v>
      </c>
      <c r="BZ189" s="143" t="e">
        <f t="shared" si="308"/>
        <v>#N/A</v>
      </c>
      <c r="CA189" s="143" t="e">
        <f t="shared" si="309"/>
        <v>#N/A</v>
      </c>
      <c r="CB189" s="143" t="e">
        <f t="shared" si="310"/>
        <v>#N/A</v>
      </c>
      <c r="CC189" s="143" t="e">
        <f t="shared" si="311"/>
        <v>#N/A</v>
      </c>
      <c r="CD189" s="143" t="e">
        <f t="shared" si="312"/>
        <v>#N/A</v>
      </c>
      <c r="CE189" s="143" t="e">
        <f t="shared" si="313"/>
        <v>#N/A</v>
      </c>
      <c r="CF189" s="143" t="e">
        <f t="shared" si="314"/>
        <v>#N/A</v>
      </c>
      <c r="CG189" s="143" t="e">
        <f t="shared" si="315"/>
        <v>#N/A</v>
      </c>
      <c r="CH189" s="143" t="e">
        <f t="shared" si="316"/>
        <v>#N/A</v>
      </c>
      <c r="CI189" t="e">
        <f t="shared" si="317"/>
        <v>#N/A</v>
      </c>
      <c r="CJ189" t="e">
        <f t="shared" si="318"/>
        <v>#N/A</v>
      </c>
      <c r="CK189" t="e">
        <f t="shared" si="319"/>
        <v>#N/A</v>
      </c>
      <c r="CL189" t="e">
        <f t="shared" si="320"/>
        <v>#N/A</v>
      </c>
      <c r="CM189" t="e">
        <f t="shared" si="321"/>
        <v>#N/A</v>
      </c>
      <c r="CN189" t="e">
        <f t="shared" si="322"/>
        <v>#N/A</v>
      </c>
      <c r="CO189" t="e">
        <f t="shared" si="323"/>
        <v>#N/A</v>
      </c>
      <c r="CP189" t="e">
        <f t="shared" si="324"/>
        <v>#N/A</v>
      </c>
      <c r="CQ189" t="e">
        <f t="shared" si="325"/>
        <v>#N/A</v>
      </c>
      <c r="CR189" t="e">
        <f t="shared" si="326"/>
        <v>#N/A</v>
      </c>
      <c r="CS189" t="e">
        <f t="shared" si="327"/>
        <v>#N/A</v>
      </c>
      <c r="CT189" t="e">
        <f t="shared" si="328"/>
        <v>#N/A</v>
      </c>
      <c r="CU189" t="e">
        <f t="shared" si="329"/>
        <v>#N/A</v>
      </c>
      <c r="CV189" t="e">
        <f t="shared" si="330"/>
        <v>#N/A</v>
      </c>
      <c r="CW189" t="e">
        <f t="shared" si="331"/>
        <v>#N/A</v>
      </c>
      <c r="CX189" t="e">
        <f t="shared" si="332"/>
        <v>#N/A</v>
      </c>
      <c r="CY189" t="e">
        <f t="shared" si="333"/>
        <v>#N/A</v>
      </c>
      <c r="CZ189" t="e">
        <f t="shared" si="334"/>
        <v>#N/A</v>
      </c>
      <c r="DA189" t="e">
        <f t="shared" si="335"/>
        <v>#N/A</v>
      </c>
      <c r="DB189" t="e">
        <f t="shared" si="336"/>
        <v>#N/A</v>
      </c>
      <c r="DC189" s="142" t="e">
        <f t="shared" si="337"/>
        <v>#N/A</v>
      </c>
      <c r="DD189" t="e">
        <f t="shared" si="191"/>
        <v>#N/A</v>
      </c>
      <c r="DE189" t="b">
        <f t="shared" si="338"/>
        <v>0</v>
      </c>
    </row>
    <row r="190" spans="1:109">
      <c r="A190">
        <f t="shared" si="192"/>
        <v>125</v>
      </c>
      <c r="B190" s="140" t="e">
        <f t="shared" si="233"/>
        <v>#N/A</v>
      </c>
      <c r="C190" s="140" t="e">
        <f t="shared" si="234"/>
        <v>#N/A</v>
      </c>
      <c r="D190" s="140" t="e">
        <f t="shared" si="235"/>
        <v>#N/A</v>
      </c>
      <c r="E190" s="140" t="e">
        <f t="shared" si="236"/>
        <v>#N/A</v>
      </c>
      <c r="F190" s="140" t="e">
        <f t="shared" si="237"/>
        <v>#N/A</v>
      </c>
      <c r="G190" s="140" t="e">
        <f t="shared" si="238"/>
        <v>#N/A</v>
      </c>
      <c r="H190" s="140" t="e">
        <f t="shared" si="239"/>
        <v>#N/A</v>
      </c>
      <c r="I190" s="140" t="e">
        <f t="shared" si="240"/>
        <v>#N/A</v>
      </c>
      <c r="J190" s="140" t="e">
        <f t="shared" si="241"/>
        <v>#N/A</v>
      </c>
      <c r="K190" s="140" t="e">
        <f t="shared" si="242"/>
        <v>#N/A</v>
      </c>
      <c r="L190" s="140" t="e">
        <f t="shared" si="243"/>
        <v>#N/A</v>
      </c>
      <c r="M190" s="140" t="e">
        <f t="shared" si="244"/>
        <v>#N/A</v>
      </c>
      <c r="N190" s="140" t="e">
        <f t="shared" si="245"/>
        <v>#N/A</v>
      </c>
      <c r="O190" s="140" t="e">
        <f t="shared" si="246"/>
        <v>#N/A</v>
      </c>
      <c r="P190" s="140" t="e">
        <f t="shared" si="247"/>
        <v>#N/A</v>
      </c>
      <c r="Q190" s="140" t="e">
        <f t="shared" si="248"/>
        <v>#N/A</v>
      </c>
      <c r="R190" s="140" t="e">
        <f t="shared" si="249"/>
        <v>#N/A</v>
      </c>
      <c r="S190" s="140" t="e">
        <f t="shared" si="250"/>
        <v>#N/A</v>
      </c>
      <c r="T190" s="140" t="e">
        <f t="shared" si="251"/>
        <v>#N/A</v>
      </c>
      <c r="U190" s="140" t="e">
        <f t="shared" si="252"/>
        <v>#N/A</v>
      </c>
      <c r="V190" s="141" t="str">
        <f t="shared" si="253"/>
        <v>DPS</v>
      </c>
      <c r="W190" s="141" t="str">
        <f t="shared" si="254"/>
        <v>DPS</v>
      </c>
      <c r="X190" s="141" t="str">
        <f t="shared" si="255"/>
        <v>DPS</v>
      </c>
      <c r="Y190" s="141" t="str">
        <f t="shared" si="256"/>
        <v>DPS</v>
      </c>
      <c r="Z190" s="141" t="str">
        <f t="shared" si="257"/>
        <v>DPS</v>
      </c>
      <c r="AA190" s="141" t="str">
        <f t="shared" si="258"/>
        <v>DPS</v>
      </c>
      <c r="AB190" s="141" t="str">
        <f t="shared" si="259"/>
        <v>DPS</v>
      </c>
      <c r="AC190" s="141" t="str">
        <f t="shared" si="260"/>
        <v>DPS</v>
      </c>
      <c r="AD190" s="141" t="str">
        <f t="shared" si="261"/>
        <v>DPS</v>
      </c>
      <c r="AE190" s="141" t="str">
        <f t="shared" si="262"/>
        <v>DPS</v>
      </c>
      <c r="AF190" s="141" t="str">
        <f t="shared" si="263"/>
        <v>DPS</v>
      </c>
      <c r="AG190" s="141" t="str">
        <f t="shared" si="264"/>
        <v>DPS</v>
      </c>
      <c r="AH190" s="141" t="str">
        <f t="shared" si="265"/>
        <v>DPS</v>
      </c>
      <c r="AI190" s="141" t="str">
        <f t="shared" si="266"/>
        <v>HPS</v>
      </c>
      <c r="AJ190" s="141" t="str">
        <f t="shared" si="267"/>
        <v>HPS</v>
      </c>
      <c r="AK190" s="141" t="str">
        <f t="shared" si="268"/>
        <v>HPS</v>
      </c>
      <c r="AL190" s="141" t="str">
        <f t="shared" si="269"/>
        <v>HPS</v>
      </c>
      <c r="AM190" s="141" t="str">
        <f t="shared" si="270"/>
        <v>HPS</v>
      </c>
      <c r="AN190" s="141" t="str">
        <f t="shared" si="271"/>
        <v>HPS</v>
      </c>
      <c r="AO190" s="141" t="str">
        <f t="shared" si="272"/>
        <v>HPS</v>
      </c>
      <c r="AP190" s="134" t="e">
        <f t="shared" si="273"/>
        <v>#N/A</v>
      </c>
      <c r="AQ190" s="134" t="e">
        <f t="shared" si="274"/>
        <v>#N/A</v>
      </c>
      <c r="AR190" s="134" t="e">
        <f t="shared" si="275"/>
        <v>#N/A</v>
      </c>
      <c r="AS190" s="134" t="e">
        <f t="shared" si="276"/>
        <v>#N/A</v>
      </c>
      <c r="AT190" s="134" t="e">
        <f t="shared" si="277"/>
        <v>#N/A</v>
      </c>
      <c r="AU190" s="134" t="e">
        <f t="shared" si="278"/>
        <v>#N/A</v>
      </c>
      <c r="AV190" s="134" t="e">
        <f t="shared" si="279"/>
        <v>#N/A</v>
      </c>
      <c r="AW190" s="134" t="e">
        <f t="shared" si="280"/>
        <v>#N/A</v>
      </c>
      <c r="AX190" s="134" t="e">
        <f t="shared" si="281"/>
        <v>#N/A</v>
      </c>
      <c r="AY190" s="134" t="e">
        <f t="shared" si="282"/>
        <v>#N/A</v>
      </c>
      <c r="AZ190" s="134" t="e">
        <f t="shared" si="283"/>
        <v>#N/A</v>
      </c>
      <c r="BA190" s="134" t="e">
        <f t="shared" si="284"/>
        <v>#N/A</v>
      </c>
      <c r="BB190" s="134" t="e">
        <f t="shared" si="285"/>
        <v>#N/A</v>
      </c>
      <c r="BC190" s="134" t="e">
        <f t="shared" si="286"/>
        <v>#N/A</v>
      </c>
      <c r="BD190" s="134" t="e">
        <f t="shared" si="287"/>
        <v>#N/A</v>
      </c>
      <c r="BE190" s="134" t="e">
        <f t="shared" si="288"/>
        <v>#N/A</v>
      </c>
      <c r="BF190" s="134" t="e">
        <f t="shared" si="289"/>
        <v>#N/A</v>
      </c>
      <c r="BG190" s="134" t="e">
        <f t="shared" si="290"/>
        <v>#N/A</v>
      </c>
      <c r="BH190" s="134" t="e">
        <f t="shared" si="291"/>
        <v>#N/A</v>
      </c>
      <c r="BI190" s="134" t="e">
        <f t="shared" si="292"/>
        <v>#N/A</v>
      </c>
      <c r="BJ190" t="e">
        <f t="shared" si="293"/>
        <v>#N/A</v>
      </c>
      <c r="BK190" t="e">
        <f t="shared" si="294"/>
        <v>#N/A</v>
      </c>
      <c r="BL190" s="142" t="e">
        <f t="shared" si="295"/>
        <v>#N/A</v>
      </c>
      <c r="BM190" s="142">
        <f t="shared" si="190"/>
        <v>2650</v>
      </c>
      <c r="BN190" t="e">
        <f t="shared" si="296"/>
        <v>#NUM!</v>
      </c>
      <c r="BO190" s="143" t="e">
        <f t="shared" si="297"/>
        <v>#N/A</v>
      </c>
      <c r="BP190" s="143" t="e">
        <f t="shared" si="298"/>
        <v>#N/A</v>
      </c>
      <c r="BQ190" s="143" t="e">
        <f t="shared" si="299"/>
        <v>#N/A</v>
      </c>
      <c r="BR190" s="143" t="e">
        <f t="shared" si="300"/>
        <v>#N/A</v>
      </c>
      <c r="BS190" s="143" t="e">
        <f t="shared" si="301"/>
        <v>#N/A</v>
      </c>
      <c r="BT190" s="143" t="e">
        <f t="shared" si="302"/>
        <v>#N/A</v>
      </c>
      <c r="BU190" s="143" t="e">
        <f t="shared" si="303"/>
        <v>#N/A</v>
      </c>
      <c r="BV190" s="143" t="e">
        <f t="shared" si="304"/>
        <v>#N/A</v>
      </c>
      <c r="BW190" s="143" t="e">
        <f t="shared" si="305"/>
        <v>#N/A</v>
      </c>
      <c r="BX190" s="143" t="e">
        <f t="shared" si="306"/>
        <v>#N/A</v>
      </c>
      <c r="BY190" s="143" t="e">
        <f t="shared" si="307"/>
        <v>#N/A</v>
      </c>
      <c r="BZ190" s="143" t="e">
        <f t="shared" si="308"/>
        <v>#N/A</v>
      </c>
      <c r="CA190" s="143" t="e">
        <f t="shared" si="309"/>
        <v>#N/A</v>
      </c>
      <c r="CB190" s="143" t="e">
        <f t="shared" si="310"/>
        <v>#N/A</v>
      </c>
      <c r="CC190" s="143" t="e">
        <f t="shared" si="311"/>
        <v>#N/A</v>
      </c>
      <c r="CD190" s="143" t="e">
        <f t="shared" si="312"/>
        <v>#N/A</v>
      </c>
      <c r="CE190" s="143" t="e">
        <f t="shared" si="313"/>
        <v>#N/A</v>
      </c>
      <c r="CF190" s="143" t="e">
        <f t="shared" si="314"/>
        <v>#N/A</v>
      </c>
      <c r="CG190" s="143" t="e">
        <f t="shared" si="315"/>
        <v>#N/A</v>
      </c>
      <c r="CH190" s="143" t="e">
        <f t="shared" si="316"/>
        <v>#N/A</v>
      </c>
      <c r="CI190" t="e">
        <f t="shared" si="317"/>
        <v>#N/A</v>
      </c>
      <c r="CJ190" t="e">
        <f t="shared" si="318"/>
        <v>#N/A</v>
      </c>
      <c r="CK190" t="e">
        <f t="shared" si="319"/>
        <v>#N/A</v>
      </c>
      <c r="CL190" t="e">
        <f t="shared" si="320"/>
        <v>#N/A</v>
      </c>
      <c r="CM190" t="e">
        <f t="shared" si="321"/>
        <v>#N/A</v>
      </c>
      <c r="CN190" t="e">
        <f t="shared" si="322"/>
        <v>#N/A</v>
      </c>
      <c r="CO190" t="e">
        <f t="shared" si="323"/>
        <v>#N/A</v>
      </c>
      <c r="CP190" t="e">
        <f t="shared" si="324"/>
        <v>#N/A</v>
      </c>
      <c r="CQ190" t="e">
        <f t="shared" si="325"/>
        <v>#N/A</v>
      </c>
      <c r="CR190" t="e">
        <f t="shared" si="326"/>
        <v>#N/A</v>
      </c>
      <c r="CS190" t="e">
        <f t="shared" si="327"/>
        <v>#N/A</v>
      </c>
      <c r="CT190" t="e">
        <f t="shared" si="328"/>
        <v>#N/A</v>
      </c>
      <c r="CU190" t="e">
        <f t="shared" si="329"/>
        <v>#N/A</v>
      </c>
      <c r="CV190" t="e">
        <f t="shared" si="330"/>
        <v>#N/A</v>
      </c>
      <c r="CW190" t="e">
        <f t="shared" si="331"/>
        <v>#N/A</v>
      </c>
      <c r="CX190" t="e">
        <f t="shared" si="332"/>
        <v>#N/A</v>
      </c>
      <c r="CY190" t="e">
        <f t="shared" si="333"/>
        <v>#N/A</v>
      </c>
      <c r="CZ190" t="e">
        <f t="shared" si="334"/>
        <v>#N/A</v>
      </c>
      <c r="DA190" t="e">
        <f t="shared" si="335"/>
        <v>#N/A</v>
      </c>
      <c r="DB190" t="e">
        <f t="shared" si="336"/>
        <v>#N/A</v>
      </c>
      <c r="DC190" s="142" t="e">
        <f t="shared" si="337"/>
        <v>#N/A</v>
      </c>
      <c r="DD190" t="e">
        <f t="shared" si="191"/>
        <v>#N/A</v>
      </c>
      <c r="DE190" t="b">
        <f t="shared" si="338"/>
        <v>0</v>
      </c>
    </row>
    <row r="191" spans="1:109">
      <c r="A191">
        <f t="shared" si="192"/>
        <v>126</v>
      </c>
      <c r="B191" s="140" t="e">
        <f t="shared" si="233"/>
        <v>#N/A</v>
      </c>
      <c r="C191" s="140" t="e">
        <f t="shared" si="234"/>
        <v>#N/A</v>
      </c>
      <c r="D191" s="140" t="e">
        <f t="shared" si="235"/>
        <v>#N/A</v>
      </c>
      <c r="E191" s="140" t="e">
        <f t="shared" si="236"/>
        <v>#N/A</v>
      </c>
      <c r="F191" s="140" t="e">
        <f t="shared" si="237"/>
        <v>#N/A</v>
      </c>
      <c r="G191" s="140" t="e">
        <f t="shared" si="238"/>
        <v>#N/A</v>
      </c>
      <c r="H191" s="140" t="e">
        <f t="shared" si="239"/>
        <v>#N/A</v>
      </c>
      <c r="I191" s="140" t="e">
        <f t="shared" si="240"/>
        <v>#N/A</v>
      </c>
      <c r="J191" s="140" t="e">
        <f t="shared" si="241"/>
        <v>#N/A</v>
      </c>
      <c r="K191" s="140" t="e">
        <f t="shared" si="242"/>
        <v>#N/A</v>
      </c>
      <c r="L191" s="140" t="e">
        <f t="shared" si="243"/>
        <v>#N/A</v>
      </c>
      <c r="M191" s="140" t="e">
        <f t="shared" si="244"/>
        <v>#N/A</v>
      </c>
      <c r="N191" s="140" t="e">
        <f t="shared" si="245"/>
        <v>#N/A</v>
      </c>
      <c r="O191" s="140" t="e">
        <f t="shared" si="246"/>
        <v>#N/A</v>
      </c>
      <c r="P191" s="140" t="e">
        <f t="shared" si="247"/>
        <v>#N/A</v>
      </c>
      <c r="Q191" s="140" t="e">
        <f t="shared" si="248"/>
        <v>#N/A</v>
      </c>
      <c r="R191" s="140" t="e">
        <f t="shared" si="249"/>
        <v>#N/A</v>
      </c>
      <c r="S191" s="140" t="e">
        <f t="shared" si="250"/>
        <v>#N/A</v>
      </c>
      <c r="T191" s="140" t="e">
        <f t="shared" si="251"/>
        <v>#N/A</v>
      </c>
      <c r="U191" s="140" t="e">
        <f t="shared" si="252"/>
        <v>#N/A</v>
      </c>
      <c r="V191" s="141" t="str">
        <f t="shared" si="253"/>
        <v>DPS</v>
      </c>
      <c r="W191" s="141" t="str">
        <f t="shared" si="254"/>
        <v>DPS</v>
      </c>
      <c r="X191" s="141" t="str">
        <f t="shared" si="255"/>
        <v>DPS</v>
      </c>
      <c r="Y191" s="141" t="str">
        <f t="shared" si="256"/>
        <v>DPS</v>
      </c>
      <c r="Z191" s="141" t="str">
        <f t="shared" si="257"/>
        <v>DPS</v>
      </c>
      <c r="AA191" s="141" t="str">
        <f t="shared" si="258"/>
        <v>DPS</v>
      </c>
      <c r="AB191" s="141" t="str">
        <f t="shared" si="259"/>
        <v>DPS</v>
      </c>
      <c r="AC191" s="141" t="str">
        <f t="shared" si="260"/>
        <v>DPS</v>
      </c>
      <c r="AD191" s="141" t="str">
        <f t="shared" si="261"/>
        <v>DPS</v>
      </c>
      <c r="AE191" s="141" t="str">
        <f t="shared" si="262"/>
        <v>DPS</v>
      </c>
      <c r="AF191" s="141" t="str">
        <f t="shared" si="263"/>
        <v>DPS</v>
      </c>
      <c r="AG191" s="141" t="str">
        <f t="shared" si="264"/>
        <v>DPS</v>
      </c>
      <c r="AH191" s="141" t="str">
        <f t="shared" si="265"/>
        <v>DPS</v>
      </c>
      <c r="AI191" s="141" t="str">
        <f t="shared" si="266"/>
        <v>HPS</v>
      </c>
      <c r="AJ191" s="141" t="str">
        <f t="shared" si="267"/>
        <v>HPS</v>
      </c>
      <c r="AK191" s="141" t="str">
        <f t="shared" si="268"/>
        <v>HPS</v>
      </c>
      <c r="AL191" s="141" t="str">
        <f t="shared" si="269"/>
        <v>HPS</v>
      </c>
      <c r="AM191" s="141" t="str">
        <f t="shared" si="270"/>
        <v>HPS</v>
      </c>
      <c r="AN191" s="141" t="str">
        <f t="shared" si="271"/>
        <v>HPS</v>
      </c>
      <c r="AO191" s="141" t="str">
        <f t="shared" si="272"/>
        <v>HPS</v>
      </c>
      <c r="AP191" s="134" t="e">
        <f t="shared" si="273"/>
        <v>#N/A</v>
      </c>
      <c r="AQ191" s="134" t="e">
        <f t="shared" si="274"/>
        <v>#N/A</v>
      </c>
      <c r="AR191" s="134" t="e">
        <f t="shared" si="275"/>
        <v>#N/A</v>
      </c>
      <c r="AS191" s="134" t="e">
        <f t="shared" si="276"/>
        <v>#N/A</v>
      </c>
      <c r="AT191" s="134" t="e">
        <f t="shared" si="277"/>
        <v>#N/A</v>
      </c>
      <c r="AU191" s="134" t="e">
        <f t="shared" si="278"/>
        <v>#N/A</v>
      </c>
      <c r="AV191" s="134" t="e">
        <f t="shared" si="279"/>
        <v>#N/A</v>
      </c>
      <c r="AW191" s="134" t="e">
        <f t="shared" si="280"/>
        <v>#N/A</v>
      </c>
      <c r="AX191" s="134" t="e">
        <f t="shared" si="281"/>
        <v>#N/A</v>
      </c>
      <c r="AY191" s="134" t="e">
        <f t="shared" si="282"/>
        <v>#N/A</v>
      </c>
      <c r="AZ191" s="134" t="e">
        <f t="shared" si="283"/>
        <v>#N/A</v>
      </c>
      <c r="BA191" s="134" t="e">
        <f t="shared" si="284"/>
        <v>#N/A</v>
      </c>
      <c r="BB191" s="134" t="e">
        <f t="shared" si="285"/>
        <v>#N/A</v>
      </c>
      <c r="BC191" s="134" t="e">
        <f t="shared" si="286"/>
        <v>#N/A</v>
      </c>
      <c r="BD191" s="134" t="e">
        <f t="shared" si="287"/>
        <v>#N/A</v>
      </c>
      <c r="BE191" s="134" t="e">
        <f t="shared" si="288"/>
        <v>#N/A</v>
      </c>
      <c r="BF191" s="134" t="e">
        <f t="shared" si="289"/>
        <v>#N/A</v>
      </c>
      <c r="BG191" s="134" t="e">
        <f t="shared" si="290"/>
        <v>#N/A</v>
      </c>
      <c r="BH191" s="134" t="e">
        <f t="shared" si="291"/>
        <v>#N/A</v>
      </c>
      <c r="BI191" s="134" t="e">
        <f t="shared" si="292"/>
        <v>#N/A</v>
      </c>
      <c r="BJ191" t="e">
        <f t="shared" si="293"/>
        <v>#N/A</v>
      </c>
      <c r="BK191" t="e">
        <f t="shared" si="294"/>
        <v>#N/A</v>
      </c>
      <c r="BL191" s="142" t="e">
        <f t="shared" si="295"/>
        <v>#N/A</v>
      </c>
      <c r="BM191" s="142">
        <f t="shared" si="190"/>
        <v>2650</v>
      </c>
      <c r="BN191" t="e">
        <f t="shared" si="296"/>
        <v>#NUM!</v>
      </c>
      <c r="BO191" s="143" t="e">
        <f t="shared" si="297"/>
        <v>#N/A</v>
      </c>
      <c r="BP191" s="143" t="e">
        <f t="shared" si="298"/>
        <v>#N/A</v>
      </c>
      <c r="BQ191" s="143" t="e">
        <f t="shared" si="299"/>
        <v>#N/A</v>
      </c>
      <c r="BR191" s="143" t="e">
        <f t="shared" si="300"/>
        <v>#N/A</v>
      </c>
      <c r="BS191" s="143" t="e">
        <f t="shared" si="301"/>
        <v>#N/A</v>
      </c>
      <c r="BT191" s="143" t="e">
        <f t="shared" si="302"/>
        <v>#N/A</v>
      </c>
      <c r="BU191" s="143" t="e">
        <f t="shared" si="303"/>
        <v>#N/A</v>
      </c>
      <c r="BV191" s="143" t="e">
        <f t="shared" si="304"/>
        <v>#N/A</v>
      </c>
      <c r="BW191" s="143" t="e">
        <f t="shared" si="305"/>
        <v>#N/A</v>
      </c>
      <c r="BX191" s="143" t="e">
        <f t="shared" si="306"/>
        <v>#N/A</v>
      </c>
      <c r="BY191" s="143" t="e">
        <f t="shared" si="307"/>
        <v>#N/A</v>
      </c>
      <c r="BZ191" s="143" t="e">
        <f t="shared" si="308"/>
        <v>#N/A</v>
      </c>
      <c r="CA191" s="143" t="e">
        <f t="shared" si="309"/>
        <v>#N/A</v>
      </c>
      <c r="CB191" s="143" t="e">
        <f t="shared" si="310"/>
        <v>#N/A</v>
      </c>
      <c r="CC191" s="143" t="e">
        <f t="shared" si="311"/>
        <v>#N/A</v>
      </c>
      <c r="CD191" s="143" t="e">
        <f t="shared" si="312"/>
        <v>#N/A</v>
      </c>
      <c r="CE191" s="143" t="e">
        <f t="shared" si="313"/>
        <v>#N/A</v>
      </c>
      <c r="CF191" s="143" t="e">
        <f t="shared" si="314"/>
        <v>#N/A</v>
      </c>
      <c r="CG191" s="143" t="e">
        <f t="shared" si="315"/>
        <v>#N/A</v>
      </c>
      <c r="CH191" s="143" t="e">
        <f t="shared" si="316"/>
        <v>#N/A</v>
      </c>
      <c r="CI191" t="e">
        <f t="shared" si="317"/>
        <v>#N/A</v>
      </c>
      <c r="CJ191" t="e">
        <f t="shared" si="318"/>
        <v>#N/A</v>
      </c>
      <c r="CK191" t="e">
        <f t="shared" si="319"/>
        <v>#N/A</v>
      </c>
      <c r="CL191" t="e">
        <f t="shared" si="320"/>
        <v>#N/A</v>
      </c>
      <c r="CM191" t="e">
        <f t="shared" si="321"/>
        <v>#N/A</v>
      </c>
      <c r="CN191" t="e">
        <f t="shared" si="322"/>
        <v>#N/A</v>
      </c>
      <c r="CO191" t="e">
        <f t="shared" si="323"/>
        <v>#N/A</v>
      </c>
      <c r="CP191" t="e">
        <f t="shared" si="324"/>
        <v>#N/A</v>
      </c>
      <c r="CQ191" t="e">
        <f t="shared" si="325"/>
        <v>#N/A</v>
      </c>
      <c r="CR191" t="e">
        <f t="shared" si="326"/>
        <v>#N/A</v>
      </c>
      <c r="CS191" t="e">
        <f t="shared" si="327"/>
        <v>#N/A</v>
      </c>
      <c r="CT191" t="e">
        <f t="shared" si="328"/>
        <v>#N/A</v>
      </c>
      <c r="CU191" t="e">
        <f t="shared" si="329"/>
        <v>#N/A</v>
      </c>
      <c r="CV191" t="e">
        <f t="shared" si="330"/>
        <v>#N/A</v>
      </c>
      <c r="CW191" t="e">
        <f t="shared" si="331"/>
        <v>#N/A</v>
      </c>
      <c r="CX191" t="e">
        <f t="shared" si="332"/>
        <v>#N/A</v>
      </c>
      <c r="CY191" t="e">
        <f t="shared" si="333"/>
        <v>#N/A</v>
      </c>
      <c r="CZ191" t="e">
        <f t="shared" si="334"/>
        <v>#N/A</v>
      </c>
      <c r="DA191" t="e">
        <f t="shared" si="335"/>
        <v>#N/A</v>
      </c>
      <c r="DB191" t="e">
        <f t="shared" si="336"/>
        <v>#N/A</v>
      </c>
      <c r="DC191" s="142" t="e">
        <f t="shared" si="337"/>
        <v>#N/A</v>
      </c>
      <c r="DD191" t="e">
        <f t="shared" si="191"/>
        <v>#N/A</v>
      </c>
      <c r="DE191" t="b">
        <f t="shared" si="338"/>
        <v>0</v>
      </c>
    </row>
  </sheetData>
  <conditionalFormatting sqref="CI66:DB191">
    <cfRule type="cellIs" dxfId="1" priority="2" operator="equal">
      <formula>TRUE</formula>
    </cfRule>
  </conditionalFormatting>
  <conditionalFormatting sqref="DD66:DE191">
    <cfRule type="cellIs" dxfId="0" priority="1" operator="equal">
      <formula>TRUE</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Case</vt:lpstr>
      <vt:lpstr>Answers</vt:lpstr>
      <vt:lpstr>Quests (L2)</vt:lpstr>
      <vt:lpstr>Ore Prices (L3)</vt:lpstr>
      <vt:lpstr>More Quests &amp; Items (L4)</vt:lpstr>
      <vt:lpstr>Dungeons (L5)</vt:lpstr>
      <vt:lpstr>L4 Calc</vt:lpstr>
      <vt:lpstr>L5 Calc</vt:lpstr>
      <vt:lpstr>L6 Calc</vt:lpstr>
      <vt:lpstr>L7 Calc</vt:lpstr>
      <vt:lpstr>Bonus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FMWC;Andrew Grigolyunovich;David Fortin</dc:creator>
  <cp:keywords/>
  <dc:description/>
  <cp:lastModifiedBy>jamie</cp:lastModifiedBy>
  <cp:revision/>
  <dcterms:created xsi:type="dcterms:W3CDTF">2021-08-11T13:47:05Z</dcterms:created>
  <dcterms:modified xsi:type="dcterms:W3CDTF">2026-09-17T20:48:56Z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{50F4E8AB-4640-4F5D-BA39-192C65DEFCB0}</vt:lpwstr>
  </property>
  <property fmtid="{D5CDD505-2E9C-101B-9397-08002B2CF9AE}" pid="3" name="MSIP_Label_38f1469a-2c2a-4aee-b92b-090d4c5468ff_Enabled">
    <vt:lpwstr>true</vt:lpwstr>
  </property>
  <property fmtid="{D5CDD505-2E9C-101B-9397-08002B2CF9AE}" pid="4" name="MSIP_Label_38f1469a-2c2a-4aee-b92b-090d4c5468ff_SetDate">
    <vt:lpwstr>2023-11-06T13:47:34Z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55bcb695-1c55-4ea3-805d-04828c086c26</vt:lpwstr>
  </property>
  <property fmtid="{D5CDD505-2E9C-101B-9397-08002B2CF9AE}" pid="9" name="MSIP_Label_38f1469a-2c2a-4aee-b92b-090d4c5468ff_ContentBits">
    <vt:lpwstr>0</vt:lpwstr>
  </property>
  <property fmtid="{D5CDD505-2E9C-101B-9397-08002B2CF9AE}" pid="10" name="MSIP_Label_defa4170-0d19-0005-0004-bc88714345d2_Enabled">
    <vt:lpwstr>true</vt:lpwstr>
  </property>
  <property fmtid="{D5CDD505-2E9C-101B-9397-08002B2CF9AE}" pid="11" name="MSIP_Label_defa4170-0d19-0005-0004-bc88714345d2_SetDate">
    <vt:lpwstr>2024-11-14T15:42:27Z</vt:lpwstr>
  </property>
  <property fmtid="{D5CDD505-2E9C-101B-9397-08002B2CF9AE}" pid="12" name="MSIP_Label_defa4170-0d19-0005-0004-bc88714345d2_Method">
    <vt:lpwstr>Standard</vt:lpwstr>
  </property>
  <property fmtid="{D5CDD505-2E9C-101B-9397-08002B2CF9AE}" pid="13" name="MSIP_Label_defa4170-0d19-0005-0004-bc88714345d2_Name">
    <vt:lpwstr>defa4170-0d19-0005-0004-bc88714345d2</vt:lpwstr>
  </property>
  <property fmtid="{D5CDD505-2E9C-101B-9397-08002B2CF9AE}" pid="14" name="MSIP_Label_defa4170-0d19-0005-0004-bc88714345d2_SiteId">
    <vt:lpwstr>f2cb1f95-b02a-4524-b8f1-e5a5aff33b5b</vt:lpwstr>
  </property>
  <property fmtid="{D5CDD505-2E9C-101B-9397-08002B2CF9AE}" pid="15" name="MSIP_Label_defa4170-0d19-0005-0004-bc88714345d2_ActionId">
    <vt:lpwstr>2a40eda4-6bf3-40ef-853d-eca5e13bf08c</vt:lpwstr>
  </property>
  <property fmtid="{D5CDD505-2E9C-101B-9397-08002B2CF9AE}" pid="16" name="MSIP_Label_defa4170-0d19-0005-0004-bc88714345d2_ContentBits">
    <vt:lpwstr>0</vt:lpwstr>
  </property>
</Properties>
</file>